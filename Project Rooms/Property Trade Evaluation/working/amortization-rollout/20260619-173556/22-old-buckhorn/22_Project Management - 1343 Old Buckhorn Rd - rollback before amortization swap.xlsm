
<file path=[Content_Types].xml><?xml version="1.0" encoding="utf-8"?>
<Types xmlns="http://schemas.openxmlformats.org/package/2006/content-types">
  <Default Extension="bin" ContentType="application/vnd.openxmlformats-officedocument.spreadsheetml.printerSettings"/>
  <Default Extension="data" ContentType="application/vnd.openxmlformats-officedocument.model+data"/>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drawings/drawing2.xml" ContentType="application/vnd.openxmlformats-officedocument.drawing+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queryTables/queryTable1.xml" ContentType="application/vnd.openxmlformats-officedocument.spreadsheetml.queryTable+xml"/>
  <Override PartName="/xl/drawings/drawing3.xml" ContentType="application/vnd.openxmlformats-officedocument.drawing+xml"/>
  <Override PartName="/xl/ctrlProps/ctrlProp13.xml" ContentType="application/vnd.ms-excel.controlproperties+xml"/>
  <Override PartName="/xl/tables/table3.xml" ContentType="application/vnd.openxmlformats-officedocument.spreadsheetml.table+xml"/>
  <Override PartName="/xl/queryTables/queryTable2.xml" ContentType="application/vnd.openxmlformats-officedocument.spreadsheetml.queryTable+xml"/>
  <Override PartName="/xl/tables/table4.xml" ContentType="application/vnd.openxmlformats-officedocument.spreadsheetml.table+xml"/>
  <Override PartName="/xl/queryTables/queryTable3.xml" ContentType="application/vnd.openxmlformats-officedocument.spreadsheetml.queryTable+xml"/>
  <Override PartName="/xl/tables/table5.xml" ContentType="application/vnd.openxmlformats-officedocument.spreadsheetml.table+xml"/>
  <Override PartName="/xl/tables/table6.xml" ContentType="application/vnd.openxmlformats-officedocument.spreadsheetml.table+xml"/>
  <Override PartName="/xl/queryTables/queryTable4.xml" ContentType="application/vnd.openxmlformats-officedocument.spreadsheetml.queryTable+xml"/>
  <Override PartName="/xl/drawings/drawing4.xml" ContentType="application/vnd.openxmlformats-officedocument.drawing+xml"/>
  <Override PartName="/xl/ink/ink1.xml" ContentType="application/inkml+xml"/>
  <Override PartName="/xl/ink/ink2.xml" ContentType="application/inkml+xml"/>
  <Override PartName="/xl/drawings/drawing5.xml" ContentType="application/vnd.openxmlformats-officedocument.drawing+xml"/>
  <Override PartName="/xl/ink/ink3.xml" ContentType="application/inkml+xml"/>
  <Override PartName="/xl/drawings/drawing6.xml" ContentType="application/vnd.openxmlformats-officedocument.drawing+xml"/>
  <Override PartName="/xl/ink/ink4.xml" ContentType="application/inkml+xml"/>
  <Override PartName="/xl/drawings/drawing7.xml" ContentType="application/vnd.openxmlformats-officedocument.drawing+xml"/>
  <Override PartName="/xl/ink/ink5.xml" ContentType="application/inkml+xml"/>
  <Override PartName="/xl/drawings/drawing8.xml" ContentType="application/vnd.openxmlformats-officedocument.drawing+xml"/>
  <Override PartName="/xl/ink/ink6.xml" ContentType="application/inkml+xml"/>
  <Override PartName="/xl/featurePropertyBag/featurePropertyBag.xml" ContentType="application/vnd.ms-excel.featurepropertyba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929" codeName="{28389E77-7640-9E18-AD5C-E98E2F4A8B83}"/>
  <workbookPr codeName="ThisWorkbook" hidePivotFieldList="1"/>
  <mc:AlternateContent xmlns:mc="http://schemas.openxmlformats.org/markup-compatibility/2006">
    <mc:Choice Requires="x15">
      <x15ac:absPath xmlns:x15ac="http://schemas.microsoft.com/office/spreadsheetml/2010/11/ac" url="https://lifeisanadventure.sharepoint.com/sites/SellYourHome/Shared Documents/Property/"/>
    </mc:Choice>
  </mc:AlternateContent>
  <xr:revisionPtr revIDLastSave="3232" documentId="8_{E0FD95D7-D8F8-4981-94AD-1F44CA963F55}" xr6:coauthVersionLast="47" xr6:coauthVersionMax="47" xr10:uidLastSave="{FF7DB1C2-B935-435F-8D51-4DFA53182D93}"/>
  <bookViews>
    <workbookView xWindow="38280" yWindow="1305" windowWidth="29040" windowHeight="15720" tabRatio="889" xr2:uid="{00000000-000D-0000-FFFF-FFFF00000000}"/>
  </bookViews>
  <sheets>
    <sheet name="Profit" sheetId="1" r:id="rId1"/>
    <sheet name="Amortization" sheetId="63" r:id="rId2"/>
    <sheet name="Docs" sheetId="64" r:id="rId3"/>
    <sheet name="MOG" sheetId="33" r:id="rId4"/>
    <sheet name="Contact" sheetId="10" r:id="rId5"/>
    <sheet name="Carrying" sheetId="57" r:id="rId6"/>
    <sheet name="Contract" sheetId="36" r:id="rId7"/>
    <sheet name="UpdateContract" sheetId="47" r:id="rId8"/>
    <sheet name="Gnatt Chart" sheetId="37" r:id="rId9"/>
    <sheet name="Recap" sheetId="52" r:id="rId10"/>
    <sheet name="Legal" sheetId="58" r:id="rId11"/>
    <sheet name="Seller Advance" sheetId="9" r:id="rId12"/>
    <sheet name="MISC" sheetId="50" r:id="rId13"/>
    <sheet name="Exterior" sheetId="16" r:id="rId14"/>
    <sheet name="Demo &amp; Trash Haul" sheetId="21" r:id="rId15"/>
    <sheet name="Appliances" sheetId="15" r:id="rId16"/>
    <sheet name="Plumbing Fixtures" sheetId="22" r:id="rId17"/>
    <sheet name="Windows &amp; Doors" sheetId="20" r:id="rId18"/>
    <sheet name="Cabinets" sheetId="6" r:id="rId19"/>
    <sheet name="Paint" sheetId="4" r:id="rId20"/>
    <sheet name="Flooring" sheetId="3" r:id="rId21"/>
    <sheet name="HVAC" sheetId="18" r:id="rId22"/>
    <sheet name="Electrical Fixtures" sheetId="35" r:id="rId23"/>
    <sheet name="STR" sheetId="59" r:id="rId24"/>
    <sheet name="Landscape" sheetId="13" r:id="rId25"/>
    <sheet name="2024" sheetId="62" r:id="rId26"/>
    <sheet name="2023" sheetId="56" r:id="rId27"/>
    <sheet name="2022" sheetId="55" r:id="rId28"/>
    <sheet name="2021" sheetId="54" r:id="rId29"/>
    <sheet name="2020" sheetId="53" r:id="rId30"/>
    <sheet name="Furnishing" sheetId="61" r:id="rId31"/>
  </sheets>
  <externalReferences>
    <externalReference r:id="rId32"/>
  </externalReferences>
  <definedNames>
    <definedName name="_xlnm._FilterDatabase" localSheetId="8" hidden="1">'Gnatt Chart'!$A$1:$DU$26</definedName>
    <definedName name="ExternalData_2" localSheetId="9" hidden="1">'Recap'!$N$4:$S$5</definedName>
    <definedName name="ExternalData_3" localSheetId="7" hidden="1">UpdateContract!$B$4:$H$89</definedName>
    <definedName name="ExternalData_4" localSheetId="8" hidden="1">'Gnatt Chart'!$A$27:$O$112</definedName>
    <definedName name="Milestone_Marker">'Gnatt Chart'!$G$4</definedName>
    <definedName name="Project_Start">'Gnatt Chart'!$F$2</definedName>
    <definedName name="ProposalToGnatt__2" localSheetId="9" hidden="1">'Recap'!$A$4:$G$17</definedName>
    <definedName name="Scrolling_Increment">'Gnatt Chart'!$AB$24</definedName>
    <definedName name="Today" localSheetId="8">TODAY()</definedName>
  </definedNames>
  <calcPr calcId="191028" calcMode="autoNoTable" iterate="1"/>
  <extLs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Recap_93f76440-af07-4f37-8bb6-5797315de35b" name="Recap" connection="Query - Recap"/>
        </x15:modelTables>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K44" i="1" l="1"/>
  <c r="K80" i="1" l="1"/>
  <c r="M78" i="1"/>
  <c r="M77" i="1"/>
  <c r="M79" i="1"/>
  <c r="M80" i="1"/>
  <c r="D74" i="1"/>
  <c r="G82" i="1"/>
  <c r="F20" i="1"/>
  <c r="A5" i="47"/>
  <c r="A6" i="47"/>
  <c r="A7" i="47"/>
  <c r="A8" i="47"/>
  <c r="A9" i="47"/>
  <c r="A10" i="47"/>
  <c r="A11" i="47"/>
  <c r="A12" i="47"/>
  <c r="A13" i="47"/>
  <c r="A14" i="47"/>
  <c r="A15" i="47"/>
  <c r="A16" i="47"/>
  <c r="A17" i="47"/>
  <c r="A18" i="47"/>
  <c r="A19" i="47"/>
  <c r="A20" i="47"/>
  <c r="A21" i="47"/>
  <c r="A22" i="47"/>
  <c r="A23" i="47"/>
  <c r="A24" i="47"/>
  <c r="A25" i="47"/>
  <c r="A26" i="47"/>
  <c r="A27" i="47"/>
  <c r="A28" i="47"/>
  <c r="A29" i="47"/>
  <c r="A30" i="47"/>
  <c r="A31" i="47"/>
  <c r="A32" i="47"/>
  <c r="A33" i="47"/>
  <c r="A34" i="47"/>
  <c r="A35" i="47"/>
  <c r="A36" i="47"/>
  <c r="A37" i="47"/>
  <c r="A38" i="47"/>
  <c r="A39" i="47"/>
  <c r="A40" i="47"/>
  <c r="A41" i="47"/>
  <c r="A42" i="47"/>
  <c r="A43" i="47"/>
  <c r="A44" i="47"/>
  <c r="A45" i="47"/>
  <c r="A46" i="47"/>
  <c r="A47" i="47"/>
  <c r="A48" i="47"/>
  <c r="A49" i="47"/>
  <c r="A50" i="47"/>
  <c r="A51" i="47"/>
  <c r="A52" i="47"/>
  <c r="A53" i="47"/>
  <c r="A54" i="47"/>
  <c r="A55" i="47"/>
  <c r="A56" i="47"/>
  <c r="A57" i="47"/>
  <c r="A58" i="47"/>
  <c r="A59" i="47"/>
  <c r="A60" i="47"/>
  <c r="A61" i="47"/>
  <c r="A62" i="47"/>
  <c r="A63" i="47"/>
  <c r="A64" i="47"/>
  <c r="A65" i="47"/>
  <c r="A66" i="47"/>
  <c r="A67" i="47"/>
  <c r="A68" i="47"/>
  <c r="A69" i="47"/>
  <c r="A70" i="47"/>
  <c r="A71" i="47"/>
  <c r="A72" i="47"/>
  <c r="A73" i="47"/>
  <c r="A74" i="47"/>
  <c r="A75" i="47"/>
  <c r="A76" i="47"/>
  <c r="A77" i="47"/>
  <c r="A78" i="47"/>
  <c r="A79" i="47"/>
  <c r="A80" i="47"/>
  <c r="A81" i="47"/>
  <c r="A82" i="47"/>
  <c r="A83" i="47"/>
  <c r="A84" i="47"/>
  <c r="A85" i="47"/>
  <c r="A86" i="47"/>
  <c r="A87" i="47"/>
  <c r="A88" i="47"/>
  <c r="A89" i="47"/>
  <c r="J19" i="4"/>
  <c r="K19" i="4" s="1"/>
  <c r="F17" i="22"/>
  <c r="G23" i="3"/>
  <c r="H23" i="3" s="1"/>
  <c r="F43" i="35"/>
  <c r="G43" i="35" s="1"/>
  <c r="F34" i="35"/>
  <c r="G34" i="35" s="1"/>
  <c r="F17" i="6"/>
  <c r="G17" i="6" s="1"/>
  <c r="F32" i="35"/>
  <c r="G32" i="35" s="1"/>
  <c r="F16" i="35"/>
  <c r="G16" i="35" s="1"/>
  <c r="F30" i="35"/>
  <c r="G30" i="35" s="1"/>
  <c r="F23" i="6"/>
  <c r="G23" i="6" s="1"/>
  <c r="F41" i="35"/>
  <c r="G41" i="35" s="1"/>
  <c r="F40" i="35"/>
  <c r="G40" i="35" s="1"/>
  <c r="F37" i="35"/>
  <c r="G37" i="35" s="1"/>
  <c r="F33" i="35"/>
  <c r="G33" i="35" s="1"/>
  <c r="F22" i="22"/>
  <c r="G22" i="22" s="1"/>
  <c r="F22" i="35"/>
  <c r="G22" i="35" s="1"/>
  <c r="F28" i="35"/>
  <c r="G28" i="35" s="1"/>
  <c r="F24" i="20"/>
  <c r="G24" i="20" s="1"/>
  <c r="G22" i="3" l="1"/>
  <c r="H22" i="3" s="1"/>
  <c r="G21" i="3"/>
  <c r="H21" i="3" s="1"/>
  <c r="G20" i="3"/>
  <c r="H20" i="3" s="1"/>
  <c r="G19" i="3"/>
  <c r="H19" i="3" s="1"/>
  <c r="G18" i="3"/>
  <c r="H18" i="3" s="1"/>
  <c r="G17" i="3"/>
  <c r="H17" i="3" s="1"/>
  <c r="G16" i="3"/>
  <c r="H16" i="3" s="1"/>
  <c r="G15" i="3"/>
  <c r="H15" i="3" s="1"/>
  <c r="G14" i="3"/>
  <c r="H14" i="3" s="1"/>
  <c r="G13" i="3"/>
  <c r="H13" i="3" s="1"/>
  <c r="G12" i="3"/>
  <c r="H12" i="3" s="1"/>
  <c r="G11" i="3"/>
  <c r="E14" i="36"/>
  <c r="J4" i="37"/>
  <c r="J45" i="4"/>
  <c r="K45" i="4" s="1"/>
  <c r="J44" i="4"/>
  <c r="K44" i="4" s="1"/>
  <c r="J43" i="4"/>
  <c r="K43" i="4" s="1"/>
  <c r="J42" i="4"/>
  <c r="K42" i="4" s="1"/>
  <c r="J41" i="4"/>
  <c r="K41" i="4" s="1"/>
  <c r="J40" i="4"/>
  <c r="K40" i="4" s="1"/>
  <c r="J38" i="4"/>
  <c r="J34" i="4"/>
  <c r="K34" i="4" s="1"/>
  <c r="J39" i="4"/>
  <c r="J37" i="4"/>
  <c r="K37" i="4" s="1"/>
  <c r="J36" i="4"/>
  <c r="J35" i="4"/>
  <c r="K35" i="4" s="1"/>
  <c r="J33" i="4"/>
  <c r="K33" i="4" s="1"/>
  <c r="J63" i="4"/>
  <c r="N18" i="37"/>
  <c r="N16" i="37"/>
  <c r="N9" i="37"/>
  <c r="N8" i="37"/>
  <c r="F15" i="16"/>
  <c r="F14" i="16"/>
  <c r="F30" i="20"/>
  <c r="G30" i="20" s="1"/>
  <c r="J8" i="4"/>
  <c r="K38" i="4" l="1"/>
  <c r="N46" i="4" s="1"/>
  <c r="J13" i="4"/>
  <c r="K13" i="4" s="1"/>
  <c r="J15" i="4"/>
  <c r="K15" i="4" s="1"/>
  <c r="J18" i="4"/>
  <c r="K18" i="4" s="1"/>
  <c r="Y6" i="57"/>
  <c r="Y7" i="57" s="1"/>
  <c r="Y8" i="57" s="1"/>
  <c r="Y9" i="57" s="1"/>
  <c r="Y10" i="57" s="1"/>
  <c r="Y11" i="57" s="1"/>
  <c r="Y12" i="57" s="1"/>
  <c r="Y13" i="57" s="1"/>
  <c r="Y14" i="57" s="1"/>
  <c r="Y15" i="57" s="1"/>
  <c r="Y16" i="57" s="1"/>
  <c r="Y17" i="57" s="1"/>
  <c r="Y18" i="57" s="1"/>
  <c r="Y19" i="57" s="1"/>
  <c r="Y20" i="57" s="1"/>
  <c r="Y21" i="57" s="1"/>
  <c r="Y22" i="57" s="1"/>
  <c r="Y23" i="57" s="1"/>
  <c r="L1" i="16" l="1"/>
  <c r="D5" i="16"/>
  <c r="F5" i="16" s="1"/>
  <c r="C45" i="1"/>
  <c r="E45" i="1" s="1"/>
  <c r="F5" i="20"/>
  <c r="I31" i="1"/>
  <c r="J4" i="15"/>
  <c r="D6" i="16" l="1"/>
  <c r="F6" i="16" s="1"/>
  <c r="H8" i="16" s="1"/>
  <c r="B78" i="64" l="1"/>
  <c r="AV2" i="64" s="1"/>
  <c r="B77" i="64"/>
  <c r="AW2" i="64" s="1"/>
  <c r="B55" i="64"/>
  <c r="AB2" i="64" s="1"/>
  <c r="B54" i="64"/>
  <c r="AA2" i="64" s="1"/>
  <c r="B51" i="64"/>
  <c r="O2" i="64" s="1"/>
  <c r="B50" i="64"/>
  <c r="N2" i="64" s="1"/>
  <c r="B47" i="64"/>
  <c r="BF2" i="64" s="1"/>
  <c r="B44" i="64"/>
  <c r="B84" i="64" s="1"/>
  <c r="B83" i="64" s="1"/>
  <c r="B42" i="64"/>
  <c r="AH2" i="64" s="1"/>
  <c r="B41" i="64"/>
  <c r="AG2" i="64" s="1"/>
  <c r="B40" i="64"/>
  <c r="AF2" i="64" s="1"/>
  <c r="B39" i="64"/>
  <c r="R2" i="64" s="1"/>
  <c r="B37" i="64"/>
  <c r="V2" i="64" s="1"/>
  <c r="B36" i="64"/>
  <c r="AE2" i="64" s="1"/>
  <c r="B35" i="64"/>
  <c r="U2" i="64" s="1"/>
  <c r="B29" i="64"/>
  <c r="D2" i="64" s="1"/>
  <c r="B28" i="64"/>
  <c r="F2" i="64" s="1"/>
  <c r="B27" i="64"/>
  <c r="E2" i="64" s="1"/>
  <c r="B23" i="64"/>
  <c r="AQ2" i="64" s="1"/>
  <c r="B22" i="64"/>
  <c r="AP2" i="64" s="1"/>
  <c r="B21" i="64"/>
  <c r="AO2" i="64" s="1"/>
  <c r="B18" i="64"/>
  <c r="AM2" i="64" s="1"/>
  <c r="B15" i="64"/>
  <c r="B16" i="64" s="1"/>
  <c r="B14" i="64"/>
  <c r="B13" i="64" s="1"/>
  <c r="AI2" i="64" s="1"/>
  <c r="B11" i="64"/>
  <c r="S2" i="64" s="1"/>
  <c r="B10" i="64"/>
  <c r="X2" i="64" s="1"/>
  <c r="BQ2" i="64"/>
  <c r="BP2" i="64"/>
  <c r="BN2" i="64"/>
  <c r="BM2" i="64"/>
  <c r="BL2" i="64"/>
  <c r="BK2" i="64"/>
  <c r="BJ2" i="64"/>
  <c r="BI2" i="64"/>
  <c r="BH2" i="64"/>
  <c r="BG2" i="64"/>
  <c r="BD2" i="64"/>
  <c r="BC2" i="64"/>
  <c r="BB2" i="64"/>
  <c r="BA2" i="64"/>
  <c r="AZ2" i="64"/>
  <c r="AY2" i="64"/>
  <c r="AX2" i="64"/>
  <c r="AU2" i="64"/>
  <c r="AT2" i="64"/>
  <c r="AS2" i="64"/>
  <c r="AR2" i="64"/>
  <c r="AN2" i="64"/>
  <c r="AK2" i="64"/>
  <c r="AC2" i="64"/>
  <c r="W2" i="64"/>
  <c r="Q2" i="64"/>
  <c r="P2" i="64"/>
  <c r="M2" i="64"/>
  <c r="L2" i="64"/>
  <c r="K2" i="64"/>
  <c r="J2" i="64"/>
  <c r="I2" i="64"/>
  <c r="H2" i="64"/>
  <c r="G2" i="64"/>
  <c r="C2" i="64"/>
  <c r="B19" i="64" l="1"/>
  <c r="AL2" i="64" s="1"/>
  <c r="Z2" i="64"/>
  <c r="B12" i="64"/>
  <c r="T2" i="64" s="1"/>
  <c r="AD2" i="64"/>
  <c r="AJ2" i="64"/>
  <c r="BO2" i="64"/>
  <c r="B88" i="64"/>
  <c r="BR2" i="64" s="1"/>
  <c r="BE2" i="64"/>
  <c r="B53" i="64"/>
  <c r="Y2" i="64" s="1"/>
  <c r="I782" i="63" l="1"/>
  <c r="I781" i="63"/>
  <c r="I780" i="63"/>
  <c r="I779" i="63"/>
  <c r="I778" i="63"/>
  <c r="I777" i="63"/>
  <c r="I776" i="63"/>
  <c r="I775" i="63"/>
  <c r="I774" i="63"/>
  <c r="I773" i="63"/>
  <c r="I772" i="63"/>
  <c r="I771" i="63"/>
  <c r="I770" i="63"/>
  <c r="I769" i="63"/>
  <c r="I768" i="63"/>
  <c r="I767" i="63"/>
  <c r="I766" i="63"/>
  <c r="I765" i="63"/>
  <c r="I764" i="63"/>
  <c r="I763" i="63"/>
  <c r="I762" i="63"/>
  <c r="I761" i="63"/>
  <c r="I760" i="63"/>
  <c r="I759" i="63"/>
  <c r="I758" i="63"/>
  <c r="I757" i="63"/>
  <c r="I756" i="63"/>
  <c r="I755" i="63"/>
  <c r="I754" i="63"/>
  <c r="I753" i="63"/>
  <c r="I752" i="63"/>
  <c r="I751" i="63"/>
  <c r="I750" i="63"/>
  <c r="I749" i="63"/>
  <c r="I748" i="63"/>
  <c r="I747" i="63"/>
  <c r="I746" i="63"/>
  <c r="I745" i="63"/>
  <c r="I744" i="63"/>
  <c r="I743" i="63"/>
  <c r="I742" i="63"/>
  <c r="I741" i="63"/>
  <c r="I740" i="63"/>
  <c r="I739" i="63"/>
  <c r="I738" i="63"/>
  <c r="I737" i="63"/>
  <c r="I736" i="63"/>
  <c r="I735" i="63"/>
  <c r="I734" i="63"/>
  <c r="I733" i="63"/>
  <c r="I732" i="63"/>
  <c r="I731" i="63"/>
  <c r="I730" i="63"/>
  <c r="I729" i="63"/>
  <c r="I728" i="63"/>
  <c r="I727" i="63"/>
  <c r="I726" i="63"/>
  <c r="I725" i="63"/>
  <c r="I724" i="63"/>
  <c r="AC723" i="63"/>
  <c r="I723" i="63" s="1"/>
  <c r="AC722" i="63"/>
  <c r="I722" i="63" s="1"/>
  <c r="AC721" i="63"/>
  <c r="I721" i="63" s="1"/>
  <c r="AC720" i="63"/>
  <c r="I720" i="63" s="1"/>
  <c r="AC719" i="63"/>
  <c r="I719" i="63" s="1"/>
  <c r="AC718" i="63"/>
  <c r="I718" i="63" s="1"/>
  <c r="AC717" i="63"/>
  <c r="I717" i="63" s="1"/>
  <c r="AC716" i="63"/>
  <c r="I716" i="63" s="1"/>
  <c r="AC715" i="63"/>
  <c r="I715" i="63" s="1"/>
  <c r="AC714" i="63"/>
  <c r="I714" i="63" s="1"/>
  <c r="AC713" i="63"/>
  <c r="I713" i="63" s="1"/>
  <c r="AC712" i="63"/>
  <c r="I712" i="63" s="1"/>
  <c r="AC711" i="63"/>
  <c r="I711" i="63" s="1"/>
  <c r="AC710" i="63"/>
  <c r="I710" i="63" s="1"/>
  <c r="AC709" i="63"/>
  <c r="I709" i="63" s="1"/>
  <c r="AC708" i="63"/>
  <c r="I708" i="63" s="1"/>
  <c r="AC707" i="63"/>
  <c r="I707" i="63" s="1"/>
  <c r="AC706" i="63"/>
  <c r="I706" i="63" s="1"/>
  <c r="AC705" i="63"/>
  <c r="I705" i="63" s="1"/>
  <c r="AC704" i="63"/>
  <c r="I704" i="63" s="1"/>
  <c r="AC703" i="63"/>
  <c r="I703" i="63" s="1"/>
  <c r="AC702" i="63"/>
  <c r="I702" i="63" s="1"/>
  <c r="AC701" i="63"/>
  <c r="I701" i="63" s="1"/>
  <c r="AC700" i="63"/>
  <c r="I700" i="63" s="1"/>
  <c r="AC699" i="63"/>
  <c r="I699" i="63" s="1"/>
  <c r="AC698" i="63"/>
  <c r="I698" i="63" s="1"/>
  <c r="AC697" i="63"/>
  <c r="I697" i="63" s="1"/>
  <c r="AC696" i="63"/>
  <c r="I696" i="63" s="1"/>
  <c r="AC695" i="63"/>
  <c r="I695" i="63" s="1"/>
  <c r="AC694" i="63"/>
  <c r="I694" i="63" s="1"/>
  <c r="AC693" i="63"/>
  <c r="I693" i="63" s="1"/>
  <c r="AC692" i="63"/>
  <c r="I692" i="63" s="1"/>
  <c r="AC691" i="63"/>
  <c r="I691" i="63" s="1"/>
  <c r="AC690" i="63"/>
  <c r="I690" i="63" s="1"/>
  <c r="AC689" i="63"/>
  <c r="I689" i="63" s="1"/>
  <c r="AC688" i="63"/>
  <c r="I688" i="63" s="1"/>
  <c r="AC687" i="63"/>
  <c r="I687" i="63" s="1"/>
  <c r="AC686" i="63"/>
  <c r="I686" i="63" s="1"/>
  <c r="AC685" i="63"/>
  <c r="I685" i="63" s="1"/>
  <c r="AC684" i="63"/>
  <c r="I684" i="63" s="1"/>
  <c r="AC683" i="63"/>
  <c r="I683" i="63" s="1"/>
  <c r="AC682" i="63"/>
  <c r="I682" i="63" s="1"/>
  <c r="AC681" i="63"/>
  <c r="I681" i="63" s="1"/>
  <c r="AC680" i="63"/>
  <c r="I680" i="63" s="1"/>
  <c r="AC679" i="63"/>
  <c r="I679" i="63" s="1"/>
  <c r="AC678" i="63"/>
  <c r="I678" i="63" s="1"/>
  <c r="AC677" i="63"/>
  <c r="I677" i="63" s="1"/>
  <c r="AC676" i="63"/>
  <c r="I676" i="63" s="1"/>
  <c r="AC675" i="63"/>
  <c r="I675" i="63" s="1"/>
  <c r="AC674" i="63"/>
  <c r="I674" i="63" s="1"/>
  <c r="AC673" i="63"/>
  <c r="I673" i="63" s="1"/>
  <c r="AC672" i="63"/>
  <c r="I672" i="63" s="1"/>
  <c r="AC671" i="63"/>
  <c r="I671" i="63" s="1"/>
  <c r="AC670" i="63"/>
  <c r="I670" i="63" s="1"/>
  <c r="AC669" i="63"/>
  <c r="I669" i="63" s="1"/>
  <c r="AC668" i="63"/>
  <c r="I668" i="63" s="1"/>
  <c r="AC667" i="63"/>
  <c r="I667" i="63" s="1"/>
  <c r="AC666" i="63"/>
  <c r="I666" i="63" s="1"/>
  <c r="AC665" i="63"/>
  <c r="I665" i="63" s="1"/>
  <c r="AC664" i="63"/>
  <c r="I664" i="63" s="1"/>
  <c r="AC663" i="63"/>
  <c r="I663" i="63" s="1"/>
  <c r="AC662" i="63"/>
  <c r="I662" i="63" s="1"/>
  <c r="AC661" i="63"/>
  <c r="I661" i="63" s="1"/>
  <c r="AC660" i="63"/>
  <c r="I660" i="63" s="1"/>
  <c r="AC659" i="63"/>
  <c r="I659" i="63" s="1"/>
  <c r="AC658" i="63"/>
  <c r="I658" i="63" s="1"/>
  <c r="AC657" i="63"/>
  <c r="I657" i="63" s="1"/>
  <c r="AC656" i="63"/>
  <c r="I656" i="63" s="1"/>
  <c r="AC655" i="63"/>
  <c r="I655" i="63" s="1"/>
  <c r="AC654" i="63"/>
  <c r="I654" i="63" s="1"/>
  <c r="AC653" i="63"/>
  <c r="I653" i="63" s="1"/>
  <c r="AC652" i="63"/>
  <c r="I652" i="63" s="1"/>
  <c r="AC651" i="63"/>
  <c r="I651" i="63" s="1"/>
  <c r="AC650" i="63"/>
  <c r="I650" i="63" s="1"/>
  <c r="AC649" i="63"/>
  <c r="I649" i="63" s="1"/>
  <c r="AC648" i="63"/>
  <c r="I648" i="63" s="1"/>
  <c r="AC647" i="63"/>
  <c r="I647" i="63" s="1"/>
  <c r="AC646" i="63"/>
  <c r="I646" i="63" s="1"/>
  <c r="AC645" i="63"/>
  <c r="I645" i="63" s="1"/>
  <c r="AC644" i="63"/>
  <c r="I644" i="63" s="1"/>
  <c r="AC643" i="63"/>
  <c r="I643" i="63" s="1"/>
  <c r="AC642" i="63"/>
  <c r="I642" i="63" s="1"/>
  <c r="AC641" i="63"/>
  <c r="I641" i="63" s="1"/>
  <c r="AC640" i="63"/>
  <c r="I640" i="63" s="1"/>
  <c r="AC639" i="63"/>
  <c r="I639" i="63" s="1"/>
  <c r="AC638" i="63"/>
  <c r="I638" i="63" s="1"/>
  <c r="AC637" i="63"/>
  <c r="I637" i="63" s="1"/>
  <c r="AC636" i="63"/>
  <c r="I636" i="63" s="1"/>
  <c r="AC635" i="63"/>
  <c r="I635" i="63" s="1"/>
  <c r="AC634" i="63"/>
  <c r="I634" i="63" s="1"/>
  <c r="AC633" i="63"/>
  <c r="I633" i="63" s="1"/>
  <c r="AC632" i="63"/>
  <c r="I632" i="63" s="1"/>
  <c r="AC631" i="63"/>
  <c r="I631" i="63" s="1"/>
  <c r="AC630" i="63"/>
  <c r="I630" i="63" s="1"/>
  <c r="AC629" i="63"/>
  <c r="I629" i="63" s="1"/>
  <c r="AC628" i="63"/>
  <c r="I628" i="63" s="1"/>
  <c r="AC627" i="63"/>
  <c r="I627" i="63" s="1"/>
  <c r="AC626" i="63"/>
  <c r="I626" i="63" s="1"/>
  <c r="AC625" i="63"/>
  <c r="I625" i="63" s="1"/>
  <c r="AC624" i="63"/>
  <c r="I624" i="63" s="1"/>
  <c r="AC623" i="63"/>
  <c r="I623" i="63" s="1"/>
  <c r="AC622" i="63"/>
  <c r="I622" i="63" s="1"/>
  <c r="AC621" i="63"/>
  <c r="I621" i="63" s="1"/>
  <c r="AC620" i="63"/>
  <c r="I620" i="63" s="1"/>
  <c r="AC619" i="63"/>
  <c r="I619" i="63" s="1"/>
  <c r="AC618" i="63"/>
  <c r="I618" i="63" s="1"/>
  <c r="AC617" i="63"/>
  <c r="I617" i="63" s="1"/>
  <c r="AC616" i="63"/>
  <c r="I616" i="63" s="1"/>
  <c r="AC615" i="63"/>
  <c r="I615" i="63" s="1"/>
  <c r="AC614" i="63"/>
  <c r="I614" i="63" s="1"/>
  <c r="AC613" i="63"/>
  <c r="I613" i="63" s="1"/>
  <c r="AC612" i="63"/>
  <c r="I612" i="63" s="1"/>
  <c r="AC611" i="63"/>
  <c r="I611" i="63" s="1"/>
  <c r="AC610" i="63"/>
  <c r="I610" i="63" s="1"/>
  <c r="AC609" i="63"/>
  <c r="I609" i="63" s="1"/>
  <c r="AC608" i="63"/>
  <c r="I608" i="63" s="1"/>
  <c r="AC607" i="63"/>
  <c r="I607" i="63" s="1"/>
  <c r="AC606" i="63"/>
  <c r="I606" i="63" s="1"/>
  <c r="AC605" i="63"/>
  <c r="I605" i="63" s="1"/>
  <c r="AC604" i="63"/>
  <c r="I604" i="63" s="1"/>
  <c r="AC603" i="63"/>
  <c r="I603" i="63" s="1"/>
  <c r="AC602" i="63"/>
  <c r="I602" i="63" s="1"/>
  <c r="AC601" i="63"/>
  <c r="I601" i="63" s="1"/>
  <c r="AC600" i="63"/>
  <c r="I600" i="63" s="1"/>
  <c r="AC599" i="63"/>
  <c r="I599" i="63" s="1"/>
  <c r="AC598" i="63"/>
  <c r="I598" i="63" s="1"/>
  <c r="AC597" i="63"/>
  <c r="I597" i="63" s="1"/>
  <c r="AC596" i="63"/>
  <c r="I596" i="63" s="1"/>
  <c r="AC595" i="63"/>
  <c r="I595" i="63" s="1"/>
  <c r="AC594" i="63"/>
  <c r="I594" i="63" s="1"/>
  <c r="AC593" i="63"/>
  <c r="I593" i="63" s="1"/>
  <c r="AC592" i="63"/>
  <c r="I592" i="63" s="1"/>
  <c r="AC591" i="63"/>
  <c r="I591" i="63" s="1"/>
  <c r="AC590" i="63"/>
  <c r="I590" i="63" s="1"/>
  <c r="AC589" i="63"/>
  <c r="I589" i="63" s="1"/>
  <c r="AC588" i="63"/>
  <c r="I588" i="63" s="1"/>
  <c r="AC587" i="63"/>
  <c r="I587" i="63" s="1"/>
  <c r="AC586" i="63"/>
  <c r="I586" i="63" s="1"/>
  <c r="AC585" i="63"/>
  <c r="I585" i="63" s="1"/>
  <c r="AC584" i="63"/>
  <c r="I584" i="63" s="1"/>
  <c r="AC583" i="63"/>
  <c r="I583" i="63" s="1"/>
  <c r="AC582" i="63"/>
  <c r="I582" i="63" s="1"/>
  <c r="AC581" i="63"/>
  <c r="I581" i="63" s="1"/>
  <c r="AC580" i="63"/>
  <c r="I580" i="63" s="1"/>
  <c r="AC579" i="63"/>
  <c r="I579" i="63" s="1"/>
  <c r="AC578" i="63"/>
  <c r="I578" i="63" s="1"/>
  <c r="AC577" i="63"/>
  <c r="I577" i="63" s="1"/>
  <c r="AC576" i="63"/>
  <c r="I576" i="63" s="1"/>
  <c r="AC575" i="63"/>
  <c r="I575" i="63" s="1"/>
  <c r="AC574" i="63"/>
  <c r="I574" i="63" s="1"/>
  <c r="AC573" i="63"/>
  <c r="I573" i="63" s="1"/>
  <c r="AC572" i="63"/>
  <c r="I572" i="63" s="1"/>
  <c r="AC571" i="63"/>
  <c r="I571" i="63" s="1"/>
  <c r="AC570" i="63"/>
  <c r="I570" i="63" s="1"/>
  <c r="AC569" i="63"/>
  <c r="I569" i="63" s="1"/>
  <c r="AC568" i="63"/>
  <c r="I568" i="63" s="1"/>
  <c r="AC567" i="63"/>
  <c r="I567" i="63" s="1"/>
  <c r="AC566" i="63"/>
  <c r="I566" i="63" s="1"/>
  <c r="AC565" i="63"/>
  <c r="I565" i="63" s="1"/>
  <c r="AC564" i="63"/>
  <c r="I564" i="63" s="1"/>
  <c r="AC563" i="63"/>
  <c r="I563" i="63" s="1"/>
  <c r="AC562" i="63"/>
  <c r="I562" i="63" s="1"/>
  <c r="AC561" i="63"/>
  <c r="I561" i="63" s="1"/>
  <c r="AC560" i="63"/>
  <c r="I560" i="63" s="1"/>
  <c r="AC559" i="63"/>
  <c r="I559" i="63" s="1"/>
  <c r="AC558" i="63"/>
  <c r="I558" i="63" s="1"/>
  <c r="AC557" i="63"/>
  <c r="I557" i="63" s="1"/>
  <c r="AC556" i="63"/>
  <c r="I556" i="63" s="1"/>
  <c r="AC555" i="63"/>
  <c r="I555" i="63" s="1"/>
  <c r="AC554" i="63"/>
  <c r="I554" i="63" s="1"/>
  <c r="AC553" i="63"/>
  <c r="I553" i="63" s="1"/>
  <c r="AC552" i="63"/>
  <c r="I552" i="63" s="1"/>
  <c r="AC551" i="63"/>
  <c r="I551" i="63" s="1"/>
  <c r="AC550" i="63"/>
  <c r="I550" i="63" s="1"/>
  <c r="AC549" i="63"/>
  <c r="I549" i="63" s="1"/>
  <c r="AC548" i="63"/>
  <c r="I548" i="63" s="1"/>
  <c r="AC547" i="63"/>
  <c r="I547" i="63" s="1"/>
  <c r="AC546" i="63"/>
  <c r="I546" i="63" s="1"/>
  <c r="AC545" i="63"/>
  <c r="I545" i="63" s="1"/>
  <c r="AC544" i="63"/>
  <c r="I544" i="63" s="1"/>
  <c r="AC543" i="63"/>
  <c r="I543" i="63" s="1"/>
  <c r="AC542" i="63"/>
  <c r="AC541" i="63"/>
  <c r="AC540" i="63"/>
  <c r="AC539" i="63"/>
  <c r="AC538" i="63"/>
  <c r="AC537" i="63"/>
  <c r="AC536" i="63"/>
  <c r="AC535" i="63"/>
  <c r="AC534" i="63"/>
  <c r="AC533" i="63"/>
  <c r="AC532" i="63"/>
  <c r="AC531" i="63"/>
  <c r="AC530" i="63"/>
  <c r="AC529" i="63"/>
  <c r="AC528" i="63"/>
  <c r="AC527" i="63"/>
  <c r="AC526" i="63"/>
  <c r="AC525" i="63"/>
  <c r="I525" i="63" s="1"/>
  <c r="AC524" i="63"/>
  <c r="AC523" i="63"/>
  <c r="AC522" i="63"/>
  <c r="AC521" i="63"/>
  <c r="AC520" i="63"/>
  <c r="AC519" i="63"/>
  <c r="AC518" i="63"/>
  <c r="AC517" i="63"/>
  <c r="I517" i="63" s="1"/>
  <c r="AC516" i="63"/>
  <c r="AC515" i="63"/>
  <c r="AC514" i="63"/>
  <c r="AC513" i="63"/>
  <c r="AC512" i="63"/>
  <c r="AC511" i="63"/>
  <c r="I511" i="63" s="1"/>
  <c r="AC510" i="63"/>
  <c r="AC509" i="63"/>
  <c r="AC508" i="63"/>
  <c r="I508" i="63" s="1"/>
  <c r="AC507" i="63"/>
  <c r="AC506" i="63"/>
  <c r="AC505" i="63"/>
  <c r="AC504" i="63"/>
  <c r="AC503" i="63"/>
  <c r="AC502" i="63"/>
  <c r="AC501" i="63"/>
  <c r="I501" i="63" s="1"/>
  <c r="AC500" i="63"/>
  <c r="AC499" i="63"/>
  <c r="AC498" i="63"/>
  <c r="AC497" i="63"/>
  <c r="AC496" i="63"/>
  <c r="AC495" i="63"/>
  <c r="AC494" i="63"/>
  <c r="AC493" i="63"/>
  <c r="I493" i="63" s="1"/>
  <c r="AC492" i="63"/>
  <c r="AC491" i="63"/>
  <c r="I526" i="63" l="1"/>
  <c r="I502" i="63"/>
  <c r="I509" i="63"/>
  <c r="I532" i="63"/>
  <c r="I492" i="63"/>
  <c r="I510" i="63"/>
  <c r="I533" i="63"/>
  <c r="I516" i="63"/>
  <c r="I534" i="63"/>
  <c r="I494" i="63"/>
  <c r="I541" i="63"/>
  <c r="I500" i="63"/>
  <c r="I518" i="63"/>
  <c r="I542" i="63"/>
  <c r="I524" i="63"/>
  <c r="I495" i="63"/>
  <c r="I519" i="63"/>
  <c r="I535" i="63"/>
  <c r="I496" i="63"/>
  <c r="I504" i="63"/>
  <c r="I512" i="63"/>
  <c r="I520" i="63"/>
  <c r="I528" i="63"/>
  <c r="I536" i="63"/>
  <c r="I503" i="63"/>
  <c r="I527" i="63"/>
  <c r="I497" i="63"/>
  <c r="I505" i="63"/>
  <c r="I513" i="63"/>
  <c r="I521" i="63"/>
  <c r="I529" i="63"/>
  <c r="I537" i="63"/>
  <c r="I498" i="63"/>
  <c r="I506" i="63"/>
  <c r="I514" i="63"/>
  <c r="I522" i="63"/>
  <c r="I530" i="63"/>
  <c r="I538" i="63"/>
  <c r="I491" i="63"/>
  <c r="I499" i="63"/>
  <c r="I507" i="63"/>
  <c r="I515" i="63"/>
  <c r="I523" i="63"/>
  <c r="I531" i="63"/>
  <c r="I539" i="63"/>
  <c r="I540" i="63"/>
  <c r="C10" i="63"/>
  <c r="C2" i="63"/>
  <c r="C3" i="63"/>
  <c r="T9" i="63" s="1"/>
  <c r="S15" i="63" s="1"/>
  <c r="S522" i="63" l="1"/>
  <c r="S513" i="63"/>
  <c r="S514" i="63"/>
  <c r="S505" i="63"/>
  <c r="S543" i="63"/>
  <c r="S532" i="63"/>
  <c r="S496" i="63"/>
  <c r="S524" i="63"/>
  <c r="S525" i="63"/>
  <c r="S531" i="63"/>
  <c r="S523" i="63"/>
  <c r="S509" i="63"/>
  <c r="S534" i="63"/>
  <c r="S501" i="63"/>
  <c r="S508" i="63"/>
  <c r="S498" i="63"/>
  <c r="S536" i="63"/>
  <c r="S535" i="63"/>
  <c r="S526" i="63"/>
  <c r="S516" i="63"/>
  <c r="S497" i="63"/>
  <c r="S517" i="63"/>
  <c r="S500" i="63"/>
  <c r="S499" i="63"/>
  <c r="S541" i="63"/>
  <c r="S528" i="63"/>
  <c r="S527" i="63"/>
  <c r="S518" i="63"/>
  <c r="S542" i="63"/>
  <c r="S511" i="63"/>
  <c r="S506" i="63"/>
  <c r="S493" i="63"/>
  <c r="S492" i="63"/>
  <c r="S491" i="63"/>
  <c r="S537" i="63"/>
  <c r="S520" i="63"/>
  <c r="S519" i="63"/>
  <c r="S510" i="63"/>
  <c r="S515" i="63"/>
  <c r="S533" i="63"/>
  <c r="S538" i="63"/>
  <c r="S529" i="63"/>
  <c r="S512" i="63"/>
  <c r="S503" i="63"/>
  <c r="S502" i="63"/>
  <c r="S507" i="63"/>
  <c r="S540" i="63"/>
  <c r="S539" i="63"/>
  <c r="S530" i="63"/>
  <c r="S521" i="63"/>
  <c r="S504" i="63"/>
  <c r="S495" i="63"/>
  <c r="S494" i="63"/>
  <c r="Q782" i="63" l="1"/>
  <c r="Q781" i="63"/>
  <c r="Q780" i="63"/>
  <c r="Q779" i="63"/>
  <c r="Q778" i="63"/>
  <c r="Q777" i="63"/>
  <c r="Q776" i="63"/>
  <c r="Q775" i="63"/>
  <c r="Q774" i="63"/>
  <c r="Q773" i="63"/>
  <c r="Q772" i="63"/>
  <c r="Q771" i="63"/>
  <c r="Q770" i="63"/>
  <c r="Q769" i="63"/>
  <c r="Q768" i="63"/>
  <c r="Q767" i="63"/>
  <c r="Q766" i="63"/>
  <c r="Q765" i="63"/>
  <c r="Q764" i="63"/>
  <c r="Q763" i="63"/>
  <c r="Q762" i="63"/>
  <c r="Q761" i="63"/>
  <c r="Q760" i="63"/>
  <c r="Q759" i="63"/>
  <c r="Q758" i="63"/>
  <c r="Q757" i="63"/>
  <c r="Q756" i="63"/>
  <c r="Q755" i="63"/>
  <c r="Q754" i="63"/>
  <c r="Q753" i="63"/>
  <c r="Q752" i="63"/>
  <c r="Q751" i="63"/>
  <c r="Q750" i="63"/>
  <c r="Q749" i="63"/>
  <c r="Q748" i="63"/>
  <c r="Q747" i="63"/>
  <c r="Q746" i="63"/>
  <c r="Q745" i="63"/>
  <c r="Q744" i="63"/>
  <c r="Q743" i="63"/>
  <c r="Q742" i="63"/>
  <c r="Q741" i="63"/>
  <c r="Q740" i="63"/>
  <c r="Q739" i="63"/>
  <c r="Q738" i="63"/>
  <c r="Q737" i="63"/>
  <c r="Q736" i="63"/>
  <c r="Q735" i="63"/>
  <c r="Q734" i="63"/>
  <c r="Q733" i="63"/>
  <c r="Q732" i="63"/>
  <c r="Q731" i="63"/>
  <c r="Q730" i="63"/>
  <c r="Q729" i="63"/>
  <c r="Q728" i="63"/>
  <c r="Q727" i="63"/>
  <c r="Q726" i="63"/>
  <c r="Q725" i="63"/>
  <c r="Q724" i="63"/>
  <c r="Q723" i="63"/>
  <c r="Q722" i="63"/>
  <c r="Q721" i="63"/>
  <c r="Q720" i="63"/>
  <c r="Q719" i="63"/>
  <c r="Q718" i="63"/>
  <c r="Q717" i="63"/>
  <c r="Q716" i="63"/>
  <c r="Q715" i="63"/>
  <c r="Q714" i="63"/>
  <c r="Q713" i="63"/>
  <c r="Q712" i="63"/>
  <c r="Q711" i="63"/>
  <c r="Q710" i="63"/>
  <c r="Q709" i="63"/>
  <c r="Q708" i="63"/>
  <c r="Q707" i="63"/>
  <c r="Q706" i="63"/>
  <c r="Q705" i="63"/>
  <c r="Q704" i="63"/>
  <c r="Q703" i="63"/>
  <c r="Q702" i="63"/>
  <c r="Q701" i="63"/>
  <c r="Q700" i="63"/>
  <c r="Q699" i="63"/>
  <c r="Q698" i="63"/>
  <c r="Q697" i="63"/>
  <c r="Q696" i="63"/>
  <c r="Q695" i="63"/>
  <c r="Q694" i="63"/>
  <c r="Q693" i="63"/>
  <c r="Q692" i="63"/>
  <c r="Q691" i="63"/>
  <c r="Q690" i="63"/>
  <c r="Q689" i="63"/>
  <c r="Q688" i="63"/>
  <c r="Q687" i="63"/>
  <c r="Q686" i="63"/>
  <c r="Q685" i="63"/>
  <c r="Q684" i="63"/>
  <c r="Q683" i="63"/>
  <c r="Q682" i="63"/>
  <c r="Q681" i="63"/>
  <c r="Q680" i="63"/>
  <c r="Q679" i="63"/>
  <c r="Q678" i="63"/>
  <c r="Q677" i="63"/>
  <c r="Q676" i="63"/>
  <c r="Q675" i="63"/>
  <c r="Q674" i="63"/>
  <c r="Q673" i="63"/>
  <c r="Q672" i="63"/>
  <c r="Q671" i="63"/>
  <c r="Q670" i="63"/>
  <c r="Q669" i="63"/>
  <c r="Q668" i="63"/>
  <c r="Q667" i="63"/>
  <c r="Q666" i="63"/>
  <c r="Q665" i="63"/>
  <c r="Q664" i="63"/>
  <c r="Q663" i="63"/>
  <c r="Q662" i="63"/>
  <c r="Q661" i="63"/>
  <c r="Q660" i="63"/>
  <c r="Q659" i="63"/>
  <c r="Q658" i="63"/>
  <c r="Q657" i="63"/>
  <c r="Q656" i="63"/>
  <c r="Q655" i="63"/>
  <c r="Q654" i="63"/>
  <c r="Q653" i="63"/>
  <c r="Q652" i="63"/>
  <c r="Q651" i="63"/>
  <c r="Q650" i="63"/>
  <c r="Q649" i="63"/>
  <c r="Q648" i="63"/>
  <c r="Q647" i="63"/>
  <c r="Q646" i="63"/>
  <c r="Q645" i="63"/>
  <c r="Q644" i="63"/>
  <c r="Q643" i="63"/>
  <c r="Q642" i="63"/>
  <c r="Q641" i="63"/>
  <c r="Q640" i="63"/>
  <c r="Q639" i="63"/>
  <c r="Q638" i="63"/>
  <c r="Q637" i="63"/>
  <c r="Q636" i="63"/>
  <c r="Q635" i="63"/>
  <c r="Q634" i="63"/>
  <c r="Q633" i="63"/>
  <c r="Q632" i="63"/>
  <c r="Q631" i="63"/>
  <c r="Q630" i="63"/>
  <c r="Q629" i="63"/>
  <c r="Q628" i="63"/>
  <c r="Q627" i="63"/>
  <c r="Q626" i="63"/>
  <c r="Q625" i="63"/>
  <c r="Q624" i="63"/>
  <c r="Q623" i="63"/>
  <c r="Q622" i="63"/>
  <c r="Q621" i="63"/>
  <c r="Q620" i="63"/>
  <c r="Q619" i="63"/>
  <c r="Q618" i="63"/>
  <c r="Q617" i="63"/>
  <c r="Q616" i="63"/>
  <c r="Q615" i="63"/>
  <c r="Q614" i="63"/>
  <c r="Q613" i="63"/>
  <c r="Q612" i="63"/>
  <c r="Q611" i="63"/>
  <c r="Q610" i="63"/>
  <c r="Q609" i="63"/>
  <c r="Q608" i="63"/>
  <c r="Q607" i="63"/>
  <c r="Q606" i="63"/>
  <c r="Q605" i="63"/>
  <c r="Q604" i="63"/>
  <c r="Q603" i="63"/>
  <c r="Q602" i="63"/>
  <c r="Q601" i="63"/>
  <c r="Q600" i="63"/>
  <c r="Q599" i="63"/>
  <c r="Q598" i="63"/>
  <c r="Q597" i="63"/>
  <c r="Q596" i="63"/>
  <c r="Q595" i="63"/>
  <c r="Q594" i="63"/>
  <c r="Q593" i="63"/>
  <c r="Q592" i="63"/>
  <c r="Q591" i="63"/>
  <c r="Q590" i="63"/>
  <c r="Q589" i="63"/>
  <c r="Q588" i="63"/>
  <c r="Q587" i="63"/>
  <c r="Q586" i="63"/>
  <c r="Q585" i="63"/>
  <c r="Q584" i="63"/>
  <c r="Q583" i="63"/>
  <c r="Q582" i="63"/>
  <c r="Q581" i="63"/>
  <c r="Q580" i="63"/>
  <c r="Q579" i="63"/>
  <c r="Q578" i="63"/>
  <c r="Q577" i="63"/>
  <c r="Q576" i="63"/>
  <c r="Q575" i="63"/>
  <c r="Q574" i="63"/>
  <c r="Q573" i="63"/>
  <c r="Q572" i="63"/>
  <c r="Q571" i="63"/>
  <c r="Q570" i="63"/>
  <c r="Q569" i="63"/>
  <c r="Q568" i="63"/>
  <c r="Q567" i="63"/>
  <c r="Q566" i="63"/>
  <c r="Q565" i="63"/>
  <c r="Q564" i="63"/>
  <c r="Q563" i="63"/>
  <c r="Q562" i="63"/>
  <c r="Q561" i="63"/>
  <c r="Q560" i="63"/>
  <c r="Q559" i="63"/>
  <c r="Q558" i="63"/>
  <c r="Q557" i="63"/>
  <c r="Q556" i="63"/>
  <c r="Q555" i="63"/>
  <c r="Q554" i="63"/>
  <c r="Q553" i="63"/>
  <c r="Q552" i="63"/>
  <c r="Q551" i="63"/>
  <c r="Q550" i="63"/>
  <c r="Q549" i="63"/>
  <c r="Q548" i="63"/>
  <c r="Q547" i="63"/>
  <c r="Q546" i="63"/>
  <c r="Q545" i="63"/>
  <c r="Q544" i="63"/>
  <c r="Q543" i="63"/>
  <c r="Q542" i="63"/>
  <c r="Q541" i="63"/>
  <c r="Q540" i="63"/>
  <c r="Q539" i="63"/>
  <c r="Q538" i="63"/>
  <c r="Q537" i="63"/>
  <c r="Q536" i="63"/>
  <c r="Q535" i="63"/>
  <c r="Q534" i="63"/>
  <c r="Q533" i="63"/>
  <c r="Q532" i="63"/>
  <c r="Q531" i="63"/>
  <c r="Q530" i="63"/>
  <c r="Q529" i="63"/>
  <c r="Q528" i="63"/>
  <c r="Q527" i="63"/>
  <c r="Q526" i="63"/>
  <c r="Q525" i="63"/>
  <c r="Q524" i="63"/>
  <c r="Q523" i="63"/>
  <c r="Q522" i="63"/>
  <c r="Q521" i="63"/>
  <c r="Q520" i="63"/>
  <c r="Q519" i="63"/>
  <c r="Q518" i="63"/>
  <c r="Q517" i="63"/>
  <c r="Q516" i="63"/>
  <c r="Q515" i="63"/>
  <c r="Q514" i="63"/>
  <c r="Q513" i="63"/>
  <c r="Q512" i="63"/>
  <c r="Q511" i="63"/>
  <c r="Q510" i="63"/>
  <c r="Q509" i="63"/>
  <c r="Q508" i="63"/>
  <c r="Q507" i="63"/>
  <c r="Q506" i="63"/>
  <c r="Q505" i="63"/>
  <c r="Q504" i="63"/>
  <c r="Q503" i="63"/>
  <c r="Q502" i="63"/>
  <c r="Q501" i="63"/>
  <c r="Q500" i="63"/>
  <c r="Q499" i="63"/>
  <c r="Q498" i="63"/>
  <c r="Q497" i="63"/>
  <c r="Q496" i="63"/>
  <c r="Q495" i="63"/>
  <c r="Q494" i="63"/>
  <c r="Q493" i="63"/>
  <c r="Q492" i="63"/>
  <c r="Q491" i="63"/>
  <c r="Q15" i="63"/>
  <c r="I15" i="63"/>
  <c r="T543" i="63"/>
  <c r="T542" i="63"/>
  <c r="T541" i="63"/>
  <c r="T540" i="63"/>
  <c r="T539" i="63"/>
  <c r="T538" i="63"/>
  <c r="T537" i="63"/>
  <c r="T536" i="63"/>
  <c r="T535" i="63"/>
  <c r="T534" i="63"/>
  <c r="T533" i="63"/>
  <c r="T532" i="63"/>
  <c r="T531" i="63"/>
  <c r="T530" i="63"/>
  <c r="T529" i="63"/>
  <c r="T528" i="63"/>
  <c r="T527" i="63"/>
  <c r="T526" i="63"/>
  <c r="T525" i="63"/>
  <c r="T524" i="63"/>
  <c r="T523" i="63"/>
  <c r="T522" i="63"/>
  <c r="T521" i="63"/>
  <c r="T520" i="63"/>
  <c r="T519" i="63"/>
  <c r="T518" i="63"/>
  <c r="T517" i="63"/>
  <c r="T516" i="63"/>
  <c r="T515" i="63"/>
  <c r="T514" i="63"/>
  <c r="T513" i="63"/>
  <c r="T512" i="63"/>
  <c r="T511" i="63"/>
  <c r="T510" i="63"/>
  <c r="T509" i="63"/>
  <c r="T508" i="63"/>
  <c r="T507" i="63"/>
  <c r="T506" i="63"/>
  <c r="T505" i="63"/>
  <c r="T504" i="63"/>
  <c r="T503" i="63"/>
  <c r="T502" i="63"/>
  <c r="T501" i="63"/>
  <c r="T500" i="63"/>
  <c r="T499" i="63"/>
  <c r="T498" i="63"/>
  <c r="T497" i="63"/>
  <c r="T496" i="63"/>
  <c r="T495" i="63"/>
  <c r="T494" i="63"/>
  <c r="T493" i="63"/>
  <c r="T492" i="63"/>
  <c r="T491" i="63"/>
  <c r="T15" i="63"/>
  <c r="W15" i="63" s="1"/>
  <c r="V543" i="63"/>
  <c r="V542" i="63"/>
  <c r="V541" i="63"/>
  <c r="V540" i="63"/>
  <c r="V539" i="63"/>
  <c r="V538" i="63"/>
  <c r="V537" i="63"/>
  <c r="V536" i="63"/>
  <c r="V535" i="63"/>
  <c r="V534" i="63"/>
  <c r="V533" i="63"/>
  <c r="V532" i="63"/>
  <c r="V531" i="63"/>
  <c r="V530" i="63"/>
  <c r="V529" i="63"/>
  <c r="V528" i="63"/>
  <c r="V527" i="63"/>
  <c r="V526" i="63"/>
  <c r="V525" i="63"/>
  <c r="V524" i="63"/>
  <c r="V523" i="63"/>
  <c r="V522" i="63"/>
  <c r="V521" i="63"/>
  <c r="V520" i="63"/>
  <c r="V519" i="63"/>
  <c r="V518" i="63"/>
  <c r="V517" i="63"/>
  <c r="V516" i="63"/>
  <c r="V515" i="63"/>
  <c r="V514" i="63"/>
  <c r="V513" i="63"/>
  <c r="V512" i="63"/>
  <c r="V511" i="63"/>
  <c r="V510" i="63"/>
  <c r="V509" i="63"/>
  <c r="V508" i="63"/>
  <c r="V507" i="63"/>
  <c r="V506" i="63"/>
  <c r="V505" i="63"/>
  <c r="V504" i="63"/>
  <c r="V503" i="63"/>
  <c r="V502" i="63"/>
  <c r="V501" i="63"/>
  <c r="V500" i="63"/>
  <c r="V499" i="63"/>
  <c r="V498" i="63"/>
  <c r="V497" i="63"/>
  <c r="V496" i="63"/>
  <c r="V495" i="63"/>
  <c r="V494" i="63"/>
  <c r="V493" i="63"/>
  <c r="V492" i="63"/>
  <c r="V491" i="63"/>
  <c r="V15" i="63"/>
  <c r="M15" i="63"/>
  <c r="W7" i="63"/>
  <c r="V7" i="63"/>
  <c r="U7" i="63"/>
  <c r="K4" i="63"/>
  <c r="V9" i="63"/>
  <c r="V10" i="63" s="1"/>
  <c r="T3" i="63"/>
  <c r="Z6" i="57" l="1"/>
  <c r="Z7" i="57" s="1"/>
  <c r="Z8" i="57" s="1"/>
  <c r="R500" i="63"/>
  <c r="R524" i="63"/>
  <c r="R493" i="63"/>
  <c r="R501" i="63"/>
  <c r="R509" i="63"/>
  <c r="R517" i="63"/>
  <c r="R525" i="63"/>
  <c r="R533" i="63"/>
  <c r="R541" i="63"/>
  <c r="R492" i="63"/>
  <c r="R508" i="63"/>
  <c r="R516" i="63"/>
  <c r="R532" i="63"/>
  <c r="R540" i="63"/>
  <c r="R494" i="63"/>
  <c r="R502" i="63"/>
  <c r="R510" i="63"/>
  <c r="R518" i="63"/>
  <c r="R526" i="63"/>
  <c r="R534" i="63"/>
  <c r="R542" i="63"/>
  <c r="R495" i="63"/>
  <c r="R519" i="63"/>
  <c r="R543" i="63"/>
  <c r="R512" i="63"/>
  <c r="R497" i="63"/>
  <c r="R505" i="63"/>
  <c r="R513" i="63"/>
  <c r="R521" i="63"/>
  <c r="R529" i="63"/>
  <c r="R537" i="63"/>
  <c r="R511" i="63"/>
  <c r="R527" i="63"/>
  <c r="R496" i="63"/>
  <c r="R504" i="63"/>
  <c r="R520" i="63"/>
  <c r="R528" i="63"/>
  <c r="R536" i="63"/>
  <c r="R15" i="63"/>
  <c r="AL15" i="63" s="1"/>
  <c r="R498" i="63"/>
  <c r="R506" i="63"/>
  <c r="R514" i="63"/>
  <c r="R522" i="63"/>
  <c r="R530" i="63"/>
  <c r="R538" i="63"/>
  <c r="R503" i="63"/>
  <c r="R535" i="63"/>
  <c r="R491" i="63"/>
  <c r="R499" i="63"/>
  <c r="R507" i="63"/>
  <c r="R515" i="63"/>
  <c r="R523" i="63"/>
  <c r="R531" i="63"/>
  <c r="R539" i="63"/>
  <c r="T10" i="63"/>
  <c r="R12" i="63" s="1"/>
  <c r="U495" i="63"/>
  <c r="U503" i="63"/>
  <c r="U519" i="63"/>
  <c r="U527" i="63"/>
  <c r="U543" i="63"/>
  <c r="U511" i="63"/>
  <c r="U538" i="63"/>
  <c r="U528" i="63"/>
  <c r="U536" i="63"/>
  <c r="U537" i="63"/>
  <c r="U529" i="63"/>
  <c r="U498" i="63"/>
  <c r="U502" i="63"/>
  <c r="U506" i="63"/>
  <c r="U499" i="63"/>
  <c r="U531" i="63"/>
  <c r="U535" i="63"/>
  <c r="U496" i="63"/>
  <c r="U504" i="63"/>
  <c r="U512" i="63"/>
  <c r="U520" i="63"/>
  <c r="U505" i="63"/>
  <c r="U510" i="63"/>
  <c r="U497" i="63"/>
  <c r="U513" i="63"/>
  <c r="U517" i="63"/>
  <c r="U524" i="63"/>
  <c r="U491" i="63"/>
  <c r="U516" i="63"/>
  <c r="U523" i="63"/>
  <c r="U530" i="63"/>
  <c r="U534" i="63"/>
  <c r="U507" i="63"/>
  <c r="U514" i="63"/>
  <c r="U518" i="63"/>
  <c r="U521" i="63"/>
  <c r="U525" i="63"/>
  <c r="U532" i="63"/>
  <c r="U542" i="63"/>
  <c r="U494" i="63"/>
  <c r="U508" i="63"/>
  <c r="U515" i="63"/>
  <c r="U522" i="63"/>
  <c r="U526" i="63"/>
  <c r="U533" i="63"/>
  <c r="U539" i="63"/>
  <c r="U492" i="63"/>
  <c r="U501" i="63"/>
  <c r="U541" i="63"/>
  <c r="U500" i="63"/>
  <c r="U509" i="63"/>
  <c r="U540" i="63"/>
  <c r="U493" i="63"/>
  <c r="U15" i="63"/>
  <c r="Z9" i="57" l="1"/>
  <c r="X15" i="63"/>
  <c r="Y15" i="63" s="1"/>
  <c r="X6" i="57"/>
  <c r="X5" i="57"/>
  <c r="V8" i="57"/>
  <c r="V9" i="57" s="1"/>
  <c r="V10" i="57" s="1"/>
  <c r="V11" i="57" s="1"/>
  <c r="V12" i="57" s="1"/>
  <c r="V13" i="57" s="1"/>
  <c r="V14" i="57" s="1"/>
  <c r="V15" i="57" s="1"/>
  <c r="V16" i="57" s="1"/>
  <c r="V17" i="57" s="1"/>
  <c r="V18" i="57" s="1"/>
  <c r="V19" i="57" s="1"/>
  <c r="V20" i="57" s="1"/>
  <c r="V21" i="57" s="1"/>
  <c r="V22" i="57" s="1"/>
  <c r="V23" i="57" s="1"/>
  <c r="Z10" i="57" l="1"/>
  <c r="Z11" i="57" s="1"/>
  <c r="X7" i="57"/>
  <c r="G14" i="1"/>
  <c r="F8" i="3"/>
  <c r="G28" i="3"/>
  <c r="G27" i="3"/>
  <c r="G26" i="3"/>
  <c r="G25" i="3"/>
  <c r="G10" i="3"/>
  <c r="G9" i="3"/>
  <c r="K1" i="35"/>
  <c r="H8" i="35" s="1"/>
  <c r="K1" i="18"/>
  <c r="L1" i="3"/>
  <c r="O1" i="4"/>
  <c r="L2" i="6"/>
  <c r="L2" i="20"/>
  <c r="K5" i="22"/>
  <c r="I3" i="21"/>
  <c r="A9" i="1"/>
  <c r="B5" i="1"/>
  <c r="J3" i="63"/>
  <c r="B7" i="1" s="1"/>
  <c r="L7" i="63"/>
  <c r="Z12" i="57" l="1"/>
  <c r="Z13" i="57" s="1"/>
  <c r="Z14" i="57" s="1"/>
  <c r="Z16" i="57" s="1"/>
  <c r="Z17" i="57" s="1"/>
  <c r="Z19" i="57" s="1"/>
  <c r="Z20" i="57" s="1"/>
  <c r="Z21" i="57" s="1"/>
  <c r="Z22" i="57" s="1"/>
  <c r="Z23" i="57" s="1"/>
  <c r="W8" i="57"/>
  <c r="X8" i="57" s="1"/>
  <c r="K7" i="63"/>
  <c r="J7" i="63" s="1"/>
  <c r="J12" i="63" s="1"/>
  <c r="M7" i="63"/>
  <c r="AA25" i="57" l="1"/>
  <c r="W9" i="57"/>
  <c r="X9" i="57" s="1"/>
  <c r="H58" i="1"/>
  <c r="F11" i="1"/>
  <c r="W10" i="57" l="1"/>
  <c r="X10" i="57" s="1"/>
  <c r="W11" i="57" l="1"/>
  <c r="X11" i="57" s="1"/>
  <c r="W12" i="57" l="1"/>
  <c r="X12" i="57" s="1"/>
  <c r="W13" i="57" l="1"/>
  <c r="X13" i="57" s="1"/>
  <c r="D14" i="1"/>
  <c r="A5" i="57"/>
  <c r="A6" i="57" s="1"/>
  <c r="B6" i="57" s="1"/>
  <c r="I52" i="33"/>
  <c r="B37" i="33"/>
  <c r="C37" i="33" s="1"/>
  <c r="B24" i="33"/>
  <c r="Q15" i="1"/>
  <c r="Q12" i="1"/>
  <c r="Q11" i="1"/>
  <c r="F5" i="58"/>
  <c r="F12" i="58"/>
  <c r="F11" i="58"/>
  <c r="F10" i="58"/>
  <c r="F9" i="58"/>
  <c r="J2" i="58"/>
  <c r="G8" i="58" s="1"/>
  <c r="W14" i="57" l="1"/>
  <c r="X14" i="57" s="1"/>
  <c r="D5" i="57"/>
  <c r="D6" i="57" s="1"/>
  <c r="D7" i="57" s="1"/>
  <c r="A7" i="57"/>
  <c r="Q16" i="1"/>
  <c r="I1" i="13"/>
  <c r="F7" i="35"/>
  <c r="G7" i="35" s="1"/>
  <c r="F6" i="35"/>
  <c r="G6" i="35" s="1"/>
  <c r="F5" i="35"/>
  <c r="G5" i="35" s="1"/>
  <c r="F4" i="35"/>
  <c r="G4" i="35" s="1"/>
  <c r="G4" i="18"/>
  <c r="H5" i="18"/>
  <c r="I18" i="18" s="1"/>
  <c r="G4" i="3"/>
  <c r="J57" i="4"/>
  <c r="K57" i="4" s="1"/>
  <c r="J56" i="4"/>
  <c r="K56" i="4" s="1"/>
  <c r="J55" i="4"/>
  <c r="K55" i="4" s="1"/>
  <c r="J54" i="4"/>
  <c r="K54" i="4" s="1"/>
  <c r="J53" i="4"/>
  <c r="K53" i="4" s="1"/>
  <c r="J50" i="4"/>
  <c r="K50" i="4" s="1"/>
  <c r="J49" i="4"/>
  <c r="K49" i="4" s="1"/>
  <c r="J31" i="4"/>
  <c r="K31" i="4" s="1"/>
  <c r="J30" i="4"/>
  <c r="K30" i="4" s="1"/>
  <c r="J28" i="4"/>
  <c r="K28" i="4" s="1"/>
  <c r="J27" i="4"/>
  <c r="K27" i="4" s="1"/>
  <c r="J25" i="4"/>
  <c r="K25" i="4" s="1"/>
  <c r="J22" i="4"/>
  <c r="K22" i="4" s="1"/>
  <c r="J12" i="4"/>
  <c r="K12" i="4" s="1"/>
  <c r="J21" i="4"/>
  <c r="H7" i="4"/>
  <c r="J7" i="4" s="1"/>
  <c r="I6" i="4"/>
  <c r="D8" i="57" l="1"/>
  <c r="A8" i="57"/>
  <c r="B7" i="57"/>
  <c r="W15" i="57"/>
  <c r="X15" i="57" s="1"/>
  <c r="J5" i="57"/>
  <c r="M5" i="57" s="1"/>
  <c r="G6" i="57"/>
  <c r="H4" i="3"/>
  <c r="S5" i="57" l="1"/>
  <c r="S6" i="57" s="1"/>
  <c r="S7" i="57" s="1"/>
  <c r="P5" i="57"/>
  <c r="P6" i="57" s="1"/>
  <c r="A9" i="57"/>
  <c r="B8" i="57"/>
  <c r="D9" i="57"/>
  <c r="E8" i="57"/>
  <c r="W16" i="57"/>
  <c r="X16" i="57" s="1"/>
  <c r="G7" i="57"/>
  <c r="E3" i="4"/>
  <c r="E63" i="4" s="1"/>
  <c r="F9" i="22"/>
  <c r="G9" i="22" s="1"/>
  <c r="G8" i="22"/>
  <c r="F7" i="22"/>
  <c r="G7" i="22" s="1"/>
  <c r="F6" i="22"/>
  <c r="G6" i="22" s="1"/>
  <c r="F5" i="22"/>
  <c r="G5" i="22" s="1"/>
  <c r="E7" i="15"/>
  <c r="F7" i="15" s="1"/>
  <c r="E6" i="15"/>
  <c r="F6" i="15" s="1"/>
  <c r="E5" i="15"/>
  <c r="F5" i="15" s="1"/>
  <c r="G8" i="15"/>
  <c r="T6" i="57" l="1"/>
  <c r="T7" i="57" s="1"/>
  <c r="P7" i="57"/>
  <c r="Q6" i="57"/>
  <c r="J6" i="4"/>
  <c r="K6" i="4" s="1"/>
  <c r="J5" i="4"/>
  <c r="K5" i="4" s="1"/>
  <c r="D10" i="57"/>
  <c r="E9" i="57"/>
  <c r="A10" i="57"/>
  <c r="B9" i="57"/>
  <c r="W17" i="57"/>
  <c r="X17" i="57" s="1"/>
  <c r="F19" i="21"/>
  <c r="G8" i="57"/>
  <c r="S8" i="57"/>
  <c r="K7" i="4"/>
  <c r="E8" i="4"/>
  <c r="H10" i="22"/>
  <c r="F13" i="21"/>
  <c r="F15" i="21"/>
  <c r="F8" i="21"/>
  <c r="F16" i="21"/>
  <c r="F14" i="21"/>
  <c r="F17" i="21"/>
  <c r="F7" i="21"/>
  <c r="F10" i="21"/>
  <c r="F18" i="21"/>
  <c r="F5" i="21"/>
  <c r="F11" i="21"/>
  <c r="F4" i="21"/>
  <c r="F6" i="21"/>
  <c r="F3" i="21"/>
  <c r="P8" i="57" l="1"/>
  <c r="Q7" i="57"/>
  <c r="A11" i="57"/>
  <c r="B10" i="57"/>
  <c r="D11" i="57"/>
  <c r="E10" i="57"/>
  <c r="W18" i="57"/>
  <c r="X18" i="57" s="1"/>
  <c r="G5" i="21"/>
  <c r="S9" i="57"/>
  <c r="T8" i="57"/>
  <c r="G9" i="57"/>
  <c r="G10" i="57" s="1"/>
  <c r="G11" i="57" s="1"/>
  <c r="L9" i="4"/>
  <c r="P9" i="57" l="1"/>
  <c r="Q8" i="57"/>
  <c r="A12" i="57"/>
  <c r="B11" i="57"/>
  <c r="D12" i="57"/>
  <c r="E11" i="57"/>
  <c r="G12" i="57"/>
  <c r="W19" i="57"/>
  <c r="X19" i="57" s="1"/>
  <c r="T9" i="57"/>
  <c r="S10" i="57"/>
  <c r="F48" i="1"/>
  <c r="F16" i="1"/>
  <c r="E15" i="1"/>
  <c r="D15" i="1"/>
  <c r="L4" i="63"/>
  <c r="M4" i="63" s="1"/>
  <c r="B1" i="1"/>
  <c r="C1" i="1"/>
  <c r="D1" i="1"/>
  <c r="P10" i="57" l="1"/>
  <c r="Q9" i="57"/>
  <c r="D13" i="57"/>
  <c r="E12" i="57"/>
  <c r="A13" i="57"/>
  <c r="B12" i="57"/>
  <c r="G13" i="57"/>
  <c r="W20" i="57"/>
  <c r="X20" i="57" s="1"/>
  <c r="C22" i="1"/>
  <c r="H22" i="1" s="1"/>
  <c r="S11" i="57"/>
  <c r="T10" i="57"/>
  <c r="G8" i="1"/>
  <c r="F22" i="1"/>
  <c r="P11" i="57" l="1"/>
  <c r="Q10" i="57"/>
  <c r="A14" i="57"/>
  <c r="A15" i="57" s="1"/>
  <c r="A16" i="57" s="1"/>
  <c r="A17" i="57" s="1"/>
  <c r="A18" i="57" s="1"/>
  <c r="A19" i="57" s="1"/>
  <c r="A22" i="57" s="1"/>
  <c r="B13" i="57"/>
  <c r="D14" i="57"/>
  <c r="E13" i="57"/>
  <c r="G14" i="57"/>
  <c r="W21" i="57"/>
  <c r="X21" i="57" s="1"/>
  <c r="T11" i="57"/>
  <c r="S12" i="57"/>
  <c r="J4" i="63"/>
  <c r="K5" i="63" s="1"/>
  <c r="P12" i="57" l="1"/>
  <c r="Q11" i="57"/>
  <c r="B14" i="57"/>
  <c r="B15" i="57" s="1"/>
  <c r="B16" i="57" s="1"/>
  <c r="B17" i="57" s="1"/>
  <c r="B18" i="57" s="1"/>
  <c r="B19" i="57" s="1"/>
  <c r="D15" i="57"/>
  <c r="E14" i="57"/>
  <c r="V6" i="63"/>
  <c r="W6" i="63"/>
  <c r="G15" i="57"/>
  <c r="B6" i="1"/>
  <c r="C7" i="1" s="1"/>
  <c r="E7" i="1" s="1"/>
  <c r="E10" i="1" s="1"/>
  <c r="W22" i="57"/>
  <c r="X22" i="57" s="1"/>
  <c r="M5" i="63"/>
  <c r="M6" i="63" s="1"/>
  <c r="L5" i="63"/>
  <c r="L6" i="63" s="1"/>
  <c r="K6" i="63"/>
  <c r="S13" i="57"/>
  <c r="T12" i="57"/>
  <c r="E81" i="1"/>
  <c r="D82" i="1"/>
  <c r="B19" i="1"/>
  <c r="P13" i="57" l="1"/>
  <c r="Q12" i="57"/>
  <c r="D16" i="57"/>
  <c r="D17" i="57" s="1"/>
  <c r="D18" i="57" s="1"/>
  <c r="D19" i="57" s="1"/>
  <c r="D20" i="57" s="1"/>
  <c r="D21" i="57" s="1"/>
  <c r="D22" i="57" s="1"/>
  <c r="D23" i="57" s="1"/>
  <c r="E15" i="57"/>
  <c r="T6" i="63"/>
  <c r="J5" i="63"/>
  <c r="G6" i="1"/>
  <c r="G16" i="57"/>
  <c r="W23" i="57"/>
  <c r="X23" i="57" s="1"/>
  <c r="X25" i="57" s="1"/>
  <c r="J6" i="63"/>
  <c r="T13" i="57"/>
  <c r="S14" i="57"/>
  <c r="E16" i="57" l="1"/>
  <c r="E17" i="57" s="1"/>
  <c r="E18" i="57" s="1"/>
  <c r="E19" i="57" s="1"/>
  <c r="E20" i="57" s="1"/>
  <c r="E21" i="57" s="1"/>
  <c r="E22" i="57" s="1"/>
  <c r="E23" i="57" s="1"/>
  <c r="Q13" i="57"/>
  <c r="P14" i="57"/>
  <c r="AB509" i="63"/>
  <c r="AE509" i="63" s="1"/>
  <c r="AB541" i="63"/>
  <c r="AE541" i="63" s="1"/>
  <c r="AB521" i="63"/>
  <c r="AE521" i="63" s="1"/>
  <c r="AB506" i="63"/>
  <c r="AE506" i="63" s="1"/>
  <c r="AB538" i="63"/>
  <c r="AE538" i="63" s="1"/>
  <c r="AB499" i="63"/>
  <c r="AE499" i="63" s="1"/>
  <c r="AB531" i="63"/>
  <c r="AE531" i="63" s="1"/>
  <c r="AB513" i="63"/>
  <c r="AE513" i="63" s="1"/>
  <c r="AB530" i="63"/>
  <c r="AE530" i="63" s="1"/>
  <c r="AB533" i="63"/>
  <c r="AE533" i="63" s="1"/>
  <c r="AB500" i="63"/>
  <c r="AE500" i="63" s="1"/>
  <c r="AB532" i="63"/>
  <c r="AE532" i="63" s="1"/>
  <c r="AB510" i="63"/>
  <c r="AE510" i="63" s="1"/>
  <c r="AB542" i="63"/>
  <c r="AE542" i="63" s="1"/>
  <c r="AB512" i="63"/>
  <c r="AE512" i="63" s="1"/>
  <c r="AB527" i="63"/>
  <c r="AE527" i="63" s="1"/>
  <c r="AB528" i="63"/>
  <c r="AE528" i="63" s="1"/>
  <c r="AB523" i="63"/>
  <c r="AE523" i="63" s="1"/>
  <c r="AB502" i="63"/>
  <c r="AE502" i="63" s="1"/>
  <c r="AB543" i="63"/>
  <c r="AE543" i="63" s="1"/>
  <c r="AB497" i="63"/>
  <c r="AE497" i="63" s="1"/>
  <c r="AB529" i="63"/>
  <c r="AE529" i="63" s="1"/>
  <c r="AB514" i="63"/>
  <c r="AE514" i="63" s="1"/>
  <c r="AB507" i="63"/>
  <c r="AE507" i="63" s="1"/>
  <c r="AB539" i="63"/>
  <c r="AE539" i="63" s="1"/>
  <c r="AB508" i="63"/>
  <c r="AE508" i="63" s="1"/>
  <c r="AB524" i="63"/>
  <c r="AE524" i="63" s="1"/>
  <c r="AB517" i="63"/>
  <c r="AE517" i="63" s="1"/>
  <c r="AB492" i="63"/>
  <c r="AE492" i="63" s="1"/>
  <c r="AB540" i="63"/>
  <c r="AE540" i="63" s="1"/>
  <c r="AB518" i="63"/>
  <c r="AE518" i="63" s="1"/>
  <c r="AB495" i="63"/>
  <c r="AE495" i="63" s="1"/>
  <c r="AB496" i="63"/>
  <c r="AE496" i="63" s="1"/>
  <c r="AB536" i="63"/>
  <c r="AE536" i="63" s="1"/>
  <c r="AB503" i="63"/>
  <c r="AE503" i="63" s="1"/>
  <c r="AB519" i="63"/>
  <c r="AE519" i="63" s="1"/>
  <c r="AB504" i="63"/>
  <c r="AE504" i="63" s="1"/>
  <c r="AB535" i="63"/>
  <c r="AE535" i="63" s="1"/>
  <c r="AB498" i="63"/>
  <c r="AE498" i="63" s="1"/>
  <c r="AB501" i="63"/>
  <c r="AE501" i="63" s="1"/>
  <c r="AB511" i="63"/>
  <c r="AE511" i="63" s="1"/>
  <c r="AB493" i="63"/>
  <c r="AE493" i="63" s="1"/>
  <c r="AB525" i="63"/>
  <c r="AE525" i="63" s="1"/>
  <c r="AB526" i="63"/>
  <c r="AE526" i="63" s="1"/>
  <c r="AB505" i="63"/>
  <c r="AE505" i="63" s="1"/>
  <c r="AB537" i="63"/>
  <c r="AE537" i="63" s="1"/>
  <c r="AB15" i="63"/>
  <c r="AB522" i="63"/>
  <c r="AE522" i="63" s="1"/>
  <c r="AB515" i="63"/>
  <c r="AE515" i="63" s="1"/>
  <c r="AB494" i="63"/>
  <c r="AE494" i="63" s="1"/>
  <c r="AB491" i="63"/>
  <c r="AE491" i="63" s="1"/>
  <c r="AB516" i="63"/>
  <c r="AE516" i="63" s="1"/>
  <c r="AB534" i="63"/>
  <c r="AE534" i="63" s="1"/>
  <c r="AB520" i="63"/>
  <c r="AE520" i="63" s="1"/>
  <c r="G17" i="57"/>
  <c r="S15" i="57"/>
  <c r="T14" i="57"/>
  <c r="O15" i="63"/>
  <c r="K15" i="63"/>
  <c r="K8" i="63"/>
  <c r="J9" i="63" s="1"/>
  <c r="B15" i="63"/>
  <c r="E15" i="63" s="1"/>
  <c r="G15" i="63" s="1"/>
  <c r="D4" i="63"/>
  <c r="C5" i="63" s="1"/>
  <c r="C15" i="63" s="1"/>
  <c r="P15" i="57" l="1"/>
  <c r="Q14" i="57"/>
  <c r="AG15" i="63"/>
  <c r="AJ15" i="63" s="1"/>
  <c r="G18" i="57"/>
  <c r="S16" i="57"/>
  <c r="T15" i="57"/>
  <c r="L15" i="63"/>
  <c r="C11" i="62"/>
  <c r="C9" i="62"/>
  <c r="C8" i="62"/>
  <c r="C7" i="62"/>
  <c r="C10" i="62"/>
  <c r="C5" i="62"/>
  <c r="C4" i="62"/>
  <c r="C3" i="62"/>
  <c r="P16" i="57" l="1"/>
  <c r="Q15" i="57"/>
  <c r="AD15" i="63"/>
  <c r="G19" i="57"/>
  <c r="S17" i="57"/>
  <c r="T16" i="57"/>
  <c r="D15" i="63"/>
  <c r="H15" i="63" s="1"/>
  <c r="F15" i="63"/>
  <c r="AK15" i="63"/>
  <c r="N15" i="63"/>
  <c r="C6" i="62"/>
  <c r="Q16" i="57" l="1"/>
  <c r="P17" i="57"/>
  <c r="G20" i="57"/>
  <c r="H19" i="57"/>
  <c r="T17" i="57"/>
  <c r="S18" i="57"/>
  <c r="C16" i="63"/>
  <c r="B16" i="63"/>
  <c r="E16" i="63" s="1"/>
  <c r="G16" i="63" s="1"/>
  <c r="P18" i="57" l="1"/>
  <c r="P19" i="57" s="1"/>
  <c r="Q17" i="57"/>
  <c r="G21" i="57"/>
  <c r="H20" i="57"/>
  <c r="T18" i="57"/>
  <c r="S19" i="57"/>
  <c r="D16" i="63"/>
  <c r="F16" i="63" s="1"/>
  <c r="P20" i="57" l="1"/>
  <c r="Q19" i="57"/>
  <c r="G22" i="57"/>
  <c r="H21" i="57"/>
  <c r="S20" i="57"/>
  <c r="T19" i="57"/>
  <c r="H16" i="63"/>
  <c r="C17" i="63" s="1"/>
  <c r="P21" i="57" l="1"/>
  <c r="Q20" i="57"/>
  <c r="G23" i="57"/>
  <c r="H23" i="57" s="1"/>
  <c r="H22" i="57"/>
  <c r="S21" i="57"/>
  <c r="T20" i="57"/>
  <c r="B17" i="63"/>
  <c r="E17" i="63" s="1"/>
  <c r="D17" i="63" s="1"/>
  <c r="A16" i="63"/>
  <c r="M6" i="57"/>
  <c r="J6" i="57"/>
  <c r="K6" i="57" s="1"/>
  <c r="P22" i="57" l="1"/>
  <c r="Q21" i="57"/>
  <c r="T16" i="63"/>
  <c r="Q16" i="63"/>
  <c r="V16" i="63"/>
  <c r="AA16" i="63" s="1"/>
  <c r="S22" i="57"/>
  <c r="T21" i="57"/>
  <c r="M7" i="57"/>
  <c r="N6" i="57"/>
  <c r="J7" i="57"/>
  <c r="J8" i="57" s="1"/>
  <c r="J9" i="57" s="1"/>
  <c r="J10" i="57" s="1"/>
  <c r="J11" i="57" s="1"/>
  <c r="J12" i="57" s="1"/>
  <c r="J13" i="57" s="1"/>
  <c r="J14" i="57" s="1"/>
  <c r="J15" i="57" s="1"/>
  <c r="J16" i="57" s="1"/>
  <c r="J17" i="57" s="1"/>
  <c r="J18" i="57" s="1"/>
  <c r="J19" i="57" s="1"/>
  <c r="J20" i="57" s="1"/>
  <c r="J21" i="57" s="1"/>
  <c r="J22" i="57" s="1"/>
  <c r="J23" i="57" s="1"/>
  <c r="K16" i="63"/>
  <c r="G17" i="63"/>
  <c r="M16" i="63"/>
  <c r="O16" i="63" s="1"/>
  <c r="F17" i="63"/>
  <c r="H17" i="63"/>
  <c r="C18" i="63" s="1"/>
  <c r="Q22" i="57" l="1"/>
  <c r="P23" i="57"/>
  <c r="Q23" i="57" s="1"/>
  <c r="K7" i="57"/>
  <c r="K8" i="57" s="1"/>
  <c r="K9" i="57" s="1"/>
  <c r="K10" i="57" s="1"/>
  <c r="K11" i="57" s="1"/>
  <c r="K12" i="57" s="1"/>
  <c r="K13" i="57" s="1"/>
  <c r="K14" i="57" s="1"/>
  <c r="K15" i="57" s="1"/>
  <c r="K16" i="57" s="1"/>
  <c r="K17" i="57" s="1"/>
  <c r="K18" i="57" s="1"/>
  <c r="K19" i="57" s="1"/>
  <c r="K20" i="57" s="1"/>
  <c r="K21" i="57" s="1"/>
  <c r="K22" i="57" s="1"/>
  <c r="K23" i="57" s="1"/>
  <c r="AB16" i="63"/>
  <c r="AG16" i="63"/>
  <c r="AJ16" i="63" s="1"/>
  <c r="R16" i="63"/>
  <c r="AL16" i="63" s="1"/>
  <c r="AD16" i="63"/>
  <c r="U16" i="63"/>
  <c r="S23" i="57"/>
  <c r="T23" i="57" s="1"/>
  <c r="T22" i="57"/>
  <c r="N7" i="57"/>
  <c r="M8" i="57"/>
  <c r="L16" i="63"/>
  <c r="B18" i="63"/>
  <c r="E18" i="63" s="1"/>
  <c r="A17" i="63"/>
  <c r="R25" i="57" l="1"/>
  <c r="T17" i="63"/>
  <c r="Q17" i="63"/>
  <c r="V17" i="63"/>
  <c r="AA17" i="63" s="1"/>
  <c r="M9" i="57"/>
  <c r="N8" i="57"/>
  <c r="N16" i="63"/>
  <c r="D18" i="63"/>
  <c r="G18" i="63"/>
  <c r="AG17" i="63" l="1"/>
  <c r="AJ17" i="63" s="1"/>
  <c r="R17" i="63"/>
  <c r="AL17" i="63" s="1"/>
  <c r="AB17" i="63"/>
  <c r="U17" i="63"/>
  <c r="N9" i="57"/>
  <c r="M10" i="57"/>
  <c r="F18" i="63"/>
  <c r="H18" i="63"/>
  <c r="C19" i="63" s="1"/>
  <c r="M11" i="57" l="1"/>
  <c r="N10" i="57"/>
  <c r="B19" i="63"/>
  <c r="E19" i="63" s="1"/>
  <c r="A18" i="63"/>
  <c r="T18" i="63" l="1"/>
  <c r="Q18" i="63"/>
  <c r="V18" i="63"/>
  <c r="AA18" i="63" s="1"/>
  <c r="N11" i="57"/>
  <c r="M12" i="57"/>
  <c r="G19" i="63"/>
  <c r="D19" i="63"/>
  <c r="AB18" i="63" l="1"/>
  <c r="R18" i="63"/>
  <c r="AL18" i="63" s="1"/>
  <c r="AG18" i="63"/>
  <c r="AJ18" i="63" s="1"/>
  <c r="U18" i="63"/>
  <c r="M13" i="57"/>
  <c r="N12" i="57"/>
  <c r="F19" i="63"/>
  <c r="H19" i="63"/>
  <c r="C20" i="63" s="1"/>
  <c r="N13" i="57" l="1"/>
  <c r="M14" i="57"/>
  <c r="B20" i="63"/>
  <c r="E20" i="63" s="1"/>
  <c r="A19" i="63"/>
  <c r="U25" i="57"/>
  <c r="T19" i="63" l="1"/>
  <c r="Q19" i="63"/>
  <c r="V19" i="63"/>
  <c r="AA19" i="63" s="1"/>
  <c r="M15" i="57"/>
  <c r="N14" i="57"/>
  <c r="D20" i="63"/>
  <c r="G20" i="63"/>
  <c r="AB19" i="63" l="1"/>
  <c r="AG19" i="63"/>
  <c r="AJ19" i="63" s="1"/>
  <c r="R19" i="63"/>
  <c r="AL19" i="63" s="1"/>
  <c r="U19" i="63"/>
  <c r="N15" i="57"/>
  <c r="M16" i="57"/>
  <c r="F20" i="63"/>
  <c r="H20" i="63"/>
  <c r="C21" i="63" s="1"/>
  <c r="C25" i="57"/>
  <c r="E13" i="59"/>
  <c r="M17" i="57" l="1"/>
  <c r="N16" i="57"/>
  <c r="B21" i="63"/>
  <c r="E21" i="63" s="1"/>
  <c r="A20" i="63"/>
  <c r="H13" i="59"/>
  <c r="T20" i="63" l="1"/>
  <c r="Q20" i="63"/>
  <c r="V20" i="63"/>
  <c r="AA20" i="63" s="1"/>
  <c r="N17" i="57"/>
  <c r="M18" i="57"/>
  <c r="D21" i="63"/>
  <c r="G21" i="63"/>
  <c r="H6" i="57"/>
  <c r="H7" i="57" s="1"/>
  <c r="H8" i="57" s="1"/>
  <c r="H9" i="57" s="1"/>
  <c r="H10" i="57" s="1"/>
  <c r="H11" i="57" s="1"/>
  <c r="H12" i="57" s="1"/>
  <c r="H13" i="57" s="1"/>
  <c r="H14" i="57" s="1"/>
  <c r="H15" i="57" s="1"/>
  <c r="H16" i="57" s="1"/>
  <c r="H17" i="57" s="1"/>
  <c r="A20" i="37"/>
  <c r="G20" i="37"/>
  <c r="H20" i="37" s="1"/>
  <c r="E3" i="59"/>
  <c r="C4" i="59"/>
  <c r="J65" i="4"/>
  <c r="J64" i="4"/>
  <c r="F25" i="16"/>
  <c r="F17" i="1"/>
  <c r="D17" i="1"/>
  <c r="E78" i="1"/>
  <c r="E79" i="1" s="1"/>
  <c r="F6" i="20"/>
  <c r="F32" i="6"/>
  <c r="F31" i="6"/>
  <c r="F30" i="6"/>
  <c r="F29" i="6"/>
  <c r="F28" i="6"/>
  <c r="F24" i="6"/>
  <c r="F22" i="6"/>
  <c r="F21" i="6"/>
  <c r="F20" i="6"/>
  <c r="F19" i="6"/>
  <c r="F18" i="6"/>
  <c r="F16" i="6"/>
  <c r="F15" i="6"/>
  <c r="F14" i="6"/>
  <c r="F13" i="6"/>
  <c r="F12" i="6"/>
  <c r="F11" i="6"/>
  <c r="F10" i="6"/>
  <c r="F9" i="6"/>
  <c r="F8" i="6"/>
  <c r="F7" i="6"/>
  <c r="F6" i="6"/>
  <c r="F4" i="6"/>
  <c r="F5" i="6"/>
  <c r="H28" i="3"/>
  <c r="H27" i="3"/>
  <c r="H26" i="3"/>
  <c r="H25" i="3"/>
  <c r="H11" i="3"/>
  <c r="H9" i="3"/>
  <c r="E28" i="15"/>
  <c r="F28" i="15" s="1"/>
  <c r="E27" i="15"/>
  <c r="F27" i="15" s="1"/>
  <c r="E26" i="15"/>
  <c r="F26" i="15" s="1"/>
  <c r="E25" i="15"/>
  <c r="F25" i="15" s="1"/>
  <c r="E24" i="15"/>
  <c r="F24" i="15" s="1"/>
  <c r="F5" i="56"/>
  <c r="C5" i="56" s="1"/>
  <c r="J17" i="4"/>
  <c r="I26" i="4"/>
  <c r="J26" i="4" s="1"/>
  <c r="K26" i="4" s="1"/>
  <c r="I24" i="4"/>
  <c r="J24" i="4" s="1"/>
  <c r="K24" i="4" s="1"/>
  <c r="F17" i="58"/>
  <c r="F16" i="58"/>
  <c r="F15" i="58"/>
  <c r="F14" i="58"/>
  <c r="F13" i="58"/>
  <c r="F24" i="16"/>
  <c r="K17" i="4" l="1"/>
  <c r="R20" i="63"/>
  <c r="AL20" i="63" s="1"/>
  <c r="AB20" i="63"/>
  <c r="AG20" i="63"/>
  <c r="AJ20" i="63" s="1"/>
  <c r="U20" i="63"/>
  <c r="G6" i="20"/>
  <c r="H45" i="1"/>
  <c r="M19" i="57"/>
  <c r="N18" i="57"/>
  <c r="F21" i="63"/>
  <c r="H21" i="63"/>
  <c r="C22" i="63" s="1"/>
  <c r="C13" i="59"/>
  <c r="I14" i="59"/>
  <c r="F14" i="59"/>
  <c r="C14" i="59"/>
  <c r="L3" i="59"/>
  <c r="M4" i="59" s="1"/>
  <c r="I13" i="59" s="1"/>
  <c r="H3" i="59"/>
  <c r="I4" i="59" s="1"/>
  <c r="F4" i="59"/>
  <c r="F13" i="59" s="1"/>
  <c r="D27" i="1"/>
  <c r="F73" i="1"/>
  <c r="B28" i="1" s="1"/>
  <c r="DU16" i="37"/>
  <c r="DT16" i="37"/>
  <c r="DS16" i="37"/>
  <c r="DR16" i="37"/>
  <c r="DQ16" i="37"/>
  <c r="DP16" i="37"/>
  <c r="DO16" i="37"/>
  <c r="DN16" i="37"/>
  <c r="DM16" i="37"/>
  <c r="DL16" i="37"/>
  <c r="DK16" i="37"/>
  <c r="DJ16" i="37"/>
  <c r="DI16" i="37"/>
  <c r="DH16" i="37"/>
  <c r="DG16" i="37"/>
  <c r="DF16" i="37"/>
  <c r="DE16" i="37"/>
  <c r="DD16" i="37"/>
  <c r="DC16" i="37"/>
  <c r="DB16" i="37"/>
  <c r="DA16" i="37"/>
  <c r="CZ16" i="37"/>
  <c r="CY16" i="37"/>
  <c r="CX16" i="37"/>
  <c r="CW16" i="37"/>
  <c r="CV16" i="37"/>
  <c r="CU16" i="37"/>
  <c r="CT16" i="37"/>
  <c r="CS16" i="37"/>
  <c r="CR16" i="37"/>
  <c r="CQ16" i="37"/>
  <c r="CP16" i="37"/>
  <c r="CO16" i="37"/>
  <c r="CN16" i="37"/>
  <c r="CM16" i="37"/>
  <c r="CL16" i="37"/>
  <c r="CK16" i="37"/>
  <c r="CJ16" i="37"/>
  <c r="CI16" i="37"/>
  <c r="CH16" i="37"/>
  <c r="CG16" i="37"/>
  <c r="CF16" i="37"/>
  <c r="CE16" i="37"/>
  <c r="CD16" i="37"/>
  <c r="CC16" i="37"/>
  <c r="CB16" i="37"/>
  <c r="CA16" i="37"/>
  <c r="BZ16" i="37"/>
  <c r="BY16" i="37"/>
  <c r="BX16" i="37"/>
  <c r="BW16" i="37"/>
  <c r="BV16" i="37"/>
  <c r="BU16" i="37"/>
  <c r="BT16" i="37"/>
  <c r="BS16" i="37"/>
  <c r="BR16" i="37"/>
  <c r="BQ16" i="37"/>
  <c r="BP16" i="37"/>
  <c r="BO16" i="37"/>
  <c r="BN16" i="37"/>
  <c r="BM16" i="37"/>
  <c r="BL16" i="37"/>
  <c r="BK16" i="37"/>
  <c r="BJ16" i="37"/>
  <c r="BI16" i="37"/>
  <c r="BH16" i="37"/>
  <c r="BG16" i="37"/>
  <c r="BF16" i="37"/>
  <c r="BE16" i="37"/>
  <c r="BD16" i="37"/>
  <c r="BC16" i="37"/>
  <c r="BB16" i="37"/>
  <c r="BA16" i="37"/>
  <c r="AZ16" i="37"/>
  <c r="AY16" i="37"/>
  <c r="AX16" i="37"/>
  <c r="AW16" i="37"/>
  <c r="AV16" i="37"/>
  <c r="AU16" i="37"/>
  <c r="AT16" i="37"/>
  <c r="AS16" i="37"/>
  <c r="AR16" i="37"/>
  <c r="AQ16" i="37"/>
  <c r="AP16" i="37"/>
  <c r="A16" i="37"/>
  <c r="F21" i="58"/>
  <c r="F20" i="58"/>
  <c r="F19" i="58"/>
  <c r="F18" i="58"/>
  <c r="C8" i="55"/>
  <c r="C11" i="56"/>
  <c r="C10" i="56"/>
  <c r="C9" i="56"/>
  <c r="C8" i="56"/>
  <c r="C7" i="56"/>
  <c r="C6" i="56"/>
  <c r="C4" i="56"/>
  <c r="C3" i="56"/>
  <c r="C11" i="55"/>
  <c r="C10" i="55"/>
  <c r="C9" i="55"/>
  <c r="C7" i="55"/>
  <c r="C6" i="55"/>
  <c r="C5" i="55"/>
  <c r="C4" i="55"/>
  <c r="C3" i="55"/>
  <c r="C11" i="54"/>
  <c r="C10" i="54"/>
  <c r="C9" i="54"/>
  <c r="C8" i="54"/>
  <c r="C7" i="54"/>
  <c r="C6" i="54"/>
  <c r="C5" i="54"/>
  <c r="C4" i="54"/>
  <c r="C3" i="54"/>
  <c r="G24" i="58" l="1"/>
  <c r="G16" i="37" s="1"/>
  <c r="H16" i="37" s="1"/>
  <c r="J16" i="59"/>
  <c r="B32" i="1"/>
  <c r="B41" i="1"/>
  <c r="N19" i="57"/>
  <c r="M20" i="57"/>
  <c r="B40" i="1"/>
  <c r="B22" i="63"/>
  <c r="E22" i="63" s="1"/>
  <c r="A21" i="63"/>
  <c r="G16" i="59"/>
  <c r="K14" i="59"/>
  <c r="D16" i="59"/>
  <c r="K13" i="59"/>
  <c r="N6" i="59"/>
  <c r="C6" i="53"/>
  <c r="C11" i="53"/>
  <c r="C10" i="53"/>
  <c r="C9" i="53"/>
  <c r="C8" i="53"/>
  <c r="C5" i="53"/>
  <c r="C4" i="53"/>
  <c r="C3" i="53"/>
  <c r="K17" i="59" l="1"/>
  <c r="T21" i="63"/>
  <c r="Q21" i="63"/>
  <c r="AG21" i="63" s="1"/>
  <c r="V21" i="63"/>
  <c r="AA21" i="63" s="1"/>
  <c r="B39" i="1"/>
  <c r="M21" i="57"/>
  <c r="N20" i="57"/>
  <c r="G22" i="63"/>
  <c r="D22" i="63"/>
  <c r="B29" i="1"/>
  <c r="H29" i="1" s="1"/>
  <c r="C7" i="53"/>
  <c r="O4" i="37"/>
  <c r="M4" i="37" a="1"/>
  <c r="M4" i="37" s="1"/>
  <c r="F44" i="35"/>
  <c r="G44" i="35" s="1"/>
  <c r="F42" i="35"/>
  <c r="G42" i="35" s="1"/>
  <c r="F38" i="35"/>
  <c r="G38" i="35" s="1"/>
  <c r="F36" i="35"/>
  <c r="G36" i="35" s="1"/>
  <c r="F39" i="20"/>
  <c r="F38" i="20"/>
  <c r="G38" i="20" s="1"/>
  <c r="F37" i="20"/>
  <c r="G37" i="20" s="1"/>
  <c r="F36" i="20"/>
  <c r="G36" i="20" s="1"/>
  <c r="F23" i="16"/>
  <c r="F35" i="20"/>
  <c r="G35" i="20" s="1"/>
  <c r="F22" i="16"/>
  <c r="F21" i="16"/>
  <c r="F34" i="20"/>
  <c r="G34" i="20" s="1"/>
  <c r="F33" i="20"/>
  <c r="F32" i="20"/>
  <c r="G32" i="20" s="1"/>
  <c r="F31" i="20"/>
  <c r="G31" i="20" s="1"/>
  <c r="F30" i="22"/>
  <c r="G30" i="22" s="1"/>
  <c r="F29" i="22"/>
  <c r="G29" i="22" s="1"/>
  <c r="F28" i="22"/>
  <c r="G28" i="22" s="1"/>
  <c r="F27" i="22"/>
  <c r="G27" i="22" s="1"/>
  <c r="F26" i="22"/>
  <c r="G26" i="22" s="1"/>
  <c r="F25" i="22"/>
  <c r="G25" i="22" s="1"/>
  <c r="F24" i="22"/>
  <c r="G24" i="22" s="1"/>
  <c r="F23" i="22"/>
  <c r="G23" i="22" s="1"/>
  <c r="F21" i="22"/>
  <c r="G21" i="22" s="1"/>
  <c r="F20" i="22"/>
  <c r="G20" i="22" s="1"/>
  <c r="F19" i="22"/>
  <c r="G19" i="22" s="1"/>
  <c r="F18" i="22"/>
  <c r="A4" i="37"/>
  <c r="N2" i="52"/>
  <c r="F20" i="16"/>
  <c r="F19" i="16"/>
  <c r="F18" i="16"/>
  <c r="F17" i="16"/>
  <c r="F16" i="16"/>
  <c r="F13" i="16"/>
  <c r="F12" i="16"/>
  <c r="F11" i="16"/>
  <c r="F10" i="16"/>
  <c r="F9" i="16"/>
  <c r="F15" i="13"/>
  <c r="F14" i="13"/>
  <c r="F13" i="13"/>
  <c r="F11" i="13"/>
  <c r="F10" i="13"/>
  <c r="F9" i="13"/>
  <c r="F8" i="13"/>
  <c r="F7" i="13"/>
  <c r="F6" i="13"/>
  <c r="C5" i="13"/>
  <c r="C17" i="13" s="1"/>
  <c r="F4" i="13"/>
  <c r="F39" i="35"/>
  <c r="G39" i="35" s="1"/>
  <c r="F35" i="35"/>
  <c r="G35" i="35" s="1"/>
  <c r="F31" i="35"/>
  <c r="G31" i="35" s="1"/>
  <c r="F29" i="35"/>
  <c r="G29" i="35" s="1"/>
  <c r="F27" i="35"/>
  <c r="G27" i="35" s="1"/>
  <c r="F26" i="35"/>
  <c r="G26" i="35" s="1"/>
  <c r="F25" i="35"/>
  <c r="G25" i="35" s="1"/>
  <c r="F24" i="35"/>
  <c r="G24" i="35" s="1"/>
  <c r="F23" i="35"/>
  <c r="G23" i="35" s="1"/>
  <c r="F21" i="35"/>
  <c r="G21" i="35" s="1"/>
  <c r="F20" i="35"/>
  <c r="G20" i="35" s="1"/>
  <c r="F19" i="35"/>
  <c r="G19" i="35" s="1"/>
  <c r="F18" i="35"/>
  <c r="G18" i="35" s="1"/>
  <c r="F17" i="35"/>
  <c r="G17" i="35" s="1"/>
  <c r="F15" i="35"/>
  <c r="F14" i="35"/>
  <c r="G14" i="35" s="1"/>
  <c r="F13" i="35"/>
  <c r="G13" i="35" s="1"/>
  <c r="F12" i="35"/>
  <c r="G12" i="35" s="1"/>
  <c r="F11" i="35"/>
  <c r="G11" i="35" s="1"/>
  <c r="G16" i="18"/>
  <c r="G15" i="18"/>
  <c r="G14" i="18"/>
  <c r="G13" i="18"/>
  <c r="G12" i="18"/>
  <c r="G11" i="18"/>
  <c r="G10" i="18"/>
  <c r="G9" i="18"/>
  <c r="C3" i="3"/>
  <c r="I29" i="4"/>
  <c r="J29" i="4" s="1"/>
  <c r="K29" i="4" s="1"/>
  <c r="I23" i="4"/>
  <c r="J23" i="4" s="1"/>
  <c r="E62" i="4"/>
  <c r="F43" i="6"/>
  <c r="G43" i="6" s="1"/>
  <c r="F42" i="6"/>
  <c r="G42" i="6" s="1"/>
  <c r="F41" i="6"/>
  <c r="G41" i="6" s="1"/>
  <c r="F40" i="6"/>
  <c r="G40" i="6" s="1"/>
  <c r="F39" i="6"/>
  <c r="G39" i="6" s="1"/>
  <c r="F38" i="6"/>
  <c r="G38" i="6" s="1"/>
  <c r="G32" i="6"/>
  <c r="G30" i="6"/>
  <c r="G29" i="6"/>
  <c r="G28" i="6"/>
  <c r="G24" i="6"/>
  <c r="G22" i="6"/>
  <c r="G21" i="6"/>
  <c r="G20" i="6"/>
  <c r="G19" i="6"/>
  <c r="G18" i="6"/>
  <c r="G16" i="6"/>
  <c r="G15" i="6"/>
  <c r="G14" i="6"/>
  <c r="G13" i="6"/>
  <c r="G12" i="6"/>
  <c r="G11" i="6"/>
  <c r="G10" i="6"/>
  <c r="G9" i="6"/>
  <c r="G8" i="6"/>
  <c r="G7" i="6"/>
  <c r="G6" i="6"/>
  <c r="G5" i="6"/>
  <c r="G4" i="6"/>
  <c r="F29" i="20"/>
  <c r="G29" i="20" s="1"/>
  <c r="F28" i="20"/>
  <c r="G28" i="20" s="1"/>
  <c r="F27" i="20"/>
  <c r="G27" i="20" s="1"/>
  <c r="F26" i="20"/>
  <c r="G26" i="20" s="1"/>
  <c r="F25" i="20"/>
  <c r="G25" i="20" s="1"/>
  <c r="F23" i="20"/>
  <c r="G23" i="20" s="1"/>
  <c r="F22" i="20"/>
  <c r="G22" i="20" s="1"/>
  <c r="F21" i="20"/>
  <c r="G21" i="20" s="1"/>
  <c r="F20" i="20"/>
  <c r="G20" i="20" s="1"/>
  <c r="F19" i="20"/>
  <c r="G19" i="20" s="1"/>
  <c r="F18" i="20"/>
  <c r="G18" i="20" s="1"/>
  <c r="F17" i="20"/>
  <c r="G17" i="20" s="1"/>
  <c r="F16" i="20"/>
  <c r="G16" i="20" s="1"/>
  <c r="F15" i="20"/>
  <c r="F14" i="20"/>
  <c r="G14" i="20" s="1"/>
  <c r="F13" i="20"/>
  <c r="G13" i="20" s="1"/>
  <c r="F12" i="20"/>
  <c r="G12" i="20" s="1"/>
  <c r="F11" i="20"/>
  <c r="G11" i="20" s="1"/>
  <c r="F10" i="20"/>
  <c r="G10" i="20" s="1"/>
  <c r="F9" i="20"/>
  <c r="G9" i="20" s="1"/>
  <c r="F8" i="20"/>
  <c r="G8" i="20" s="1"/>
  <c r="F7" i="20"/>
  <c r="F31" i="22"/>
  <c r="G31" i="22" s="1"/>
  <c r="G17" i="22"/>
  <c r="F16" i="22"/>
  <c r="G16" i="22" s="1"/>
  <c r="F15" i="22"/>
  <c r="G15" i="22" s="1"/>
  <c r="F14" i="22"/>
  <c r="F13" i="22"/>
  <c r="G13" i="22" s="1"/>
  <c r="E29" i="15"/>
  <c r="F29" i="15" s="1"/>
  <c r="E23" i="15"/>
  <c r="F23" i="15" s="1"/>
  <c r="E22" i="15"/>
  <c r="F22" i="15" s="1"/>
  <c r="E20" i="15"/>
  <c r="F20" i="15" s="1"/>
  <c r="E19" i="15"/>
  <c r="F19" i="15" s="1"/>
  <c r="E18" i="15"/>
  <c r="F18" i="15" s="1"/>
  <c r="E17" i="15"/>
  <c r="F17" i="15" s="1"/>
  <c r="E16" i="15"/>
  <c r="F16" i="15" s="1"/>
  <c r="F14" i="15"/>
  <c r="E11" i="15"/>
  <c r="E10" i="15"/>
  <c r="F10" i="15" s="1"/>
  <c r="E9" i="15"/>
  <c r="E12" i="21"/>
  <c r="F12" i="21" s="1"/>
  <c r="E9" i="21"/>
  <c r="F9" i="21" s="1"/>
  <c r="E61" i="50"/>
  <c r="E60" i="50"/>
  <c r="F60" i="50" s="1"/>
  <c r="E59" i="50"/>
  <c r="F59" i="50" s="1"/>
  <c r="E58" i="50"/>
  <c r="F58" i="50" s="1"/>
  <c r="E57" i="50"/>
  <c r="F57" i="50" s="1"/>
  <c r="E56" i="50"/>
  <c r="F56" i="50" s="1"/>
  <c r="E55" i="50"/>
  <c r="F55" i="50" s="1"/>
  <c r="E54" i="50"/>
  <c r="F54" i="50" s="1"/>
  <c r="E53" i="50"/>
  <c r="F53" i="50" s="1"/>
  <c r="E52" i="50"/>
  <c r="F52" i="50" s="1"/>
  <c r="E51" i="50"/>
  <c r="F51" i="50" s="1"/>
  <c r="E50" i="50"/>
  <c r="F50" i="50" s="1"/>
  <c r="E49" i="50"/>
  <c r="F49" i="50" s="1"/>
  <c r="E48" i="50"/>
  <c r="F48" i="50" s="1"/>
  <c r="E47" i="50"/>
  <c r="F47" i="50" s="1"/>
  <c r="E46" i="50"/>
  <c r="F46" i="50" s="1"/>
  <c r="E45" i="50"/>
  <c r="F45" i="50" s="1"/>
  <c r="E44" i="50"/>
  <c r="F44" i="50" s="1"/>
  <c r="E43" i="50"/>
  <c r="F43" i="50" s="1"/>
  <c r="E42" i="50"/>
  <c r="F42" i="50" s="1"/>
  <c r="E41" i="50"/>
  <c r="F41" i="50" s="1"/>
  <c r="E40" i="50"/>
  <c r="F40" i="50" s="1"/>
  <c r="E39" i="50"/>
  <c r="F39" i="50" s="1"/>
  <c r="E38" i="50"/>
  <c r="F38" i="50" s="1"/>
  <c r="E37" i="50"/>
  <c r="F37" i="50" s="1"/>
  <c r="E36" i="50"/>
  <c r="F36" i="50" s="1"/>
  <c r="E35" i="50"/>
  <c r="F35" i="50" s="1"/>
  <c r="E34" i="50"/>
  <c r="F34" i="50" s="1"/>
  <c r="E33" i="50"/>
  <c r="F33" i="50" s="1"/>
  <c r="E32" i="50"/>
  <c r="F32" i="50" s="1"/>
  <c r="E31" i="50"/>
  <c r="F31" i="50" s="1"/>
  <c r="E30" i="50"/>
  <c r="F30" i="50" s="1"/>
  <c r="E29" i="50"/>
  <c r="F29" i="50" s="1"/>
  <c r="E28" i="50"/>
  <c r="F28" i="50" s="1"/>
  <c r="E27" i="50"/>
  <c r="F27" i="50" s="1"/>
  <c r="E26" i="50"/>
  <c r="F26" i="50" s="1"/>
  <c r="E25" i="50"/>
  <c r="F25" i="50" s="1"/>
  <c r="E24" i="50"/>
  <c r="F24" i="50" s="1"/>
  <c r="E23" i="50"/>
  <c r="F23" i="50" s="1"/>
  <c r="E22" i="50"/>
  <c r="F22" i="50" s="1"/>
  <c r="E21" i="50"/>
  <c r="F21" i="50" s="1"/>
  <c r="E20" i="50"/>
  <c r="F20" i="50" s="1"/>
  <c r="E19" i="50"/>
  <c r="F19" i="50" s="1"/>
  <c r="E18" i="50"/>
  <c r="F18" i="50" s="1"/>
  <c r="E17" i="50"/>
  <c r="F17" i="50" s="1"/>
  <c r="E16" i="50"/>
  <c r="F16" i="50" s="1"/>
  <c r="E15" i="50"/>
  <c r="F15" i="50" s="1"/>
  <c r="E14" i="50"/>
  <c r="F14" i="50" s="1"/>
  <c r="E13" i="50"/>
  <c r="F13" i="50" s="1"/>
  <c r="E12" i="50"/>
  <c r="F12" i="50" s="1"/>
  <c r="E11" i="50"/>
  <c r="F11" i="50" s="1"/>
  <c r="E10" i="50"/>
  <c r="F10" i="50" s="1"/>
  <c r="E9" i="50"/>
  <c r="F9" i="50" s="1"/>
  <c r="E8" i="50"/>
  <c r="F8" i="50" s="1"/>
  <c r="E7" i="50"/>
  <c r="F7" i="50" s="1"/>
  <c r="E6" i="50"/>
  <c r="F6" i="50" s="1"/>
  <c r="E5" i="50"/>
  <c r="F5" i="50" s="1"/>
  <c r="E4" i="50"/>
  <c r="F4" i="50" s="1"/>
  <c r="E3" i="50"/>
  <c r="F3" i="50" s="1"/>
  <c r="C6" i="9"/>
  <c r="E11" i="9" s="1"/>
  <c r="E26" i="37"/>
  <c r="N25" i="37"/>
  <c r="H25" i="37"/>
  <c r="N24" i="37"/>
  <c r="DU23" i="37"/>
  <c r="DT23" i="37"/>
  <c r="DS23" i="37"/>
  <c r="DR23" i="37"/>
  <c r="DQ23" i="37"/>
  <c r="DP23" i="37"/>
  <c r="DO23" i="37"/>
  <c r="DN23" i="37"/>
  <c r="DM23" i="37"/>
  <c r="DL23" i="37"/>
  <c r="DK23" i="37"/>
  <c r="DJ23" i="37"/>
  <c r="DI23" i="37"/>
  <c r="DH23" i="37"/>
  <c r="DG23" i="37"/>
  <c r="DF23" i="37"/>
  <c r="DE23" i="37"/>
  <c r="DD23" i="37"/>
  <c r="DC23" i="37"/>
  <c r="DB23" i="37"/>
  <c r="DA23" i="37"/>
  <c r="CZ23" i="37"/>
  <c r="CY23" i="37"/>
  <c r="CX23" i="37"/>
  <c r="CW23" i="37"/>
  <c r="CV23" i="37"/>
  <c r="CU23" i="37"/>
  <c r="CT23" i="37"/>
  <c r="CS23" i="37"/>
  <c r="CR23" i="37"/>
  <c r="CQ23" i="37"/>
  <c r="CP23" i="37"/>
  <c r="CO23" i="37"/>
  <c r="CN23" i="37"/>
  <c r="CM23" i="37"/>
  <c r="CL23" i="37"/>
  <c r="CK23" i="37"/>
  <c r="CJ23" i="37"/>
  <c r="CI23" i="37"/>
  <c r="CH23" i="37"/>
  <c r="CG23" i="37"/>
  <c r="CF23" i="37"/>
  <c r="CE23" i="37"/>
  <c r="CD23" i="37"/>
  <c r="CC23" i="37"/>
  <c r="CB23" i="37"/>
  <c r="CA23" i="37"/>
  <c r="BZ23" i="37"/>
  <c r="BY23" i="37"/>
  <c r="BX23" i="37"/>
  <c r="BW23" i="37"/>
  <c r="BV23" i="37"/>
  <c r="BU23" i="37"/>
  <c r="BT23" i="37"/>
  <c r="BS23" i="37"/>
  <c r="BR23" i="37"/>
  <c r="BQ23" i="37"/>
  <c r="BP23" i="37"/>
  <c r="BO23" i="37"/>
  <c r="BN23" i="37"/>
  <c r="BM23" i="37"/>
  <c r="BL23" i="37"/>
  <c r="BK23" i="37"/>
  <c r="BJ23" i="37"/>
  <c r="BI23" i="37"/>
  <c r="BH23" i="37"/>
  <c r="BG23" i="37"/>
  <c r="BF23" i="37"/>
  <c r="BE23" i="37"/>
  <c r="BD23" i="37"/>
  <c r="BC23" i="37"/>
  <c r="BB23" i="37"/>
  <c r="BA23" i="37"/>
  <c r="AZ23" i="37"/>
  <c r="AY23" i="37"/>
  <c r="AX23" i="37"/>
  <c r="AW23" i="37"/>
  <c r="AV23" i="37"/>
  <c r="AU23" i="37"/>
  <c r="AT23" i="37"/>
  <c r="AS23" i="37"/>
  <c r="AR23" i="37"/>
  <c r="AQ23" i="37"/>
  <c r="AP23" i="37"/>
  <c r="N23" i="37"/>
  <c r="H23" i="37"/>
  <c r="DU22" i="37"/>
  <c r="DT22" i="37"/>
  <c r="DS22" i="37"/>
  <c r="DR22" i="37"/>
  <c r="DQ22" i="37"/>
  <c r="DP22" i="37"/>
  <c r="DO22" i="37"/>
  <c r="DN22" i="37"/>
  <c r="DM22" i="37"/>
  <c r="DL22" i="37"/>
  <c r="DK22" i="37"/>
  <c r="DJ22" i="37"/>
  <c r="DI22" i="37"/>
  <c r="DH22" i="37"/>
  <c r="DG22" i="37"/>
  <c r="DF22" i="37"/>
  <c r="DE22" i="37"/>
  <c r="DD22" i="37"/>
  <c r="DC22" i="37"/>
  <c r="DB22" i="37"/>
  <c r="DA22" i="37"/>
  <c r="CZ22" i="37"/>
  <c r="CY22" i="37"/>
  <c r="CX22" i="37"/>
  <c r="CW22" i="37"/>
  <c r="CV22" i="37"/>
  <c r="CU22" i="37"/>
  <c r="CT22" i="37"/>
  <c r="CS22" i="37"/>
  <c r="CR22" i="37"/>
  <c r="CQ22" i="37"/>
  <c r="CP22" i="37"/>
  <c r="CO22" i="37"/>
  <c r="CN22" i="37"/>
  <c r="CM22" i="37"/>
  <c r="CL22" i="37"/>
  <c r="CK22" i="37"/>
  <c r="CJ22" i="37"/>
  <c r="CI22" i="37"/>
  <c r="CH22" i="37"/>
  <c r="CG22" i="37"/>
  <c r="CF22" i="37"/>
  <c r="CE22" i="37"/>
  <c r="CD22" i="37"/>
  <c r="CC22" i="37"/>
  <c r="CB22" i="37"/>
  <c r="CA22" i="37"/>
  <c r="BZ22" i="37"/>
  <c r="BY22" i="37"/>
  <c r="BX22" i="37"/>
  <c r="BW22" i="37"/>
  <c r="BV22" i="37"/>
  <c r="BU22" i="37"/>
  <c r="BT22" i="37"/>
  <c r="BS22" i="37"/>
  <c r="BR22" i="37"/>
  <c r="BQ22" i="37"/>
  <c r="BP22" i="37"/>
  <c r="BO22" i="37"/>
  <c r="BN22" i="37"/>
  <c r="BM22" i="37"/>
  <c r="BL22" i="37"/>
  <c r="BK22" i="37"/>
  <c r="BJ22" i="37"/>
  <c r="BI22" i="37"/>
  <c r="BH22" i="37"/>
  <c r="BG22" i="37"/>
  <c r="BF22" i="37"/>
  <c r="BE22" i="37"/>
  <c r="BD22" i="37"/>
  <c r="BC22" i="37"/>
  <c r="BB22" i="37"/>
  <c r="BA22" i="37"/>
  <c r="AZ22" i="37"/>
  <c r="AY22" i="37"/>
  <c r="AX22" i="37"/>
  <c r="AW22" i="37"/>
  <c r="AV22" i="37"/>
  <c r="AU22" i="37"/>
  <c r="AT22" i="37"/>
  <c r="AS22" i="37"/>
  <c r="AR22" i="37"/>
  <c r="AQ22" i="37"/>
  <c r="AP22" i="37"/>
  <c r="N22" i="37"/>
  <c r="H22" i="37"/>
  <c r="DU21" i="37"/>
  <c r="DT21" i="37"/>
  <c r="DS21" i="37"/>
  <c r="DR21" i="37"/>
  <c r="DQ21" i="37"/>
  <c r="DP21" i="37"/>
  <c r="DO21" i="37"/>
  <c r="DN21" i="37"/>
  <c r="DM21" i="37"/>
  <c r="DL21" i="37"/>
  <c r="DK21" i="37"/>
  <c r="DJ21" i="37"/>
  <c r="DI21" i="37"/>
  <c r="DH21" i="37"/>
  <c r="DG21" i="37"/>
  <c r="DF21" i="37"/>
  <c r="DE21" i="37"/>
  <c r="DD21" i="37"/>
  <c r="DC21" i="37"/>
  <c r="DB21" i="37"/>
  <c r="DA21" i="37"/>
  <c r="CZ21" i="37"/>
  <c r="CY21" i="37"/>
  <c r="CX21" i="37"/>
  <c r="CW21" i="37"/>
  <c r="CV21" i="37"/>
  <c r="CU21" i="37"/>
  <c r="CT21" i="37"/>
  <c r="CS21" i="37"/>
  <c r="CR21" i="37"/>
  <c r="CQ21" i="37"/>
  <c r="CP21" i="37"/>
  <c r="CO21" i="37"/>
  <c r="CN21" i="37"/>
  <c r="CM21" i="37"/>
  <c r="CL21" i="37"/>
  <c r="CK21" i="37"/>
  <c r="CJ21" i="37"/>
  <c r="CI21" i="37"/>
  <c r="CH21" i="37"/>
  <c r="CG21" i="37"/>
  <c r="CF21" i="37"/>
  <c r="CE21" i="37"/>
  <c r="CD21" i="37"/>
  <c r="CC21" i="37"/>
  <c r="CB21" i="37"/>
  <c r="CA21" i="37"/>
  <c r="BZ21" i="37"/>
  <c r="BY21" i="37"/>
  <c r="BX21" i="37"/>
  <c r="BW21" i="37"/>
  <c r="BV21" i="37"/>
  <c r="BU21" i="37"/>
  <c r="BT21" i="37"/>
  <c r="BS21" i="37"/>
  <c r="BR21" i="37"/>
  <c r="BQ21" i="37"/>
  <c r="BP21" i="37"/>
  <c r="BO21" i="37"/>
  <c r="BN21" i="37"/>
  <c r="BM21" i="37"/>
  <c r="BL21" i="37"/>
  <c r="BK21" i="37"/>
  <c r="BJ21" i="37"/>
  <c r="BI21" i="37"/>
  <c r="BH21" i="37"/>
  <c r="BG21" i="37"/>
  <c r="BF21" i="37"/>
  <c r="BE21" i="37"/>
  <c r="BD21" i="37"/>
  <c r="BC21" i="37"/>
  <c r="BB21" i="37"/>
  <c r="BA21" i="37"/>
  <c r="AZ21" i="37"/>
  <c r="AY21" i="37"/>
  <c r="AX21" i="37"/>
  <c r="AW21" i="37"/>
  <c r="AV21" i="37"/>
  <c r="AU21" i="37"/>
  <c r="AT21" i="37"/>
  <c r="AS21" i="37"/>
  <c r="AR21" i="37"/>
  <c r="AQ21" i="37"/>
  <c r="AP21" i="37"/>
  <c r="E21" i="37"/>
  <c r="DU19" i="37"/>
  <c r="DT19" i="37"/>
  <c r="DS19" i="37"/>
  <c r="DR19" i="37"/>
  <c r="DQ19" i="37"/>
  <c r="DP19" i="37"/>
  <c r="DO19" i="37"/>
  <c r="DN19" i="37"/>
  <c r="DM19" i="37"/>
  <c r="DL19" i="37"/>
  <c r="DK19" i="37"/>
  <c r="DJ19" i="37"/>
  <c r="DI19" i="37"/>
  <c r="DH19" i="37"/>
  <c r="DG19" i="37"/>
  <c r="DF19" i="37"/>
  <c r="DE19" i="37"/>
  <c r="DD19" i="37"/>
  <c r="DC19" i="37"/>
  <c r="DB19" i="37"/>
  <c r="DA19" i="37"/>
  <c r="CZ19" i="37"/>
  <c r="CY19" i="37"/>
  <c r="CX19" i="37"/>
  <c r="CW19" i="37"/>
  <c r="CV19" i="37"/>
  <c r="CU19" i="37"/>
  <c r="CT19" i="37"/>
  <c r="CS19" i="37"/>
  <c r="CR19" i="37"/>
  <c r="CQ19" i="37"/>
  <c r="CP19" i="37"/>
  <c r="CO19" i="37"/>
  <c r="CN19" i="37"/>
  <c r="CM19" i="37"/>
  <c r="CL19" i="37"/>
  <c r="CK19" i="37"/>
  <c r="CJ19" i="37"/>
  <c r="CI19" i="37"/>
  <c r="CH19" i="37"/>
  <c r="CG19" i="37"/>
  <c r="CF19" i="37"/>
  <c r="CE19" i="37"/>
  <c r="CD19" i="37"/>
  <c r="CC19" i="37"/>
  <c r="CB19" i="37"/>
  <c r="CA19" i="37"/>
  <c r="BZ19" i="37"/>
  <c r="BY19" i="37"/>
  <c r="BX19" i="37"/>
  <c r="BW19" i="37"/>
  <c r="BV19" i="37"/>
  <c r="BU19" i="37"/>
  <c r="BT19" i="37"/>
  <c r="BS19" i="37"/>
  <c r="BR19" i="37"/>
  <c r="BQ19" i="37"/>
  <c r="BP19" i="37"/>
  <c r="BO19" i="37"/>
  <c r="BN19" i="37"/>
  <c r="BM19" i="37"/>
  <c r="BL19" i="37"/>
  <c r="BK19" i="37"/>
  <c r="BJ19" i="37"/>
  <c r="BI19" i="37"/>
  <c r="BH19" i="37"/>
  <c r="BG19" i="37"/>
  <c r="BF19" i="37"/>
  <c r="BE19" i="37"/>
  <c r="BD19" i="37"/>
  <c r="BC19" i="37"/>
  <c r="BB19" i="37"/>
  <c r="BA19" i="37"/>
  <c r="AZ19" i="37"/>
  <c r="AY19" i="37"/>
  <c r="AX19" i="37"/>
  <c r="AW19" i="37"/>
  <c r="AV19" i="37"/>
  <c r="AU19" i="37"/>
  <c r="AT19" i="37"/>
  <c r="AS19" i="37"/>
  <c r="AR19" i="37"/>
  <c r="AQ19" i="37"/>
  <c r="AP19" i="37"/>
  <c r="A19" i="37"/>
  <c r="A18" i="37"/>
  <c r="A17" i="37"/>
  <c r="DU15" i="37"/>
  <c r="DT15" i="37"/>
  <c r="DS15" i="37"/>
  <c r="DR15" i="37"/>
  <c r="DQ15" i="37"/>
  <c r="DP15" i="37"/>
  <c r="DO15" i="37"/>
  <c r="DN15" i="37"/>
  <c r="DM15" i="37"/>
  <c r="DL15" i="37"/>
  <c r="DK15" i="37"/>
  <c r="DJ15" i="37"/>
  <c r="DI15" i="37"/>
  <c r="DH15" i="37"/>
  <c r="DG15" i="37"/>
  <c r="DF15" i="37"/>
  <c r="DE15" i="37"/>
  <c r="DD15" i="37"/>
  <c r="DC15" i="37"/>
  <c r="DB15" i="37"/>
  <c r="DA15" i="37"/>
  <c r="CZ15" i="37"/>
  <c r="CY15" i="37"/>
  <c r="CX15" i="37"/>
  <c r="CW15" i="37"/>
  <c r="CV15" i="37"/>
  <c r="CU15" i="37"/>
  <c r="CT15" i="37"/>
  <c r="CS15" i="37"/>
  <c r="CR15" i="37"/>
  <c r="CQ15" i="37"/>
  <c r="CP15" i="37"/>
  <c r="CO15" i="37"/>
  <c r="CN15" i="37"/>
  <c r="CM15" i="37"/>
  <c r="CL15" i="37"/>
  <c r="CK15" i="37"/>
  <c r="CJ15" i="37"/>
  <c r="CI15" i="37"/>
  <c r="CH15" i="37"/>
  <c r="CG15" i="37"/>
  <c r="CF15" i="37"/>
  <c r="CE15" i="37"/>
  <c r="CD15" i="37"/>
  <c r="CC15" i="37"/>
  <c r="CB15" i="37"/>
  <c r="CA15" i="37"/>
  <c r="BZ15" i="37"/>
  <c r="BY15" i="37"/>
  <c r="BX15" i="37"/>
  <c r="BW15" i="37"/>
  <c r="BV15" i="37"/>
  <c r="BU15" i="37"/>
  <c r="BT15" i="37"/>
  <c r="BS15" i="37"/>
  <c r="BR15" i="37"/>
  <c r="BQ15" i="37"/>
  <c r="BP15" i="37"/>
  <c r="BO15" i="37"/>
  <c r="BN15" i="37"/>
  <c r="BM15" i="37"/>
  <c r="BL15" i="37"/>
  <c r="BK15" i="37"/>
  <c r="BJ15" i="37"/>
  <c r="BI15" i="37"/>
  <c r="BH15" i="37"/>
  <c r="BG15" i="37"/>
  <c r="BF15" i="37"/>
  <c r="BE15" i="37"/>
  <c r="BD15" i="37"/>
  <c r="BC15" i="37"/>
  <c r="BB15" i="37"/>
  <c r="BA15" i="37"/>
  <c r="AZ15" i="37"/>
  <c r="AY15" i="37"/>
  <c r="AX15" i="37"/>
  <c r="AW15" i="37"/>
  <c r="AV15" i="37"/>
  <c r="AU15" i="37"/>
  <c r="AT15" i="37"/>
  <c r="AS15" i="37"/>
  <c r="AR15" i="37"/>
  <c r="AQ15" i="37"/>
  <c r="AP15" i="37"/>
  <c r="A15" i="37"/>
  <c r="DU14" i="37"/>
  <c r="DT14" i="37"/>
  <c r="DS14" i="37"/>
  <c r="DR14" i="37"/>
  <c r="DQ14" i="37"/>
  <c r="DP14" i="37"/>
  <c r="DO14" i="37"/>
  <c r="DN14" i="37"/>
  <c r="DM14" i="37"/>
  <c r="DL14" i="37"/>
  <c r="DK14" i="37"/>
  <c r="DJ14" i="37"/>
  <c r="DI14" i="37"/>
  <c r="DH14" i="37"/>
  <c r="DG14" i="37"/>
  <c r="DF14" i="37"/>
  <c r="DE14" i="37"/>
  <c r="DD14" i="37"/>
  <c r="DC14" i="37"/>
  <c r="DB14" i="37"/>
  <c r="DA14" i="37"/>
  <c r="CZ14" i="37"/>
  <c r="CY14" i="37"/>
  <c r="CX14" i="37"/>
  <c r="CW14" i="37"/>
  <c r="CV14" i="37"/>
  <c r="CU14" i="37"/>
  <c r="CT14" i="37"/>
  <c r="CS14" i="37"/>
  <c r="CR14" i="37"/>
  <c r="CQ14" i="37"/>
  <c r="CP14" i="37"/>
  <c r="CO14" i="37"/>
  <c r="CN14" i="37"/>
  <c r="CM14" i="37"/>
  <c r="CL14" i="37"/>
  <c r="CK14" i="37"/>
  <c r="CJ14" i="37"/>
  <c r="CI14" i="37"/>
  <c r="CH14" i="37"/>
  <c r="CG14" i="37"/>
  <c r="CF14" i="37"/>
  <c r="CE14" i="37"/>
  <c r="CD14" i="37"/>
  <c r="CC14" i="37"/>
  <c r="CB14" i="37"/>
  <c r="CA14" i="37"/>
  <c r="BZ14" i="37"/>
  <c r="BY14" i="37"/>
  <c r="BX14" i="37"/>
  <c r="BW14" i="37"/>
  <c r="BV14" i="37"/>
  <c r="BU14" i="37"/>
  <c r="BT14" i="37"/>
  <c r="BS14" i="37"/>
  <c r="BR14" i="37"/>
  <c r="BQ14" i="37"/>
  <c r="BP14" i="37"/>
  <c r="BO14" i="37"/>
  <c r="BN14" i="37"/>
  <c r="BM14" i="37"/>
  <c r="BL14" i="37"/>
  <c r="BK14" i="37"/>
  <c r="BJ14" i="37"/>
  <c r="BI14" i="37"/>
  <c r="BH14" i="37"/>
  <c r="BG14" i="37"/>
  <c r="BF14" i="37"/>
  <c r="BE14" i="37"/>
  <c r="BD14" i="37"/>
  <c r="BC14" i="37"/>
  <c r="BB14" i="37"/>
  <c r="BA14" i="37"/>
  <c r="AZ14" i="37"/>
  <c r="AY14" i="37"/>
  <c r="AX14" i="37"/>
  <c r="AW14" i="37"/>
  <c r="AV14" i="37"/>
  <c r="AU14" i="37"/>
  <c r="AT14" i="37"/>
  <c r="AS14" i="37"/>
  <c r="AR14" i="37"/>
  <c r="AQ14" i="37"/>
  <c r="AP14" i="37"/>
  <c r="A14" i="37"/>
  <c r="A13" i="37"/>
  <c r="A12" i="37"/>
  <c r="A11" i="37"/>
  <c r="A10" i="37"/>
  <c r="B9" i="37"/>
  <c r="B10" i="37" s="1"/>
  <c r="B11" i="37" s="1"/>
  <c r="B12" i="37" s="1"/>
  <c r="B13" i="37" s="1"/>
  <c r="B14" i="37" s="1"/>
  <c r="B15" i="37" s="1"/>
  <c r="A9" i="37"/>
  <c r="A8" i="37"/>
  <c r="E6" i="37"/>
  <c r="H4" i="37"/>
  <c r="B4" i="37"/>
  <c r="F2" i="37"/>
  <c r="P27" i="37" s="1"/>
  <c r="C2" i="37"/>
  <c r="B2" i="36"/>
  <c r="I74" i="33"/>
  <c r="A57" i="33"/>
  <c r="I61" i="33" s="1"/>
  <c r="C38" i="33"/>
  <c r="I31" i="33"/>
  <c r="H19" i="33"/>
  <c r="H25" i="33" s="1"/>
  <c r="H32" i="33" s="1"/>
  <c r="H41" i="33" s="1"/>
  <c r="I16" i="33"/>
  <c r="C14" i="33"/>
  <c r="I1" i="33"/>
  <c r="D100" i="1"/>
  <c r="B54" i="1" s="1"/>
  <c r="F54" i="1" s="1"/>
  <c r="D88" i="1"/>
  <c r="B53" i="1" s="1"/>
  <c r="D53" i="1" s="1"/>
  <c r="F52" i="1"/>
  <c r="D47" i="1"/>
  <c r="D26" i="1"/>
  <c r="D18" i="1"/>
  <c r="B21" i="1" s="1"/>
  <c r="H17" i="1"/>
  <c r="H16" i="1"/>
  <c r="D7" i="9" l="1"/>
  <c r="G20" i="21"/>
  <c r="G24" i="21" s="1"/>
  <c r="G8" i="37" s="1"/>
  <c r="H8" i="37" s="1"/>
  <c r="F5" i="13"/>
  <c r="G17" i="13" s="1"/>
  <c r="G18" i="37" s="1"/>
  <c r="H18" i="37" s="1"/>
  <c r="H17" i="18"/>
  <c r="H44" i="6"/>
  <c r="C5" i="3"/>
  <c r="L13" i="3"/>
  <c r="J62" i="4"/>
  <c r="L66" i="4" s="1"/>
  <c r="P62" i="4"/>
  <c r="H27" i="16"/>
  <c r="I28" i="16" s="1"/>
  <c r="G17" i="37" s="1"/>
  <c r="H17" i="37" s="1"/>
  <c r="N17" i="37" s="1"/>
  <c r="K23" i="4"/>
  <c r="R21" i="63"/>
  <c r="AL21" i="63" s="1"/>
  <c r="AB21" i="63"/>
  <c r="AJ21" i="63"/>
  <c r="U21" i="63"/>
  <c r="G19" i="37"/>
  <c r="H19" i="37" s="1"/>
  <c r="N19" i="37" s="1"/>
  <c r="I39" i="1"/>
  <c r="H39" i="1"/>
  <c r="G33" i="20"/>
  <c r="M22" i="57"/>
  <c r="N21" i="57"/>
  <c r="F24" i="33"/>
  <c r="I26" i="33" s="1"/>
  <c r="F14" i="33"/>
  <c r="G14" i="22"/>
  <c r="G15" i="35"/>
  <c r="H46" i="35" s="1"/>
  <c r="I47" i="35" s="1"/>
  <c r="G15" i="37" s="1"/>
  <c r="H15" i="37" s="1"/>
  <c r="N15" i="37" s="1"/>
  <c r="G15" i="20"/>
  <c r="F9" i="15"/>
  <c r="F22" i="63"/>
  <c r="H22" i="63"/>
  <c r="C23" i="63" s="1"/>
  <c r="C29" i="3"/>
  <c r="G29" i="3" s="1"/>
  <c r="H29" i="3" s="1"/>
  <c r="B17" i="37"/>
  <c r="B18" i="37" s="1"/>
  <c r="B19" i="37" s="1"/>
  <c r="B20" i="37" s="1"/>
  <c r="B22" i="37" s="1"/>
  <c r="B16" i="37"/>
  <c r="K21" i="4"/>
  <c r="F10" i="1"/>
  <c r="G7" i="20"/>
  <c r="E65" i="4"/>
  <c r="H25" i="6"/>
  <c r="F11" i="15"/>
  <c r="P37" i="37"/>
  <c r="P7" i="37"/>
  <c r="G31" i="6"/>
  <c r="H34" i="6" s="1"/>
  <c r="G18" i="22"/>
  <c r="G62" i="50"/>
  <c r="E51" i="4"/>
  <c r="P26" i="37"/>
  <c r="P6" i="37" s="1"/>
  <c r="P56" i="37"/>
  <c r="P41" i="37"/>
  <c r="P43" i="37"/>
  <c r="P47" i="37"/>
  <c r="P49" i="37"/>
  <c r="P45" i="37"/>
  <c r="P50" i="37"/>
  <c r="P31" i="37"/>
  <c r="P52" i="37"/>
  <c r="P33" i="37"/>
  <c r="P55" i="37"/>
  <c r="Q27" i="37"/>
  <c r="Q7" i="37" s="1"/>
  <c r="P29" i="37"/>
  <c r="P82" i="37"/>
  <c r="P74" i="37"/>
  <c r="P72" i="37"/>
  <c r="P70" i="37"/>
  <c r="P75" i="37"/>
  <c r="P73" i="37"/>
  <c r="P69" i="37"/>
  <c r="P67" i="37"/>
  <c r="P65" i="37"/>
  <c r="P63" i="37"/>
  <c r="P61" i="37"/>
  <c r="P81" i="37"/>
  <c r="P71" i="37"/>
  <c r="P66" i="37"/>
  <c r="P79" i="37"/>
  <c r="P62" i="37"/>
  <c r="P80" i="37"/>
  <c r="P78" i="37"/>
  <c r="P68" i="37"/>
  <c r="P53" i="37"/>
  <c r="P51" i="37"/>
  <c r="P77" i="37"/>
  <c r="P48" i="37"/>
  <c r="P46" i="37"/>
  <c r="P44" i="37"/>
  <c r="P42" i="37"/>
  <c r="P40" i="37"/>
  <c r="P38" i="37"/>
  <c r="P36" i="37"/>
  <c r="P34" i="37"/>
  <c r="P32" i="37"/>
  <c r="P30" i="37"/>
  <c r="P28" i="37"/>
  <c r="P76" i="37"/>
  <c r="P59" i="37"/>
  <c r="P60" i="37"/>
  <c r="P64" i="37"/>
  <c r="P58" i="37"/>
  <c r="P57" i="37"/>
  <c r="P54" i="37"/>
  <c r="P35" i="37"/>
  <c r="P39" i="37"/>
  <c r="L59" i="4" l="1"/>
  <c r="N67" i="4" s="1"/>
  <c r="I46" i="6"/>
  <c r="G12" i="37" s="1"/>
  <c r="H12" i="37" s="1"/>
  <c r="N12" i="37" s="1"/>
  <c r="H32" i="22"/>
  <c r="I32" i="22" s="1"/>
  <c r="G10" i="37" s="1"/>
  <c r="H10" i="37" s="1"/>
  <c r="N10" i="37" s="1"/>
  <c r="H39" i="20"/>
  <c r="G11" i="37" s="1"/>
  <c r="H11" i="37" s="1"/>
  <c r="N11" i="37" s="1"/>
  <c r="G5" i="3"/>
  <c r="H5" i="3" s="1"/>
  <c r="I6" i="3" s="1"/>
  <c r="K11" i="3"/>
  <c r="L10" i="3" s="1"/>
  <c r="G24" i="37"/>
  <c r="H24" i="37" s="1"/>
  <c r="O3" i="37" s="1"/>
  <c r="M23" i="57"/>
  <c r="N23" i="57" s="1"/>
  <c r="N22" i="57"/>
  <c r="G30" i="15"/>
  <c r="B23" i="37"/>
  <c r="B24" i="37" s="1"/>
  <c r="B25" i="37" s="1"/>
  <c r="G13" i="15"/>
  <c r="F49" i="1"/>
  <c r="F50" i="1"/>
  <c r="K48" i="1"/>
  <c r="E22" i="1"/>
  <c r="B23" i="63"/>
  <c r="E23" i="63" s="1"/>
  <c r="A22" i="63"/>
  <c r="F25" i="57"/>
  <c r="B31" i="1" s="1"/>
  <c r="H31" i="1" s="1"/>
  <c r="H10" i="3"/>
  <c r="I30" i="3" s="1"/>
  <c r="D37" i="33"/>
  <c r="F37" i="33" s="1"/>
  <c r="P89" i="37"/>
  <c r="P94" i="37"/>
  <c r="P91" i="37"/>
  <c r="P86" i="37"/>
  <c r="Q82" i="37"/>
  <c r="Q78" i="37"/>
  <c r="Q76" i="37"/>
  <c r="P87" i="37"/>
  <c r="P93" i="37"/>
  <c r="P92" i="37"/>
  <c r="P88" i="37"/>
  <c r="P83" i="37"/>
  <c r="Q80" i="37"/>
  <c r="Q79" i="37"/>
  <c r="Q77" i="37"/>
  <c r="Q68" i="37"/>
  <c r="Q66" i="37"/>
  <c r="Q64" i="37"/>
  <c r="P90" i="37"/>
  <c r="P84" i="37"/>
  <c r="Q74" i="37"/>
  <c r="Q67" i="37"/>
  <c r="Q75" i="37"/>
  <c r="Q69" i="37"/>
  <c r="Q62" i="37"/>
  <c r="Q71" i="37"/>
  <c r="Q70" i="37"/>
  <c r="Q58" i="37"/>
  <c r="Q56" i="37"/>
  <c r="Q60" i="37"/>
  <c r="Q53" i="37"/>
  <c r="P85" i="37"/>
  <c r="Q73" i="37"/>
  <c r="Q61" i="37"/>
  <c r="Q65" i="37"/>
  <c r="Q59" i="37"/>
  <c r="Q63" i="37"/>
  <c r="Q57" i="37"/>
  <c r="Q54" i="37"/>
  <c r="Q55" i="37"/>
  <c r="Q49" i="37"/>
  <c r="Q48" i="37"/>
  <c r="Q37" i="37"/>
  <c r="Q29" i="37"/>
  <c r="R27" i="37"/>
  <c r="Q44" i="37"/>
  <c r="Q28" i="37"/>
  <c r="Q72" i="37"/>
  <c r="Q51" i="37"/>
  <c r="Q46" i="37"/>
  <c r="Q81" i="37"/>
  <c r="Q40" i="37"/>
  <c r="Q35" i="37"/>
  <c r="Q34" i="37"/>
  <c r="Q26" i="37"/>
  <c r="Q6" i="37" s="1"/>
  <c r="Q52" i="37"/>
  <c r="Q50" i="37"/>
  <c r="Q42" i="37"/>
  <c r="Q33" i="37"/>
  <c r="Q47" i="37"/>
  <c r="Q39" i="37"/>
  <c r="Q38" i="37"/>
  <c r="Q36" i="37"/>
  <c r="Q43" i="37"/>
  <c r="Q30" i="37"/>
  <c r="Q31" i="37"/>
  <c r="Q41" i="37"/>
  <c r="Q45" i="37"/>
  <c r="Q32" i="37"/>
  <c r="J31" i="3" l="1"/>
  <c r="G14" i="37" s="1"/>
  <c r="H14" i="37" s="1"/>
  <c r="N14" i="37" s="1"/>
  <c r="J3" i="37"/>
  <c r="M3" i="37" s="1"/>
  <c r="H31" i="15"/>
  <c r="G9" i="37" s="1"/>
  <c r="H9" i="37" s="1"/>
  <c r="T22" i="63"/>
  <c r="Q22" i="63"/>
  <c r="V22" i="63"/>
  <c r="AA22" i="63" s="1"/>
  <c r="O25" i="57"/>
  <c r="B42" i="1" s="1"/>
  <c r="G13" i="37"/>
  <c r="H13" i="37" s="1"/>
  <c r="N13" i="37" s="1"/>
  <c r="D14" i="33"/>
  <c r="B14" i="33" s="1"/>
  <c r="I20" i="33" s="1"/>
  <c r="D23" i="63"/>
  <c r="G23" i="63"/>
  <c r="I33" i="33"/>
  <c r="R26" i="37"/>
  <c r="R6" i="37" s="1"/>
  <c r="R7" i="37"/>
  <c r="Q94" i="37"/>
  <c r="Q91" i="37"/>
  <c r="Q93" i="37"/>
  <c r="Q88" i="37"/>
  <c r="Q90" i="37"/>
  <c r="Q84" i="37"/>
  <c r="R79" i="37"/>
  <c r="Q85" i="37"/>
  <c r="R78" i="37"/>
  <c r="R72" i="37"/>
  <c r="Q92" i="37"/>
  <c r="Q83" i="37"/>
  <c r="R70" i="37"/>
  <c r="Q87" i="37"/>
  <c r="R67" i="37"/>
  <c r="R68" i="37"/>
  <c r="Q89" i="37"/>
  <c r="R75" i="37"/>
  <c r="R71" i="37"/>
  <c r="R58" i="37"/>
  <c r="R61" i="37"/>
  <c r="Q86" i="37"/>
  <c r="R73" i="37"/>
  <c r="R65" i="37"/>
  <c r="R59" i="37"/>
  <c r="R69" i="37"/>
  <c r="R57" i="37"/>
  <c r="R76" i="37"/>
  <c r="R74" i="37"/>
  <c r="R63" i="37"/>
  <c r="R53" i="37"/>
  <c r="R60" i="37"/>
  <c r="R54" i="37"/>
  <c r="R66" i="37"/>
  <c r="R64" i="37"/>
  <c r="R55" i="37"/>
  <c r="R49" i="37"/>
  <c r="R47" i="37"/>
  <c r="R45" i="37"/>
  <c r="R43" i="37"/>
  <c r="R41" i="37"/>
  <c r="R39" i="37"/>
  <c r="R37" i="37"/>
  <c r="R35" i="37"/>
  <c r="R33" i="37"/>
  <c r="R52" i="37"/>
  <c r="R50" i="37"/>
  <c r="R51" i="37"/>
  <c r="R46" i="37"/>
  <c r="R42" i="37"/>
  <c r="R81" i="37"/>
  <c r="R44" i="37"/>
  <c r="R28" i="37"/>
  <c r="R62" i="37"/>
  <c r="R30" i="37"/>
  <c r="R82" i="37"/>
  <c r="R40" i="37"/>
  <c r="R80" i="37"/>
  <c r="R77" i="37"/>
  <c r="R38" i="37"/>
  <c r="S27" i="37"/>
  <c r="R48" i="37"/>
  <c r="R29" i="37"/>
  <c r="R32" i="37"/>
  <c r="R31" i="37"/>
  <c r="R34" i="37"/>
  <c r="R56" i="37"/>
  <c r="R36" i="37"/>
  <c r="M2" i="37" l="1"/>
  <c r="M5" i="37" s="1"/>
  <c r="R22" i="63"/>
  <c r="AL22" i="63" s="1"/>
  <c r="AB22" i="63"/>
  <c r="AG22" i="63"/>
  <c r="AJ22" i="63" s="1"/>
  <c r="U22" i="63"/>
  <c r="J2" i="37"/>
  <c r="J5" i="37" s="1"/>
  <c r="B65" i="1" s="1"/>
  <c r="D65" i="1" s="1"/>
  <c r="O2" i="37"/>
  <c r="O5" i="37" s="1"/>
  <c r="F23" i="63"/>
  <c r="H23" i="63"/>
  <c r="C24" i="63" s="1"/>
  <c r="S26" i="37"/>
  <c r="S6" i="37" s="1"/>
  <c r="S7" i="37"/>
  <c r="R91" i="37"/>
  <c r="R88" i="37"/>
  <c r="R93" i="37"/>
  <c r="R92" i="37"/>
  <c r="R89" i="37"/>
  <c r="R86" i="37"/>
  <c r="R85" i="37"/>
  <c r="S79" i="37"/>
  <c r="R94" i="37"/>
  <c r="R87" i="37"/>
  <c r="R83" i="37"/>
  <c r="S82" i="37"/>
  <c r="S78" i="37"/>
  <c r="S81" i="37"/>
  <c r="S71" i="37"/>
  <c r="R90" i="37"/>
  <c r="R84" i="37"/>
  <c r="S68" i="37"/>
  <c r="S75" i="37"/>
  <c r="S69" i="37"/>
  <c r="S70" i="37"/>
  <c r="S61" i="37"/>
  <c r="S80" i="37"/>
  <c r="S74" i="37"/>
  <c r="S60" i="37"/>
  <c r="S77" i="37"/>
  <c r="S76" i="37"/>
  <c r="S73" i="37"/>
  <c r="S63" i="37"/>
  <c r="S59" i="37"/>
  <c r="S57" i="37"/>
  <c r="S55" i="37"/>
  <c r="S65" i="37"/>
  <c r="S66" i="37"/>
  <c r="S64" i="37"/>
  <c r="S62" i="37"/>
  <c r="S52" i="37"/>
  <c r="S50" i="37"/>
  <c r="S67" i="37"/>
  <c r="S54" i="37"/>
  <c r="S49" i="37"/>
  <c r="S47" i="37"/>
  <c r="S45" i="37"/>
  <c r="S43" i="37"/>
  <c r="S41" i="37"/>
  <c r="S39" i="37"/>
  <c r="S37" i="37"/>
  <c r="S58" i="37"/>
  <c r="S51" i="37"/>
  <c r="S72" i="37"/>
  <c r="S44" i="37"/>
  <c r="S28" i="37"/>
  <c r="S40" i="37"/>
  <c r="S42" i="37"/>
  <c r="S38" i="37"/>
  <c r="T27" i="37"/>
  <c r="T7" i="37" s="1"/>
  <c r="S31" i="37"/>
  <c r="S35" i="37"/>
  <c r="S48" i="37"/>
  <c r="S29" i="37"/>
  <c r="S56" i="37"/>
  <c r="S36" i="37"/>
  <c r="S33" i="37"/>
  <c r="S34" i="37"/>
  <c r="S46" i="37"/>
  <c r="S30" i="37"/>
  <c r="S32" i="37"/>
  <c r="S53" i="37"/>
  <c r="B67" i="1" l="1"/>
  <c r="D67" i="1" s="1"/>
  <c r="D68" i="1" s="1"/>
  <c r="B24" i="63"/>
  <c r="E24" i="63" s="1"/>
  <c r="A23" i="63"/>
  <c r="S88" i="37"/>
  <c r="S93" i="37"/>
  <c r="S90" i="37"/>
  <c r="S85" i="37"/>
  <c r="S94" i="37"/>
  <c r="S92" i="37"/>
  <c r="S87" i="37"/>
  <c r="S84" i="37"/>
  <c r="S83" i="37"/>
  <c r="S89" i="37"/>
  <c r="T81" i="37"/>
  <c r="T80" i="37"/>
  <c r="T77" i="37"/>
  <c r="T73" i="37"/>
  <c r="T71" i="37"/>
  <c r="T68" i="37"/>
  <c r="T66" i="37"/>
  <c r="T64" i="37"/>
  <c r="T62" i="37"/>
  <c r="T60" i="37"/>
  <c r="T74" i="37"/>
  <c r="T82" i="37"/>
  <c r="T76" i="37"/>
  <c r="T79" i="37"/>
  <c r="T75" i="37"/>
  <c r="T69" i="37"/>
  <c r="S91" i="37"/>
  <c r="S86" i="37"/>
  <c r="T61" i="37"/>
  <c r="T59" i="37"/>
  <c r="T57" i="37"/>
  <c r="T52" i="37"/>
  <c r="T56" i="37"/>
  <c r="T55" i="37"/>
  <c r="T70" i="37"/>
  <c r="T49" i="37"/>
  <c r="T47" i="37"/>
  <c r="T45" i="37"/>
  <c r="T43" i="37"/>
  <c r="T41" i="37"/>
  <c r="T39" i="37"/>
  <c r="T37" i="37"/>
  <c r="T35" i="37"/>
  <c r="T33" i="37"/>
  <c r="T31" i="37"/>
  <c r="T29" i="37"/>
  <c r="T58" i="37"/>
  <c r="T51" i="37"/>
  <c r="T50" i="37"/>
  <c r="T72" i="37"/>
  <c r="T42" i="37"/>
  <c r="T53" i="37"/>
  <c r="T40" i="37"/>
  <c r="T38" i="37"/>
  <c r="T32" i="37"/>
  <c r="T78" i="37"/>
  <c r="T48" i="37"/>
  <c r="T34" i="37"/>
  <c r="T36" i="37"/>
  <c r="T65" i="37"/>
  <c r="T46" i="37"/>
  <c r="T30" i="37"/>
  <c r="T67" i="37"/>
  <c r="T54" i="37"/>
  <c r="U27" i="37"/>
  <c r="T44" i="37"/>
  <c r="T63" i="37"/>
  <c r="T28" i="37"/>
  <c r="T26" i="37"/>
  <c r="T6" i="37" s="1"/>
  <c r="B46" i="1" l="1"/>
  <c r="D46" i="1" s="1"/>
  <c r="T23" i="63"/>
  <c r="Q23" i="63"/>
  <c r="V23" i="63"/>
  <c r="AA23" i="63" s="1"/>
  <c r="D24" i="63"/>
  <c r="G24" i="63"/>
  <c r="U26" i="37"/>
  <c r="U6" i="37" s="1"/>
  <c r="U7" i="37"/>
  <c r="T93" i="37"/>
  <c r="T90" i="37"/>
  <c r="T94" i="37"/>
  <c r="T92" i="37"/>
  <c r="U80" i="37"/>
  <c r="U77" i="37"/>
  <c r="U75" i="37"/>
  <c r="T89" i="37"/>
  <c r="T91" i="37"/>
  <c r="T85" i="37"/>
  <c r="U82" i="37"/>
  <c r="T86" i="37"/>
  <c r="U70" i="37"/>
  <c r="T87" i="37"/>
  <c r="U76" i="37"/>
  <c r="U69" i="37"/>
  <c r="U67" i="37"/>
  <c r="U65" i="37"/>
  <c r="U63" i="37"/>
  <c r="T88" i="37"/>
  <c r="U81" i="37"/>
  <c r="U78" i="37"/>
  <c r="U79" i="37"/>
  <c r="U74" i="37"/>
  <c r="U60" i="37"/>
  <c r="U59" i="37"/>
  <c r="U57" i="37"/>
  <c r="T84" i="37"/>
  <c r="T83" i="37"/>
  <c r="U64" i="37"/>
  <c r="U52" i="37"/>
  <c r="U66" i="37"/>
  <c r="U62" i="37"/>
  <c r="U56" i="37"/>
  <c r="U55" i="37"/>
  <c r="U54" i="37"/>
  <c r="U71" i="37"/>
  <c r="U58" i="37"/>
  <c r="U51" i="37"/>
  <c r="U50" i="37"/>
  <c r="U72" i="37"/>
  <c r="U40" i="37"/>
  <c r="U36" i="37"/>
  <c r="U31" i="37"/>
  <c r="U53" i="37"/>
  <c r="U38" i="37"/>
  <c r="U32" i="37"/>
  <c r="U73" i="37"/>
  <c r="U68" i="37"/>
  <c r="U47" i="37"/>
  <c r="U39" i="37"/>
  <c r="U29" i="37"/>
  <c r="U49" i="37"/>
  <c r="U42" i="37"/>
  <c r="U61" i="37"/>
  <c r="U46" i="37"/>
  <c r="U30" i="37"/>
  <c r="U45" i="37"/>
  <c r="U37" i="37"/>
  <c r="U33" i="37"/>
  <c r="U41" i="37"/>
  <c r="U35" i="37"/>
  <c r="U28" i="37"/>
  <c r="V27" i="37"/>
  <c r="U44" i="37"/>
  <c r="U43" i="37"/>
  <c r="U34" i="37"/>
  <c r="U48" i="37"/>
  <c r="C30" i="1" l="1"/>
  <c r="AB23" i="63"/>
  <c r="AG23" i="63"/>
  <c r="AJ23" i="63" s="1"/>
  <c r="R23" i="63"/>
  <c r="AL23" i="63" s="1"/>
  <c r="U23" i="63"/>
  <c r="F24" i="63"/>
  <c r="H24" i="63"/>
  <c r="C25" i="63" s="1"/>
  <c r="V26" i="37"/>
  <c r="V6" i="37" s="1"/>
  <c r="V7" i="37"/>
  <c r="U90" i="37"/>
  <c r="U87" i="37"/>
  <c r="U92" i="37"/>
  <c r="U91" i="37"/>
  <c r="U88" i="37"/>
  <c r="U84" i="37"/>
  <c r="V82" i="37"/>
  <c r="U86" i="37"/>
  <c r="V81" i="37"/>
  <c r="U83" i="37"/>
  <c r="V78" i="37"/>
  <c r="U89" i="37"/>
  <c r="V76" i="37"/>
  <c r="U93" i="37"/>
  <c r="V75" i="37"/>
  <c r="V73" i="37"/>
  <c r="U94" i="37"/>
  <c r="V70" i="37"/>
  <c r="V72" i="37"/>
  <c r="V71" i="37"/>
  <c r="V80" i="37"/>
  <c r="V59" i="37"/>
  <c r="V57" i="37"/>
  <c r="V63" i="37"/>
  <c r="V66" i="37"/>
  <c r="V65" i="37"/>
  <c r="U85" i="37"/>
  <c r="V62" i="37"/>
  <c r="V56" i="37"/>
  <c r="V55" i="37"/>
  <c r="V69" i="37"/>
  <c r="V64" i="37"/>
  <c r="V54" i="37"/>
  <c r="V79" i="37"/>
  <c r="V74" i="37"/>
  <c r="V60" i="37"/>
  <c r="V51" i="37"/>
  <c r="V50" i="37"/>
  <c r="V52" i="37"/>
  <c r="V48" i="37"/>
  <c r="V46" i="37"/>
  <c r="V44" i="37"/>
  <c r="V42" i="37"/>
  <c r="V40" i="37"/>
  <c r="V38" i="37"/>
  <c r="V36" i="37"/>
  <c r="V34" i="37"/>
  <c r="V32" i="37"/>
  <c r="V61" i="37"/>
  <c r="V53" i="37"/>
  <c r="V77" i="37"/>
  <c r="V49" i="37"/>
  <c r="V68" i="37"/>
  <c r="V47" i="37"/>
  <c r="V31" i="37"/>
  <c r="V67" i="37"/>
  <c r="V45" i="37"/>
  <c r="V33" i="37"/>
  <c r="V30" i="37"/>
  <c r="V37" i="37"/>
  <c r="V58" i="37"/>
  <c r="V39" i="37"/>
  <c r="V29" i="37"/>
  <c r="V43" i="37"/>
  <c r="V41" i="37"/>
  <c r="V35" i="37"/>
  <c r="V28" i="37"/>
  <c r="W27" i="37"/>
  <c r="B25" i="63" l="1"/>
  <c r="E25" i="63" s="1"/>
  <c r="A24" i="63"/>
  <c r="W26" i="37"/>
  <c r="W6" i="37" s="1"/>
  <c r="W7" i="37"/>
  <c r="V92" i="37"/>
  <c r="V84" i="37"/>
  <c r="V88" i="37"/>
  <c r="W81" i="37"/>
  <c r="V93" i="37"/>
  <c r="V91" i="37"/>
  <c r="V94" i="37"/>
  <c r="V86" i="37"/>
  <c r="W74" i="37"/>
  <c r="W82" i="37"/>
  <c r="W72" i="37"/>
  <c r="W80" i="37"/>
  <c r="W79" i="37"/>
  <c r="W77" i="37"/>
  <c r="V87" i="37"/>
  <c r="W70" i="37"/>
  <c r="W63" i="37"/>
  <c r="V89" i="37"/>
  <c r="W78" i="37"/>
  <c r="W71" i="37"/>
  <c r="V90" i="37"/>
  <c r="W73" i="37"/>
  <c r="W64" i="37"/>
  <c r="W67" i="37"/>
  <c r="W62" i="37"/>
  <c r="W58" i="37"/>
  <c r="W56" i="37"/>
  <c r="W54" i="37"/>
  <c r="W69" i="37"/>
  <c r="W66" i="37"/>
  <c r="W57" i="37"/>
  <c r="V83" i="37"/>
  <c r="W53" i="37"/>
  <c r="W51" i="37"/>
  <c r="W59" i="37"/>
  <c r="W55" i="37"/>
  <c r="W52" i="37"/>
  <c r="W48" i="37"/>
  <c r="W46" i="37"/>
  <c r="W44" i="37"/>
  <c r="W42" i="37"/>
  <c r="W40" i="37"/>
  <c r="W38" i="37"/>
  <c r="W36" i="37"/>
  <c r="W61" i="37"/>
  <c r="W68" i="37"/>
  <c r="W47" i="37"/>
  <c r="W32" i="37"/>
  <c r="W31" i="37"/>
  <c r="W49" i="37"/>
  <c r="W45" i="37"/>
  <c r="W33" i="37"/>
  <c r="W30" i="37"/>
  <c r="W43" i="37"/>
  <c r="W34" i="37"/>
  <c r="X27" i="37"/>
  <c r="X7" i="37" s="1"/>
  <c r="W60" i="37"/>
  <c r="W37" i="37"/>
  <c r="W35" i="37"/>
  <c r="W75" i="37"/>
  <c r="W65" i="37"/>
  <c r="W50" i="37"/>
  <c r="W41" i="37"/>
  <c r="W76" i="37"/>
  <c r="W28" i="37"/>
  <c r="W39" i="37"/>
  <c r="W29" i="37"/>
  <c r="V85" i="37"/>
  <c r="T24" i="63" l="1"/>
  <c r="Q24" i="63"/>
  <c r="V24" i="63"/>
  <c r="AA24" i="63" s="1"/>
  <c r="D25" i="63"/>
  <c r="G25" i="63"/>
  <c r="W92" i="37"/>
  <c r="W89" i="37"/>
  <c r="W94" i="37"/>
  <c r="W93" i="37"/>
  <c r="W91" i="37"/>
  <c r="W90" i="37"/>
  <c r="W86" i="37"/>
  <c r="W85" i="37"/>
  <c r="X80" i="37"/>
  <c r="X77" i="37"/>
  <c r="W87" i="37"/>
  <c r="W84" i="37"/>
  <c r="X79" i="37"/>
  <c r="X75" i="37"/>
  <c r="X74" i="37"/>
  <c r="X72" i="37"/>
  <c r="X70" i="37"/>
  <c r="W88" i="37"/>
  <c r="W83" i="37"/>
  <c r="X69" i="37"/>
  <c r="X67" i="37"/>
  <c r="X65" i="37"/>
  <c r="X63" i="37"/>
  <c r="X61" i="37"/>
  <c r="X78" i="37"/>
  <c r="X71" i="37"/>
  <c r="X64" i="37"/>
  <c r="X81" i="37"/>
  <c r="X76" i="37"/>
  <c r="X73" i="37"/>
  <c r="X66" i="37"/>
  <c r="X82" i="37"/>
  <c r="X68" i="37"/>
  <c r="X54" i="37"/>
  <c r="X53" i="37"/>
  <c r="X51" i="37"/>
  <c r="X58" i="37"/>
  <c r="X55" i="37"/>
  <c r="X52" i="37"/>
  <c r="X48" i="37"/>
  <c r="X46" i="37"/>
  <c r="X44" i="37"/>
  <c r="X42" i="37"/>
  <c r="X40" i="37"/>
  <c r="X38" i="37"/>
  <c r="X36" i="37"/>
  <c r="X34" i="37"/>
  <c r="X32" i="37"/>
  <c r="X30" i="37"/>
  <c r="X28" i="37"/>
  <c r="X57" i="37"/>
  <c r="X49" i="37"/>
  <c r="X45" i="37"/>
  <c r="X33" i="37"/>
  <c r="X29" i="37"/>
  <c r="X43" i="37"/>
  <c r="Y27" i="37"/>
  <c r="X60" i="37"/>
  <c r="X50" i="37"/>
  <c r="X41" i="37"/>
  <c r="X35" i="37"/>
  <c r="X47" i="37"/>
  <c r="X37" i="37"/>
  <c r="X56" i="37"/>
  <c r="X59" i="37"/>
  <c r="X62" i="37"/>
  <c r="X31" i="37"/>
  <c r="X39" i="37"/>
  <c r="X26" i="37"/>
  <c r="X6" i="37" s="1"/>
  <c r="AB24" i="63" l="1"/>
  <c r="AG24" i="63"/>
  <c r="AJ24" i="63" s="1"/>
  <c r="R24" i="63"/>
  <c r="AL24" i="63" s="1"/>
  <c r="U24" i="63"/>
  <c r="F25" i="63"/>
  <c r="H25" i="63"/>
  <c r="C26" i="63" s="1"/>
  <c r="Y26" i="37"/>
  <c r="Y6" i="37" s="1"/>
  <c r="Y7" i="37"/>
  <c r="X89" i="37"/>
  <c r="X94" i="37"/>
  <c r="X91" i="37"/>
  <c r="X87" i="37"/>
  <c r="X86" i="37"/>
  <c r="Y82" i="37"/>
  <c r="Y78" i="37"/>
  <c r="Y76" i="37"/>
  <c r="X85" i="37"/>
  <c r="X83" i="37"/>
  <c r="X88" i="37"/>
  <c r="Y81" i="37"/>
  <c r="X90" i="37"/>
  <c r="Y73" i="37"/>
  <c r="Y80" i="37"/>
  <c r="Y79" i="37"/>
  <c r="Y77" i="37"/>
  <c r="Y71" i="37"/>
  <c r="Y68" i="37"/>
  <c r="Y66" i="37"/>
  <c r="Y64" i="37"/>
  <c r="Y72" i="37"/>
  <c r="Y63" i="37"/>
  <c r="Y65" i="37"/>
  <c r="Y62" i="37"/>
  <c r="Y58" i="37"/>
  <c r="Y56" i="37"/>
  <c r="Y61" i="37"/>
  <c r="X92" i="37"/>
  <c r="Y53" i="37"/>
  <c r="Y74" i="37"/>
  <c r="Y67" i="37"/>
  <c r="Y60" i="37"/>
  <c r="Y57" i="37"/>
  <c r="X93" i="37"/>
  <c r="X84" i="37"/>
  <c r="Y69" i="37"/>
  <c r="Y75" i="37"/>
  <c r="Y49" i="37"/>
  <c r="Y43" i="37"/>
  <c r="Y38" i="37"/>
  <c r="Y30" i="37"/>
  <c r="Z27" i="37"/>
  <c r="Y54" i="37"/>
  <c r="Y50" i="37"/>
  <c r="Y41" i="37"/>
  <c r="Y36" i="37"/>
  <c r="Y35" i="37"/>
  <c r="Y34" i="37"/>
  <c r="Y29" i="37"/>
  <c r="Y59" i="37"/>
  <c r="Y39" i="37"/>
  <c r="Y46" i="37"/>
  <c r="Y70" i="37"/>
  <c r="Y40" i="37"/>
  <c r="Y37" i="37"/>
  <c r="Y51" i="37"/>
  <c r="Y47" i="37"/>
  <c r="Y45" i="37"/>
  <c r="Y44" i="37"/>
  <c r="Y31" i="37"/>
  <c r="Y52" i="37"/>
  <c r="Y33" i="37"/>
  <c r="Y32" i="37"/>
  <c r="Y28" i="37"/>
  <c r="Y42" i="37"/>
  <c r="Y48" i="37"/>
  <c r="Y55" i="37"/>
  <c r="B26" i="63" l="1"/>
  <c r="E26" i="63" s="1"/>
  <c r="A25" i="63"/>
  <c r="Z26" i="37"/>
  <c r="Z6" i="37" s="1"/>
  <c r="Z7" i="37"/>
  <c r="Y94" i="37"/>
  <c r="Y91" i="37"/>
  <c r="Y88" i="37"/>
  <c r="Y89" i="37"/>
  <c r="Y93" i="37"/>
  <c r="Y92" i="37"/>
  <c r="Y85" i="37"/>
  <c r="Y84" i="37"/>
  <c r="Z76" i="37"/>
  <c r="Z75" i="37"/>
  <c r="Z78" i="37"/>
  <c r="Z81" i="37"/>
  <c r="Z72" i="37"/>
  <c r="Z65" i="37"/>
  <c r="Z73" i="37"/>
  <c r="Z66" i="37"/>
  <c r="Y90" i="37"/>
  <c r="Y86" i="37"/>
  <c r="Z80" i="37"/>
  <c r="Z74" i="37"/>
  <c r="Z64" i="37"/>
  <c r="Z62" i="37"/>
  <c r="Z58" i="37"/>
  <c r="Y83" i="37"/>
  <c r="Z77" i="37"/>
  <c r="Z67" i="37"/>
  <c r="Z69" i="37"/>
  <c r="Z60" i="37"/>
  <c r="Y87" i="37"/>
  <c r="Z79" i="37"/>
  <c r="Z71" i="37"/>
  <c r="Z70" i="37"/>
  <c r="Z61" i="37"/>
  <c r="Z49" i="37"/>
  <c r="Z47" i="37"/>
  <c r="Z45" i="37"/>
  <c r="Z43" i="37"/>
  <c r="Z41" i="37"/>
  <c r="Z39" i="37"/>
  <c r="Z37" i="37"/>
  <c r="Z35" i="37"/>
  <c r="Z33" i="37"/>
  <c r="Z68" i="37"/>
  <c r="Z56" i="37"/>
  <c r="Z53" i="37"/>
  <c r="Z50" i="37"/>
  <c r="Z36" i="37"/>
  <c r="Z34" i="37"/>
  <c r="Z29" i="37"/>
  <c r="Z55" i="37"/>
  <c r="Z48" i="37"/>
  <c r="Z59" i="37"/>
  <c r="Z54" i="37"/>
  <c r="Z63" i="37"/>
  <c r="Z52" i="37"/>
  <c r="Z28" i="37"/>
  <c r="Z30" i="37"/>
  <c r="AA27" i="37"/>
  <c r="Z57" i="37"/>
  <c r="Z51" i="37"/>
  <c r="Z44" i="37"/>
  <c r="Z31" i="37"/>
  <c r="Z32" i="37"/>
  <c r="Z40" i="37"/>
  <c r="Z46" i="37"/>
  <c r="Z42" i="37"/>
  <c r="Z82" i="37"/>
  <c r="Z38" i="37"/>
  <c r="T25" i="63" l="1"/>
  <c r="Q25" i="63"/>
  <c r="V25" i="63"/>
  <c r="AA25" i="63" s="1"/>
  <c r="D26" i="63"/>
  <c r="G26" i="63"/>
  <c r="AA26" i="37"/>
  <c r="AA6" i="37" s="1"/>
  <c r="AA7" i="37"/>
  <c r="Z91" i="37"/>
  <c r="Z88" i="37"/>
  <c r="Z93" i="37"/>
  <c r="Z92" i="37"/>
  <c r="Z90" i="37"/>
  <c r="AA79" i="37"/>
  <c r="Z87" i="37"/>
  <c r="Z86" i="37"/>
  <c r="Z84" i="37"/>
  <c r="Z89" i="37"/>
  <c r="AA82" i="37"/>
  <c r="AA72" i="37"/>
  <c r="Z94" i="37"/>
  <c r="AA70" i="37"/>
  <c r="AA81" i="37"/>
  <c r="AA78" i="37"/>
  <c r="AA73" i="37"/>
  <c r="AA66" i="37"/>
  <c r="AA80" i="37"/>
  <c r="AA76" i="37"/>
  <c r="AA74" i="37"/>
  <c r="AA67" i="37"/>
  <c r="Z83" i="37"/>
  <c r="AA77" i="37"/>
  <c r="AA65" i="37"/>
  <c r="AA68" i="37"/>
  <c r="AA61" i="37"/>
  <c r="AA59" i="37"/>
  <c r="AA57" i="37"/>
  <c r="AA55" i="37"/>
  <c r="AA53" i="37"/>
  <c r="AA64" i="37"/>
  <c r="AA71" i="37"/>
  <c r="AA60" i="37"/>
  <c r="AA58" i="37"/>
  <c r="AA63" i="37"/>
  <c r="AA52" i="37"/>
  <c r="AA50" i="37"/>
  <c r="AA69" i="37"/>
  <c r="AA49" i="37"/>
  <c r="AA47" i="37"/>
  <c r="AA45" i="37"/>
  <c r="AA43" i="37"/>
  <c r="AA41" i="37"/>
  <c r="AA39" i="37"/>
  <c r="AA37" i="37"/>
  <c r="AA75" i="37"/>
  <c r="AA56" i="37"/>
  <c r="AA54" i="37"/>
  <c r="AA35" i="37"/>
  <c r="AA46" i="37"/>
  <c r="AA48" i="37"/>
  <c r="AA28" i="37"/>
  <c r="AA44" i="37"/>
  <c r="AA36" i="37"/>
  <c r="AA31" i="37"/>
  <c r="AA62" i="37"/>
  <c r="AA32" i="37"/>
  <c r="AA42" i="37"/>
  <c r="AA33" i="37"/>
  <c r="AA51" i="37"/>
  <c r="Z85" i="37"/>
  <c r="AA30" i="37"/>
  <c r="AA34" i="37"/>
  <c r="AB27" i="37"/>
  <c r="AA40" i="37"/>
  <c r="AA29" i="37"/>
  <c r="AA38" i="37"/>
  <c r="AG25" i="63" l="1"/>
  <c r="AJ25" i="63" s="1"/>
  <c r="R25" i="63"/>
  <c r="AL25" i="63" s="1"/>
  <c r="AB25" i="63"/>
  <c r="U25" i="63"/>
  <c r="F26" i="63"/>
  <c r="H26" i="63"/>
  <c r="C27" i="63" s="1"/>
  <c r="AB26" i="37"/>
  <c r="AB6" i="37" s="1"/>
  <c r="AB7" i="37"/>
  <c r="AA88" i="37"/>
  <c r="AA93" i="37"/>
  <c r="AA85" i="37"/>
  <c r="AA86" i="37"/>
  <c r="AA83" i="37"/>
  <c r="AA92" i="37"/>
  <c r="AA90" i="37"/>
  <c r="AA87" i="37"/>
  <c r="AA84" i="37"/>
  <c r="AB82" i="37"/>
  <c r="AA89" i="37"/>
  <c r="AB79" i="37"/>
  <c r="AB78" i="37"/>
  <c r="AB73" i="37"/>
  <c r="AB71" i="37"/>
  <c r="AB80" i="37"/>
  <c r="AB77" i="37"/>
  <c r="AB68" i="37"/>
  <c r="AB66" i="37"/>
  <c r="AB64" i="37"/>
  <c r="AB62" i="37"/>
  <c r="AB60" i="37"/>
  <c r="AB81" i="37"/>
  <c r="AA91" i="37"/>
  <c r="AB76" i="37"/>
  <c r="AB74" i="37"/>
  <c r="AB67" i="37"/>
  <c r="AB61" i="37"/>
  <c r="AA94" i="37"/>
  <c r="AB69" i="37"/>
  <c r="AB72" i="37"/>
  <c r="AB58" i="37"/>
  <c r="AB70" i="37"/>
  <c r="AB63" i="37"/>
  <c r="AB52" i="37"/>
  <c r="AB49" i="37"/>
  <c r="AB47" i="37"/>
  <c r="AB45" i="37"/>
  <c r="AB43" i="37"/>
  <c r="AB41" i="37"/>
  <c r="AB39" i="37"/>
  <c r="AB37" i="37"/>
  <c r="AB35" i="37"/>
  <c r="AB33" i="37"/>
  <c r="AB31" i="37"/>
  <c r="AB29" i="37"/>
  <c r="AB75" i="37"/>
  <c r="AB56" i="37"/>
  <c r="AB53" i="37"/>
  <c r="AB65" i="37"/>
  <c r="AB54" i="37"/>
  <c r="AB50" i="37"/>
  <c r="AB59" i="37"/>
  <c r="AB48" i="37"/>
  <c r="AB28" i="37"/>
  <c r="AB57" i="37"/>
  <c r="AB55" i="37"/>
  <c r="AB46" i="37"/>
  <c r="AB44" i="37"/>
  <c r="AB32" i="37"/>
  <c r="AB30" i="37"/>
  <c r="AB42" i="37"/>
  <c r="AB34" i="37"/>
  <c r="AC27" i="37"/>
  <c r="AB51" i="37"/>
  <c r="AB40" i="37"/>
  <c r="AB38" i="37"/>
  <c r="AB36" i="37"/>
  <c r="B27" i="63" l="1"/>
  <c r="E27" i="63" s="1"/>
  <c r="A26" i="63"/>
  <c r="AC26" i="37"/>
  <c r="AC6" i="37" s="1"/>
  <c r="AC7" i="37"/>
  <c r="AB93" i="37"/>
  <c r="AB90" i="37"/>
  <c r="AB94" i="37"/>
  <c r="AB89" i="37"/>
  <c r="AB85" i="37"/>
  <c r="AB84" i="37"/>
  <c r="AC80" i="37"/>
  <c r="AC77" i="37"/>
  <c r="AC75" i="37"/>
  <c r="AB83" i="37"/>
  <c r="AC82" i="37"/>
  <c r="AB91" i="37"/>
  <c r="AB87" i="37"/>
  <c r="AC71" i="37"/>
  <c r="AC74" i="37"/>
  <c r="AC69" i="37"/>
  <c r="AC67" i="37"/>
  <c r="AC65" i="37"/>
  <c r="AC63" i="37"/>
  <c r="AB86" i="37"/>
  <c r="AC68" i="37"/>
  <c r="AC73" i="37"/>
  <c r="AC66" i="37"/>
  <c r="AC76" i="37"/>
  <c r="AC60" i="37"/>
  <c r="AC59" i="37"/>
  <c r="AC57" i="37"/>
  <c r="AC81" i="37"/>
  <c r="AC70" i="37"/>
  <c r="AC79" i="37"/>
  <c r="AC52" i="37"/>
  <c r="AB88" i="37"/>
  <c r="AC55" i="37"/>
  <c r="AC61" i="37"/>
  <c r="AC56" i="37"/>
  <c r="AC72" i="37"/>
  <c r="AC64" i="37"/>
  <c r="AC53" i="37"/>
  <c r="AC54" i="37"/>
  <c r="AC50" i="37"/>
  <c r="AC51" i="37"/>
  <c r="AC48" i="37"/>
  <c r="AB92" i="37"/>
  <c r="AC46" i="37"/>
  <c r="AC41" i="37"/>
  <c r="AC42" i="37"/>
  <c r="AC44" i="37"/>
  <c r="AC39" i="37"/>
  <c r="AC58" i="37"/>
  <c r="AC37" i="37"/>
  <c r="AC45" i="37"/>
  <c r="AC34" i="37"/>
  <c r="AC33" i="37"/>
  <c r="AD27" i="37"/>
  <c r="AD7" i="37" s="1"/>
  <c r="AC43" i="37"/>
  <c r="AC40" i="37"/>
  <c r="AC28" i="37"/>
  <c r="AC49" i="37"/>
  <c r="AC62" i="37"/>
  <c r="AC36" i="37"/>
  <c r="AC78" i="37"/>
  <c r="AC32" i="37"/>
  <c r="AC35" i="37"/>
  <c r="AC38" i="37"/>
  <c r="AC29" i="37"/>
  <c r="AC30" i="37"/>
  <c r="AC47" i="37"/>
  <c r="AC31" i="37"/>
  <c r="T26" i="63" l="1"/>
  <c r="Q26" i="63"/>
  <c r="V26" i="63"/>
  <c r="AA26" i="63" s="1"/>
  <c r="D27" i="63"/>
  <c r="G27" i="63"/>
  <c r="AC90" i="37"/>
  <c r="AC87" i="37"/>
  <c r="AC92" i="37"/>
  <c r="AC91" i="37"/>
  <c r="AC93" i="37"/>
  <c r="AC94" i="37"/>
  <c r="AC89" i="37"/>
  <c r="AC86" i="37"/>
  <c r="AC83" i="37"/>
  <c r="AD81" i="37"/>
  <c r="AD80" i="37"/>
  <c r="AD77" i="37"/>
  <c r="AD79" i="37"/>
  <c r="AD78" i="37"/>
  <c r="AD70" i="37"/>
  <c r="AC85" i="37"/>
  <c r="AD76" i="37"/>
  <c r="AD68" i="37"/>
  <c r="AD69" i="37"/>
  <c r="AC84" i="37"/>
  <c r="AD67" i="37"/>
  <c r="AD60" i="37"/>
  <c r="AD59" i="37"/>
  <c r="AD57" i="37"/>
  <c r="AD82" i="37"/>
  <c r="AD72" i="37"/>
  <c r="AC88" i="37"/>
  <c r="AD75" i="37"/>
  <c r="AD74" i="37"/>
  <c r="AD71" i="37"/>
  <c r="AD63" i="37"/>
  <c r="AD55" i="37"/>
  <c r="AD61" i="37"/>
  <c r="AD56" i="37"/>
  <c r="AD54" i="37"/>
  <c r="AD64" i="37"/>
  <c r="AD53" i="37"/>
  <c r="AD66" i="37"/>
  <c r="AD50" i="37"/>
  <c r="AD65" i="37"/>
  <c r="AD51" i="37"/>
  <c r="AD48" i="37"/>
  <c r="AD46" i="37"/>
  <c r="AD44" i="37"/>
  <c r="AD42" i="37"/>
  <c r="AD40" i="37"/>
  <c r="AD38" i="37"/>
  <c r="AD36" i="37"/>
  <c r="AD34" i="37"/>
  <c r="AD32" i="37"/>
  <c r="AD62" i="37"/>
  <c r="AD39" i="37"/>
  <c r="AD73" i="37"/>
  <c r="AD58" i="37"/>
  <c r="AD52" i="37"/>
  <c r="AD37" i="37"/>
  <c r="AD31" i="37"/>
  <c r="AD33" i="37"/>
  <c r="AE27" i="37"/>
  <c r="AD47" i="37"/>
  <c r="AD43" i="37"/>
  <c r="AD28" i="37"/>
  <c r="AD35" i="37"/>
  <c r="AD49" i="37"/>
  <c r="AD41" i="37"/>
  <c r="AD29" i="37"/>
  <c r="AD30" i="37"/>
  <c r="AD45" i="37"/>
  <c r="AD26" i="37"/>
  <c r="AD6" i="37" s="1"/>
  <c r="AB26" i="63" l="1"/>
  <c r="R26" i="63"/>
  <c r="AL26" i="63" s="1"/>
  <c r="AG26" i="63"/>
  <c r="AJ26" i="63" s="1"/>
  <c r="U26" i="63"/>
  <c r="F27" i="63"/>
  <c r="H27" i="63"/>
  <c r="C28" i="63" s="1"/>
  <c r="AE26" i="37"/>
  <c r="AE6" i="37" s="1"/>
  <c r="AE7" i="37"/>
  <c r="AD92" i="37"/>
  <c r="AD94" i="37"/>
  <c r="AD84" i="37"/>
  <c r="AD91" i="37"/>
  <c r="AD87" i="37"/>
  <c r="AE81" i="37"/>
  <c r="AD88" i="37"/>
  <c r="AE82" i="37"/>
  <c r="AD85" i="37"/>
  <c r="AE78" i="37"/>
  <c r="AD93" i="37"/>
  <c r="AE76" i="37"/>
  <c r="AD90" i="37"/>
  <c r="AE73" i="37"/>
  <c r="AD89" i="37"/>
  <c r="AD86" i="37"/>
  <c r="AE80" i="37"/>
  <c r="AE69" i="37"/>
  <c r="AD83" i="37"/>
  <c r="AE77" i="37"/>
  <c r="AE75" i="37"/>
  <c r="AE72" i="37"/>
  <c r="AE68" i="37"/>
  <c r="AE71" i="37"/>
  <c r="AE63" i="37"/>
  <c r="AE58" i="37"/>
  <c r="AE56" i="37"/>
  <c r="AE54" i="37"/>
  <c r="AE70" i="37"/>
  <c r="AE60" i="37"/>
  <c r="AE55" i="37"/>
  <c r="AE67" i="37"/>
  <c r="AE61" i="37"/>
  <c r="AE59" i="37"/>
  <c r="AE51" i="37"/>
  <c r="AE66" i="37"/>
  <c r="AE50" i="37"/>
  <c r="AE65" i="37"/>
  <c r="AE48" i="37"/>
  <c r="AE46" i="37"/>
  <c r="AE44" i="37"/>
  <c r="AE42" i="37"/>
  <c r="AE40" i="37"/>
  <c r="AE38" i="37"/>
  <c r="AE36" i="37"/>
  <c r="AE62" i="37"/>
  <c r="AE52" i="37"/>
  <c r="AE37" i="37"/>
  <c r="AE32" i="37"/>
  <c r="AE30" i="37"/>
  <c r="AF27" i="37"/>
  <c r="AF7" i="37" s="1"/>
  <c r="AE79" i="37"/>
  <c r="AE57" i="37"/>
  <c r="AE31" i="37"/>
  <c r="AE43" i="37"/>
  <c r="AE34" i="37"/>
  <c r="AE28" i="37"/>
  <c r="AE64" i="37"/>
  <c r="AE35" i="37"/>
  <c r="AE49" i="37"/>
  <c r="AE41" i="37"/>
  <c r="AE29" i="37"/>
  <c r="AE53" i="37"/>
  <c r="AE47" i="37"/>
  <c r="AE45" i="37"/>
  <c r="AE74" i="37"/>
  <c r="AE39" i="37"/>
  <c r="AE33" i="37"/>
  <c r="B28" i="63" l="1"/>
  <c r="E28" i="63" s="1"/>
  <c r="A27" i="63"/>
  <c r="AE92" i="37"/>
  <c r="AE89" i="37"/>
  <c r="AE94" i="37"/>
  <c r="AE93" i="37"/>
  <c r="AE90" i="37"/>
  <c r="AE88" i="37"/>
  <c r="AE85" i="37"/>
  <c r="AF81" i="37"/>
  <c r="AE87" i="37"/>
  <c r="AE91" i="37"/>
  <c r="AF74" i="37"/>
  <c r="AF72" i="37"/>
  <c r="AF70" i="37"/>
  <c r="AF69" i="37"/>
  <c r="AF67" i="37"/>
  <c r="AF65" i="37"/>
  <c r="AF63" i="37"/>
  <c r="AF61" i="37"/>
  <c r="AF76" i="37"/>
  <c r="AF75" i="37"/>
  <c r="AE86" i="37"/>
  <c r="AE83" i="37"/>
  <c r="AF77" i="37"/>
  <c r="AE84" i="37"/>
  <c r="AF79" i="37"/>
  <c r="AF82" i="37"/>
  <c r="AF78" i="37"/>
  <c r="AF64" i="37"/>
  <c r="AF62" i="37"/>
  <c r="AF59" i="37"/>
  <c r="AF56" i="37"/>
  <c r="AF54" i="37"/>
  <c r="AF51" i="37"/>
  <c r="AF57" i="37"/>
  <c r="AF53" i="37"/>
  <c r="AF48" i="37"/>
  <c r="AF46" i="37"/>
  <c r="AF44" i="37"/>
  <c r="AF42" i="37"/>
  <c r="AF40" i="37"/>
  <c r="AF38" i="37"/>
  <c r="AF36" i="37"/>
  <c r="AF34" i="37"/>
  <c r="AF32" i="37"/>
  <c r="AF30" i="37"/>
  <c r="AF28" i="37"/>
  <c r="AF68" i="37"/>
  <c r="AF52" i="37"/>
  <c r="AF73" i="37"/>
  <c r="AF58" i="37"/>
  <c r="AF55" i="37"/>
  <c r="AF31" i="37"/>
  <c r="AF47" i="37"/>
  <c r="AF33" i="37"/>
  <c r="AF60" i="37"/>
  <c r="AG27" i="37"/>
  <c r="AG7" i="37" s="1"/>
  <c r="AF80" i="37"/>
  <c r="AF35" i="37"/>
  <c r="AF45" i="37"/>
  <c r="AF43" i="37"/>
  <c r="AF71" i="37"/>
  <c r="AF49" i="37"/>
  <c r="AF41" i="37"/>
  <c r="AF29" i="37"/>
  <c r="AF37" i="37"/>
  <c r="AF66" i="37"/>
  <c r="AF50" i="37"/>
  <c r="AF39" i="37"/>
  <c r="AF26" i="37"/>
  <c r="AF6" i="37" s="1"/>
  <c r="T27" i="63" l="1"/>
  <c r="Q27" i="63"/>
  <c r="V27" i="63"/>
  <c r="AA27" i="63" s="1"/>
  <c r="D28" i="63"/>
  <c r="G28" i="63"/>
  <c r="AF89" i="37"/>
  <c r="AF94" i="37"/>
  <c r="AF91" i="37"/>
  <c r="AF86" i="37"/>
  <c r="AG82" i="37"/>
  <c r="AG78" i="37"/>
  <c r="AG76" i="37"/>
  <c r="AF92" i="37"/>
  <c r="AF87" i="37"/>
  <c r="AF84" i="37"/>
  <c r="AF90" i="37"/>
  <c r="AF83" i="37"/>
  <c r="AG80" i="37"/>
  <c r="AG77" i="37"/>
  <c r="AG79" i="37"/>
  <c r="AG75" i="37"/>
  <c r="AG74" i="37"/>
  <c r="AF85" i="37"/>
  <c r="AG72" i="37"/>
  <c r="AG68" i="37"/>
  <c r="AG66" i="37"/>
  <c r="AG64" i="37"/>
  <c r="AG71" i="37"/>
  <c r="AG69" i="37"/>
  <c r="AG70" i="37"/>
  <c r="AG58" i="37"/>
  <c r="AG56" i="37"/>
  <c r="AG67" i="37"/>
  <c r="AG61" i="37"/>
  <c r="AG59" i="37"/>
  <c r="AG54" i="37"/>
  <c r="AF88" i="37"/>
  <c r="AG57" i="37"/>
  <c r="AG53" i="37"/>
  <c r="AG65" i="37"/>
  <c r="AG62" i="37"/>
  <c r="AF93" i="37"/>
  <c r="AG51" i="37"/>
  <c r="AG52" i="37"/>
  <c r="AG73" i="37"/>
  <c r="AG55" i="37"/>
  <c r="AG49" i="37"/>
  <c r="AG81" i="37"/>
  <c r="AG60" i="37"/>
  <c r="AG44" i="37"/>
  <c r="AH27" i="37"/>
  <c r="AG45" i="37"/>
  <c r="AG40" i="37"/>
  <c r="AG63" i="37"/>
  <c r="AG47" i="37"/>
  <c r="AG42" i="37"/>
  <c r="AG33" i="37"/>
  <c r="AG32" i="37"/>
  <c r="AG30" i="37"/>
  <c r="AG29" i="37"/>
  <c r="AG41" i="37"/>
  <c r="AG48" i="37"/>
  <c r="AG36" i="37"/>
  <c r="AG43" i="37"/>
  <c r="AG31" i="37"/>
  <c r="AG34" i="37"/>
  <c r="AG28" i="37"/>
  <c r="AG50" i="37"/>
  <c r="AG39" i="37"/>
  <c r="AG35" i="37"/>
  <c r="AG38" i="37"/>
  <c r="AG37" i="37"/>
  <c r="AG46" i="37"/>
  <c r="AG26" i="37"/>
  <c r="AG6" i="37" s="1"/>
  <c r="R27" i="63" l="1"/>
  <c r="AL27" i="63" s="1"/>
  <c r="AG27" i="63"/>
  <c r="AJ27" i="63" s="1"/>
  <c r="AB27" i="63"/>
  <c r="U27" i="63"/>
  <c r="F28" i="63"/>
  <c r="H28" i="63"/>
  <c r="C29" i="63" s="1"/>
  <c r="AH26" i="37"/>
  <c r="AH6" i="37" s="1"/>
  <c r="AH7" i="37"/>
  <c r="AG94" i="37"/>
  <c r="AG91" i="37"/>
  <c r="AG93" i="37"/>
  <c r="AG87" i="37"/>
  <c r="AG88" i="37"/>
  <c r="AG89" i="37"/>
  <c r="AG86" i="37"/>
  <c r="AG85" i="37"/>
  <c r="AG90" i="37"/>
  <c r="AG83" i="37"/>
  <c r="AH82" i="37"/>
  <c r="AG92" i="37"/>
  <c r="AH81" i="37"/>
  <c r="AH73" i="37"/>
  <c r="AH71" i="37"/>
  <c r="AG84" i="37"/>
  <c r="AH63" i="37"/>
  <c r="AH62" i="37"/>
  <c r="AH79" i="37"/>
  <c r="AH75" i="37"/>
  <c r="AH70" i="37"/>
  <c r="AH77" i="37"/>
  <c r="AH76" i="37"/>
  <c r="AH58" i="37"/>
  <c r="AH74" i="37"/>
  <c r="AH65" i="37"/>
  <c r="AH61" i="37"/>
  <c r="AH57" i="37"/>
  <c r="AH56" i="37"/>
  <c r="AH53" i="37"/>
  <c r="AH80" i="37"/>
  <c r="AH72" i="37"/>
  <c r="AH68" i="37"/>
  <c r="AH69" i="37"/>
  <c r="AH51" i="37"/>
  <c r="AH54" i="37"/>
  <c r="AH52" i="37"/>
  <c r="AH55" i="37"/>
  <c r="AH49" i="37"/>
  <c r="AH47" i="37"/>
  <c r="AH45" i="37"/>
  <c r="AH43" i="37"/>
  <c r="AH41" i="37"/>
  <c r="AH39" i="37"/>
  <c r="AH37" i="37"/>
  <c r="AH35" i="37"/>
  <c r="AH33" i="37"/>
  <c r="AH31" i="37"/>
  <c r="AH60" i="37"/>
  <c r="AH59" i="37"/>
  <c r="AH42" i="37"/>
  <c r="AH32" i="37"/>
  <c r="AH30" i="37"/>
  <c r="AH38" i="37"/>
  <c r="AH34" i="37"/>
  <c r="AH67" i="37"/>
  <c r="AH40" i="37"/>
  <c r="AH29" i="37"/>
  <c r="AH66" i="37"/>
  <c r="AH64" i="37"/>
  <c r="AH28" i="37"/>
  <c r="AH50" i="37"/>
  <c r="AH48" i="37"/>
  <c r="AH78" i="37"/>
  <c r="AH44" i="37"/>
  <c r="AH36" i="37"/>
  <c r="AH46" i="37"/>
  <c r="AI27" i="37"/>
  <c r="B29" i="63" l="1"/>
  <c r="E29" i="63" s="1"/>
  <c r="A28" i="63"/>
  <c r="AI26" i="37"/>
  <c r="AI6" i="37" s="1"/>
  <c r="AI7" i="37"/>
  <c r="AH91" i="37"/>
  <c r="AH88" i="37"/>
  <c r="AH93" i="37"/>
  <c r="AH92" i="37"/>
  <c r="AI79" i="37"/>
  <c r="AH90" i="37"/>
  <c r="AH94" i="37"/>
  <c r="AH86" i="37"/>
  <c r="AI81" i="37"/>
  <c r="AH83" i="37"/>
  <c r="AH84" i="37"/>
  <c r="AI80" i="37"/>
  <c r="AI77" i="37"/>
  <c r="AI75" i="37"/>
  <c r="AI70" i="37"/>
  <c r="AI64" i="37"/>
  <c r="AI71" i="37"/>
  <c r="AI65" i="37"/>
  <c r="AI82" i="37"/>
  <c r="AI72" i="37"/>
  <c r="AI78" i="37"/>
  <c r="AI63" i="37"/>
  <c r="AI62" i="37"/>
  <c r="AH85" i="37"/>
  <c r="AI66" i="37"/>
  <c r="AI60" i="37"/>
  <c r="AI59" i="37"/>
  <c r="AI57" i="37"/>
  <c r="AI55" i="37"/>
  <c r="AI53" i="37"/>
  <c r="AH87" i="37"/>
  <c r="AI68" i="37"/>
  <c r="AI76" i="37"/>
  <c r="AI52" i="37"/>
  <c r="AI50" i="37"/>
  <c r="AI54" i="37"/>
  <c r="AI49" i="37"/>
  <c r="AI47" i="37"/>
  <c r="AI45" i="37"/>
  <c r="AI43" i="37"/>
  <c r="AI41" i="37"/>
  <c r="AI39" i="37"/>
  <c r="AI37" i="37"/>
  <c r="AI73" i="37"/>
  <c r="AH89" i="37"/>
  <c r="AI58" i="37"/>
  <c r="AI67" i="37"/>
  <c r="AI40" i="37"/>
  <c r="AI33" i="37"/>
  <c r="AI29" i="37"/>
  <c r="AI35" i="37"/>
  <c r="AI28" i="37"/>
  <c r="AI38" i="37"/>
  <c r="AI34" i="37"/>
  <c r="AI74" i="37"/>
  <c r="AI36" i="37"/>
  <c r="AI56" i="37"/>
  <c r="AI42" i="37"/>
  <c r="AI46" i="37"/>
  <c r="AJ27" i="37"/>
  <c r="AI61" i="37"/>
  <c r="AI32" i="37"/>
  <c r="AI69" i="37"/>
  <c r="AI51" i="37"/>
  <c r="AI48" i="37"/>
  <c r="AI30" i="37"/>
  <c r="AI31" i="37"/>
  <c r="AI44" i="37"/>
  <c r="T28" i="63" l="1"/>
  <c r="Q28" i="63"/>
  <c r="V28" i="63"/>
  <c r="AA28" i="63" s="1"/>
  <c r="D29" i="63"/>
  <c r="G29" i="63"/>
  <c r="AJ26" i="37"/>
  <c r="AJ6" i="37" s="1"/>
  <c r="AJ7" i="37"/>
  <c r="AI88" i="37"/>
  <c r="AI93" i="37"/>
  <c r="AI85" i="37"/>
  <c r="AI83" i="37"/>
  <c r="AI92" i="37"/>
  <c r="AI89" i="37"/>
  <c r="AI84" i="37"/>
  <c r="AJ73" i="37"/>
  <c r="AJ71" i="37"/>
  <c r="AJ76" i="37"/>
  <c r="AJ75" i="37"/>
  <c r="AJ72" i="37"/>
  <c r="AJ68" i="37"/>
  <c r="AJ66" i="37"/>
  <c r="AJ64" i="37"/>
  <c r="AJ62" i="37"/>
  <c r="AJ60" i="37"/>
  <c r="AI94" i="37"/>
  <c r="AI86" i="37"/>
  <c r="AJ80" i="37"/>
  <c r="AJ77" i="37"/>
  <c r="AJ70" i="37"/>
  <c r="AJ82" i="37"/>
  <c r="AJ79" i="37"/>
  <c r="AJ78" i="37"/>
  <c r="AJ65" i="37"/>
  <c r="AI90" i="37"/>
  <c r="AJ63" i="37"/>
  <c r="AJ81" i="37"/>
  <c r="AJ74" i="37"/>
  <c r="AJ61" i="37"/>
  <c r="AI91" i="37"/>
  <c r="AJ67" i="37"/>
  <c r="AJ52" i="37"/>
  <c r="AJ49" i="37"/>
  <c r="AJ47" i="37"/>
  <c r="AJ45" i="37"/>
  <c r="AJ43" i="37"/>
  <c r="AJ41" i="37"/>
  <c r="AJ39" i="37"/>
  <c r="AJ37" i="37"/>
  <c r="AJ35" i="37"/>
  <c r="AJ33" i="37"/>
  <c r="AJ31" i="37"/>
  <c r="AJ29" i="37"/>
  <c r="AJ55" i="37"/>
  <c r="AJ59" i="37"/>
  <c r="AJ58" i="37"/>
  <c r="AI87" i="37"/>
  <c r="AJ57" i="37"/>
  <c r="AJ38" i="37"/>
  <c r="AJ34" i="37"/>
  <c r="AJ56" i="37"/>
  <c r="AJ36" i="37"/>
  <c r="AJ28" i="37"/>
  <c r="AJ51" i="37"/>
  <c r="AJ50" i="37"/>
  <c r="AJ54" i="37"/>
  <c r="AJ32" i="37"/>
  <c r="AK27" i="37"/>
  <c r="AJ42" i="37"/>
  <c r="AJ40" i="37"/>
  <c r="AJ69" i="37"/>
  <c r="AJ48" i="37"/>
  <c r="AJ30" i="37"/>
  <c r="AJ44" i="37"/>
  <c r="AJ53" i="37"/>
  <c r="AJ46" i="37"/>
  <c r="R28" i="63" l="1"/>
  <c r="AL28" i="63" s="1"/>
  <c r="AG28" i="63"/>
  <c r="AJ28" i="63" s="1"/>
  <c r="AB28" i="63"/>
  <c r="U28" i="63"/>
  <c r="F29" i="63"/>
  <c r="H29" i="63"/>
  <c r="C30" i="63" s="1"/>
  <c r="AK26" i="37"/>
  <c r="AK6" i="37" s="1"/>
  <c r="AK7" i="37"/>
  <c r="AJ93" i="37"/>
  <c r="AJ90" i="37"/>
  <c r="AJ94" i="37"/>
  <c r="AJ92" i="37"/>
  <c r="AJ89" i="37"/>
  <c r="AJ86" i="37"/>
  <c r="AK80" i="37"/>
  <c r="AK77" i="37"/>
  <c r="AK75" i="37"/>
  <c r="AJ87" i="37"/>
  <c r="AJ85" i="37"/>
  <c r="AJ91" i="37"/>
  <c r="AK82" i="37"/>
  <c r="AK79" i="37"/>
  <c r="AK78" i="37"/>
  <c r="AJ84" i="37"/>
  <c r="AK69" i="37"/>
  <c r="AK67" i="37"/>
  <c r="AK65" i="37"/>
  <c r="AK63" i="37"/>
  <c r="AJ88" i="37"/>
  <c r="AJ83" i="37"/>
  <c r="AK71" i="37"/>
  <c r="AK72" i="37"/>
  <c r="AK66" i="37"/>
  <c r="AK74" i="37"/>
  <c r="AK73" i="37"/>
  <c r="AK81" i="37"/>
  <c r="AK70" i="37"/>
  <c r="AK62" i="37"/>
  <c r="AK61" i="37"/>
  <c r="AK64" i="37"/>
  <c r="AK59" i="37"/>
  <c r="AK57" i="37"/>
  <c r="AK68" i="37"/>
  <c r="AK52" i="37"/>
  <c r="AK76" i="37"/>
  <c r="AK58" i="37"/>
  <c r="AK55" i="37"/>
  <c r="AK60" i="37"/>
  <c r="AK50" i="37"/>
  <c r="AK48" i="37"/>
  <c r="AK47" i="37"/>
  <c r="AK36" i="37"/>
  <c r="AK28" i="37"/>
  <c r="AK43" i="37"/>
  <c r="AK56" i="37"/>
  <c r="AK51" i="37"/>
  <c r="AK45" i="37"/>
  <c r="AK35" i="37"/>
  <c r="AK49" i="37"/>
  <c r="AK40" i="37"/>
  <c r="AK29" i="37"/>
  <c r="AK32" i="37"/>
  <c r="AK34" i="37"/>
  <c r="AK39" i="37"/>
  <c r="AK30" i="37"/>
  <c r="AK53" i="37"/>
  <c r="AK46" i="37"/>
  <c r="AK38" i="37"/>
  <c r="AK54" i="37"/>
  <c r="AK31" i="37"/>
  <c r="AL27" i="37"/>
  <c r="AK37" i="37"/>
  <c r="AK44" i="37"/>
  <c r="AK42" i="37"/>
  <c r="AK33" i="37"/>
  <c r="AK41" i="37"/>
  <c r="B30" i="63" l="1"/>
  <c r="E30" i="63" s="1"/>
  <c r="A29" i="63"/>
  <c r="AL26" i="37"/>
  <c r="AL6" i="37" s="1"/>
  <c r="AL7" i="37"/>
  <c r="AK90" i="37"/>
  <c r="AK87" i="37"/>
  <c r="AK92" i="37"/>
  <c r="AK91" i="37"/>
  <c r="AK88" i="37"/>
  <c r="AK94" i="37"/>
  <c r="AK85" i="37"/>
  <c r="AK84" i="37"/>
  <c r="AK83" i="37"/>
  <c r="AK93" i="37"/>
  <c r="AL71" i="37"/>
  <c r="AL82" i="37"/>
  <c r="AL79" i="37"/>
  <c r="AL78" i="37"/>
  <c r="AL74" i="37"/>
  <c r="AL72" i="37"/>
  <c r="AL66" i="37"/>
  <c r="AL73" i="37"/>
  <c r="AL67" i="37"/>
  <c r="AK86" i="37"/>
  <c r="AL64" i="37"/>
  <c r="AL59" i="37"/>
  <c r="AL57" i="37"/>
  <c r="AK89" i="37"/>
  <c r="AL60" i="37"/>
  <c r="AL68" i="37"/>
  <c r="AL76" i="37"/>
  <c r="AL80" i="37"/>
  <c r="AL65" i="37"/>
  <c r="AL62" i="37"/>
  <c r="AL58" i="37"/>
  <c r="AL75" i="37"/>
  <c r="AL69" i="37"/>
  <c r="AL55" i="37"/>
  <c r="AL52" i="37"/>
  <c r="AL50" i="37"/>
  <c r="AL48" i="37"/>
  <c r="AL46" i="37"/>
  <c r="AL44" i="37"/>
  <c r="AL42" i="37"/>
  <c r="AL40" i="37"/>
  <c r="AL38" i="37"/>
  <c r="AL36" i="37"/>
  <c r="AL34" i="37"/>
  <c r="AL32" i="37"/>
  <c r="AL81" i="37"/>
  <c r="AL63" i="37"/>
  <c r="AL56" i="37"/>
  <c r="AL51" i="37"/>
  <c r="AL45" i="37"/>
  <c r="AL35" i="37"/>
  <c r="AL61" i="37"/>
  <c r="AL49" i="37"/>
  <c r="AL41" i="37"/>
  <c r="AL77" i="37"/>
  <c r="AL43" i="37"/>
  <c r="AL39" i="37"/>
  <c r="AL30" i="37"/>
  <c r="AL70" i="37"/>
  <c r="AL33" i="37"/>
  <c r="AL53" i="37"/>
  <c r="AL37" i="37"/>
  <c r="AL28" i="37"/>
  <c r="AL29" i="37"/>
  <c r="AL54" i="37"/>
  <c r="AL47" i="37"/>
  <c r="AL31" i="37"/>
  <c r="AM27" i="37"/>
  <c r="AM7" i="37" s="1"/>
  <c r="T29" i="63" l="1"/>
  <c r="Q29" i="63"/>
  <c r="V29" i="63"/>
  <c r="AA29" i="63" s="1"/>
  <c r="D30" i="63"/>
  <c r="G30" i="63"/>
  <c r="AL92" i="37"/>
  <c r="AL89" i="37"/>
  <c r="AL84" i="37"/>
  <c r="AM81" i="37"/>
  <c r="AL88" i="37"/>
  <c r="AL86" i="37"/>
  <c r="AL93" i="37"/>
  <c r="AM80" i="37"/>
  <c r="AM77" i="37"/>
  <c r="AL94" i="37"/>
  <c r="AM70" i="37"/>
  <c r="AL90" i="37"/>
  <c r="AM79" i="37"/>
  <c r="AM73" i="37"/>
  <c r="AM67" i="37"/>
  <c r="AM82" i="37"/>
  <c r="AM74" i="37"/>
  <c r="AM68" i="37"/>
  <c r="AL85" i="37"/>
  <c r="AM76" i="37"/>
  <c r="AL83" i="37"/>
  <c r="AM78" i="37"/>
  <c r="AM60" i="37"/>
  <c r="AM75" i="37"/>
  <c r="AM71" i="37"/>
  <c r="AM65" i="37"/>
  <c r="AL87" i="37"/>
  <c r="AM69" i="37"/>
  <c r="AM58" i="37"/>
  <c r="AM56" i="37"/>
  <c r="AM54" i="37"/>
  <c r="AM62" i="37"/>
  <c r="AM72" i="37"/>
  <c r="AM55" i="37"/>
  <c r="AL91" i="37"/>
  <c r="AM51" i="37"/>
  <c r="AM59" i="37"/>
  <c r="AM50" i="37"/>
  <c r="AM48" i="37"/>
  <c r="AM46" i="37"/>
  <c r="AM44" i="37"/>
  <c r="AM42" i="37"/>
  <c r="AM40" i="37"/>
  <c r="AM38" i="37"/>
  <c r="AM36" i="37"/>
  <c r="AM63" i="37"/>
  <c r="AM57" i="37"/>
  <c r="AM53" i="37"/>
  <c r="AM43" i="37"/>
  <c r="AM39" i="37"/>
  <c r="AM66" i="37"/>
  <c r="AM61" i="37"/>
  <c r="AM49" i="37"/>
  <c r="AM41" i="37"/>
  <c r="AN27" i="37"/>
  <c r="AN7" i="37" s="1"/>
  <c r="AM28" i="37"/>
  <c r="AM29" i="37"/>
  <c r="AM64" i="37"/>
  <c r="AM37" i="37"/>
  <c r="AM47" i="37"/>
  <c r="AM31" i="37"/>
  <c r="AM45" i="37"/>
  <c r="AM34" i="37"/>
  <c r="AM52" i="37"/>
  <c r="AM32" i="37"/>
  <c r="AM33" i="37"/>
  <c r="AM35" i="37"/>
  <c r="AM30" i="37"/>
  <c r="AM26" i="37"/>
  <c r="AM6" i="37" s="1"/>
  <c r="R29" i="63" l="1"/>
  <c r="AL29" i="63" s="1"/>
  <c r="AB29" i="63"/>
  <c r="AG29" i="63"/>
  <c r="AJ29" i="63" s="1"/>
  <c r="U29" i="63"/>
  <c r="F30" i="63"/>
  <c r="H30" i="63"/>
  <c r="C31" i="63" s="1"/>
  <c r="AM92" i="37"/>
  <c r="AM89" i="37"/>
  <c r="AM94" i="37"/>
  <c r="AM93" i="37"/>
  <c r="AM91" i="37"/>
  <c r="AM90" i="37"/>
  <c r="AN82" i="37"/>
  <c r="AM84" i="37"/>
  <c r="AN78" i="37"/>
  <c r="AM88" i="37"/>
  <c r="AM86" i="37"/>
  <c r="AN76" i="37"/>
  <c r="AN74" i="37"/>
  <c r="AN72" i="37"/>
  <c r="AN70" i="37"/>
  <c r="AM85" i="37"/>
  <c r="AM83" i="37"/>
  <c r="AN69" i="37"/>
  <c r="AN67" i="37"/>
  <c r="AN65" i="37"/>
  <c r="AN63" i="37"/>
  <c r="AN61" i="37"/>
  <c r="AN73" i="37"/>
  <c r="AM87" i="37"/>
  <c r="AN81" i="37"/>
  <c r="AN68" i="37"/>
  <c r="AN75" i="37"/>
  <c r="AN71" i="37"/>
  <c r="AN66" i="37"/>
  <c r="AN79" i="37"/>
  <c r="AN80" i="37"/>
  <c r="AN58" i="37"/>
  <c r="AN55" i="37"/>
  <c r="AN51" i="37"/>
  <c r="AN77" i="37"/>
  <c r="AN64" i="37"/>
  <c r="AN54" i="37"/>
  <c r="AN59" i="37"/>
  <c r="AN50" i="37"/>
  <c r="AN48" i="37"/>
  <c r="AN46" i="37"/>
  <c r="AN44" i="37"/>
  <c r="AN42" i="37"/>
  <c r="AN40" i="37"/>
  <c r="AN38" i="37"/>
  <c r="AN36" i="37"/>
  <c r="AN34" i="37"/>
  <c r="AN32" i="37"/>
  <c r="AN30" i="37"/>
  <c r="AN28" i="37"/>
  <c r="AN62" i="37"/>
  <c r="AN60" i="37"/>
  <c r="AN57" i="37"/>
  <c r="AN53" i="37"/>
  <c r="AN56" i="37"/>
  <c r="AN49" i="37"/>
  <c r="AN41" i="37"/>
  <c r="AN37" i="37"/>
  <c r="AN39" i="37"/>
  <c r="AO27" i="37"/>
  <c r="AN31" i="37"/>
  <c r="AN29" i="37"/>
  <c r="AN47" i="37"/>
  <c r="AN52" i="37"/>
  <c r="AN35" i="37"/>
  <c r="AN45" i="37"/>
  <c r="AN33" i="37"/>
  <c r="AN43" i="37"/>
  <c r="AN26" i="37"/>
  <c r="AN6" i="37" s="1"/>
  <c r="B31" i="63" l="1"/>
  <c r="E31" i="63" s="1"/>
  <c r="A30" i="63"/>
  <c r="AO26" i="37"/>
  <c r="AO6" i="37" s="1"/>
  <c r="AO7" i="37"/>
  <c r="AN89" i="37"/>
  <c r="AN94" i="37"/>
  <c r="AN91" i="37"/>
  <c r="AN90" i="37"/>
  <c r="AN86" i="37"/>
  <c r="AN92" i="37"/>
  <c r="AN87" i="37"/>
  <c r="AO82" i="37"/>
  <c r="AO78" i="37"/>
  <c r="AO76" i="37"/>
  <c r="AN93" i="37"/>
  <c r="AO81" i="37"/>
  <c r="AN85" i="37"/>
  <c r="AN83" i="37"/>
  <c r="AO80" i="37"/>
  <c r="AO79" i="37"/>
  <c r="AO77" i="37"/>
  <c r="AN88" i="37"/>
  <c r="AO68" i="37"/>
  <c r="AO66" i="37"/>
  <c r="AO64" i="37"/>
  <c r="AO74" i="37"/>
  <c r="AO69" i="37"/>
  <c r="AO65" i="37"/>
  <c r="AN84" i="37"/>
  <c r="AO58" i="37"/>
  <c r="AO56" i="37"/>
  <c r="AO73" i="37"/>
  <c r="AO72" i="37"/>
  <c r="AO75" i="37"/>
  <c r="AO54" i="37"/>
  <c r="AO60" i="37"/>
  <c r="AO53" i="37"/>
  <c r="AO62" i="37"/>
  <c r="AO57" i="37"/>
  <c r="AO63" i="37"/>
  <c r="AO67" i="37"/>
  <c r="AO51" i="37"/>
  <c r="AO49" i="37"/>
  <c r="AO61" i="37"/>
  <c r="AO39" i="37"/>
  <c r="AP27" i="37"/>
  <c r="AO37" i="37"/>
  <c r="AO31" i="37"/>
  <c r="AO46" i="37"/>
  <c r="AO30" i="37"/>
  <c r="AO71" i="37"/>
  <c r="AO47" i="37"/>
  <c r="AO29" i="37"/>
  <c r="AO41" i="37"/>
  <c r="AO50" i="37"/>
  <c r="AO59" i="37"/>
  <c r="AO52" i="37"/>
  <c r="AO48" i="37"/>
  <c r="AO38" i="37"/>
  <c r="AO45" i="37"/>
  <c r="AO33" i="37"/>
  <c r="AO32" i="37"/>
  <c r="AO70" i="37"/>
  <c r="AO35" i="37"/>
  <c r="AO34" i="37"/>
  <c r="AO42" i="37"/>
  <c r="AO55" i="37"/>
  <c r="AO40" i="37"/>
  <c r="AO44" i="37"/>
  <c r="AO36" i="37"/>
  <c r="AO28" i="37"/>
  <c r="AO43" i="37"/>
  <c r="T30" i="63" l="1"/>
  <c r="Q30" i="63"/>
  <c r="V30" i="63"/>
  <c r="AA30" i="63" s="1"/>
  <c r="D31" i="63"/>
  <c r="G31" i="63"/>
  <c r="AP26" i="37"/>
  <c r="AP6" i="37" s="1"/>
  <c r="AP7" i="37"/>
  <c r="AO94" i="37"/>
  <c r="AO91" i="37"/>
  <c r="AO88" i="37"/>
  <c r="AO93" i="37"/>
  <c r="AO87" i="37"/>
  <c r="AO84" i="37"/>
  <c r="AP80" i="37"/>
  <c r="AP77" i="37"/>
  <c r="AP82" i="37"/>
  <c r="AP81" i="37"/>
  <c r="AP79" i="37"/>
  <c r="AP75" i="37"/>
  <c r="AP74" i="37"/>
  <c r="AP72" i="37"/>
  <c r="AO89" i="37"/>
  <c r="AP76" i="37"/>
  <c r="AP69" i="37"/>
  <c r="AO85" i="37"/>
  <c r="AP78" i="37"/>
  <c r="AO90" i="37"/>
  <c r="AP66" i="37"/>
  <c r="AP58" i="37"/>
  <c r="AP67" i="37"/>
  <c r="AP62" i="37"/>
  <c r="AO83" i="37"/>
  <c r="AP65" i="37"/>
  <c r="AP54" i="37"/>
  <c r="AP64" i="37"/>
  <c r="AP60" i="37"/>
  <c r="AP53" i="37"/>
  <c r="AP73" i="37"/>
  <c r="AP59" i="37"/>
  <c r="AP56" i="37"/>
  <c r="AO86" i="37"/>
  <c r="AP57" i="37"/>
  <c r="AP68" i="37"/>
  <c r="AP63" i="37"/>
  <c r="AP51" i="37"/>
  <c r="AP49" i="37"/>
  <c r="AP47" i="37"/>
  <c r="AP45" i="37"/>
  <c r="AP43" i="37"/>
  <c r="AP41" i="37"/>
  <c r="AP39" i="37"/>
  <c r="AP37" i="37"/>
  <c r="AP35" i="37"/>
  <c r="AP33" i="37"/>
  <c r="AP31" i="37"/>
  <c r="AO92" i="37"/>
  <c r="AP61" i="37"/>
  <c r="AP50" i="37"/>
  <c r="AP44" i="37"/>
  <c r="AP29" i="37"/>
  <c r="AP46" i="37"/>
  <c r="AP30" i="37"/>
  <c r="AP48" i="37"/>
  <c r="AP32" i="37"/>
  <c r="AP52" i="37"/>
  <c r="AP38" i="37"/>
  <c r="AP71" i="37"/>
  <c r="AP36" i="37"/>
  <c r="AP28" i="37"/>
  <c r="AQ27" i="37"/>
  <c r="AQ7" i="37" s="1"/>
  <c r="AP55" i="37"/>
  <c r="AP70" i="37"/>
  <c r="AP34" i="37"/>
  <c r="AP42" i="37"/>
  <c r="AP40" i="37"/>
  <c r="R30" i="63" l="1"/>
  <c r="AL30" i="63" s="1"/>
  <c r="AB30" i="63"/>
  <c r="AG30" i="63"/>
  <c r="AJ30" i="63" s="1"/>
  <c r="U30" i="63"/>
  <c r="F31" i="63"/>
  <c r="H31" i="63"/>
  <c r="C32" i="63" s="1"/>
  <c r="AP91" i="37"/>
  <c r="AP88" i="37"/>
  <c r="AP93" i="37"/>
  <c r="AP92" i="37"/>
  <c r="AP90" i="37"/>
  <c r="AP87" i="37"/>
  <c r="AQ79" i="37"/>
  <c r="AP86" i="37"/>
  <c r="AP85" i="37"/>
  <c r="AP94" i="37"/>
  <c r="AP84" i="37"/>
  <c r="AP83" i="37"/>
  <c r="AP89" i="37"/>
  <c r="AQ78" i="37"/>
  <c r="AQ73" i="37"/>
  <c r="AQ81" i="37"/>
  <c r="AQ76" i="37"/>
  <c r="AQ75" i="37"/>
  <c r="AQ71" i="37"/>
  <c r="AQ82" i="37"/>
  <c r="AQ62" i="37"/>
  <c r="AQ74" i="37"/>
  <c r="AQ67" i="37"/>
  <c r="AQ68" i="37"/>
  <c r="AQ80" i="37"/>
  <c r="AQ63" i="37"/>
  <c r="AQ61" i="37"/>
  <c r="AQ59" i="37"/>
  <c r="AQ57" i="37"/>
  <c r="AQ55" i="37"/>
  <c r="AQ53" i="37"/>
  <c r="AQ64" i="37"/>
  <c r="AQ60" i="37"/>
  <c r="AQ77" i="37"/>
  <c r="AQ69" i="37"/>
  <c r="AQ56" i="37"/>
  <c r="AQ66" i="37"/>
  <c r="AQ52" i="37"/>
  <c r="AQ50" i="37"/>
  <c r="AQ72" i="37"/>
  <c r="AQ65" i="37"/>
  <c r="AQ58" i="37"/>
  <c r="AQ51" i="37"/>
  <c r="AQ49" i="37"/>
  <c r="AQ47" i="37"/>
  <c r="AQ45" i="37"/>
  <c r="AQ43" i="37"/>
  <c r="AQ41" i="37"/>
  <c r="AQ39" i="37"/>
  <c r="AQ37" i="37"/>
  <c r="AQ70" i="37"/>
  <c r="AQ46" i="37"/>
  <c r="AQ31" i="37"/>
  <c r="AQ30" i="37"/>
  <c r="AQ48" i="37"/>
  <c r="AQ44" i="37"/>
  <c r="AQ32" i="37"/>
  <c r="AQ29" i="37"/>
  <c r="AQ42" i="37"/>
  <c r="AQ33" i="37"/>
  <c r="AQ34" i="37"/>
  <c r="AQ40" i="37"/>
  <c r="AQ36" i="37"/>
  <c r="AQ28" i="37"/>
  <c r="AR27" i="37"/>
  <c r="AQ54" i="37"/>
  <c r="AQ38" i="37"/>
  <c r="AQ35" i="37"/>
  <c r="AQ26" i="37"/>
  <c r="AQ6" i="37" s="1"/>
  <c r="B32" i="63" l="1"/>
  <c r="E32" i="63" s="1"/>
  <c r="A31" i="63"/>
  <c r="AR26" i="37"/>
  <c r="AR6" i="37" s="1"/>
  <c r="AR7" i="37"/>
  <c r="AQ88" i="37"/>
  <c r="AQ93" i="37"/>
  <c r="AQ90" i="37"/>
  <c r="AQ85" i="37"/>
  <c r="AQ83" i="37"/>
  <c r="AQ91" i="37"/>
  <c r="AR81" i="37"/>
  <c r="AQ94" i="37"/>
  <c r="AQ87" i="37"/>
  <c r="AR73" i="37"/>
  <c r="AR71" i="37"/>
  <c r="AQ86" i="37"/>
  <c r="AR82" i="37"/>
  <c r="AR68" i="37"/>
  <c r="AR66" i="37"/>
  <c r="AR64" i="37"/>
  <c r="AR62" i="37"/>
  <c r="AR60" i="37"/>
  <c r="AQ89" i="37"/>
  <c r="AR63" i="37"/>
  <c r="AR78" i="37"/>
  <c r="AR76" i="37"/>
  <c r="AR80" i="37"/>
  <c r="AQ84" i="37"/>
  <c r="AR69" i="37"/>
  <c r="AQ92" i="37"/>
  <c r="AR72" i="37"/>
  <c r="AR70" i="37"/>
  <c r="AR77" i="37"/>
  <c r="AR75" i="37"/>
  <c r="AR56" i="37"/>
  <c r="AR53" i="37"/>
  <c r="AR59" i="37"/>
  <c r="AR52" i="37"/>
  <c r="AR61" i="37"/>
  <c r="AR57" i="37"/>
  <c r="AR58" i="37"/>
  <c r="AR51" i="37"/>
  <c r="AR49" i="37"/>
  <c r="AR47" i="37"/>
  <c r="AR45" i="37"/>
  <c r="AR43" i="37"/>
  <c r="AR41" i="37"/>
  <c r="AR39" i="37"/>
  <c r="AR37" i="37"/>
  <c r="AR35" i="37"/>
  <c r="AR33" i="37"/>
  <c r="AR31" i="37"/>
  <c r="AR29" i="37"/>
  <c r="AR67" i="37"/>
  <c r="AR54" i="37"/>
  <c r="AR79" i="37"/>
  <c r="AR48" i="37"/>
  <c r="AR44" i="37"/>
  <c r="AR32" i="37"/>
  <c r="AR74" i="37"/>
  <c r="AR50" i="37"/>
  <c r="AR42" i="37"/>
  <c r="AR40" i="37"/>
  <c r="AR34" i="37"/>
  <c r="AR28" i="37"/>
  <c r="AR65" i="37"/>
  <c r="AR36" i="37"/>
  <c r="AS27" i="37"/>
  <c r="AR46" i="37"/>
  <c r="AR55" i="37"/>
  <c r="AR38" i="37"/>
  <c r="AR30" i="37"/>
  <c r="T31" i="63" l="1"/>
  <c r="Q31" i="63"/>
  <c r="V31" i="63"/>
  <c r="AA31" i="63" s="1"/>
  <c r="D32" i="63"/>
  <c r="G32" i="63"/>
  <c r="AS26" i="37"/>
  <c r="AS6" i="37" s="1"/>
  <c r="AS7" i="37"/>
  <c r="AR93" i="37"/>
  <c r="AR90" i="37"/>
  <c r="AR94" i="37"/>
  <c r="AS80" i="37"/>
  <c r="AS77" i="37"/>
  <c r="AS75" i="37"/>
  <c r="AR89" i="37"/>
  <c r="AR85" i="37"/>
  <c r="AR91" i="37"/>
  <c r="AR86" i="37"/>
  <c r="AS82" i="37"/>
  <c r="AR92" i="37"/>
  <c r="AR84" i="37"/>
  <c r="AS72" i="37"/>
  <c r="AR87" i="37"/>
  <c r="AS70" i="37"/>
  <c r="AS69" i="37"/>
  <c r="AS67" i="37"/>
  <c r="AS65" i="37"/>
  <c r="AS63" i="37"/>
  <c r="AS78" i="37"/>
  <c r="AS76" i="37"/>
  <c r="AS81" i="37"/>
  <c r="AS68" i="37"/>
  <c r="AR88" i="37"/>
  <c r="AS79" i="37"/>
  <c r="AS73" i="37"/>
  <c r="AS61" i="37"/>
  <c r="AS59" i="37"/>
  <c r="AS57" i="37"/>
  <c r="AS64" i="37"/>
  <c r="AS60" i="37"/>
  <c r="AS52" i="37"/>
  <c r="AS66" i="37"/>
  <c r="AS53" i="37"/>
  <c r="AS56" i="37"/>
  <c r="AS54" i="37"/>
  <c r="AS48" i="37"/>
  <c r="AS74" i="37"/>
  <c r="AS50" i="37"/>
  <c r="AS42" i="37"/>
  <c r="AS37" i="37"/>
  <c r="AS29" i="37"/>
  <c r="AS40" i="37"/>
  <c r="AS34" i="37"/>
  <c r="AS33" i="37"/>
  <c r="AS28" i="37"/>
  <c r="AS38" i="37"/>
  <c r="AS46" i="37"/>
  <c r="AS30" i="37"/>
  <c r="AS39" i="37"/>
  <c r="AS36" i="37"/>
  <c r="AT27" i="37"/>
  <c r="AT7" i="37" s="1"/>
  <c r="AS45" i="37"/>
  <c r="AS32" i="37"/>
  <c r="AS31" i="37"/>
  <c r="AR83" i="37"/>
  <c r="AS51" i="37"/>
  <c r="AS44" i="37"/>
  <c r="AS35" i="37"/>
  <c r="AS62" i="37"/>
  <c r="AS41" i="37"/>
  <c r="AS58" i="37"/>
  <c r="AS55" i="37"/>
  <c r="AS43" i="37"/>
  <c r="AS71" i="37"/>
  <c r="AS49" i="37"/>
  <c r="AS47" i="37"/>
  <c r="AB31" i="63" l="1"/>
  <c r="AG31" i="63"/>
  <c r="AJ31" i="63" s="1"/>
  <c r="R31" i="63"/>
  <c r="AL31" i="63" s="1"/>
  <c r="U31" i="63"/>
  <c r="H32" i="63"/>
  <c r="C33" i="63" s="1"/>
  <c r="F32" i="63"/>
  <c r="AS90" i="37"/>
  <c r="AS87" i="37"/>
  <c r="AS92" i="37"/>
  <c r="AS91" i="37"/>
  <c r="AS86" i="37"/>
  <c r="AS89" i="37"/>
  <c r="AT82" i="37"/>
  <c r="AS88" i="37"/>
  <c r="AS83" i="37"/>
  <c r="AT81" i="37"/>
  <c r="AT79" i="37"/>
  <c r="AT78" i="37"/>
  <c r="AT76" i="37"/>
  <c r="AS85" i="37"/>
  <c r="AT64" i="37"/>
  <c r="AT80" i="37"/>
  <c r="AT70" i="37"/>
  <c r="AT65" i="37"/>
  <c r="AT77" i="37"/>
  <c r="AT75" i="37"/>
  <c r="AT71" i="37"/>
  <c r="AS94" i="37"/>
  <c r="AT73" i="37"/>
  <c r="AT69" i="37"/>
  <c r="AT61" i="37"/>
  <c r="AT59" i="37"/>
  <c r="AT57" i="37"/>
  <c r="AT62" i="37"/>
  <c r="AT66" i="37"/>
  <c r="AS93" i="37"/>
  <c r="AT63" i="37"/>
  <c r="AT68" i="37"/>
  <c r="AT60" i="37"/>
  <c r="AT53" i="37"/>
  <c r="AS84" i="37"/>
  <c r="AT67" i="37"/>
  <c r="AT56" i="37"/>
  <c r="AT54" i="37"/>
  <c r="AT48" i="37"/>
  <c r="AT46" i="37"/>
  <c r="AT44" i="37"/>
  <c r="AT42" i="37"/>
  <c r="AT40" i="37"/>
  <c r="AT38" i="37"/>
  <c r="AT36" i="37"/>
  <c r="AT34" i="37"/>
  <c r="AT32" i="37"/>
  <c r="AT74" i="37"/>
  <c r="AT55" i="37"/>
  <c r="AT52" i="37"/>
  <c r="AT50" i="37"/>
  <c r="AT33" i="37"/>
  <c r="AT28" i="37"/>
  <c r="AT47" i="37"/>
  <c r="AT35" i="37"/>
  <c r="AT45" i="37"/>
  <c r="AT37" i="37"/>
  <c r="AT31" i="37"/>
  <c r="AT49" i="37"/>
  <c r="AT51" i="37"/>
  <c r="AT58" i="37"/>
  <c r="AT43" i="37"/>
  <c r="AT30" i="37"/>
  <c r="AT39" i="37"/>
  <c r="AT29" i="37"/>
  <c r="AT72" i="37"/>
  <c r="AT41" i="37"/>
  <c r="AU27" i="37"/>
  <c r="AU7" i="37" s="1"/>
  <c r="AT26" i="37"/>
  <c r="AT6" i="37" s="1"/>
  <c r="B33" i="63" l="1"/>
  <c r="E33" i="63" s="1"/>
  <c r="A32" i="63"/>
  <c r="AT92" i="37"/>
  <c r="AT94" i="37"/>
  <c r="AT84" i="37"/>
  <c r="AT93" i="37"/>
  <c r="AT88" i="37"/>
  <c r="AT85" i="37"/>
  <c r="AU81" i="37"/>
  <c r="AT91" i="37"/>
  <c r="AT87" i="37"/>
  <c r="AT83" i="37"/>
  <c r="AT86" i="37"/>
  <c r="AU75" i="37"/>
  <c r="AU71" i="37"/>
  <c r="AU74" i="37"/>
  <c r="AT90" i="37"/>
  <c r="AU80" i="37"/>
  <c r="AU77" i="37"/>
  <c r="AU70" i="37"/>
  <c r="AU65" i="37"/>
  <c r="AU66" i="37"/>
  <c r="AU72" i="37"/>
  <c r="AT89" i="37"/>
  <c r="AU79" i="37"/>
  <c r="AU62" i="37"/>
  <c r="AU63" i="37"/>
  <c r="AU60" i="37"/>
  <c r="AU58" i="37"/>
  <c r="AU56" i="37"/>
  <c r="AU54" i="37"/>
  <c r="AU69" i="37"/>
  <c r="AU59" i="37"/>
  <c r="AU73" i="37"/>
  <c r="AU61" i="37"/>
  <c r="AU57" i="37"/>
  <c r="AU82" i="37"/>
  <c r="AU67" i="37"/>
  <c r="AU55" i="37"/>
  <c r="AU51" i="37"/>
  <c r="AU48" i="37"/>
  <c r="AU46" i="37"/>
  <c r="AU44" i="37"/>
  <c r="AU42" i="37"/>
  <c r="AU40" i="37"/>
  <c r="AU38" i="37"/>
  <c r="AU36" i="37"/>
  <c r="AU52" i="37"/>
  <c r="AU50" i="37"/>
  <c r="AU34" i="37"/>
  <c r="AV27" i="37"/>
  <c r="AU47" i="37"/>
  <c r="AU35" i="37"/>
  <c r="AU45" i="37"/>
  <c r="AU68" i="37"/>
  <c r="AU53" i="37"/>
  <c r="AU32" i="37"/>
  <c r="AU28" i="37"/>
  <c r="AU43" i="37"/>
  <c r="AU33" i="37"/>
  <c r="AU29" i="37"/>
  <c r="AU49" i="37"/>
  <c r="AU39" i="37"/>
  <c r="AU64" i="37"/>
  <c r="AU31" i="37"/>
  <c r="AU41" i="37"/>
  <c r="AU30" i="37"/>
  <c r="AU76" i="37"/>
  <c r="AU78" i="37"/>
  <c r="AU37" i="37"/>
  <c r="AU26" i="37"/>
  <c r="AU6" i="37" s="1"/>
  <c r="T32" i="63" l="1"/>
  <c r="Q32" i="63"/>
  <c r="V32" i="63"/>
  <c r="AA32" i="63" s="1"/>
  <c r="D33" i="63"/>
  <c r="G33" i="63"/>
  <c r="AV26" i="37"/>
  <c r="AV6" i="37" s="1"/>
  <c r="AV7" i="37"/>
  <c r="AU92" i="37"/>
  <c r="AU89" i="37"/>
  <c r="AU94" i="37"/>
  <c r="AU93" i="37"/>
  <c r="AU88" i="37"/>
  <c r="AU91" i="37"/>
  <c r="AU84" i="37"/>
  <c r="AU87" i="37"/>
  <c r="AU90" i="37"/>
  <c r="AU85" i="37"/>
  <c r="AV80" i="37"/>
  <c r="AV77" i="37"/>
  <c r="AV74" i="37"/>
  <c r="AV72" i="37"/>
  <c r="AV70" i="37"/>
  <c r="AV69" i="37"/>
  <c r="AV67" i="37"/>
  <c r="AV65" i="37"/>
  <c r="AV63" i="37"/>
  <c r="AV61" i="37"/>
  <c r="AV79" i="37"/>
  <c r="AV78" i="37"/>
  <c r="AV66" i="37"/>
  <c r="AV81" i="37"/>
  <c r="AV75" i="37"/>
  <c r="AV71" i="37"/>
  <c r="AV73" i="37"/>
  <c r="AV60" i="37"/>
  <c r="AV64" i="37"/>
  <c r="AV76" i="37"/>
  <c r="AV57" i="37"/>
  <c r="AV82" i="37"/>
  <c r="AV55" i="37"/>
  <c r="AV51" i="37"/>
  <c r="AV56" i="37"/>
  <c r="AV54" i="37"/>
  <c r="AV48" i="37"/>
  <c r="AV46" i="37"/>
  <c r="AV44" i="37"/>
  <c r="AV42" i="37"/>
  <c r="AV40" i="37"/>
  <c r="AV38" i="37"/>
  <c r="AV36" i="37"/>
  <c r="AV34" i="37"/>
  <c r="AV32" i="37"/>
  <c r="AV30" i="37"/>
  <c r="AV28" i="37"/>
  <c r="AV52" i="37"/>
  <c r="AV50" i="37"/>
  <c r="AV47" i="37"/>
  <c r="AV35" i="37"/>
  <c r="AV62" i="37"/>
  <c r="AV53" i="37"/>
  <c r="AV45" i="37"/>
  <c r="AW27" i="37"/>
  <c r="AW7" i="37" s="1"/>
  <c r="AU83" i="37"/>
  <c r="AV43" i="37"/>
  <c r="AV59" i="37"/>
  <c r="AV33" i="37"/>
  <c r="AV39" i="37"/>
  <c r="AV68" i="37"/>
  <c r="AV58" i="37"/>
  <c r="AV29" i="37"/>
  <c r="AV41" i="37"/>
  <c r="AV49" i="37"/>
  <c r="AU86" i="37"/>
  <c r="AV37" i="37"/>
  <c r="AV31" i="37"/>
  <c r="AB32" i="63" l="1"/>
  <c r="AG32" i="63"/>
  <c r="AJ32" i="63" s="1"/>
  <c r="R32" i="63"/>
  <c r="AL32" i="63" s="1"/>
  <c r="U32" i="63"/>
  <c r="F33" i="63"/>
  <c r="H33" i="63"/>
  <c r="C34" i="63" s="1"/>
  <c r="AV89" i="37"/>
  <c r="AV94" i="37"/>
  <c r="AV91" i="37"/>
  <c r="AV90" i="37"/>
  <c r="AV86" i="37"/>
  <c r="AW82" i="37"/>
  <c r="AW78" i="37"/>
  <c r="AW76" i="37"/>
  <c r="AV85" i="37"/>
  <c r="AV88" i="37"/>
  <c r="AW81" i="37"/>
  <c r="AW70" i="37"/>
  <c r="AW80" i="37"/>
  <c r="AW79" i="37"/>
  <c r="AW77" i="37"/>
  <c r="AW73" i="37"/>
  <c r="AW68" i="37"/>
  <c r="AW66" i="37"/>
  <c r="AW64" i="37"/>
  <c r="AW62" i="37"/>
  <c r="AV83" i="37"/>
  <c r="AW75" i="37"/>
  <c r="AW71" i="37"/>
  <c r="AW72" i="37"/>
  <c r="AW67" i="37"/>
  <c r="AV93" i="37"/>
  <c r="AW63" i="37"/>
  <c r="AW58" i="37"/>
  <c r="AW56" i="37"/>
  <c r="AW61" i="37"/>
  <c r="AW55" i="37"/>
  <c r="AW51" i="37"/>
  <c r="AW74" i="37"/>
  <c r="AW54" i="37"/>
  <c r="AV84" i="37"/>
  <c r="AW52" i="37"/>
  <c r="AW50" i="37"/>
  <c r="AV92" i="37"/>
  <c r="AV87" i="37"/>
  <c r="AW49" i="37"/>
  <c r="AW45" i="37"/>
  <c r="AW40" i="37"/>
  <c r="AX27" i="37"/>
  <c r="AW65" i="37"/>
  <c r="AW36" i="37"/>
  <c r="AW53" i="37"/>
  <c r="AW43" i="37"/>
  <c r="AW38" i="37"/>
  <c r="AW41" i="37"/>
  <c r="AW48" i="37"/>
  <c r="AW29" i="37"/>
  <c r="AW59" i="37"/>
  <c r="AW46" i="37"/>
  <c r="AW69" i="37"/>
  <c r="AW44" i="37"/>
  <c r="AW35" i="37"/>
  <c r="AW34" i="37"/>
  <c r="AW30" i="37"/>
  <c r="AW57" i="37"/>
  <c r="AW31" i="37"/>
  <c r="AW47" i="37"/>
  <c r="AW33" i="37"/>
  <c r="AW28" i="37"/>
  <c r="AW42" i="37"/>
  <c r="AW39" i="37"/>
  <c r="AW37" i="37"/>
  <c r="AW60" i="37"/>
  <c r="AW32" i="37"/>
  <c r="AW26" i="37"/>
  <c r="AW6" i="37" s="1"/>
  <c r="B34" i="63" l="1"/>
  <c r="E34" i="63" s="1"/>
  <c r="A33" i="63"/>
  <c r="AX26" i="37"/>
  <c r="AX6" i="37" s="1"/>
  <c r="AX7" i="37"/>
  <c r="AW94" i="37"/>
  <c r="AW91" i="37"/>
  <c r="AW93" i="37"/>
  <c r="AW89" i="37"/>
  <c r="AW92" i="37"/>
  <c r="AX82" i="37"/>
  <c r="AW84" i="37"/>
  <c r="AX81" i="37"/>
  <c r="AW87" i="37"/>
  <c r="AX78" i="37"/>
  <c r="AW90" i="37"/>
  <c r="AX76" i="37"/>
  <c r="AW83" i="37"/>
  <c r="AX80" i="37"/>
  <c r="AX72" i="37"/>
  <c r="AX67" i="37"/>
  <c r="AX77" i="37"/>
  <c r="AX73" i="37"/>
  <c r="AX68" i="37"/>
  <c r="AX74" i="37"/>
  <c r="AW88" i="37"/>
  <c r="AX64" i="37"/>
  <c r="AX58" i="37"/>
  <c r="AX65" i="37"/>
  <c r="AX63" i="37"/>
  <c r="AX54" i="37"/>
  <c r="AX53" i="37"/>
  <c r="AX75" i="37"/>
  <c r="AX70" i="37"/>
  <c r="AX61" i="37"/>
  <c r="AX55" i="37"/>
  <c r="AX49" i="37"/>
  <c r="AX47" i="37"/>
  <c r="AX45" i="37"/>
  <c r="AX43" i="37"/>
  <c r="AX41" i="37"/>
  <c r="AX39" i="37"/>
  <c r="AX37" i="37"/>
  <c r="AX35" i="37"/>
  <c r="AX33" i="37"/>
  <c r="AX31" i="37"/>
  <c r="AW85" i="37"/>
  <c r="AX79" i="37"/>
  <c r="AX71" i="37"/>
  <c r="AX66" i="37"/>
  <c r="AX38" i="37"/>
  <c r="AX30" i="37"/>
  <c r="AX62" i="37"/>
  <c r="AX36" i="37"/>
  <c r="AW86" i="37"/>
  <c r="AX69" i="37"/>
  <c r="AX51" i="37"/>
  <c r="AX44" i="37"/>
  <c r="AX34" i="37"/>
  <c r="AX50" i="37"/>
  <c r="AX32" i="37"/>
  <c r="AX52" i="37"/>
  <c r="AX42" i="37"/>
  <c r="AX40" i="37"/>
  <c r="AY27" i="37"/>
  <c r="AY7" i="37" s="1"/>
  <c r="AX60" i="37"/>
  <c r="AX46" i="37"/>
  <c r="AX28" i="37"/>
  <c r="AX56" i="37"/>
  <c r="AX48" i="37"/>
  <c r="AX57" i="37"/>
  <c r="AX59" i="37"/>
  <c r="AX29" i="37"/>
  <c r="T33" i="63" l="1"/>
  <c r="Q33" i="63"/>
  <c r="V33" i="63"/>
  <c r="AA33" i="63" s="1"/>
  <c r="D34" i="63"/>
  <c r="G34" i="63"/>
  <c r="AX91" i="37"/>
  <c r="AX88" i="37"/>
  <c r="AX93" i="37"/>
  <c r="AX92" i="37"/>
  <c r="AX89" i="37"/>
  <c r="AX87" i="37"/>
  <c r="AY79" i="37"/>
  <c r="AX94" i="37"/>
  <c r="AX90" i="37"/>
  <c r="AX86" i="37"/>
  <c r="AY80" i="37"/>
  <c r="AY77" i="37"/>
  <c r="AX84" i="37"/>
  <c r="AY75" i="37"/>
  <c r="AY74" i="37"/>
  <c r="AY78" i="37"/>
  <c r="AY72" i="37"/>
  <c r="AX85" i="37"/>
  <c r="AY81" i="37"/>
  <c r="AY73" i="37"/>
  <c r="AY68" i="37"/>
  <c r="AY69" i="37"/>
  <c r="AY70" i="37"/>
  <c r="AY71" i="37"/>
  <c r="AY66" i="37"/>
  <c r="AY59" i="37"/>
  <c r="AY57" i="37"/>
  <c r="AY55" i="37"/>
  <c r="AY53" i="37"/>
  <c r="AY82" i="37"/>
  <c r="AY63" i="37"/>
  <c r="AY54" i="37"/>
  <c r="AY67" i="37"/>
  <c r="AY62" i="37"/>
  <c r="AY58" i="37"/>
  <c r="AY52" i="37"/>
  <c r="AY50" i="37"/>
  <c r="AY61" i="37"/>
  <c r="AY49" i="37"/>
  <c r="AY47" i="37"/>
  <c r="AY45" i="37"/>
  <c r="AY43" i="37"/>
  <c r="AY41" i="37"/>
  <c r="AY39" i="37"/>
  <c r="AY37" i="37"/>
  <c r="AY64" i="37"/>
  <c r="AY36" i="37"/>
  <c r="AY31" i="37"/>
  <c r="AX83" i="37"/>
  <c r="AY65" i="37"/>
  <c r="AY30" i="37"/>
  <c r="AY29" i="37"/>
  <c r="AY35" i="37"/>
  <c r="AY46" i="37"/>
  <c r="AY38" i="37"/>
  <c r="AY28" i="37"/>
  <c r="AY42" i="37"/>
  <c r="AY60" i="37"/>
  <c r="AY56" i="37"/>
  <c r="AY48" i="37"/>
  <c r="AY33" i="37"/>
  <c r="AY51" i="37"/>
  <c r="AY76" i="37"/>
  <c r="AY40" i="37"/>
  <c r="AZ27" i="37"/>
  <c r="AY32" i="37"/>
  <c r="AY44" i="37"/>
  <c r="AY34" i="37"/>
  <c r="AY26" i="37"/>
  <c r="AY6" i="37" s="1"/>
  <c r="AG33" i="63" l="1"/>
  <c r="AJ33" i="63" s="1"/>
  <c r="R33" i="63"/>
  <c r="AL33" i="63" s="1"/>
  <c r="AB33" i="63"/>
  <c r="U33" i="63"/>
  <c r="H34" i="63"/>
  <c r="C35" i="63" s="1"/>
  <c r="F34" i="63"/>
  <c r="AZ26" i="37"/>
  <c r="AZ6" i="37" s="1"/>
  <c r="AZ7" i="37"/>
  <c r="AY88" i="37"/>
  <c r="AY93" i="37"/>
  <c r="AY90" i="37"/>
  <c r="AY87" i="37"/>
  <c r="AY85" i="37"/>
  <c r="AY83" i="37"/>
  <c r="AY86" i="37"/>
  <c r="AY92" i="37"/>
  <c r="AY89" i="37"/>
  <c r="AZ79" i="37"/>
  <c r="AZ73" i="37"/>
  <c r="AZ71" i="37"/>
  <c r="AZ68" i="37"/>
  <c r="AZ66" i="37"/>
  <c r="AZ64" i="37"/>
  <c r="AZ62" i="37"/>
  <c r="AZ60" i="37"/>
  <c r="AZ82" i="37"/>
  <c r="AZ76" i="37"/>
  <c r="AZ77" i="37"/>
  <c r="AZ69" i="37"/>
  <c r="AZ74" i="37"/>
  <c r="AY94" i="37"/>
  <c r="AZ70" i="37"/>
  <c r="AY91" i="37"/>
  <c r="AZ72" i="37"/>
  <c r="AZ65" i="37"/>
  <c r="AZ67" i="37"/>
  <c r="AZ61" i="37"/>
  <c r="AZ58" i="37"/>
  <c r="AZ53" i="37"/>
  <c r="AZ52" i="37"/>
  <c r="AZ56" i="37"/>
  <c r="AZ63" i="37"/>
  <c r="AZ49" i="37"/>
  <c r="AZ47" i="37"/>
  <c r="AZ45" i="37"/>
  <c r="AZ43" i="37"/>
  <c r="AZ41" i="37"/>
  <c r="AZ39" i="37"/>
  <c r="AZ37" i="37"/>
  <c r="AZ35" i="37"/>
  <c r="AZ33" i="37"/>
  <c r="AZ31" i="37"/>
  <c r="AZ29" i="37"/>
  <c r="AZ55" i="37"/>
  <c r="AZ81" i="37"/>
  <c r="AZ80" i="37"/>
  <c r="AZ78" i="37"/>
  <c r="AZ59" i="37"/>
  <c r="AZ51" i="37"/>
  <c r="AZ30" i="37"/>
  <c r="AZ46" i="37"/>
  <c r="AZ32" i="37"/>
  <c r="AZ42" i="37"/>
  <c r="AZ75" i="37"/>
  <c r="AZ44" i="37"/>
  <c r="AZ36" i="37"/>
  <c r="AY84" i="37"/>
  <c r="AZ54" i="37"/>
  <c r="AZ40" i="37"/>
  <c r="AZ38" i="37"/>
  <c r="AZ28" i="37"/>
  <c r="AZ50" i="37"/>
  <c r="AZ48" i="37"/>
  <c r="AZ34" i="37"/>
  <c r="AZ57" i="37"/>
  <c r="BA27" i="37"/>
  <c r="B35" i="63" l="1"/>
  <c r="E35" i="63" s="1"/>
  <c r="A34" i="63"/>
  <c r="BA26" i="37"/>
  <c r="BA6" i="37" s="1"/>
  <c r="BA7" i="37"/>
  <c r="AZ93" i="37"/>
  <c r="AZ90" i="37"/>
  <c r="AZ94" i="37"/>
  <c r="AZ92" i="37"/>
  <c r="BA80" i="37"/>
  <c r="BA77" i="37"/>
  <c r="BA75" i="37"/>
  <c r="AZ85" i="37"/>
  <c r="AZ89" i="37"/>
  <c r="AZ84" i="37"/>
  <c r="BA81" i="37"/>
  <c r="AZ83" i="37"/>
  <c r="BA82" i="37"/>
  <c r="AZ88" i="37"/>
  <c r="BA73" i="37"/>
  <c r="BA76" i="37"/>
  <c r="BA71" i="37"/>
  <c r="BA69" i="37"/>
  <c r="BA67" i="37"/>
  <c r="BA65" i="37"/>
  <c r="BA63" i="37"/>
  <c r="AZ91" i="37"/>
  <c r="BA74" i="37"/>
  <c r="AZ87" i="37"/>
  <c r="BA79" i="37"/>
  <c r="BA72" i="37"/>
  <c r="BA59" i="37"/>
  <c r="BA57" i="37"/>
  <c r="BA58" i="37"/>
  <c r="BA53" i="37"/>
  <c r="BA52" i="37"/>
  <c r="BA62" i="37"/>
  <c r="BA56" i="37"/>
  <c r="BA78" i="37"/>
  <c r="BA70" i="37"/>
  <c r="BA61" i="37"/>
  <c r="BA55" i="37"/>
  <c r="BA64" i="37"/>
  <c r="BA51" i="37"/>
  <c r="BA66" i="37"/>
  <c r="BA48" i="37"/>
  <c r="BA43" i="37"/>
  <c r="BA54" i="37"/>
  <c r="BA44" i="37"/>
  <c r="BA28" i="37"/>
  <c r="AZ86" i="37"/>
  <c r="BA46" i="37"/>
  <c r="BA41" i="37"/>
  <c r="BA32" i="37"/>
  <c r="BA31" i="37"/>
  <c r="BA29" i="37"/>
  <c r="BA39" i="37"/>
  <c r="BB27" i="37"/>
  <c r="BB7" i="37" s="1"/>
  <c r="BA37" i="37"/>
  <c r="BA45" i="37"/>
  <c r="BA40" i="37"/>
  <c r="BA30" i="37"/>
  <c r="BA60" i="37"/>
  <c r="BA50" i="37"/>
  <c r="BA47" i="37"/>
  <c r="BA36" i="37"/>
  <c r="BA68" i="37"/>
  <c r="BA42" i="37"/>
  <c r="BA49" i="37"/>
  <c r="BA38" i="37"/>
  <c r="BA34" i="37"/>
  <c r="BA33" i="37"/>
  <c r="BA35" i="37"/>
  <c r="T34" i="63" l="1"/>
  <c r="Q34" i="63"/>
  <c r="V34" i="63"/>
  <c r="AA34" i="63" s="1"/>
  <c r="D35" i="63"/>
  <c r="G35" i="63"/>
  <c r="BA90" i="37"/>
  <c r="BA87" i="37"/>
  <c r="BA92" i="37"/>
  <c r="BA91" i="37"/>
  <c r="BA93" i="37"/>
  <c r="BA88" i="37"/>
  <c r="BA94" i="37"/>
  <c r="BA83" i="37"/>
  <c r="BB81" i="37"/>
  <c r="BB80" i="37"/>
  <c r="BB79" i="37"/>
  <c r="BB78" i="37"/>
  <c r="BB77" i="37"/>
  <c r="BB72" i="37"/>
  <c r="BA85" i="37"/>
  <c r="BB82" i="37"/>
  <c r="BB75" i="37"/>
  <c r="BB70" i="37"/>
  <c r="BA86" i="37"/>
  <c r="BA84" i="37"/>
  <c r="BB62" i="37"/>
  <c r="BB65" i="37"/>
  <c r="BB59" i="37"/>
  <c r="BB57" i="37"/>
  <c r="BB76" i="37"/>
  <c r="BB66" i="37"/>
  <c r="BB61" i="37"/>
  <c r="BB74" i="37"/>
  <c r="BB68" i="37"/>
  <c r="BB60" i="37"/>
  <c r="BB73" i="37"/>
  <c r="BB67" i="37"/>
  <c r="BB56" i="37"/>
  <c r="BB71" i="37"/>
  <c r="BB64" i="37"/>
  <c r="BB51" i="37"/>
  <c r="BA89" i="37"/>
  <c r="BB48" i="37"/>
  <c r="BB46" i="37"/>
  <c r="BB44" i="37"/>
  <c r="BB42" i="37"/>
  <c r="BB40" i="37"/>
  <c r="BB38" i="37"/>
  <c r="BB36" i="37"/>
  <c r="BB34" i="37"/>
  <c r="BB32" i="37"/>
  <c r="BB69" i="37"/>
  <c r="BB53" i="37"/>
  <c r="BB41" i="37"/>
  <c r="BB31" i="37"/>
  <c r="BB29" i="37"/>
  <c r="BB52" i="37"/>
  <c r="BB33" i="37"/>
  <c r="BB54" i="37"/>
  <c r="BB39" i="37"/>
  <c r="BB28" i="37"/>
  <c r="BB49" i="37"/>
  <c r="BB37" i="37"/>
  <c r="BB58" i="37"/>
  <c r="BB43" i="37"/>
  <c r="BB30" i="37"/>
  <c r="BB35" i="37"/>
  <c r="BC27" i="37"/>
  <c r="BB55" i="37"/>
  <c r="BB47" i="37"/>
  <c r="BB63" i="37"/>
  <c r="BB50" i="37"/>
  <c r="BB45" i="37"/>
  <c r="BB26" i="37"/>
  <c r="BB6" i="37" s="1"/>
  <c r="AB34" i="63" l="1"/>
  <c r="R34" i="63"/>
  <c r="AL34" i="63" s="1"/>
  <c r="AG34" i="63"/>
  <c r="AJ34" i="63" s="1"/>
  <c r="U34" i="63"/>
  <c r="F35" i="63"/>
  <c r="H35" i="63"/>
  <c r="C36" i="63" s="1"/>
  <c r="BC26" i="37"/>
  <c r="BC6" i="37" s="1"/>
  <c r="BC7" i="37"/>
  <c r="BB92" i="37"/>
  <c r="BB84" i="37"/>
  <c r="BB94" i="37"/>
  <c r="BB86" i="37"/>
  <c r="BC81" i="37"/>
  <c r="BB88" i="37"/>
  <c r="BC82" i="37"/>
  <c r="BC79" i="37"/>
  <c r="BC78" i="37"/>
  <c r="BB89" i="37"/>
  <c r="BB87" i="37"/>
  <c r="BB91" i="37"/>
  <c r="BB90" i="37"/>
  <c r="BC63" i="37"/>
  <c r="BB93" i="37"/>
  <c r="BB83" i="37"/>
  <c r="BC76" i="37"/>
  <c r="BC66" i="37"/>
  <c r="BC61" i="37"/>
  <c r="BB85" i="37"/>
  <c r="BC80" i="37"/>
  <c r="BC71" i="37"/>
  <c r="BC67" i="37"/>
  <c r="BC77" i="37"/>
  <c r="BC75" i="37"/>
  <c r="BC69" i="37"/>
  <c r="BC62" i="37"/>
  <c r="BC58" i="37"/>
  <c r="BC56" i="37"/>
  <c r="BC54" i="37"/>
  <c r="BC74" i="37"/>
  <c r="BC70" i="37"/>
  <c r="BC68" i="37"/>
  <c r="BC60" i="37"/>
  <c r="BC51" i="37"/>
  <c r="BC64" i="37"/>
  <c r="BC73" i="37"/>
  <c r="BC48" i="37"/>
  <c r="BC46" i="37"/>
  <c r="BC44" i="37"/>
  <c r="BC42" i="37"/>
  <c r="BC40" i="37"/>
  <c r="BC38" i="37"/>
  <c r="BC36" i="37"/>
  <c r="BC59" i="37"/>
  <c r="BC53" i="37"/>
  <c r="BC50" i="37"/>
  <c r="BC65" i="37"/>
  <c r="BC39" i="37"/>
  <c r="BC32" i="37"/>
  <c r="BC28" i="37"/>
  <c r="BC55" i="37"/>
  <c r="BC34" i="37"/>
  <c r="BC52" i="37"/>
  <c r="BC49" i="37"/>
  <c r="BC37" i="37"/>
  <c r="BC33" i="37"/>
  <c r="BD27" i="37"/>
  <c r="BC35" i="37"/>
  <c r="BC41" i="37"/>
  <c r="BC57" i="37"/>
  <c r="BC29" i="37"/>
  <c r="BC43" i="37"/>
  <c r="BC30" i="37"/>
  <c r="BC72" i="37"/>
  <c r="BC47" i="37"/>
  <c r="BC31" i="37"/>
  <c r="BC45" i="37"/>
  <c r="B36" i="63" l="1"/>
  <c r="E36" i="63" s="1"/>
  <c r="A35" i="63"/>
  <c r="BD26" i="37"/>
  <c r="BD6" i="37" s="1"/>
  <c r="BD7" i="37"/>
  <c r="BC92" i="37"/>
  <c r="BC89" i="37"/>
  <c r="BC94" i="37"/>
  <c r="BC93" i="37"/>
  <c r="BC91" i="37"/>
  <c r="BC85" i="37"/>
  <c r="BC90" i="37"/>
  <c r="BC83" i="37"/>
  <c r="BC87" i="37"/>
  <c r="BC84" i="37"/>
  <c r="BC86" i="37"/>
  <c r="BD74" i="37"/>
  <c r="BD72" i="37"/>
  <c r="BD70" i="37"/>
  <c r="BD76" i="37"/>
  <c r="BD71" i="37"/>
  <c r="BD69" i="37"/>
  <c r="BD67" i="37"/>
  <c r="BD65" i="37"/>
  <c r="BD63" i="37"/>
  <c r="BD61" i="37"/>
  <c r="BD64" i="37"/>
  <c r="BD79" i="37"/>
  <c r="BC88" i="37"/>
  <c r="BD80" i="37"/>
  <c r="BD68" i="37"/>
  <c r="BD60" i="37"/>
  <c r="BD62" i="37"/>
  <c r="BD78" i="37"/>
  <c r="BD51" i="37"/>
  <c r="BD81" i="37"/>
  <c r="BD59" i="37"/>
  <c r="BD55" i="37"/>
  <c r="BD73" i="37"/>
  <c r="BD48" i="37"/>
  <c r="BD46" i="37"/>
  <c r="BD44" i="37"/>
  <c r="BD42" i="37"/>
  <c r="BD40" i="37"/>
  <c r="BD38" i="37"/>
  <c r="BD36" i="37"/>
  <c r="BD34" i="37"/>
  <c r="BD32" i="37"/>
  <c r="BD30" i="37"/>
  <c r="BD28" i="37"/>
  <c r="BD66" i="37"/>
  <c r="BD53" i="37"/>
  <c r="BD50" i="37"/>
  <c r="BD58" i="37"/>
  <c r="BD57" i="37"/>
  <c r="BD77" i="37"/>
  <c r="BD54" i="37"/>
  <c r="BD52" i="37"/>
  <c r="BD49" i="37"/>
  <c r="BD37" i="37"/>
  <c r="BD33" i="37"/>
  <c r="BD35" i="37"/>
  <c r="BE27" i="37"/>
  <c r="BD75" i="37"/>
  <c r="BD41" i="37"/>
  <c r="BD47" i="37"/>
  <c r="BD39" i="37"/>
  <c r="BD45" i="37"/>
  <c r="BD29" i="37"/>
  <c r="BD43" i="37"/>
  <c r="BD82" i="37"/>
  <c r="BD31" i="37"/>
  <c r="BD56" i="37"/>
  <c r="T35" i="63" l="1"/>
  <c r="Q35" i="63"/>
  <c r="V35" i="63"/>
  <c r="AA35" i="63" s="1"/>
  <c r="D36" i="63"/>
  <c r="G36" i="63"/>
  <c r="BE26" i="37"/>
  <c r="BE6" i="37" s="1"/>
  <c r="BE7" i="37"/>
  <c r="BD89" i="37"/>
  <c r="BD94" i="37"/>
  <c r="BD91" i="37"/>
  <c r="BD90" i="37"/>
  <c r="BD86" i="37"/>
  <c r="BD84" i="37"/>
  <c r="BE82" i="37"/>
  <c r="BE78" i="37"/>
  <c r="BE76" i="37"/>
  <c r="BD85" i="37"/>
  <c r="BE80" i="37"/>
  <c r="BE77" i="37"/>
  <c r="BD83" i="37"/>
  <c r="BE75" i="37"/>
  <c r="BE74" i="37"/>
  <c r="BE68" i="37"/>
  <c r="BE66" i="37"/>
  <c r="BE64" i="37"/>
  <c r="BE62" i="37"/>
  <c r="BD93" i="37"/>
  <c r="BD92" i="37"/>
  <c r="BE81" i="37"/>
  <c r="BE79" i="37"/>
  <c r="BD88" i="37"/>
  <c r="BD87" i="37"/>
  <c r="BE65" i="37"/>
  <c r="BE71" i="37"/>
  <c r="BE67" i="37"/>
  <c r="BE60" i="37"/>
  <c r="BE58" i="37"/>
  <c r="BE56" i="37"/>
  <c r="BE73" i="37"/>
  <c r="BE63" i="37"/>
  <c r="BE70" i="37"/>
  <c r="BE51" i="37"/>
  <c r="BE59" i="37"/>
  <c r="BE55" i="37"/>
  <c r="BE57" i="37"/>
  <c r="BE53" i="37"/>
  <c r="BE50" i="37"/>
  <c r="BE69" i="37"/>
  <c r="BE54" i="37"/>
  <c r="BE52" i="37"/>
  <c r="BE49" i="37"/>
  <c r="BE46" i="37"/>
  <c r="BF27" i="37"/>
  <c r="BE42" i="37"/>
  <c r="BE44" i="37"/>
  <c r="BE35" i="37"/>
  <c r="BE34" i="37"/>
  <c r="BE47" i="37"/>
  <c r="BE40" i="37"/>
  <c r="BE36" i="37"/>
  <c r="BE33" i="37"/>
  <c r="BE29" i="37"/>
  <c r="BE61" i="37"/>
  <c r="BE30" i="37"/>
  <c r="BE41" i="37"/>
  <c r="BE39" i="37"/>
  <c r="BE72" i="37"/>
  <c r="BE38" i="37"/>
  <c r="BE31" i="37"/>
  <c r="BE48" i="37"/>
  <c r="BE32" i="37"/>
  <c r="BE43" i="37"/>
  <c r="BE45" i="37"/>
  <c r="BE37" i="37"/>
  <c r="BE28" i="37"/>
  <c r="AG35" i="63" l="1"/>
  <c r="AJ35" i="63" s="1"/>
  <c r="R35" i="63"/>
  <c r="AL35" i="63" s="1"/>
  <c r="AB35" i="63"/>
  <c r="U35" i="63"/>
  <c r="H36" i="63"/>
  <c r="C37" i="63" s="1"/>
  <c r="F36" i="63"/>
  <c r="BF26" i="37"/>
  <c r="BF6" i="37" s="1"/>
  <c r="BF7" i="37"/>
  <c r="BE94" i="37"/>
  <c r="BE91" i="37"/>
  <c r="BE88" i="37"/>
  <c r="BE92" i="37"/>
  <c r="BE90" i="37"/>
  <c r="BE93" i="37"/>
  <c r="BE89" i="37"/>
  <c r="BE87" i="37"/>
  <c r="BE83" i="37"/>
  <c r="BF82" i="37"/>
  <c r="BF81" i="37"/>
  <c r="BE85" i="37"/>
  <c r="BF70" i="37"/>
  <c r="BE86" i="37"/>
  <c r="BE84" i="37"/>
  <c r="BF73" i="37"/>
  <c r="BF65" i="37"/>
  <c r="BF66" i="37"/>
  <c r="BF76" i="37"/>
  <c r="BF71" i="37"/>
  <c r="BF68" i="37"/>
  <c r="BF58" i="37"/>
  <c r="BF56" i="37"/>
  <c r="BF77" i="37"/>
  <c r="BF75" i="37"/>
  <c r="BF74" i="37"/>
  <c r="BF69" i="37"/>
  <c r="BF62" i="37"/>
  <c r="BF78" i="37"/>
  <c r="BF64" i="37"/>
  <c r="BF59" i="37"/>
  <c r="BF55" i="37"/>
  <c r="BF60" i="37"/>
  <c r="BF57" i="37"/>
  <c r="BF54" i="37"/>
  <c r="BF67" i="37"/>
  <c r="BF53" i="37"/>
  <c r="BF51" i="37"/>
  <c r="BF50" i="37"/>
  <c r="BF80" i="37"/>
  <c r="BF79" i="37"/>
  <c r="BF52" i="37"/>
  <c r="BF49" i="37"/>
  <c r="BF47" i="37"/>
  <c r="BF45" i="37"/>
  <c r="BF43" i="37"/>
  <c r="BF41" i="37"/>
  <c r="BF39" i="37"/>
  <c r="BF37" i="37"/>
  <c r="BF35" i="37"/>
  <c r="BF33" i="37"/>
  <c r="BF31" i="37"/>
  <c r="BF44" i="37"/>
  <c r="BF34" i="37"/>
  <c r="BF48" i="37"/>
  <c r="BF40" i="37"/>
  <c r="BF42" i="37"/>
  <c r="BG27" i="37"/>
  <c r="BF63" i="37"/>
  <c r="BF72" i="37"/>
  <c r="BF38" i="37"/>
  <c r="BF28" i="37"/>
  <c r="BF46" i="37"/>
  <c r="BF30" i="37"/>
  <c r="BF36" i="37"/>
  <c r="BF32" i="37"/>
  <c r="BF29" i="37"/>
  <c r="BF61" i="37"/>
  <c r="B37" i="63" l="1"/>
  <c r="E37" i="63" s="1"/>
  <c r="A36" i="63"/>
  <c r="BG26" i="37"/>
  <c r="BG6" i="37" s="1"/>
  <c r="BG7" i="37"/>
  <c r="BF91" i="37"/>
  <c r="BF88" i="37"/>
  <c r="BF93" i="37"/>
  <c r="BF92" i="37"/>
  <c r="BF90" i="37"/>
  <c r="BG79" i="37"/>
  <c r="BG82" i="37"/>
  <c r="BF94" i="37"/>
  <c r="BF86" i="37"/>
  <c r="BG81" i="37"/>
  <c r="BG78" i="37"/>
  <c r="BG76" i="37"/>
  <c r="BG80" i="37"/>
  <c r="BG77" i="37"/>
  <c r="BF87" i="37"/>
  <c r="BG66" i="37"/>
  <c r="BF83" i="37"/>
  <c r="BG71" i="37"/>
  <c r="BG70" i="37"/>
  <c r="BG67" i="37"/>
  <c r="BF84" i="37"/>
  <c r="BG75" i="37"/>
  <c r="BG72" i="37"/>
  <c r="BF85" i="37"/>
  <c r="BG74" i="37"/>
  <c r="BG69" i="37"/>
  <c r="BG62" i="37"/>
  <c r="BG63" i="37"/>
  <c r="BG59" i="37"/>
  <c r="BG57" i="37"/>
  <c r="BG55" i="37"/>
  <c r="BG53" i="37"/>
  <c r="BG60" i="37"/>
  <c r="BG68" i="37"/>
  <c r="BG54" i="37"/>
  <c r="BF89" i="37"/>
  <c r="BG65" i="37"/>
  <c r="BG64" i="37"/>
  <c r="BG61" i="37"/>
  <c r="BG52" i="37"/>
  <c r="BG50" i="37"/>
  <c r="BG49" i="37"/>
  <c r="BG47" i="37"/>
  <c r="BG45" i="37"/>
  <c r="BG43" i="37"/>
  <c r="BG41" i="37"/>
  <c r="BG39" i="37"/>
  <c r="BG37" i="37"/>
  <c r="BG58" i="37"/>
  <c r="BG42" i="37"/>
  <c r="BG35" i="37"/>
  <c r="BG38" i="37"/>
  <c r="BG48" i="37"/>
  <c r="BG40" i="37"/>
  <c r="BG30" i="37"/>
  <c r="BG34" i="37"/>
  <c r="BG44" i="37"/>
  <c r="BG31" i="37"/>
  <c r="BG28" i="37"/>
  <c r="BG36" i="37"/>
  <c r="BG32" i="37"/>
  <c r="BG29" i="37"/>
  <c r="BG56" i="37"/>
  <c r="BG51" i="37"/>
  <c r="BG73" i="37"/>
  <c r="BH27" i="37"/>
  <c r="BG46" i="37"/>
  <c r="BG33" i="37"/>
  <c r="T36" i="63" l="1"/>
  <c r="Q36" i="63"/>
  <c r="V36" i="63"/>
  <c r="AA36" i="63" s="1"/>
  <c r="D37" i="63"/>
  <c r="G37" i="63"/>
  <c r="BH26" i="37"/>
  <c r="BH6" i="37" s="1"/>
  <c r="BH7" i="37"/>
  <c r="BG88" i="37"/>
  <c r="BG93" i="37"/>
  <c r="BG90" i="37"/>
  <c r="BG85" i="37"/>
  <c r="BG83" i="37"/>
  <c r="BG87" i="37"/>
  <c r="BG84" i="37"/>
  <c r="BG92" i="37"/>
  <c r="BH80" i="37"/>
  <c r="BH77" i="37"/>
  <c r="BH75" i="37"/>
  <c r="BH73" i="37"/>
  <c r="BH71" i="37"/>
  <c r="BH74" i="37"/>
  <c r="BH68" i="37"/>
  <c r="BH66" i="37"/>
  <c r="BH64" i="37"/>
  <c r="BH62" i="37"/>
  <c r="BH60" i="37"/>
  <c r="BH81" i="37"/>
  <c r="BH72" i="37"/>
  <c r="BH79" i="37"/>
  <c r="BH70" i="37"/>
  <c r="BH67" i="37"/>
  <c r="BG94" i="37"/>
  <c r="BH76" i="37"/>
  <c r="BG89" i="37"/>
  <c r="BG86" i="37"/>
  <c r="BH78" i="37"/>
  <c r="BG91" i="37"/>
  <c r="BH63" i="37"/>
  <c r="BH82" i="37"/>
  <c r="BH57" i="37"/>
  <c r="BH54" i="37"/>
  <c r="BH65" i="37"/>
  <c r="BH61" i="37"/>
  <c r="BH52" i="37"/>
  <c r="BH53" i="37"/>
  <c r="BH49" i="37"/>
  <c r="BH47" i="37"/>
  <c r="BH45" i="37"/>
  <c r="BH43" i="37"/>
  <c r="BH41" i="37"/>
  <c r="BH39" i="37"/>
  <c r="BH37" i="37"/>
  <c r="BH35" i="37"/>
  <c r="BH33" i="37"/>
  <c r="BH31" i="37"/>
  <c r="BH29" i="37"/>
  <c r="BH69" i="37"/>
  <c r="BH59" i="37"/>
  <c r="BH58" i="37"/>
  <c r="BH56" i="37"/>
  <c r="BH48" i="37"/>
  <c r="BH40" i="37"/>
  <c r="BH51" i="37"/>
  <c r="BH55" i="37"/>
  <c r="BH38" i="37"/>
  <c r="BH30" i="37"/>
  <c r="BH36" i="37"/>
  <c r="BH28" i="37"/>
  <c r="BH42" i="37"/>
  <c r="BH32" i="37"/>
  <c r="BH50" i="37"/>
  <c r="BH46" i="37"/>
  <c r="BI27" i="37"/>
  <c r="BH34" i="37"/>
  <c r="BH44" i="37"/>
  <c r="R36" i="63" l="1"/>
  <c r="AL36" i="63" s="1"/>
  <c r="AG36" i="63"/>
  <c r="AJ36" i="63" s="1"/>
  <c r="AB36" i="63"/>
  <c r="U36" i="63"/>
  <c r="F37" i="63"/>
  <c r="H37" i="63"/>
  <c r="C38" i="63" s="1"/>
  <c r="BI26" i="37"/>
  <c r="BI6" i="37" s="1"/>
  <c r="BI7" i="37"/>
  <c r="BH93" i="37"/>
  <c r="BH90" i="37"/>
  <c r="BH94" i="37"/>
  <c r="BH89" i="37"/>
  <c r="BH87" i="37"/>
  <c r="BH88" i="37"/>
  <c r="BI80" i="37"/>
  <c r="BI77" i="37"/>
  <c r="BI75" i="37"/>
  <c r="BH91" i="37"/>
  <c r="BH86" i="37"/>
  <c r="BH92" i="37"/>
  <c r="BH85" i="37"/>
  <c r="BI79" i="37"/>
  <c r="BI82" i="37"/>
  <c r="BI69" i="37"/>
  <c r="BI67" i="37"/>
  <c r="BI65" i="37"/>
  <c r="BI63" i="37"/>
  <c r="BI78" i="37"/>
  <c r="BH83" i="37"/>
  <c r="BI76" i="37"/>
  <c r="BI71" i="37"/>
  <c r="BH84" i="37"/>
  <c r="BI72" i="37"/>
  <c r="BI68" i="37"/>
  <c r="BI73" i="37"/>
  <c r="BI64" i="37"/>
  <c r="BI59" i="37"/>
  <c r="BI57" i="37"/>
  <c r="BI61" i="37"/>
  <c r="BI74" i="37"/>
  <c r="BI52" i="37"/>
  <c r="BI81" i="37"/>
  <c r="BI53" i="37"/>
  <c r="BI58" i="37"/>
  <c r="BI70" i="37"/>
  <c r="BI66" i="37"/>
  <c r="BI56" i="37"/>
  <c r="BI54" i="37"/>
  <c r="BI60" i="37"/>
  <c r="BI48" i="37"/>
  <c r="BI62" i="37"/>
  <c r="BI55" i="37"/>
  <c r="BI38" i="37"/>
  <c r="BI30" i="37"/>
  <c r="BI45" i="37"/>
  <c r="BI29" i="37"/>
  <c r="BI51" i="37"/>
  <c r="BI47" i="37"/>
  <c r="BI36" i="37"/>
  <c r="BI50" i="37"/>
  <c r="BI39" i="37"/>
  <c r="BI32" i="37"/>
  <c r="BI31" i="37"/>
  <c r="BI46" i="37"/>
  <c r="BI49" i="37"/>
  <c r="BI37" i="37"/>
  <c r="BI34" i="37"/>
  <c r="BI33" i="37"/>
  <c r="BI43" i="37"/>
  <c r="BI44" i="37"/>
  <c r="BI35" i="37"/>
  <c r="BI42" i="37"/>
  <c r="BJ27" i="37"/>
  <c r="BI41" i="37"/>
  <c r="BI40" i="37"/>
  <c r="BI28" i="37"/>
  <c r="B38" i="63" l="1"/>
  <c r="E38" i="63" s="1"/>
  <c r="A37" i="63"/>
  <c r="BJ26" i="37"/>
  <c r="BJ6" i="37" s="1"/>
  <c r="BJ7" i="37"/>
  <c r="BI90" i="37"/>
  <c r="BI87" i="37"/>
  <c r="BI92" i="37"/>
  <c r="BI91" i="37"/>
  <c r="BI89" i="37"/>
  <c r="BI85" i="37"/>
  <c r="BJ81" i="37"/>
  <c r="BI83" i="37"/>
  <c r="BI86" i="37"/>
  <c r="BI93" i="37"/>
  <c r="BI88" i="37"/>
  <c r="BI84" i="37"/>
  <c r="BJ73" i="37"/>
  <c r="BJ80" i="37"/>
  <c r="BJ79" i="37"/>
  <c r="BJ78" i="37"/>
  <c r="BJ77" i="37"/>
  <c r="BJ71" i="37"/>
  <c r="BI94" i="37"/>
  <c r="BJ76" i="37"/>
  <c r="BJ72" i="37"/>
  <c r="BJ68" i="37"/>
  <c r="BJ75" i="37"/>
  <c r="BJ69" i="37"/>
  <c r="BJ82" i="37"/>
  <c r="BJ74" i="37"/>
  <c r="BJ64" i="37"/>
  <c r="BJ59" i="37"/>
  <c r="BJ57" i="37"/>
  <c r="BJ70" i="37"/>
  <c r="BJ65" i="37"/>
  <c r="BJ61" i="37"/>
  <c r="BJ53" i="37"/>
  <c r="BJ58" i="37"/>
  <c r="BJ66" i="37"/>
  <c r="BJ56" i="37"/>
  <c r="BJ54" i="37"/>
  <c r="BJ52" i="37"/>
  <c r="BJ60" i="37"/>
  <c r="BJ48" i="37"/>
  <c r="BJ46" i="37"/>
  <c r="BJ44" i="37"/>
  <c r="BJ42" i="37"/>
  <c r="BJ40" i="37"/>
  <c r="BJ38" i="37"/>
  <c r="BJ36" i="37"/>
  <c r="BJ34" i="37"/>
  <c r="BJ32" i="37"/>
  <c r="BJ62" i="37"/>
  <c r="BJ55" i="37"/>
  <c r="BJ51" i="37"/>
  <c r="BJ47" i="37"/>
  <c r="BJ43" i="37"/>
  <c r="BJ50" i="37"/>
  <c r="BJ45" i="37"/>
  <c r="BJ29" i="37"/>
  <c r="BJ31" i="37"/>
  <c r="BJ28" i="37"/>
  <c r="BJ30" i="37"/>
  <c r="BK27" i="37"/>
  <c r="BJ67" i="37"/>
  <c r="BJ41" i="37"/>
  <c r="BJ49" i="37"/>
  <c r="BJ37" i="37"/>
  <c r="BJ33" i="37"/>
  <c r="BJ35" i="37"/>
  <c r="BJ63" i="37"/>
  <c r="BJ39" i="37"/>
  <c r="T37" i="63" l="1"/>
  <c r="Q37" i="63"/>
  <c r="V37" i="63"/>
  <c r="AA37" i="63" s="1"/>
  <c r="D38" i="63"/>
  <c r="G38" i="63"/>
  <c r="BK26" i="37"/>
  <c r="BK6" i="37" s="1"/>
  <c r="BK7" i="37"/>
  <c r="BJ92" i="37"/>
  <c r="BJ94" i="37"/>
  <c r="BJ84" i="37"/>
  <c r="BJ87" i="37"/>
  <c r="BK81" i="37"/>
  <c r="BJ86" i="37"/>
  <c r="BJ91" i="37"/>
  <c r="BJ89" i="37"/>
  <c r="BJ85" i="37"/>
  <c r="BK72" i="37"/>
  <c r="BJ93" i="37"/>
  <c r="BK76" i="37"/>
  <c r="BK70" i="37"/>
  <c r="BJ88" i="37"/>
  <c r="BK75" i="37"/>
  <c r="BK69" i="37"/>
  <c r="BK82" i="37"/>
  <c r="BK78" i="37"/>
  <c r="BK74" i="37"/>
  <c r="BK73" i="37"/>
  <c r="BK77" i="37"/>
  <c r="BK61" i="37"/>
  <c r="BJ83" i="37"/>
  <c r="BK65" i="37"/>
  <c r="BK60" i="37"/>
  <c r="BK58" i="37"/>
  <c r="BK56" i="37"/>
  <c r="BK54" i="37"/>
  <c r="BK68" i="37"/>
  <c r="BK71" i="37"/>
  <c r="BK64" i="37"/>
  <c r="BK66" i="37"/>
  <c r="BK51" i="37"/>
  <c r="BK49" i="37"/>
  <c r="BJ90" i="37"/>
  <c r="BK59" i="37"/>
  <c r="BK52" i="37"/>
  <c r="BK80" i="37"/>
  <c r="BK79" i="37"/>
  <c r="BK48" i="37"/>
  <c r="BK46" i="37"/>
  <c r="BK44" i="37"/>
  <c r="BK42" i="37"/>
  <c r="BK40" i="37"/>
  <c r="BK38" i="37"/>
  <c r="BK36" i="37"/>
  <c r="BK62" i="37"/>
  <c r="BK57" i="37"/>
  <c r="BK55" i="37"/>
  <c r="BK50" i="37"/>
  <c r="BK45" i="37"/>
  <c r="BK29" i="37"/>
  <c r="BK41" i="37"/>
  <c r="BL27" i="37"/>
  <c r="BK43" i="37"/>
  <c r="BK31" i="37"/>
  <c r="BK28" i="37"/>
  <c r="BK32" i="37"/>
  <c r="BK37" i="37"/>
  <c r="BK33" i="37"/>
  <c r="BK39" i="37"/>
  <c r="BK47" i="37"/>
  <c r="BK34" i="37"/>
  <c r="BK35" i="37"/>
  <c r="BK67" i="37"/>
  <c r="BK63" i="37"/>
  <c r="BK30" i="37"/>
  <c r="BK53" i="37"/>
  <c r="R37" i="63" l="1"/>
  <c r="AL37" i="63" s="1"/>
  <c r="AB37" i="63"/>
  <c r="AG37" i="63"/>
  <c r="AJ37" i="63" s="1"/>
  <c r="U37" i="63"/>
  <c r="H38" i="63"/>
  <c r="C39" i="63" s="1"/>
  <c r="F38" i="63"/>
  <c r="BL26" i="37"/>
  <c r="BL6" i="37" s="1"/>
  <c r="BL7" i="37"/>
  <c r="BK92" i="37"/>
  <c r="BK89" i="37"/>
  <c r="BK94" i="37"/>
  <c r="BK93" i="37"/>
  <c r="BK86" i="37"/>
  <c r="BK84" i="37"/>
  <c r="BK88" i="37"/>
  <c r="BL82" i="37"/>
  <c r="BK90" i="37"/>
  <c r="BK85" i="37"/>
  <c r="BL79" i="37"/>
  <c r="BK91" i="37"/>
  <c r="BK87" i="37"/>
  <c r="BL78" i="37"/>
  <c r="BL74" i="37"/>
  <c r="BL72" i="37"/>
  <c r="BL70" i="37"/>
  <c r="BL69" i="37"/>
  <c r="BL67" i="37"/>
  <c r="BL65" i="37"/>
  <c r="BL63" i="37"/>
  <c r="BL61" i="37"/>
  <c r="BL75" i="37"/>
  <c r="BK83" i="37"/>
  <c r="BL73" i="37"/>
  <c r="BL62" i="37"/>
  <c r="BL80" i="37"/>
  <c r="BL81" i="37"/>
  <c r="BL66" i="37"/>
  <c r="BL71" i="37"/>
  <c r="BL64" i="37"/>
  <c r="BL58" i="37"/>
  <c r="BL51" i="37"/>
  <c r="BL56" i="37"/>
  <c r="BL54" i="37"/>
  <c r="BL48" i="37"/>
  <c r="BL46" i="37"/>
  <c r="BL44" i="37"/>
  <c r="BL42" i="37"/>
  <c r="BL40" i="37"/>
  <c r="BL38" i="37"/>
  <c r="BL36" i="37"/>
  <c r="BL34" i="37"/>
  <c r="BL32" i="37"/>
  <c r="BL30" i="37"/>
  <c r="BL28" i="37"/>
  <c r="BL60" i="37"/>
  <c r="BL57" i="37"/>
  <c r="BL55" i="37"/>
  <c r="BL77" i="37"/>
  <c r="BL50" i="37"/>
  <c r="BL43" i="37"/>
  <c r="BL31" i="37"/>
  <c r="BL39" i="37"/>
  <c r="BL41" i="37"/>
  <c r="BM27" i="37"/>
  <c r="BL33" i="37"/>
  <c r="BL49" i="37"/>
  <c r="BL47" i="37"/>
  <c r="BL35" i="37"/>
  <c r="BL29" i="37"/>
  <c r="BL76" i="37"/>
  <c r="BL45" i="37"/>
  <c r="BL68" i="37"/>
  <c r="BL52" i="37"/>
  <c r="BL37" i="37"/>
  <c r="BL59" i="37"/>
  <c r="BL53" i="37"/>
  <c r="B39" i="63" l="1"/>
  <c r="E39" i="63" s="1"/>
  <c r="A38" i="63"/>
  <c r="BM26" i="37"/>
  <c r="BM6" i="37" s="1"/>
  <c r="BM7" i="37"/>
  <c r="BL89" i="37"/>
  <c r="BL94" i="37"/>
  <c r="BL91" i="37"/>
  <c r="BL90" i="37"/>
  <c r="BL86" i="37"/>
  <c r="BL93" i="37"/>
  <c r="BL85" i="37"/>
  <c r="BM82" i="37"/>
  <c r="BM78" i="37"/>
  <c r="BM76" i="37"/>
  <c r="BL83" i="37"/>
  <c r="BL84" i="37"/>
  <c r="BM81" i="37"/>
  <c r="BM80" i="37"/>
  <c r="BM77" i="37"/>
  <c r="BM71" i="37"/>
  <c r="BL92" i="37"/>
  <c r="BM68" i="37"/>
  <c r="BM66" i="37"/>
  <c r="BM64" i="37"/>
  <c r="BM62" i="37"/>
  <c r="BL88" i="37"/>
  <c r="BM74" i="37"/>
  <c r="BM75" i="37"/>
  <c r="BM61" i="37"/>
  <c r="BL87" i="37"/>
  <c r="BM73" i="37"/>
  <c r="BM60" i="37"/>
  <c r="BM58" i="37"/>
  <c r="BM56" i="37"/>
  <c r="BM51" i="37"/>
  <c r="BM79" i="37"/>
  <c r="BM72" i="37"/>
  <c r="BM69" i="37"/>
  <c r="BM63" i="37"/>
  <c r="BM55" i="37"/>
  <c r="BM70" i="37"/>
  <c r="BM57" i="37"/>
  <c r="BM50" i="37"/>
  <c r="BM65" i="37"/>
  <c r="BM41" i="37"/>
  <c r="BM36" i="37"/>
  <c r="BM28" i="37"/>
  <c r="BN27" i="37"/>
  <c r="BM59" i="37"/>
  <c r="BM37" i="37"/>
  <c r="BM39" i="37"/>
  <c r="BM33" i="37"/>
  <c r="BM32" i="37"/>
  <c r="BM54" i="37"/>
  <c r="BM46" i="37"/>
  <c r="BM38" i="37"/>
  <c r="BM35" i="37"/>
  <c r="BM34" i="37"/>
  <c r="BM29" i="37"/>
  <c r="BM40" i="37"/>
  <c r="BM49" i="37"/>
  <c r="BM45" i="37"/>
  <c r="BM44" i="37"/>
  <c r="BM30" i="37"/>
  <c r="BM42" i="37"/>
  <c r="BM53" i="37"/>
  <c r="BM52" i="37"/>
  <c r="BM47" i="37"/>
  <c r="BM67" i="37"/>
  <c r="BM48" i="37"/>
  <c r="BM43" i="37"/>
  <c r="BM31" i="37"/>
  <c r="T38" i="63" l="1"/>
  <c r="Q38" i="63"/>
  <c r="V38" i="63"/>
  <c r="AA38" i="63" s="1"/>
  <c r="D39" i="63"/>
  <c r="G39" i="63"/>
  <c r="BN26" i="37"/>
  <c r="BN6" i="37" s="1"/>
  <c r="BN7" i="37"/>
  <c r="BM94" i="37"/>
  <c r="BM91" i="37"/>
  <c r="BM93" i="37"/>
  <c r="BM84" i="37"/>
  <c r="BM88" i="37"/>
  <c r="BM89" i="37"/>
  <c r="BM83" i="37"/>
  <c r="BN82" i="37"/>
  <c r="BN81" i="37"/>
  <c r="BN80" i="37"/>
  <c r="BN77" i="37"/>
  <c r="BN79" i="37"/>
  <c r="BN74" i="37"/>
  <c r="BM87" i="37"/>
  <c r="BN78" i="37"/>
  <c r="BN63" i="37"/>
  <c r="BM86" i="37"/>
  <c r="BM92" i="37"/>
  <c r="BN73" i="37"/>
  <c r="BN60" i="37"/>
  <c r="BN58" i="37"/>
  <c r="BN56" i="37"/>
  <c r="BN70" i="37"/>
  <c r="BN65" i="37"/>
  <c r="BN72" i="37"/>
  <c r="BN67" i="37"/>
  <c r="BN69" i="37"/>
  <c r="BN66" i="37"/>
  <c r="BN55" i="37"/>
  <c r="BN62" i="37"/>
  <c r="BN50" i="37"/>
  <c r="BM85" i="37"/>
  <c r="BN71" i="37"/>
  <c r="BN47" i="37"/>
  <c r="BN45" i="37"/>
  <c r="BN43" i="37"/>
  <c r="BN41" i="37"/>
  <c r="BN39" i="37"/>
  <c r="BN37" i="37"/>
  <c r="BN35" i="37"/>
  <c r="BN33" i="37"/>
  <c r="BN31" i="37"/>
  <c r="BN76" i="37"/>
  <c r="BN68" i="37"/>
  <c r="BN51" i="37"/>
  <c r="BN49" i="37"/>
  <c r="BN32" i="37"/>
  <c r="BN75" i="37"/>
  <c r="BN59" i="37"/>
  <c r="BN46" i="37"/>
  <c r="BN34" i="37"/>
  <c r="BM90" i="37"/>
  <c r="BN38" i="37"/>
  <c r="BN29" i="37"/>
  <c r="BN57" i="37"/>
  <c r="BN44" i="37"/>
  <c r="BN36" i="37"/>
  <c r="BN30" i="37"/>
  <c r="BN48" i="37"/>
  <c r="BN53" i="37"/>
  <c r="BN52" i="37"/>
  <c r="BN40" i="37"/>
  <c r="BN54" i="37"/>
  <c r="BN61" i="37"/>
  <c r="BN42" i="37"/>
  <c r="BO27" i="37"/>
  <c r="BN64" i="37"/>
  <c r="BN28" i="37"/>
  <c r="R38" i="63" l="1"/>
  <c r="AL38" i="63" s="1"/>
  <c r="AB38" i="63"/>
  <c r="AG38" i="63"/>
  <c r="AJ38" i="63" s="1"/>
  <c r="U38" i="63"/>
  <c r="F39" i="63"/>
  <c r="H39" i="63"/>
  <c r="C40" i="63" s="1"/>
  <c r="BO26" i="37"/>
  <c r="BO6" i="37" s="1"/>
  <c r="BO7" i="37"/>
  <c r="BN91" i="37"/>
  <c r="BN88" i="37"/>
  <c r="BN93" i="37"/>
  <c r="BN92" i="37"/>
  <c r="BO79" i="37"/>
  <c r="BN94" i="37"/>
  <c r="BN87" i="37"/>
  <c r="BN90" i="37"/>
  <c r="BN86" i="37"/>
  <c r="BO78" i="37"/>
  <c r="BO76" i="37"/>
  <c r="BO75" i="37"/>
  <c r="BO70" i="37"/>
  <c r="BN83" i="37"/>
  <c r="BO73" i="37"/>
  <c r="BN84" i="37"/>
  <c r="BO82" i="37"/>
  <c r="BO64" i="37"/>
  <c r="BN89" i="37"/>
  <c r="BO80" i="37"/>
  <c r="BO65" i="37"/>
  <c r="BO77" i="37"/>
  <c r="BO66" i="37"/>
  <c r="BO68" i="37"/>
  <c r="BO62" i="37"/>
  <c r="BO59" i="37"/>
  <c r="BO57" i="37"/>
  <c r="BO55" i="37"/>
  <c r="BO53" i="37"/>
  <c r="BO81" i="37"/>
  <c r="BO69" i="37"/>
  <c r="BO58" i="37"/>
  <c r="BO72" i="37"/>
  <c r="BO63" i="37"/>
  <c r="BO56" i="37"/>
  <c r="BO54" i="37"/>
  <c r="BO52" i="37"/>
  <c r="BO50" i="37"/>
  <c r="BO60" i="37"/>
  <c r="BP27" i="37"/>
  <c r="BP7" i="37" s="1"/>
  <c r="BN85" i="37"/>
  <c r="BO71" i="37"/>
  <c r="BO47" i="37"/>
  <c r="BO45" i="37"/>
  <c r="BO43" i="37"/>
  <c r="BO41" i="37"/>
  <c r="BO39" i="37"/>
  <c r="BO37" i="37"/>
  <c r="BO35" i="37"/>
  <c r="BO74" i="37"/>
  <c r="BO51" i="37"/>
  <c r="BO49" i="37"/>
  <c r="BO33" i="37"/>
  <c r="BO46" i="37"/>
  <c r="BO34" i="37"/>
  <c r="BO44" i="37"/>
  <c r="BO36" i="37"/>
  <c r="BO30" i="37"/>
  <c r="BO40" i="37"/>
  <c r="BO29" i="37"/>
  <c r="BO48" i="37"/>
  <c r="BO67" i="37"/>
  <c r="BO61" i="37"/>
  <c r="BO42" i="37"/>
  <c r="BO31" i="37"/>
  <c r="BO28" i="37"/>
  <c r="BO38" i="37"/>
  <c r="BO32" i="37"/>
  <c r="B40" i="63" l="1"/>
  <c r="E40" i="63" s="1"/>
  <c r="A39" i="63"/>
  <c r="BO88" i="37"/>
  <c r="BO93" i="37"/>
  <c r="BO90" i="37"/>
  <c r="BO85" i="37"/>
  <c r="BO91" i="37"/>
  <c r="BO83" i="37"/>
  <c r="BO94" i="37"/>
  <c r="BO92" i="37"/>
  <c r="BO87" i="37"/>
  <c r="BO89" i="37"/>
  <c r="BP82" i="37"/>
  <c r="BP81" i="37"/>
  <c r="BP78" i="37"/>
  <c r="BP76" i="37"/>
  <c r="BP73" i="37"/>
  <c r="BP71" i="37"/>
  <c r="BP68" i="37"/>
  <c r="BP66" i="37"/>
  <c r="BP64" i="37"/>
  <c r="BP62" i="37"/>
  <c r="BP60" i="37"/>
  <c r="BO86" i="37"/>
  <c r="BP80" i="37"/>
  <c r="BP65" i="37"/>
  <c r="BP77" i="37"/>
  <c r="BP70" i="37"/>
  <c r="BP72" i="37"/>
  <c r="BP67" i="37"/>
  <c r="BP79" i="37"/>
  <c r="BP69" i="37"/>
  <c r="BP63" i="37"/>
  <c r="BP56" i="37"/>
  <c r="BP55" i="37"/>
  <c r="BP54" i="37"/>
  <c r="BP52" i="37"/>
  <c r="BP59" i="37"/>
  <c r="BP50" i="37"/>
  <c r="BP47" i="37"/>
  <c r="BP45" i="37"/>
  <c r="BP43" i="37"/>
  <c r="BP41" i="37"/>
  <c r="BP39" i="37"/>
  <c r="BP37" i="37"/>
  <c r="BP35" i="37"/>
  <c r="BP33" i="37"/>
  <c r="BP31" i="37"/>
  <c r="BP29" i="37"/>
  <c r="BP74" i="37"/>
  <c r="BP51" i="37"/>
  <c r="BP49" i="37"/>
  <c r="BP61" i="37"/>
  <c r="BP53" i="37"/>
  <c r="BP75" i="37"/>
  <c r="BP46" i="37"/>
  <c r="BP34" i="37"/>
  <c r="BP30" i="37"/>
  <c r="BP44" i="37"/>
  <c r="BP57" i="37"/>
  <c r="BP42" i="37"/>
  <c r="BO84" i="37"/>
  <c r="BP48" i="37"/>
  <c r="BQ27" i="37"/>
  <c r="BP38" i="37"/>
  <c r="BP58" i="37"/>
  <c r="BP40" i="37"/>
  <c r="BP28" i="37"/>
  <c r="BP32" i="37"/>
  <c r="BP36" i="37"/>
  <c r="BP26" i="37"/>
  <c r="BP6" i="37" s="1"/>
  <c r="T39" i="63" l="1"/>
  <c r="Q39" i="63"/>
  <c r="V39" i="63"/>
  <c r="AA39" i="63" s="1"/>
  <c r="D40" i="63"/>
  <c r="G40" i="63"/>
  <c r="BQ26" i="37"/>
  <c r="BQ6" i="37" s="1"/>
  <c r="BQ7" i="37"/>
  <c r="BP93" i="37"/>
  <c r="BP90" i="37"/>
  <c r="BP94" i="37"/>
  <c r="BP92" i="37"/>
  <c r="BQ80" i="37"/>
  <c r="BQ77" i="37"/>
  <c r="BQ75" i="37"/>
  <c r="BP89" i="37"/>
  <c r="BP87" i="37"/>
  <c r="BP85" i="37"/>
  <c r="BP88" i="37"/>
  <c r="BP84" i="37"/>
  <c r="BQ74" i="37"/>
  <c r="BQ72" i="37"/>
  <c r="BQ69" i="37"/>
  <c r="BQ67" i="37"/>
  <c r="BQ65" i="37"/>
  <c r="BQ63" i="37"/>
  <c r="BQ82" i="37"/>
  <c r="BQ66" i="37"/>
  <c r="BQ81" i="37"/>
  <c r="BQ59" i="37"/>
  <c r="BQ57" i="37"/>
  <c r="BP86" i="37"/>
  <c r="BQ71" i="37"/>
  <c r="BQ78" i="37"/>
  <c r="BQ54" i="37"/>
  <c r="BQ52" i="37"/>
  <c r="BP91" i="37"/>
  <c r="BQ79" i="37"/>
  <c r="BQ53" i="37"/>
  <c r="BQ62" i="37"/>
  <c r="BQ56" i="37"/>
  <c r="BQ55" i="37"/>
  <c r="BQ51" i="37"/>
  <c r="BQ49" i="37"/>
  <c r="BQ76" i="37"/>
  <c r="BQ68" i="37"/>
  <c r="BQ61" i="37"/>
  <c r="BQ48" i="37"/>
  <c r="BP83" i="37"/>
  <c r="BQ44" i="37"/>
  <c r="BQ39" i="37"/>
  <c r="BQ58" i="37"/>
  <c r="BQ42" i="37"/>
  <c r="BQ37" i="37"/>
  <c r="BQ30" i="37"/>
  <c r="BQ64" i="37"/>
  <c r="BQ40" i="37"/>
  <c r="BQ35" i="37"/>
  <c r="BQ45" i="37"/>
  <c r="BQ41" i="37"/>
  <c r="BQ38" i="37"/>
  <c r="BQ31" i="37"/>
  <c r="BQ33" i="37"/>
  <c r="BQ50" i="37"/>
  <c r="BR27" i="37"/>
  <c r="BQ70" i="37"/>
  <c r="BQ43" i="37"/>
  <c r="BQ32" i="37"/>
  <c r="BQ73" i="37"/>
  <c r="BQ60" i="37"/>
  <c r="BQ28" i="37"/>
  <c r="BQ29" i="37"/>
  <c r="BQ47" i="37"/>
  <c r="BQ36" i="37"/>
  <c r="BQ46" i="37"/>
  <c r="BQ34" i="37"/>
  <c r="AB39" i="63" l="1"/>
  <c r="AG39" i="63"/>
  <c r="AJ39" i="63" s="1"/>
  <c r="R39" i="63"/>
  <c r="AL39" i="63" s="1"/>
  <c r="U39" i="63"/>
  <c r="H40" i="63"/>
  <c r="C41" i="63" s="1"/>
  <c r="F40" i="63"/>
  <c r="BR26" i="37"/>
  <c r="BR6" i="37" s="1"/>
  <c r="BR7" i="37"/>
  <c r="BQ90" i="37"/>
  <c r="BQ87" i="37"/>
  <c r="BQ92" i="37"/>
  <c r="BQ91" i="37"/>
  <c r="BQ88" i="37"/>
  <c r="BQ86" i="37"/>
  <c r="BQ93" i="37"/>
  <c r="BQ84" i="37"/>
  <c r="BQ83" i="37"/>
  <c r="BR82" i="37"/>
  <c r="BR81" i="37"/>
  <c r="BR80" i="37"/>
  <c r="BR77" i="37"/>
  <c r="BR79" i="37"/>
  <c r="BR75" i="37"/>
  <c r="BQ94" i="37"/>
  <c r="BQ89" i="37"/>
  <c r="BR66" i="37"/>
  <c r="BR70" i="37"/>
  <c r="BR67" i="37"/>
  <c r="BQ85" i="37"/>
  <c r="BR71" i="37"/>
  <c r="BR72" i="37"/>
  <c r="BR65" i="37"/>
  <c r="BR59" i="37"/>
  <c r="BR57" i="37"/>
  <c r="BR78" i="37"/>
  <c r="BR68" i="37"/>
  <c r="BR62" i="37"/>
  <c r="BR64" i="37"/>
  <c r="BR61" i="37"/>
  <c r="BR63" i="37"/>
  <c r="BR53" i="37"/>
  <c r="BR76" i="37"/>
  <c r="BR60" i="37"/>
  <c r="BR74" i="37"/>
  <c r="BR69" i="37"/>
  <c r="BR48" i="37"/>
  <c r="BR46" i="37"/>
  <c r="BR44" i="37"/>
  <c r="BR42" i="37"/>
  <c r="BR40" i="37"/>
  <c r="BR38" i="37"/>
  <c r="BR36" i="37"/>
  <c r="BR34" i="37"/>
  <c r="BR32" i="37"/>
  <c r="BR37" i="37"/>
  <c r="BR30" i="37"/>
  <c r="BR58" i="37"/>
  <c r="BR35" i="37"/>
  <c r="BR29" i="37"/>
  <c r="BR50" i="37"/>
  <c r="BS27" i="37"/>
  <c r="BS26" i="37" s="1"/>
  <c r="BR28" i="37"/>
  <c r="BR31" i="37"/>
  <c r="BR73" i="37"/>
  <c r="BR47" i="37"/>
  <c r="BR39" i="37"/>
  <c r="BR54" i="37"/>
  <c r="BR33" i="37"/>
  <c r="BR55" i="37"/>
  <c r="BR43" i="37"/>
  <c r="BR45" i="37"/>
  <c r="BR49" i="37"/>
  <c r="BR56" i="37"/>
  <c r="BR52" i="37"/>
  <c r="BR41" i="37"/>
  <c r="BR51" i="37"/>
  <c r="B41" i="63" l="1"/>
  <c r="E41" i="63" s="1"/>
  <c r="A40" i="63"/>
  <c r="BR92" i="37"/>
  <c r="BR89" i="37"/>
  <c r="BR87" i="37"/>
  <c r="BR84" i="37"/>
  <c r="BS81" i="37"/>
  <c r="BR90" i="37"/>
  <c r="BR85" i="37"/>
  <c r="BR91" i="37"/>
  <c r="BR88" i="37"/>
  <c r="BR86" i="37"/>
  <c r="BR83" i="37"/>
  <c r="BS73" i="37"/>
  <c r="BS82" i="37"/>
  <c r="BS71" i="37"/>
  <c r="BR94" i="37"/>
  <c r="BR93" i="37"/>
  <c r="BS77" i="37"/>
  <c r="BS70" i="37"/>
  <c r="BS67" i="37"/>
  <c r="BS68" i="37"/>
  <c r="BS79" i="37"/>
  <c r="BS72" i="37"/>
  <c r="BS78" i="37"/>
  <c r="BS66" i="37"/>
  <c r="BS62" i="37"/>
  <c r="BS69" i="37"/>
  <c r="BS63" i="37"/>
  <c r="BS76" i="37"/>
  <c r="BS74" i="37"/>
  <c r="BS58" i="37"/>
  <c r="BS56" i="37"/>
  <c r="BS54" i="37"/>
  <c r="BS53" i="37"/>
  <c r="BS60" i="37"/>
  <c r="BS59" i="37"/>
  <c r="BS75" i="37"/>
  <c r="BS57" i="37"/>
  <c r="BS51" i="37"/>
  <c r="BS49" i="37"/>
  <c r="BS80" i="37"/>
  <c r="BS61" i="37"/>
  <c r="BS48" i="37"/>
  <c r="BS46" i="37"/>
  <c r="BS44" i="37"/>
  <c r="BS42" i="37"/>
  <c r="BS40" i="37"/>
  <c r="BS38" i="37"/>
  <c r="BS36" i="37"/>
  <c r="BS65" i="37"/>
  <c r="BS52" i="37"/>
  <c r="BS35" i="37"/>
  <c r="BS47" i="37"/>
  <c r="BS28" i="37"/>
  <c r="BS64" i="37"/>
  <c r="BS29" i="37"/>
  <c r="BS55" i="37"/>
  <c r="BS43" i="37"/>
  <c r="BS41" i="37"/>
  <c r="BS39" i="37"/>
  <c r="BS33" i="37"/>
  <c r="BS45" i="37"/>
  <c r="BS37" i="37"/>
  <c r="BS31" i="37"/>
  <c r="BS32" i="37"/>
  <c r="BS34" i="37"/>
  <c r="BS50" i="37"/>
  <c r="BS30" i="37"/>
  <c r="BT27" i="37"/>
  <c r="T40" i="63" l="1"/>
  <c r="Q40" i="63"/>
  <c r="V40" i="63"/>
  <c r="AA40" i="63" s="1"/>
  <c r="D41" i="63"/>
  <c r="G41" i="63"/>
  <c r="BS92" i="37"/>
  <c r="BS89" i="37"/>
  <c r="BS94" i="37"/>
  <c r="BS93" i="37"/>
  <c r="BS91" i="37"/>
  <c r="BS88" i="37"/>
  <c r="BT81" i="37"/>
  <c r="BS90" i="37"/>
  <c r="BS86" i="37"/>
  <c r="BT74" i="37"/>
  <c r="BT72" i="37"/>
  <c r="BT70" i="37"/>
  <c r="BT69" i="37"/>
  <c r="BT67" i="37"/>
  <c r="BT65" i="37"/>
  <c r="BT63" i="37"/>
  <c r="BT61" i="37"/>
  <c r="BS87" i="37"/>
  <c r="BS85" i="37"/>
  <c r="BT80" i="37"/>
  <c r="BT79" i="37"/>
  <c r="BT78" i="37"/>
  <c r="BT77" i="37"/>
  <c r="BT76" i="37"/>
  <c r="BT68" i="37"/>
  <c r="BT71" i="37"/>
  <c r="BS83" i="37"/>
  <c r="BT64" i="37"/>
  <c r="BS84" i="37"/>
  <c r="BT60" i="37"/>
  <c r="BT66" i="37"/>
  <c r="BT59" i="37"/>
  <c r="BT75" i="37"/>
  <c r="BT57" i="37"/>
  <c r="BT51" i="37"/>
  <c r="BT73" i="37"/>
  <c r="BT62" i="37"/>
  <c r="BT48" i="37"/>
  <c r="BT46" i="37"/>
  <c r="BT44" i="37"/>
  <c r="BT42" i="37"/>
  <c r="BT40" i="37"/>
  <c r="BT38" i="37"/>
  <c r="BT36" i="37"/>
  <c r="BT34" i="37"/>
  <c r="BT32" i="37"/>
  <c r="BT30" i="37"/>
  <c r="BT28" i="37"/>
  <c r="BT53" i="37"/>
  <c r="BT52" i="37"/>
  <c r="BT82" i="37"/>
  <c r="BT58" i="37"/>
  <c r="BT29" i="37"/>
  <c r="BT49" i="37"/>
  <c r="BT45" i="37"/>
  <c r="BT31" i="37"/>
  <c r="BT47" i="37"/>
  <c r="BT56" i="37"/>
  <c r="BU27" i="37"/>
  <c r="BT37" i="37"/>
  <c r="BT55" i="37"/>
  <c r="BT35" i="37"/>
  <c r="BT41" i="37"/>
  <c r="BT33" i="37"/>
  <c r="BT50" i="37"/>
  <c r="BT39" i="37"/>
  <c r="BT54" i="37"/>
  <c r="BT43" i="37"/>
  <c r="BT26" i="37"/>
  <c r="AB40" i="63" l="1"/>
  <c r="AG40" i="63"/>
  <c r="AJ40" i="63" s="1"/>
  <c r="R40" i="63"/>
  <c r="AL40" i="63" s="1"/>
  <c r="U40" i="63"/>
  <c r="F41" i="63"/>
  <c r="H41" i="63"/>
  <c r="C42" i="63" s="1"/>
  <c r="BT89" i="37"/>
  <c r="BT94" i="37"/>
  <c r="BT91" i="37"/>
  <c r="BT90" i="37"/>
  <c r="BT86" i="37"/>
  <c r="BT87" i="37"/>
  <c r="BU82" i="37"/>
  <c r="BU78" i="37"/>
  <c r="BU76" i="37"/>
  <c r="BT85" i="37"/>
  <c r="BT93" i="37"/>
  <c r="BU79" i="37"/>
  <c r="BT83" i="37"/>
  <c r="BU72" i="37"/>
  <c r="BT88" i="37"/>
  <c r="BU80" i="37"/>
  <c r="BU77" i="37"/>
  <c r="BU70" i="37"/>
  <c r="BU68" i="37"/>
  <c r="BU66" i="37"/>
  <c r="BU64" i="37"/>
  <c r="BU62" i="37"/>
  <c r="BT84" i="37"/>
  <c r="BU75" i="37"/>
  <c r="BU71" i="37"/>
  <c r="BT92" i="37"/>
  <c r="BU81" i="37"/>
  <c r="BU69" i="37"/>
  <c r="BU73" i="37"/>
  <c r="BU67" i="37"/>
  <c r="BU63" i="37"/>
  <c r="BU61" i="37"/>
  <c r="BU58" i="37"/>
  <c r="BU56" i="37"/>
  <c r="BU60" i="37"/>
  <c r="BU57" i="37"/>
  <c r="BU51" i="37"/>
  <c r="BU65" i="37"/>
  <c r="BU53" i="37"/>
  <c r="BU52" i="37"/>
  <c r="BU54" i="37"/>
  <c r="BU50" i="37"/>
  <c r="BU59" i="37"/>
  <c r="BU47" i="37"/>
  <c r="BU42" i="37"/>
  <c r="BU49" i="37"/>
  <c r="BU45" i="37"/>
  <c r="BU40" i="37"/>
  <c r="BU31" i="37"/>
  <c r="BU28" i="37"/>
  <c r="BV27" i="37"/>
  <c r="BU43" i="37"/>
  <c r="BU38" i="37"/>
  <c r="BU44" i="37"/>
  <c r="BU41" i="37"/>
  <c r="BU48" i="37"/>
  <c r="BU74" i="37"/>
  <c r="BU39" i="37"/>
  <c r="BU37" i="37"/>
  <c r="BU34" i="37"/>
  <c r="BU35" i="37"/>
  <c r="BU30" i="37"/>
  <c r="BU33" i="37"/>
  <c r="BU32" i="37"/>
  <c r="BU29" i="37"/>
  <c r="BU36" i="37"/>
  <c r="BU55" i="37"/>
  <c r="BU46" i="37"/>
  <c r="BU26" i="37"/>
  <c r="B42" i="63" l="1"/>
  <c r="E42" i="63" s="1"/>
  <c r="A41" i="63"/>
  <c r="BU94" i="37"/>
  <c r="BU91" i="37"/>
  <c r="BU86" i="37"/>
  <c r="BU85" i="37"/>
  <c r="BU93" i="37"/>
  <c r="BU84" i="37"/>
  <c r="BU83" i="37"/>
  <c r="BV82" i="37"/>
  <c r="BU89" i="37"/>
  <c r="BV78" i="37"/>
  <c r="BU92" i="37"/>
  <c r="BV71" i="37"/>
  <c r="BV79" i="37"/>
  <c r="BV76" i="37"/>
  <c r="BV75" i="37"/>
  <c r="BV81" i="37"/>
  <c r="BV69" i="37"/>
  <c r="BV73" i="37"/>
  <c r="BV72" i="37"/>
  <c r="BV74" i="37"/>
  <c r="BU87" i="37"/>
  <c r="BV68" i="37"/>
  <c r="BV64" i="37"/>
  <c r="BV61" i="37"/>
  <c r="BV58" i="37"/>
  <c r="BV56" i="37"/>
  <c r="BV60" i="37"/>
  <c r="BU88" i="37"/>
  <c r="BV62" i="37"/>
  <c r="BV67" i="37"/>
  <c r="BV55" i="37"/>
  <c r="BV65" i="37"/>
  <c r="BV53" i="37"/>
  <c r="BV52" i="37"/>
  <c r="BV77" i="37"/>
  <c r="BV54" i="37"/>
  <c r="BV50" i="37"/>
  <c r="BV47" i="37"/>
  <c r="BV45" i="37"/>
  <c r="BV43" i="37"/>
  <c r="BV41" i="37"/>
  <c r="BV39" i="37"/>
  <c r="BV37" i="37"/>
  <c r="BV35" i="37"/>
  <c r="BV33" i="37"/>
  <c r="BV31" i="37"/>
  <c r="BV63" i="37"/>
  <c r="BV59" i="37"/>
  <c r="BV49" i="37"/>
  <c r="BV40" i="37"/>
  <c r="BV28" i="37"/>
  <c r="BW27" i="37"/>
  <c r="BW26" i="37" s="1"/>
  <c r="BV48" i="37"/>
  <c r="BV36" i="37"/>
  <c r="BV32" i="37"/>
  <c r="BV57" i="37"/>
  <c r="BV38" i="37"/>
  <c r="BU90" i="37"/>
  <c r="BV70" i="37"/>
  <c r="BV80" i="37"/>
  <c r="BV44" i="37"/>
  <c r="BV42" i="37"/>
  <c r="BV66" i="37"/>
  <c r="BV51" i="37"/>
  <c r="BV34" i="37"/>
  <c r="BV46" i="37"/>
  <c r="BV29" i="37"/>
  <c r="BV30" i="37"/>
  <c r="BV26" i="37"/>
  <c r="T41" i="63" l="1"/>
  <c r="Q41" i="63"/>
  <c r="V41" i="63"/>
  <c r="AA41" i="63" s="1"/>
  <c r="D42" i="63"/>
  <c r="G42" i="63"/>
  <c r="BV91" i="37"/>
  <c r="BV88" i="37"/>
  <c r="BV93" i="37"/>
  <c r="BV92" i="37"/>
  <c r="BV90" i="37"/>
  <c r="BV94" i="37"/>
  <c r="BV89" i="37"/>
  <c r="BV84" i="37"/>
  <c r="BW79" i="37"/>
  <c r="BV87" i="37"/>
  <c r="BV85" i="37"/>
  <c r="BW80" i="37"/>
  <c r="BW77" i="37"/>
  <c r="BW81" i="37"/>
  <c r="BW78" i="37"/>
  <c r="BW74" i="37"/>
  <c r="BW73" i="37"/>
  <c r="BW72" i="37"/>
  <c r="BW62" i="37"/>
  <c r="BW76" i="37"/>
  <c r="BW75" i="37"/>
  <c r="BV83" i="37"/>
  <c r="BW69" i="37"/>
  <c r="BW60" i="37"/>
  <c r="BW82" i="37"/>
  <c r="BW59" i="37"/>
  <c r="BW57" i="37"/>
  <c r="BW55" i="37"/>
  <c r="BW53" i="37"/>
  <c r="BW67" i="37"/>
  <c r="BW61" i="37"/>
  <c r="BW52" i="37"/>
  <c r="BW50" i="37"/>
  <c r="BW71" i="37"/>
  <c r="BX27" i="37"/>
  <c r="BX26" i="37" s="1"/>
  <c r="BW68" i="37"/>
  <c r="BW54" i="37"/>
  <c r="BW47" i="37"/>
  <c r="BW45" i="37"/>
  <c r="BW43" i="37"/>
  <c r="BW41" i="37"/>
  <c r="BW39" i="37"/>
  <c r="BW37" i="37"/>
  <c r="BW35" i="37"/>
  <c r="BW63" i="37"/>
  <c r="BW58" i="37"/>
  <c r="BW49" i="37"/>
  <c r="BV86" i="37"/>
  <c r="BW64" i="37"/>
  <c r="BW38" i="37"/>
  <c r="BW31" i="37"/>
  <c r="BW33" i="37"/>
  <c r="BW70" i="37"/>
  <c r="BW56" i="37"/>
  <c r="BW48" i="37"/>
  <c r="BW36" i="37"/>
  <c r="BW32" i="37"/>
  <c r="BW42" i="37"/>
  <c r="BW66" i="37"/>
  <c r="BW28" i="37"/>
  <c r="BW40" i="37"/>
  <c r="BW29" i="37"/>
  <c r="BW46" i="37"/>
  <c r="BW44" i="37"/>
  <c r="BW65" i="37"/>
  <c r="BW51" i="37"/>
  <c r="BW34" i="37"/>
  <c r="BW30" i="37"/>
  <c r="AG41" i="63" l="1"/>
  <c r="AJ41" i="63" s="1"/>
  <c r="R41" i="63"/>
  <c r="AL41" i="63" s="1"/>
  <c r="AB41" i="63"/>
  <c r="U41" i="63"/>
  <c r="H42" i="63"/>
  <c r="C43" i="63" s="1"/>
  <c r="F42" i="63"/>
  <c r="BW88" i="37"/>
  <c r="BW93" i="37"/>
  <c r="BW90" i="37"/>
  <c r="BW85" i="37"/>
  <c r="BW92" i="37"/>
  <c r="BW83" i="37"/>
  <c r="BW86" i="37"/>
  <c r="BW94" i="37"/>
  <c r="BX73" i="37"/>
  <c r="BX71" i="37"/>
  <c r="BW91" i="37"/>
  <c r="BX82" i="37"/>
  <c r="BX70" i="37"/>
  <c r="BX68" i="37"/>
  <c r="BX66" i="37"/>
  <c r="BX64" i="37"/>
  <c r="BX62" i="37"/>
  <c r="BX60" i="37"/>
  <c r="BW89" i="37"/>
  <c r="BW84" i="37"/>
  <c r="BX81" i="37"/>
  <c r="BX63" i="37"/>
  <c r="BX79" i="37"/>
  <c r="BX76" i="37"/>
  <c r="BX75" i="37"/>
  <c r="BX74" i="37"/>
  <c r="BX80" i="37"/>
  <c r="BX65" i="37"/>
  <c r="BX72" i="37"/>
  <c r="BX67" i="37"/>
  <c r="BX61" i="37"/>
  <c r="BX55" i="37"/>
  <c r="BX52" i="37"/>
  <c r="BX58" i="37"/>
  <c r="BX54" i="37"/>
  <c r="BX47" i="37"/>
  <c r="BX45" i="37"/>
  <c r="BX43" i="37"/>
  <c r="BX41" i="37"/>
  <c r="BX39" i="37"/>
  <c r="BX37" i="37"/>
  <c r="BX35" i="37"/>
  <c r="BX33" i="37"/>
  <c r="BX31" i="37"/>
  <c r="BX29" i="37"/>
  <c r="BW87" i="37"/>
  <c r="BX77" i="37"/>
  <c r="BX50" i="37"/>
  <c r="BX78" i="37"/>
  <c r="BX59" i="37"/>
  <c r="BX49" i="37"/>
  <c r="BX57" i="37"/>
  <c r="BX56" i="37"/>
  <c r="BX48" i="37"/>
  <c r="BX36" i="37"/>
  <c r="BX32" i="37"/>
  <c r="BX34" i="37"/>
  <c r="BX28" i="37"/>
  <c r="BY27" i="37"/>
  <c r="BX40" i="37"/>
  <c r="BX51" i="37"/>
  <c r="BX69" i="37"/>
  <c r="BX53" i="37"/>
  <c r="BX46" i="37"/>
  <c r="BX38" i="37"/>
  <c r="BX30" i="37"/>
  <c r="BX44" i="37"/>
  <c r="BX42" i="37"/>
  <c r="B43" i="63" l="1"/>
  <c r="E43" i="63" s="1"/>
  <c r="A42" i="63"/>
  <c r="BX93" i="37"/>
  <c r="BX90" i="37"/>
  <c r="BX94" i="37"/>
  <c r="BY80" i="37"/>
  <c r="BY77" i="37"/>
  <c r="BY75" i="37"/>
  <c r="BY82" i="37"/>
  <c r="BX92" i="37"/>
  <c r="BY81" i="37"/>
  <c r="BX91" i="37"/>
  <c r="BY78" i="37"/>
  <c r="BY76" i="37"/>
  <c r="BX87" i="37"/>
  <c r="BX85" i="37"/>
  <c r="BY73" i="37"/>
  <c r="BY69" i="37"/>
  <c r="BY67" i="37"/>
  <c r="BY65" i="37"/>
  <c r="BY63" i="37"/>
  <c r="BX86" i="37"/>
  <c r="BX89" i="37"/>
  <c r="BY79" i="37"/>
  <c r="BY74" i="37"/>
  <c r="BY71" i="37"/>
  <c r="BY59" i="37"/>
  <c r="BY57" i="37"/>
  <c r="BY62" i="37"/>
  <c r="BY61" i="37"/>
  <c r="BY55" i="37"/>
  <c r="BY52" i="37"/>
  <c r="BY58" i="37"/>
  <c r="BY54" i="37"/>
  <c r="BX84" i="37"/>
  <c r="BY70" i="37"/>
  <c r="BY56" i="37"/>
  <c r="BY68" i="37"/>
  <c r="BY50" i="37"/>
  <c r="BY49" i="37"/>
  <c r="BX83" i="37"/>
  <c r="BY72" i="37"/>
  <c r="BY64" i="37"/>
  <c r="BY51" i="37"/>
  <c r="BY48" i="37"/>
  <c r="BY45" i="37"/>
  <c r="BY46" i="37"/>
  <c r="BY41" i="37"/>
  <c r="BY43" i="37"/>
  <c r="BY34" i="37"/>
  <c r="BY33" i="37"/>
  <c r="BY60" i="37"/>
  <c r="BY53" i="37"/>
  <c r="BY30" i="37"/>
  <c r="BY66" i="37"/>
  <c r="BY40" i="37"/>
  <c r="BY36" i="37"/>
  <c r="BZ27" i="37"/>
  <c r="BZ26" i="37" s="1"/>
  <c r="BY42" i="37"/>
  <c r="BY39" i="37"/>
  <c r="BY29" i="37"/>
  <c r="BY38" i="37"/>
  <c r="BY32" i="37"/>
  <c r="BY31" i="37"/>
  <c r="BY47" i="37"/>
  <c r="BY28" i="37"/>
  <c r="BX88" i="37"/>
  <c r="BY37" i="37"/>
  <c r="BY44" i="37"/>
  <c r="BY35" i="37"/>
  <c r="BY26" i="37"/>
  <c r="T42" i="63" l="1"/>
  <c r="Q42" i="63"/>
  <c r="V42" i="63"/>
  <c r="AA42" i="63" s="1"/>
  <c r="D43" i="63"/>
  <c r="G43" i="63"/>
  <c r="BY90" i="37"/>
  <c r="BY87" i="37"/>
  <c r="BY92" i="37"/>
  <c r="BY91" i="37"/>
  <c r="BY93" i="37"/>
  <c r="BY89" i="37"/>
  <c r="BY86" i="37"/>
  <c r="BY84" i="37"/>
  <c r="BY83" i="37"/>
  <c r="BZ82" i="37"/>
  <c r="BZ81" i="37"/>
  <c r="BY88" i="37"/>
  <c r="BZ80" i="37"/>
  <c r="BZ79" i="37"/>
  <c r="BZ77" i="37"/>
  <c r="BZ76" i="37"/>
  <c r="BZ75" i="37"/>
  <c r="BZ74" i="37"/>
  <c r="BY94" i="37"/>
  <c r="BZ72" i="37"/>
  <c r="BZ64" i="37"/>
  <c r="BY85" i="37"/>
  <c r="BZ65" i="37"/>
  <c r="BZ71" i="37"/>
  <c r="BZ59" i="37"/>
  <c r="BZ57" i="37"/>
  <c r="BZ70" i="37"/>
  <c r="BZ66" i="37"/>
  <c r="BZ58" i="37"/>
  <c r="BZ54" i="37"/>
  <c r="BZ73" i="37"/>
  <c r="BZ56" i="37"/>
  <c r="BZ68" i="37"/>
  <c r="BZ53" i="37"/>
  <c r="BZ61" i="37"/>
  <c r="BZ49" i="37"/>
  <c r="BZ78" i="37"/>
  <c r="BZ63" i="37"/>
  <c r="BZ51" i="37"/>
  <c r="BZ48" i="37"/>
  <c r="BZ46" i="37"/>
  <c r="BZ44" i="37"/>
  <c r="BZ42" i="37"/>
  <c r="BZ40" i="37"/>
  <c r="BZ38" i="37"/>
  <c r="BZ36" i="37"/>
  <c r="BZ34" i="37"/>
  <c r="BZ32" i="37"/>
  <c r="BZ67" i="37"/>
  <c r="BZ55" i="37"/>
  <c r="BZ43" i="37"/>
  <c r="BZ33" i="37"/>
  <c r="BZ39" i="37"/>
  <c r="BZ60" i="37"/>
  <c r="BZ41" i="37"/>
  <c r="BZ30" i="37"/>
  <c r="BZ69" i="37"/>
  <c r="BZ29" i="37"/>
  <c r="BZ35" i="37"/>
  <c r="BZ28" i="37"/>
  <c r="BZ31" i="37"/>
  <c r="BZ52" i="37"/>
  <c r="BZ37" i="37"/>
  <c r="CA27" i="37"/>
  <c r="CA26" i="37" s="1"/>
  <c r="BZ45" i="37"/>
  <c r="BZ62" i="37"/>
  <c r="BZ47" i="37"/>
  <c r="BZ50" i="37"/>
  <c r="R42" i="63" l="1"/>
  <c r="AL42" i="63" s="1"/>
  <c r="AB42" i="63"/>
  <c r="AG42" i="63"/>
  <c r="AJ42" i="63" s="1"/>
  <c r="U42" i="63"/>
  <c r="F43" i="63"/>
  <c r="H43" i="63"/>
  <c r="C44" i="63" s="1"/>
  <c r="BZ92" i="37"/>
  <c r="BZ94" i="37"/>
  <c r="BZ84" i="37"/>
  <c r="BZ90" i="37"/>
  <c r="CA81" i="37"/>
  <c r="BZ91" i="37"/>
  <c r="BZ88" i="37"/>
  <c r="BZ87" i="37"/>
  <c r="BZ86" i="37"/>
  <c r="BZ85" i="37"/>
  <c r="CA80" i="37"/>
  <c r="CA77" i="37"/>
  <c r="CA79" i="37"/>
  <c r="CA75" i="37"/>
  <c r="CA78" i="37"/>
  <c r="BZ93" i="37"/>
  <c r="CA76" i="37"/>
  <c r="CA65" i="37"/>
  <c r="CA66" i="37"/>
  <c r="BZ83" i="37"/>
  <c r="CA82" i="37"/>
  <c r="CA74" i="37"/>
  <c r="CA73" i="37"/>
  <c r="CA67" i="37"/>
  <c r="CA62" i="37"/>
  <c r="CA61" i="37"/>
  <c r="CA58" i="37"/>
  <c r="CA56" i="37"/>
  <c r="CA54" i="37"/>
  <c r="BZ89" i="37"/>
  <c r="CA70" i="37"/>
  <c r="CA68" i="37"/>
  <c r="CA53" i="37"/>
  <c r="CA64" i="37"/>
  <c r="CA51" i="37"/>
  <c r="CA49" i="37"/>
  <c r="CA63" i="37"/>
  <c r="CA59" i="37"/>
  <c r="CA48" i="37"/>
  <c r="CA46" i="37"/>
  <c r="CA44" i="37"/>
  <c r="CA42" i="37"/>
  <c r="CA40" i="37"/>
  <c r="CA38" i="37"/>
  <c r="CA36" i="37"/>
  <c r="CA72" i="37"/>
  <c r="CA55" i="37"/>
  <c r="CA57" i="37"/>
  <c r="CA60" i="37"/>
  <c r="CA41" i="37"/>
  <c r="CA34" i="37"/>
  <c r="CA30" i="37"/>
  <c r="CA50" i="37"/>
  <c r="CA29" i="37"/>
  <c r="CA69" i="37"/>
  <c r="CA39" i="37"/>
  <c r="CA52" i="37"/>
  <c r="CA37" i="37"/>
  <c r="CA31" i="37"/>
  <c r="CA43" i="37"/>
  <c r="CA32" i="37"/>
  <c r="CA47" i="37"/>
  <c r="CA33" i="37"/>
  <c r="CA45" i="37"/>
  <c r="CA71" i="37"/>
  <c r="CA28" i="37"/>
  <c r="CA35" i="37"/>
  <c r="CB27" i="37"/>
  <c r="CB26" i="37" s="1"/>
  <c r="B44" i="63" l="1"/>
  <c r="E44" i="63" s="1"/>
  <c r="A43" i="63"/>
  <c r="CA92" i="37"/>
  <c r="CA89" i="37"/>
  <c r="CA94" i="37"/>
  <c r="CA93" i="37"/>
  <c r="CA88" i="37"/>
  <c r="CA87" i="37"/>
  <c r="CA85" i="37"/>
  <c r="CA83" i="37"/>
  <c r="CB74" i="37"/>
  <c r="CB72" i="37"/>
  <c r="CB70" i="37"/>
  <c r="CB73" i="37"/>
  <c r="CB69" i="37"/>
  <c r="CB67" i="37"/>
  <c r="CB65" i="37"/>
  <c r="CB63" i="37"/>
  <c r="CB61" i="37"/>
  <c r="CA86" i="37"/>
  <c r="CB71" i="37"/>
  <c r="CB75" i="37"/>
  <c r="CB66" i="37"/>
  <c r="CA91" i="37"/>
  <c r="CB78" i="37"/>
  <c r="CA84" i="37"/>
  <c r="CB81" i="37"/>
  <c r="CB79" i="37"/>
  <c r="CB68" i="37"/>
  <c r="CB56" i="37"/>
  <c r="CB53" i="37"/>
  <c r="CB76" i="37"/>
  <c r="CB64" i="37"/>
  <c r="CB51" i="37"/>
  <c r="CB80" i="37"/>
  <c r="CB77" i="37"/>
  <c r="CB59" i="37"/>
  <c r="CB54" i="37"/>
  <c r="CB48" i="37"/>
  <c r="CB46" i="37"/>
  <c r="CB44" i="37"/>
  <c r="CB42" i="37"/>
  <c r="CB40" i="37"/>
  <c r="CB38" i="37"/>
  <c r="CB36" i="37"/>
  <c r="CB34" i="37"/>
  <c r="CB32" i="37"/>
  <c r="CB30" i="37"/>
  <c r="CB28" i="37"/>
  <c r="CB55" i="37"/>
  <c r="CB82" i="37"/>
  <c r="CB58" i="37"/>
  <c r="CB57" i="37"/>
  <c r="CB60" i="37"/>
  <c r="CB39" i="37"/>
  <c r="CB35" i="37"/>
  <c r="CA90" i="37"/>
  <c r="CB52" i="37"/>
  <c r="CB50" i="37"/>
  <c r="CB37" i="37"/>
  <c r="CB29" i="37"/>
  <c r="CB43" i="37"/>
  <c r="CB47" i="37"/>
  <c r="CB33" i="37"/>
  <c r="CB62" i="37"/>
  <c r="CC27" i="37"/>
  <c r="CC26" i="37" s="1"/>
  <c r="CB41" i="37"/>
  <c r="CB31" i="37"/>
  <c r="CB45" i="37"/>
  <c r="CB49" i="37"/>
  <c r="T43" i="63" l="1"/>
  <c r="Q43" i="63"/>
  <c r="V43" i="63"/>
  <c r="AA43" i="63" s="1"/>
  <c r="D44" i="63"/>
  <c r="G44" i="63"/>
  <c r="CB89" i="37"/>
  <c r="CB94" i="37"/>
  <c r="CB91" i="37"/>
  <c r="CB90" i="37"/>
  <c r="CB86" i="37"/>
  <c r="CC82" i="37"/>
  <c r="CC78" i="37"/>
  <c r="CC76" i="37"/>
  <c r="CC74" i="37"/>
  <c r="CC81" i="37"/>
  <c r="CB88" i="37"/>
  <c r="CB85" i="37"/>
  <c r="CB84" i="37"/>
  <c r="CC80" i="37"/>
  <c r="CB92" i="37"/>
  <c r="CB87" i="37"/>
  <c r="CB93" i="37"/>
  <c r="CC68" i="37"/>
  <c r="CC66" i="37"/>
  <c r="CC64" i="37"/>
  <c r="CC62" i="37"/>
  <c r="CB83" i="37"/>
  <c r="CC67" i="37"/>
  <c r="CC79" i="37"/>
  <c r="CC70" i="37"/>
  <c r="CC58" i="37"/>
  <c r="CC56" i="37"/>
  <c r="CC77" i="37"/>
  <c r="CC75" i="37"/>
  <c r="CC63" i="37"/>
  <c r="CC60" i="37"/>
  <c r="CC73" i="37"/>
  <c r="CC51" i="37"/>
  <c r="CC65" i="37"/>
  <c r="CC59" i="37"/>
  <c r="CC55" i="37"/>
  <c r="CC72" i="37"/>
  <c r="CC57" i="37"/>
  <c r="CC69" i="37"/>
  <c r="CC52" i="37"/>
  <c r="CC50" i="37"/>
  <c r="CC37" i="37"/>
  <c r="CC29" i="37"/>
  <c r="CC44" i="37"/>
  <c r="CD27" i="37"/>
  <c r="CC53" i="37"/>
  <c r="CC46" i="37"/>
  <c r="CC35" i="37"/>
  <c r="CC71" i="37"/>
  <c r="CC28" i="37"/>
  <c r="CC47" i="37"/>
  <c r="CC39" i="37"/>
  <c r="CC33" i="37"/>
  <c r="CC32" i="37"/>
  <c r="CC42" i="37"/>
  <c r="CC41" i="37"/>
  <c r="CC31" i="37"/>
  <c r="CC40" i="37"/>
  <c r="CC61" i="37"/>
  <c r="CC38" i="37"/>
  <c r="CC45" i="37"/>
  <c r="CC34" i="37"/>
  <c r="CC30" i="37"/>
  <c r="CC54" i="37"/>
  <c r="CC49" i="37"/>
  <c r="CC36" i="37"/>
  <c r="CC43" i="37"/>
  <c r="CC48" i="37"/>
  <c r="AB43" i="63" l="1"/>
  <c r="R43" i="63"/>
  <c r="AL43" i="63" s="1"/>
  <c r="AG43" i="63"/>
  <c r="AJ43" i="63" s="1"/>
  <c r="U43" i="63"/>
  <c r="F44" i="63"/>
  <c r="H44" i="63"/>
  <c r="C45" i="63" s="1"/>
  <c r="CC94" i="37"/>
  <c r="CC91" i="37"/>
  <c r="CC93" i="37"/>
  <c r="CC83" i="37"/>
  <c r="CC89" i="37"/>
  <c r="CC90" i="37"/>
  <c r="CD82" i="37"/>
  <c r="CD79" i="37"/>
  <c r="CC88" i="37"/>
  <c r="CC84" i="37"/>
  <c r="CD81" i="37"/>
  <c r="CD72" i="37"/>
  <c r="CD70" i="37"/>
  <c r="CC92" i="37"/>
  <c r="CC85" i="37"/>
  <c r="CD67" i="37"/>
  <c r="CD78" i="37"/>
  <c r="CD68" i="37"/>
  <c r="CD71" i="37"/>
  <c r="CD74" i="37"/>
  <c r="CD58" i="37"/>
  <c r="CD56" i="37"/>
  <c r="CC86" i="37"/>
  <c r="CD80" i="37"/>
  <c r="CD76" i="37"/>
  <c r="CD73" i="37"/>
  <c r="CD65" i="37"/>
  <c r="CD62" i="37"/>
  <c r="CD61" i="37"/>
  <c r="CD69" i="37"/>
  <c r="CD64" i="37"/>
  <c r="CD75" i="37"/>
  <c r="CD59" i="37"/>
  <c r="CD77" i="37"/>
  <c r="CD57" i="37"/>
  <c r="CC87" i="37"/>
  <c r="CD51" i="37"/>
  <c r="CD60" i="37"/>
  <c r="CD47" i="37"/>
  <c r="CD45" i="37"/>
  <c r="CD43" i="37"/>
  <c r="CD41" i="37"/>
  <c r="CD39" i="37"/>
  <c r="CD37" i="37"/>
  <c r="CD35" i="37"/>
  <c r="CD33" i="37"/>
  <c r="CD31" i="37"/>
  <c r="CD52" i="37"/>
  <c r="CD50" i="37"/>
  <c r="CD53" i="37"/>
  <c r="CD46" i="37"/>
  <c r="CD42" i="37"/>
  <c r="CD44" i="37"/>
  <c r="CD28" i="37"/>
  <c r="CE27" i="37"/>
  <c r="CD54" i="37"/>
  <c r="CD38" i="37"/>
  <c r="CD55" i="37"/>
  <c r="CD34" i="37"/>
  <c r="CD30" i="37"/>
  <c r="CD63" i="37"/>
  <c r="CD36" i="37"/>
  <c r="CD32" i="37"/>
  <c r="CD29" i="37"/>
  <c r="CD49" i="37"/>
  <c r="CD48" i="37"/>
  <c r="CD40" i="37"/>
  <c r="CD66" i="37"/>
  <c r="CD26" i="37"/>
  <c r="B45" i="63" l="1"/>
  <c r="E45" i="63" s="1"/>
  <c r="A44" i="63"/>
  <c r="CD91" i="37"/>
  <c r="CD88" i="37"/>
  <c r="CD93" i="37"/>
  <c r="CD92" i="37"/>
  <c r="CD89" i="37"/>
  <c r="CD87" i="37"/>
  <c r="CD86" i="37"/>
  <c r="CD85" i="37"/>
  <c r="CE79" i="37"/>
  <c r="CD94" i="37"/>
  <c r="CE82" i="37"/>
  <c r="CD84" i="37"/>
  <c r="CD83" i="37"/>
  <c r="CE81" i="37"/>
  <c r="CD90" i="37"/>
  <c r="CE78" i="37"/>
  <c r="CE71" i="37"/>
  <c r="CE77" i="37"/>
  <c r="CE76" i="37"/>
  <c r="CE75" i="37"/>
  <c r="CE68" i="37"/>
  <c r="CE70" i="37"/>
  <c r="CE69" i="37"/>
  <c r="CE80" i="37"/>
  <c r="CE73" i="37"/>
  <c r="CE65" i="37"/>
  <c r="CE62" i="37"/>
  <c r="CE61" i="37"/>
  <c r="CE66" i="37"/>
  <c r="CE63" i="37"/>
  <c r="CE60" i="37"/>
  <c r="CE72" i="37"/>
  <c r="CE59" i="37"/>
  <c r="CE57" i="37"/>
  <c r="CE55" i="37"/>
  <c r="CE53" i="37"/>
  <c r="CE64" i="37"/>
  <c r="CE52" i="37"/>
  <c r="CE50" i="37"/>
  <c r="CE51" i="37"/>
  <c r="CF27" i="37"/>
  <c r="CF26" i="37" s="1"/>
  <c r="CE58" i="37"/>
  <c r="CE47" i="37"/>
  <c r="CE45" i="37"/>
  <c r="CE43" i="37"/>
  <c r="CE41" i="37"/>
  <c r="CE39" i="37"/>
  <c r="CE37" i="37"/>
  <c r="CE35" i="37"/>
  <c r="CE67" i="37"/>
  <c r="CE56" i="37"/>
  <c r="CE44" i="37"/>
  <c r="CE28" i="37"/>
  <c r="CE40" i="37"/>
  <c r="CE54" i="37"/>
  <c r="CE42" i="37"/>
  <c r="CE31" i="37"/>
  <c r="CE34" i="37"/>
  <c r="CE30" i="37"/>
  <c r="CE74" i="37"/>
  <c r="CE36" i="37"/>
  <c r="CE49" i="37"/>
  <c r="CE46" i="37"/>
  <c r="CE48" i="37"/>
  <c r="CE32" i="37"/>
  <c r="CE29" i="37"/>
  <c r="CE38" i="37"/>
  <c r="CE33" i="37"/>
  <c r="CE26" i="37"/>
  <c r="T44" i="63" l="1"/>
  <c r="Q44" i="63"/>
  <c r="V44" i="63"/>
  <c r="AA44" i="63" s="1"/>
  <c r="D45" i="63"/>
  <c r="G45" i="63"/>
  <c r="CE88" i="37"/>
  <c r="CE93" i="37"/>
  <c r="CE90" i="37"/>
  <c r="CE85" i="37"/>
  <c r="CE84" i="37"/>
  <c r="CE92" i="37"/>
  <c r="CE83" i="37"/>
  <c r="CE87" i="37"/>
  <c r="CE86" i="37"/>
  <c r="CF77" i="37"/>
  <c r="CF73" i="37"/>
  <c r="CF71" i="37"/>
  <c r="CE94" i="37"/>
  <c r="CE89" i="37"/>
  <c r="CF68" i="37"/>
  <c r="CF66" i="37"/>
  <c r="CF64" i="37"/>
  <c r="CF62" i="37"/>
  <c r="CF60" i="37"/>
  <c r="CF76" i="37"/>
  <c r="CF75" i="37"/>
  <c r="CF80" i="37"/>
  <c r="CF78" i="37"/>
  <c r="CF70" i="37"/>
  <c r="CF69" i="37"/>
  <c r="CE91" i="37"/>
  <c r="CF72" i="37"/>
  <c r="CF81" i="37"/>
  <c r="CF63" i="37"/>
  <c r="CF67" i="37"/>
  <c r="CF79" i="37"/>
  <c r="CF59" i="37"/>
  <c r="CF65" i="37"/>
  <c r="CF57" i="37"/>
  <c r="CF52" i="37"/>
  <c r="CF74" i="37"/>
  <c r="CF55" i="37"/>
  <c r="CF58" i="37"/>
  <c r="CF47" i="37"/>
  <c r="CF45" i="37"/>
  <c r="CF43" i="37"/>
  <c r="CF41" i="37"/>
  <c r="CF39" i="37"/>
  <c r="CF37" i="37"/>
  <c r="CF35" i="37"/>
  <c r="CF33" i="37"/>
  <c r="CF31" i="37"/>
  <c r="CF29" i="37"/>
  <c r="CF82" i="37"/>
  <c r="CF56" i="37"/>
  <c r="CF50" i="37"/>
  <c r="CF53" i="37"/>
  <c r="CF49" i="37"/>
  <c r="CF54" i="37"/>
  <c r="CF42" i="37"/>
  <c r="CG27" i="37"/>
  <c r="CF38" i="37"/>
  <c r="CF40" i="37"/>
  <c r="CF61" i="37"/>
  <c r="CF32" i="37"/>
  <c r="CF36" i="37"/>
  <c r="CF28" i="37"/>
  <c r="CF51" i="37"/>
  <c r="CF46" i="37"/>
  <c r="CF34" i="37"/>
  <c r="CF30" i="37"/>
  <c r="CF48" i="37"/>
  <c r="CF44" i="37"/>
  <c r="R44" i="63" l="1"/>
  <c r="AL44" i="63" s="1"/>
  <c r="AG44" i="63"/>
  <c r="AJ44" i="63" s="1"/>
  <c r="AB44" i="63"/>
  <c r="U44" i="63"/>
  <c r="H45" i="63"/>
  <c r="C46" i="63" s="1"/>
  <c r="F45" i="63"/>
  <c r="CF93" i="37"/>
  <c r="CF90" i="37"/>
  <c r="CF94" i="37"/>
  <c r="CF92" i="37"/>
  <c r="CF91" i="37"/>
  <c r="CF88" i="37"/>
  <c r="CF83" i="37"/>
  <c r="CG80" i="37"/>
  <c r="CG77" i="37"/>
  <c r="CG75" i="37"/>
  <c r="CF89" i="37"/>
  <c r="CF84" i="37"/>
  <c r="CF85" i="37"/>
  <c r="CG70" i="37"/>
  <c r="CG74" i="37"/>
  <c r="CG69" i="37"/>
  <c r="CG67" i="37"/>
  <c r="CG65" i="37"/>
  <c r="CG63" i="37"/>
  <c r="CG82" i="37"/>
  <c r="CG79" i="37"/>
  <c r="CG78" i="37"/>
  <c r="CG72" i="37"/>
  <c r="CG71" i="37"/>
  <c r="CG73" i="37"/>
  <c r="CF86" i="37"/>
  <c r="CG76" i="37"/>
  <c r="CG66" i="37"/>
  <c r="CG60" i="37"/>
  <c r="CG64" i="37"/>
  <c r="CG59" i="37"/>
  <c r="CG57" i="37"/>
  <c r="CG68" i="37"/>
  <c r="CG52" i="37"/>
  <c r="CG55" i="37"/>
  <c r="CG54" i="37"/>
  <c r="CG81" i="37"/>
  <c r="CG56" i="37"/>
  <c r="CG50" i="37"/>
  <c r="CG53" i="37"/>
  <c r="CG49" i="37"/>
  <c r="CG48" i="37"/>
  <c r="CG40" i="37"/>
  <c r="CG35" i="37"/>
  <c r="CG51" i="37"/>
  <c r="CG61" i="37"/>
  <c r="CG38" i="37"/>
  <c r="CG32" i="37"/>
  <c r="CG31" i="37"/>
  <c r="CG47" i="37"/>
  <c r="CG36" i="37"/>
  <c r="CG46" i="37"/>
  <c r="CG42" i="37"/>
  <c r="CG29" i="37"/>
  <c r="CG58" i="37"/>
  <c r="CG34" i="37"/>
  <c r="CG62" i="37"/>
  <c r="CG45" i="37"/>
  <c r="CG37" i="37"/>
  <c r="CH27" i="37"/>
  <c r="CG44" i="37"/>
  <c r="CF87" i="37"/>
  <c r="CG39" i="37"/>
  <c r="CG43" i="37"/>
  <c r="CG28" i="37"/>
  <c r="CG41" i="37"/>
  <c r="CG33" i="37"/>
  <c r="CG30" i="37"/>
  <c r="CG26" i="37"/>
  <c r="B46" i="63" l="1"/>
  <c r="E46" i="63" s="1"/>
  <c r="A45" i="63"/>
  <c r="CG90" i="37"/>
  <c r="CG87" i="37"/>
  <c r="CG92" i="37"/>
  <c r="CG91" i="37"/>
  <c r="CG93" i="37"/>
  <c r="CG89" i="37"/>
  <c r="CG94" i="37"/>
  <c r="CG85" i="37"/>
  <c r="CH82" i="37"/>
  <c r="CH81" i="37"/>
  <c r="CH78" i="37"/>
  <c r="CH80" i="37"/>
  <c r="CH76" i="37"/>
  <c r="CG86" i="37"/>
  <c r="CG83" i="37"/>
  <c r="CH79" i="37"/>
  <c r="CH77" i="37"/>
  <c r="CH73" i="37"/>
  <c r="CH72" i="37"/>
  <c r="CH71" i="37"/>
  <c r="CH62" i="37"/>
  <c r="CG84" i="37"/>
  <c r="CH70" i="37"/>
  <c r="CH67" i="37"/>
  <c r="CH64" i="37"/>
  <c r="CH59" i="37"/>
  <c r="CH57" i="37"/>
  <c r="CH75" i="37"/>
  <c r="CH68" i="37"/>
  <c r="CH65" i="37"/>
  <c r="CH55" i="37"/>
  <c r="CH74" i="37"/>
  <c r="CH54" i="37"/>
  <c r="CH69" i="37"/>
  <c r="CH63" i="37"/>
  <c r="CH60" i="37"/>
  <c r="CH56" i="37"/>
  <c r="CH50" i="37"/>
  <c r="CH53" i="37"/>
  <c r="CH49" i="37"/>
  <c r="CH52" i="37"/>
  <c r="CH48" i="37"/>
  <c r="CH46" i="37"/>
  <c r="CH44" i="37"/>
  <c r="CH42" i="37"/>
  <c r="CH40" i="37"/>
  <c r="CH38" i="37"/>
  <c r="CH36" i="37"/>
  <c r="CH34" i="37"/>
  <c r="CH32" i="37"/>
  <c r="CH66" i="37"/>
  <c r="CH61" i="37"/>
  <c r="CH31" i="37"/>
  <c r="CH30" i="37"/>
  <c r="CH51" i="37"/>
  <c r="CH47" i="37"/>
  <c r="CH45" i="37"/>
  <c r="CH33" i="37"/>
  <c r="CH37" i="37"/>
  <c r="CI27" i="37"/>
  <c r="CI26" i="37" s="1"/>
  <c r="CG88" i="37"/>
  <c r="CH43" i="37"/>
  <c r="CH35" i="37"/>
  <c r="CH28" i="37"/>
  <c r="CH41" i="37"/>
  <c r="CH29" i="37"/>
  <c r="CH58" i="37"/>
  <c r="CH39" i="37"/>
  <c r="CH26" i="37"/>
  <c r="T45" i="63" l="1"/>
  <c r="Q45" i="63"/>
  <c r="V45" i="63"/>
  <c r="AA45" i="63" s="1"/>
  <c r="D46" i="63"/>
  <c r="G46" i="63"/>
  <c r="CH92" i="37"/>
  <c r="CH84" i="37"/>
  <c r="CI81" i="37"/>
  <c r="CH88" i="37"/>
  <c r="CH86" i="37"/>
  <c r="CH91" i="37"/>
  <c r="CH94" i="37"/>
  <c r="CH87" i="37"/>
  <c r="CH89" i="37"/>
  <c r="CI82" i="37"/>
  <c r="CI80" i="37"/>
  <c r="CI78" i="37"/>
  <c r="CI72" i="37"/>
  <c r="CI63" i="37"/>
  <c r="CH83" i="37"/>
  <c r="CI73" i="37"/>
  <c r="CH90" i="37"/>
  <c r="CI77" i="37"/>
  <c r="CI74" i="37"/>
  <c r="CI75" i="37"/>
  <c r="CI68" i="37"/>
  <c r="CI69" i="37"/>
  <c r="CI58" i="37"/>
  <c r="CI56" i="37"/>
  <c r="CI54" i="37"/>
  <c r="CI76" i="37"/>
  <c r="CI70" i="37"/>
  <c r="CI57" i="37"/>
  <c r="CH93" i="37"/>
  <c r="CI60" i="37"/>
  <c r="CH85" i="37"/>
  <c r="CI71" i="37"/>
  <c r="CI66" i="37"/>
  <c r="CI61" i="37"/>
  <c r="CI53" i="37"/>
  <c r="CI51" i="37"/>
  <c r="CI49" i="37"/>
  <c r="CI79" i="37"/>
  <c r="CI67" i="37"/>
  <c r="CI52" i="37"/>
  <c r="CI48" i="37"/>
  <c r="CI46" i="37"/>
  <c r="CI44" i="37"/>
  <c r="CI42" i="37"/>
  <c r="CI40" i="37"/>
  <c r="CI38" i="37"/>
  <c r="CI36" i="37"/>
  <c r="CI64" i="37"/>
  <c r="CI47" i="37"/>
  <c r="CI32" i="37"/>
  <c r="CI43" i="37"/>
  <c r="CI45" i="37"/>
  <c r="CI33" i="37"/>
  <c r="CI30" i="37"/>
  <c r="CI55" i="37"/>
  <c r="CI34" i="37"/>
  <c r="CI62" i="37"/>
  <c r="CI65" i="37"/>
  <c r="CI37" i="37"/>
  <c r="CI35" i="37"/>
  <c r="CI28" i="37"/>
  <c r="CI50" i="37"/>
  <c r="CJ27" i="37"/>
  <c r="CJ26" i="37" s="1"/>
  <c r="CI41" i="37"/>
  <c r="CI29" i="37"/>
  <c r="CI59" i="37"/>
  <c r="CI39" i="37"/>
  <c r="CI31" i="37"/>
  <c r="R45" i="63" l="1"/>
  <c r="AL45" i="63" s="1"/>
  <c r="AB45" i="63"/>
  <c r="AG45" i="63"/>
  <c r="AJ45" i="63" s="1"/>
  <c r="U45" i="63"/>
  <c r="F46" i="63"/>
  <c r="H46" i="63"/>
  <c r="C47" i="63" s="1"/>
  <c r="CI92" i="37"/>
  <c r="CI89" i="37"/>
  <c r="CI94" i="37"/>
  <c r="CI93" i="37"/>
  <c r="CI91" i="37"/>
  <c r="CI90" i="37"/>
  <c r="CI86" i="37"/>
  <c r="CI87" i="37"/>
  <c r="CJ77" i="37"/>
  <c r="CJ79" i="37"/>
  <c r="CJ75" i="37"/>
  <c r="CJ72" i="37"/>
  <c r="CJ70" i="37"/>
  <c r="CJ76" i="37"/>
  <c r="CJ74" i="37"/>
  <c r="CJ69" i="37"/>
  <c r="CJ67" i="37"/>
  <c r="CJ65" i="37"/>
  <c r="CJ63" i="37"/>
  <c r="CJ61" i="37"/>
  <c r="CJ59" i="37"/>
  <c r="CI83" i="37"/>
  <c r="CJ73" i="37"/>
  <c r="CJ64" i="37"/>
  <c r="CJ80" i="37"/>
  <c r="CI84" i="37"/>
  <c r="CJ82" i="37"/>
  <c r="CJ60" i="37"/>
  <c r="CJ54" i="37"/>
  <c r="CI85" i="37"/>
  <c r="CJ71" i="37"/>
  <c r="CJ66" i="37"/>
  <c r="CJ53" i="37"/>
  <c r="CJ51" i="37"/>
  <c r="CJ58" i="37"/>
  <c r="CJ81" i="37"/>
  <c r="CJ78" i="37"/>
  <c r="CJ57" i="37"/>
  <c r="CJ52" i="37"/>
  <c r="CJ49" i="37"/>
  <c r="CJ48" i="37"/>
  <c r="CJ46" i="37"/>
  <c r="CJ44" i="37"/>
  <c r="CJ42" i="37"/>
  <c r="CJ40" i="37"/>
  <c r="CJ38" i="37"/>
  <c r="CJ36" i="37"/>
  <c r="CJ34" i="37"/>
  <c r="CJ32" i="37"/>
  <c r="CJ30" i="37"/>
  <c r="CJ28" i="37"/>
  <c r="CJ62" i="37"/>
  <c r="CJ45" i="37"/>
  <c r="CJ33" i="37"/>
  <c r="CJ55" i="37"/>
  <c r="CJ43" i="37"/>
  <c r="CJ41" i="37"/>
  <c r="CJ29" i="37"/>
  <c r="CJ35" i="37"/>
  <c r="CJ39" i="37"/>
  <c r="CJ37" i="37"/>
  <c r="CJ47" i="37"/>
  <c r="CI88" i="37"/>
  <c r="CJ56" i="37"/>
  <c r="CJ31" i="37"/>
  <c r="CJ50" i="37"/>
  <c r="CJ68" i="37"/>
  <c r="CK27" i="37"/>
  <c r="CK26" i="37" s="1"/>
  <c r="B47" i="63" l="1"/>
  <c r="E47" i="63" s="1"/>
  <c r="A46" i="63"/>
  <c r="CJ89" i="37"/>
  <c r="CJ94" i="37"/>
  <c r="CJ86" i="37"/>
  <c r="CJ91" i="37"/>
  <c r="CJ90" i="37"/>
  <c r="CJ87" i="37"/>
  <c r="CK82" i="37"/>
  <c r="CK78" i="37"/>
  <c r="CK76" i="37"/>
  <c r="CK74" i="37"/>
  <c r="CJ92" i="37"/>
  <c r="CJ85" i="37"/>
  <c r="CJ88" i="37"/>
  <c r="CK80" i="37"/>
  <c r="CJ83" i="37"/>
  <c r="CK75" i="37"/>
  <c r="CK73" i="37"/>
  <c r="CK71" i="37"/>
  <c r="CK68" i="37"/>
  <c r="CK66" i="37"/>
  <c r="CK64" i="37"/>
  <c r="CK62" i="37"/>
  <c r="CK81" i="37"/>
  <c r="CJ84" i="37"/>
  <c r="CK77" i="37"/>
  <c r="CK65" i="37"/>
  <c r="CK69" i="37"/>
  <c r="CK58" i="37"/>
  <c r="CK56" i="37"/>
  <c r="CJ93" i="37"/>
  <c r="CK61" i="37"/>
  <c r="CK53" i="37"/>
  <c r="CK51" i="37"/>
  <c r="CK63" i="37"/>
  <c r="CK72" i="37"/>
  <c r="CK67" i="37"/>
  <c r="CK60" i="37"/>
  <c r="CK54" i="37"/>
  <c r="CK70" i="37"/>
  <c r="CK55" i="37"/>
  <c r="CK43" i="37"/>
  <c r="CK38" i="37"/>
  <c r="CK30" i="37"/>
  <c r="CK41" i="37"/>
  <c r="CK36" i="37"/>
  <c r="CK34" i="37"/>
  <c r="CK29" i="37"/>
  <c r="CK39" i="37"/>
  <c r="CK57" i="37"/>
  <c r="CK45" i="37"/>
  <c r="CK28" i="37"/>
  <c r="CK40" i="37"/>
  <c r="CK32" i="37"/>
  <c r="CK52" i="37"/>
  <c r="CK49" i="37"/>
  <c r="CK44" i="37"/>
  <c r="CK50" i="37"/>
  <c r="CK48" i="37"/>
  <c r="CK37" i="37"/>
  <c r="CL27" i="37"/>
  <c r="CK47" i="37"/>
  <c r="CK46" i="37"/>
  <c r="CK35" i="37"/>
  <c r="CK79" i="37"/>
  <c r="CK59" i="37"/>
  <c r="CK42" i="37"/>
  <c r="CK31" i="37"/>
  <c r="CK33" i="37"/>
  <c r="T46" i="63" l="1"/>
  <c r="Q46" i="63"/>
  <c r="V46" i="63"/>
  <c r="AA46" i="63" s="1"/>
  <c r="D47" i="63"/>
  <c r="G47" i="63"/>
  <c r="CK94" i="37"/>
  <c r="CK91" i="37"/>
  <c r="CK88" i="37"/>
  <c r="CK86" i="37"/>
  <c r="CK83" i="37"/>
  <c r="CK87" i="37"/>
  <c r="CL81" i="37"/>
  <c r="CK93" i="37"/>
  <c r="CL80" i="37"/>
  <c r="CL76" i="37"/>
  <c r="CK85" i="37"/>
  <c r="CL82" i="37"/>
  <c r="CL74" i="37"/>
  <c r="CL79" i="37"/>
  <c r="CL77" i="37"/>
  <c r="CK90" i="37"/>
  <c r="CK84" i="37"/>
  <c r="CL65" i="37"/>
  <c r="CL66" i="37"/>
  <c r="CL58" i="37"/>
  <c r="CL56" i="37"/>
  <c r="CK92" i="37"/>
  <c r="CL72" i="37"/>
  <c r="CL71" i="37"/>
  <c r="CL60" i="37"/>
  <c r="CK89" i="37"/>
  <c r="CL63" i="37"/>
  <c r="CL69" i="37"/>
  <c r="CL61" i="37"/>
  <c r="CL62" i="37"/>
  <c r="CL53" i="37"/>
  <c r="CL64" i="37"/>
  <c r="CL54" i="37"/>
  <c r="CL47" i="37"/>
  <c r="CL45" i="37"/>
  <c r="CL43" i="37"/>
  <c r="CL41" i="37"/>
  <c r="CL39" i="37"/>
  <c r="CL37" i="37"/>
  <c r="CL35" i="37"/>
  <c r="CL33" i="37"/>
  <c r="CL31" i="37"/>
  <c r="CL75" i="37"/>
  <c r="CL70" i="37"/>
  <c r="CL55" i="37"/>
  <c r="CL51" i="37"/>
  <c r="CL36" i="37"/>
  <c r="CL34" i="37"/>
  <c r="CL29" i="37"/>
  <c r="CL68" i="37"/>
  <c r="CL49" i="37"/>
  <c r="CL28" i="37"/>
  <c r="CL48" i="37"/>
  <c r="CM27" i="37"/>
  <c r="CL52" i="37"/>
  <c r="CL44" i="37"/>
  <c r="CL32" i="37"/>
  <c r="CL30" i="37"/>
  <c r="CL38" i="37"/>
  <c r="CL67" i="37"/>
  <c r="CL50" i="37"/>
  <c r="CL59" i="37"/>
  <c r="CL42" i="37"/>
  <c r="CL78" i="37"/>
  <c r="CL73" i="37"/>
  <c r="CL46" i="37"/>
  <c r="CL40" i="37"/>
  <c r="CL57" i="37"/>
  <c r="CL26" i="37"/>
  <c r="R46" i="63" l="1"/>
  <c r="AL46" i="63" s="1"/>
  <c r="AB46" i="63"/>
  <c r="AG46" i="63"/>
  <c r="AJ46" i="63" s="1"/>
  <c r="U46" i="63"/>
  <c r="H47" i="63"/>
  <c r="C48" i="63" s="1"/>
  <c r="F47" i="63"/>
  <c r="CL91" i="37"/>
  <c r="CL88" i="37"/>
  <c r="CL93" i="37"/>
  <c r="CL92" i="37"/>
  <c r="CL90" i="37"/>
  <c r="CM79" i="37"/>
  <c r="CL94" i="37"/>
  <c r="CL84" i="37"/>
  <c r="CL83" i="37"/>
  <c r="CL86" i="37"/>
  <c r="CM81" i="37"/>
  <c r="CM78" i="37"/>
  <c r="CM72" i="37"/>
  <c r="CM70" i="37"/>
  <c r="CM80" i="37"/>
  <c r="CM77" i="37"/>
  <c r="CM66" i="37"/>
  <c r="CM82" i="37"/>
  <c r="CM74" i="37"/>
  <c r="CM67" i="37"/>
  <c r="CL87" i="37"/>
  <c r="CM75" i="37"/>
  <c r="CM61" i="37"/>
  <c r="CL89" i="37"/>
  <c r="CL85" i="37"/>
  <c r="CM62" i="37"/>
  <c r="CM57" i="37"/>
  <c r="CM55" i="37"/>
  <c r="CM53" i="37"/>
  <c r="CM71" i="37"/>
  <c r="CM69" i="37"/>
  <c r="CM58" i="37"/>
  <c r="CM56" i="37"/>
  <c r="CM52" i="37"/>
  <c r="CM50" i="37"/>
  <c r="CM64" i="37"/>
  <c r="CM60" i="37"/>
  <c r="CN27" i="37"/>
  <c r="CN26" i="37" s="1"/>
  <c r="CM76" i="37"/>
  <c r="CM54" i="37"/>
  <c r="CM47" i="37"/>
  <c r="CM45" i="37"/>
  <c r="CM43" i="37"/>
  <c r="CM41" i="37"/>
  <c r="CM39" i="37"/>
  <c r="CM37" i="37"/>
  <c r="CM35" i="37"/>
  <c r="CM73" i="37"/>
  <c r="CM51" i="37"/>
  <c r="CM63" i="37"/>
  <c r="CM46" i="37"/>
  <c r="CM68" i="37"/>
  <c r="CM49" i="37"/>
  <c r="CM48" i="37"/>
  <c r="CM28" i="37"/>
  <c r="CM33" i="37"/>
  <c r="CM38" i="37"/>
  <c r="CM34" i="37"/>
  <c r="CM59" i="37"/>
  <c r="CM42" i="37"/>
  <c r="CM31" i="37"/>
  <c r="CM29" i="37"/>
  <c r="CM30" i="37"/>
  <c r="CM65" i="37"/>
  <c r="CM44" i="37"/>
  <c r="CM36" i="37"/>
  <c r="CM40" i="37"/>
  <c r="CM32" i="37"/>
  <c r="CM26" i="37"/>
  <c r="B48" i="63" l="1"/>
  <c r="E48" i="63" s="1"/>
  <c r="A47" i="63"/>
  <c r="CM88" i="37"/>
  <c r="CM93" i="37"/>
  <c r="CM90" i="37"/>
  <c r="CM85" i="37"/>
  <c r="CM94" i="37"/>
  <c r="CN82" i="37"/>
  <c r="CM92" i="37"/>
  <c r="CM89" i="37"/>
  <c r="CN79" i="37"/>
  <c r="CM84" i="37"/>
  <c r="CM83" i="37"/>
  <c r="CN78" i="37"/>
  <c r="CN73" i="37"/>
  <c r="CN71" i="37"/>
  <c r="CN80" i="37"/>
  <c r="CN68" i="37"/>
  <c r="CN66" i="37"/>
  <c r="CN64" i="37"/>
  <c r="CN62" i="37"/>
  <c r="CN60" i="37"/>
  <c r="CN81" i="37"/>
  <c r="CM87" i="37"/>
  <c r="CM91" i="37"/>
  <c r="CN74" i="37"/>
  <c r="CN67" i="37"/>
  <c r="CN75" i="37"/>
  <c r="CN76" i="37"/>
  <c r="CN72" i="37"/>
  <c r="CN61" i="37"/>
  <c r="CN77" i="37"/>
  <c r="CN65" i="37"/>
  <c r="CN63" i="37"/>
  <c r="CN59" i="37"/>
  <c r="CN58" i="37"/>
  <c r="CN56" i="37"/>
  <c r="CN52" i="37"/>
  <c r="CN50" i="37"/>
  <c r="CM86" i="37"/>
  <c r="CN54" i="37"/>
  <c r="CN47" i="37"/>
  <c r="CN45" i="37"/>
  <c r="CN43" i="37"/>
  <c r="CN41" i="37"/>
  <c r="CN39" i="37"/>
  <c r="CN37" i="37"/>
  <c r="CN35" i="37"/>
  <c r="CN33" i="37"/>
  <c r="CN31" i="37"/>
  <c r="CN29" i="37"/>
  <c r="CN70" i="37"/>
  <c r="CN55" i="37"/>
  <c r="CN51" i="37"/>
  <c r="CN69" i="37"/>
  <c r="CN49" i="37"/>
  <c r="CN48" i="37"/>
  <c r="CN28" i="37"/>
  <c r="CN44" i="37"/>
  <c r="CN46" i="37"/>
  <c r="CO27" i="37"/>
  <c r="CO26" i="37" s="1"/>
  <c r="CN42" i="37"/>
  <c r="CN53" i="37"/>
  <c r="CN40" i="37"/>
  <c r="CN32" i="37"/>
  <c r="CN38" i="37"/>
  <c r="CN57" i="37"/>
  <c r="CN36" i="37"/>
  <c r="CN30" i="37"/>
  <c r="CN34" i="37"/>
  <c r="T47" i="63" l="1"/>
  <c r="Q47" i="63"/>
  <c r="V47" i="63"/>
  <c r="AA47" i="63" s="1"/>
  <c r="D48" i="63"/>
  <c r="G48" i="63"/>
  <c r="CN93" i="37"/>
  <c r="CN90" i="37"/>
  <c r="CN94" i="37"/>
  <c r="CN89" i="37"/>
  <c r="CN92" i="37"/>
  <c r="CN87" i="37"/>
  <c r="CN86" i="37"/>
  <c r="CN85" i="37"/>
  <c r="CN84" i="37"/>
  <c r="CO80" i="37"/>
  <c r="CO77" i="37"/>
  <c r="CO75" i="37"/>
  <c r="CN88" i="37"/>
  <c r="CO82" i="37"/>
  <c r="CO71" i="37"/>
  <c r="CO69" i="37"/>
  <c r="CO67" i="37"/>
  <c r="CO65" i="37"/>
  <c r="CO63" i="37"/>
  <c r="CN91" i="37"/>
  <c r="CO76" i="37"/>
  <c r="CO68" i="37"/>
  <c r="CO79" i="37"/>
  <c r="CO70" i="37"/>
  <c r="CO60" i="37"/>
  <c r="CO57" i="37"/>
  <c r="CO55" i="37"/>
  <c r="CO78" i="37"/>
  <c r="CO74" i="37"/>
  <c r="CO66" i="37"/>
  <c r="CO61" i="37"/>
  <c r="CO56" i="37"/>
  <c r="CO52" i="37"/>
  <c r="CO62" i="37"/>
  <c r="CN83" i="37"/>
  <c r="CO51" i="37"/>
  <c r="CO73" i="37"/>
  <c r="CO59" i="37"/>
  <c r="CO50" i="37"/>
  <c r="CO49" i="37"/>
  <c r="CO48" i="37"/>
  <c r="CO46" i="37"/>
  <c r="CO41" i="37"/>
  <c r="CP27" i="37"/>
  <c r="CP26" i="37" s="1"/>
  <c r="CO42" i="37"/>
  <c r="CO37" i="37"/>
  <c r="CO44" i="37"/>
  <c r="CO39" i="37"/>
  <c r="CO72" i="37"/>
  <c r="CO36" i="37"/>
  <c r="CO81" i="37"/>
  <c r="CO53" i="37"/>
  <c r="CO43" i="37"/>
  <c r="CO40" i="37"/>
  <c r="CO32" i="37"/>
  <c r="CO31" i="37"/>
  <c r="CO29" i="37"/>
  <c r="CO30" i="37"/>
  <c r="CO64" i="37"/>
  <c r="CO58" i="37"/>
  <c r="CO54" i="37"/>
  <c r="CO38" i="37"/>
  <c r="CO34" i="37"/>
  <c r="CO33" i="37"/>
  <c r="CO47" i="37"/>
  <c r="CO35" i="37"/>
  <c r="CO45" i="37"/>
  <c r="CO28" i="37"/>
  <c r="AG47" i="63" l="1"/>
  <c r="AJ47" i="63" s="1"/>
  <c r="AB47" i="63"/>
  <c r="R47" i="63"/>
  <c r="AL47" i="63" s="1"/>
  <c r="U47" i="63"/>
  <c r="F48" i="63"/>
  <c r="H48" i="63"/>
  <c r="C49" i="63" s="1"/>
  <c r="CO90" i="37"/>
  <c r="CO87" i="37"/>
  <c r="CO92" i="37"/>
  <c r="CO91" i="37"/>
  <c r="CO94" i="37"/>
  <c r="CO83" i="37"/>
  <c r="CO89" i="37"/>
  <c r="CO85" i="37"/>
  <c r="CP82" i="37"/>
  <c r="CP81" i="37"/>
  <c r="CO93" i="37"/>
  <c r="CP77" i="37"/>
  <c r="CP70" i="37"/>
  <c r="CO84" i="37"/>
  <c r="CP76" i="37"/>
  <c r="CP75" i="37"/>
  <c r="CP68" i="37"/>
  <c r="CP79" i="37"/>
  <c r="CP69" i="37"/>
  <c r="CO86" i="37"/>
  <c r="CP80" i="37"/>
  <c r="CP60" i="37"/>
  <c r="CP57" i="37"/>
  <c r="CP71" i="37"/>
  <c r="CP62" i="37"/>
  <c r="CP59" i="37"/>
  <c r="CO88" i="37"/>
  <c r="CP74" i="37"/>
  <c r="CP66" i="37"/>
  <c r="CP64" i="37"/>
  <c r="CP72" i="37"/>
  <c r="CP67" i="37"/>
  <c r="CP55" i="37"/>
  <c r="CP54" i="37"/>
  <c r="CP51" i="37"/>
  <c r="CP73" i="37"/>
  <c r="CP50" i="37"/>
  <c r="CP49" i="37"/>
  <c r="CP48" i="37"/>
  <c r="CP46" i="37"/>
  <c r="CP44" i="37"/>
  <c r="CP42" i="37"/>
  <c r="CP40" i="37"/>
  <c r="CP38" i="37"/>
  <c r="CP36" i="37"/>
  <c r="CP34" i="37"/>
  <c r="CP32" i="37"/>
  <c r="CP61" i="37"/>
  <c r="CP39" i="37"/>
  <c r="CP31" i="37"/>
  <c r="CP63" i="37"/>
  <c r="CP37" i="37"/>
  <c r="CP78" i="37"/>
  <c r="CP35" i="37"/>
  <c r="CP53" i="37"/>
  <c r="CP43" i="37"/>
  <c r="CP29" i="37"/>
  <c r="CQ27" i="37"/>
  <c r="CQ26" i="37" s="1"/>
  <c r="CP45" i="37"/>
  <c r="CP56" i="37"/>
  <c r="CP30" i="37"/>
  <c r="CP41" i="37"/>
  <c r="CP33" i="37"/>
  <c r="CP47" i="37"/>
  <c r="CP28" i="37"/>
  <c r="CP52" i="37"/>
  <c r="CP58" i="37"/>
  <c r="CP65" i="37"/>
  <c r="B49" i="63" l="1"/>
  <c r="E49" i="63" s="1"/>
  <c r="A48" i="63"/>
  <c r="CP87" i="37"/>
  <c r="CP92" i="37"/>
  <c r="CP94" i="37"/>
  <c r="CP84" i="37"/>
  <c r="CQ81" i="37"/>
  <c r="CP93" i="37"/>
  <c r="CP91" i="37"/>
  <c r="CP83" i="37"/>
  <c r="CQ82" i="37"/>
  <c r="CP89" i="37"/>
  <c r="CP90" i="37"/>
  <c r="CP86" i="37"/>
  <c r="CQ78" i="37"/>
  <c r="CQ76" i="37"/>
  <c r="CQ75" i="37"/>
  <c r="CQ74" i="37"/>
  <c r="CQ73" i="37"/>
  <c r="CP88" i="37"/>
  <c r="CP85" i="37"/>
  <c r="CQ79" i="37"/>
  <c r="CQ69" i="37"/>
  <c r="CQ70" i="37"/>
  <c r="CQ72" i="37"/>
  <c r="CQ71" i="37"/>
  <c r="CQ77" i="37"/>
  <c r="CQ62" i="37"/>
  <c r="CQ59" i="37"/>
  <c r="CQ65" i="37"/>
  <c r="CQ63" i="37"/>
  <c r="CQ67" i="37"/>
  <c r="CQ58" i="37"/>
  <c r="CQ56" i="37"/>
  <c r="CQ54" i="37"/>
  <c r="CQ80" i="37"/>
  <c r="CQ55" i="37"/>
  <c r="CQ51" i="37"/>
  <c r="CQ49" i="37"/>
  <c r="CQ50" i="37"/>
  <c r="CQ48" i="37"/>
  <c r="CQ46" i="37"/>
  <c r="CQ44" i="37"/>
  <c r="CQ42" i="37"/>
  <c r="CQ40" i="37"/>
  <c r="CQ38" i="37"/>
  <c r="CQ36" i="37"/>
  <c r="CQ66" i="37"/>
  <c r="CQ61" i="37"/>
  <c r="CQ68" i="37"/>
  <c r="CQ37" i="37"/>
  <c r="CQ32" i="37"/>
  <c r="CQ35" i="37"/>
  <c r="CQ31" i="37"/>
  <c r="CQ30" i="37"/>
  <c r="CQ57" i="37"/>
  <c r="CQ45" i="37"/>
  <c r="CQ28" i="37"/>
  <c r="CQ52" i="37"/>
  <c r="CQ53" i="37"/>
  <c r="CQ43" i="37"/>
  <c r="CQ41" i="37"/>
  <c r="CQ33" i="37"/>
  <c r="CQ60" i="37"/>
  <c r="CQ34" i="37"/>
  <c r="CQ64" i="37"/>
  <c r="CQ47" i="37"/>
  <c r="CQ39" i="37"/>
  <c r="CR27" i="37"/>
  <c r="CR26" i="37" s="1"/>
  <c r="CQ29" i="37"/>
  <c r="T48" i="63" l="1"/>
  <c r="Q48" i="63"/>
  <c r="V48" i="63"/>
  <c r="AA48" i="63" s="1"/>
  <c r="D49" i="63"/>
  <c r="G49" i="63"/>
  <c r="CQ92" i="37"/>
  <c r="CQ89" i="37"/>
  <c r="CQ94" i="37"/>
  <c r="CQ93" i="37"/>
  <c r="CQ90" i="37"/>
  <c r="CQ88" i="37"/>
  <c r="CQ91" i="37"/>
  <c r="CQ84" i="37"/>
  <c r="CQ86" i="37"/>
  <c r="CR81" i="37"/>
  <c r="CQ85" i="37"/>
  <c r="CR80" i="37"/>
  <c r="CR72" i="37"/>
  <c r="CR70" i="37"/>
  <c r="CR69" i="37"/>
  <c r="CR67" i="37"/>
  <c r="CR65" i="37"/>
  <c r="CR63" i="37"/>
  <c r="CR61" i="37"/>
  <c r="CR59" i="37"/>
  <c r="CQ87" i="37"/>
  <c r="CR76" i="37"/>
  <c r="CR79" i="37"/>
  <c r="CR77" i="37"/>
  <c r="CR82" i="37"/>
  <c r="CR75" i="37"/>
  <c r="CR62" i="37"/>
  <c r="CR71" i="37"/>
  <c r="CR78" i="37"/>
  <c r="CR66" i="37"/>
  <c r="CR64" i="37"/>
  <c r="CR73" i="37"/>
  <c r="CR68" i="37"/>
  <c r="CR55" i="37"/>
  <c r="CQ83" i="37"/>
  <c r="CR54" i="37"/>
  <c r="CR51" i="37"/>
  <c r="CR57" i="37"/>
  <c r="CR53" i="37"/>
  <c r="CR50" i="37"/>
  <c r="CR48" i="37"/>
  <c r="CR46" i="37"/>
  <c r="CR44" i="37"/>
  <c r="CR42" i="37"/>
  <c r="CR40" i="37"/>
  <c r="CR38" i="37"/>
  <c r="CR36" i="37"/>
  <c r="CR34" i="37"/>
  <c r="CR32" i="37"/>
  <c r="CR30" i="37"/>
  <c r="CR28" i="37"/>
  <c r="CR49" i="37"/>
  <c r="CR58" i="37"/>
  <c r="CR52" i="37"/>
  <c r="CR35" i="37"/>
  <c r="CR31" i="37"/>
  <c r="CR47" i="37"/>
  <c r="CR33" i="37"/>
  <c r="CR74" i="37"/>
  <c r="CR56" i="37"/>
  <c r="CR41" i="37"/>
  <c r="CR37" i="37"/>
  <c r="CR60" i="37"/>
  <c r="CR39" i="37"/>
  <c r="CS27" i="37"/>
  <c r="CS26" i="37" s="1"/>
  <c r="CR45" i="37"/>
  <c r="CR43" i="37"/>
  <c r="CR29" i="37"/>
  <c r="AB48" i="63" l="1"/>
  <c r="AG48" i="63"/>
  <c r="AJ48" i="63" s="1"/>
  <c r="R48" i="63"/>
  <c r="AL48" i="63" s="1"/>
  <c r="U48" i="63"/>
  <c r="F49" i="63"/>
  <c r="H49" i="63"/>
  <c r="C50" i="63" s="1"/>
  <c r="CR89" i="37"/>
  <c r="CR94" i="37"/>
  <c r="CR86" i="37"/>
  <c r="CR91" i="37"/>
  <c r="CR90" i="37"/>
  <c r="CS82" i="37"/>
  <c r="CS78" i="37"/>
  <c r="CS76" i="37"/>
  <c r="CS74" i="37"/>
  <c r="CR85" i="37"/>
  <c r="CR88" i="37"/>
  <c r="CR83" i="37"/>
  <c r="CS77" i="37"/>
  <c r="CS79" i="37"/>
  <c r="CS75" i="37"/>
  <c r="CS72" i="37"/>
  <c r="CS68" i="37"/>
  <c r="CS66" i="37"/>
  <c r="CS64" i="37"/>
  <c r="CS62" i="37"/>
  <c r="CR84" i="37"/>
  <c r="CS71" i="37"/>
  <c r="CS70" i="37"/>
  <c r="CR87" i="37"/>
  <c r="CS81" i="37"/>
  <c r="CS73" i="37"/>
  <c r="CR92" i="37"/>
  <c r="CS65" i="37"/>
  <c r="CS63" i="37"/>
  <c r="CS58" i="37"/>
  <c r="CS56" i="37"/>
  <c r="CR93" i="37"/>
  <c r="CS80" i="37"/>
  <c r="CS54" i="37"/>
  <c r="CS51" i="37"/>
  <c r="CS67" i="37"/>
  <c r="CS57" i="37"/>
  <c r="CS53" i="37"/>
  <c r="CS59" i="37"/>
  <c r="CS49" i="37"/>
  <c r="CS61" i="37"/>
  <c r="CS55" i="37"/>
  <c r="CS69" i="37"/>
  <c r="CS52" i="37"/>
  <c r="CS44" i="37"/>
  <c r="CS45" i="37"/>
  <c r="CS40" i="37"/>
  <c r="CS29" i="37"/>
  <c r="CS47" i="37"/>
  <c r="CS42" i="37"/>
  <c r="CS33" i="37"/>
  <c r="CS32" i="37"/>
  <c r="CS30" i="37"/>
  <c r="CS60" i="37"/>
  <c r="CS50" i="37"/>
  <c r="CS31" i="37"/>
  <c r="CS48" i="37"/>
  <c r="CS39" i="37"/>
  <c r="CS34" i="37"/>
  <c r="CT27" i="37"/>
  <c r="CT26" i="37" s="1"/>
  <c r="CS38" i="37"/>
  <c r="CS36" i="37"/>
  <c r="CS28" i="37"/>
  <c r="CS35" i="37"/>
  <c r="CS37" i="37"/>
  <c r="CS46" i="37"/>
  <c r="CS43" i="37"/>
  <c r="CS41" i="37"/>
  <c r="B50" i="63" l="1"/>
  <c r="E50" i="63" s="1"/>
  <c r="A49" i="63"/>
  <c r="CS94" i="37"/>
  <c r="CS91" i="37"/>
  <c r="CS93" i="37"/>
  <c r="CS83" i="37"/>
  <c r="CS85" i="37"/>
  <c r="CS90" i="37"/>
  <c r="CS87" i="37"/>
  <c r="CS84" i="37"/>
  <c r="CV80" i="37"/>
  <c r="CT81" i="37"/>
  <c r="CT73" i="37"/>
  <c r="CS88" i="37"/>
  <c r="CT79" i="37"/>
  <c r="CT77" i="37"/>
  <c r="CT71" i="37"/>
  <c r="CS92" i="37"/>
  <c r="CV82" i="37"/>
  <c r="CT80" i="37"/>
  <c r="CT78" i="37"/>
  <c r="CT76" i="37"/>
  <c r="CT63" i="37"/>
  <c r="CS86" i="37"/>
  <c r="CV81" i="37"/>
  <c r="CT72" i="37"/>
  <c r="CV78" i="37"/>
  <c r="CT66" i="37"/>
  <c r="CT64" i="37"/>
  <c r="CT58" i="37"/>
  <c r="CT56" i="37"/>
  <c r="CT74" i="37"/>
  <c r="CT67" i="37"/>
  <c r="CT70" i="37"/>
  <c r="CT69" i="37"/>
  <c r="CT61" i="37"/>
  <c r="CT62" i="37"/>
  <c r="CT57" i="37"/>
  <c r="CT53" i="37"/>
  <c r="CT59" i="37"/>
  <c r="CT60" i="37"/>
  <c r="CT82" i="37"/>
  <c r="CT55" i="37"/>
  <c r="CS89" i="37"/>
  <c r="CT52" i="37"/>
  <c r="CT75" i="37"/>
  <c r="CT47" i="37"/>
  <c r="CT45" i="37"/>
  <c r="CT43" i="37"/>
  <c r="CT41" i="37"/>
  <c r="CT39" i="37"/>
  <c r="CT37" i="37"/>
  <c r="CT35" i="37"/>
  <c r="CT33" i="37"/>
  <c r="CT31" i="37"/>
  <c r="CT68" i="37"/>
  <c r="CT65" i="37"/>
  <c r="CT42" i="37"/>
  <c r="CT32" i="37"/>
  <c r="CT30" i="37"/>
  <c r="CT50" i="37"/>
  <c r="CT38" i="37"/>
  <c r="CT34" i="37"/>
  <c r="CT40" i="37"/>
  <c r="CT29" i="37"/>
  <c r="CT51" i="37"/>
  <c r="CT49" i="37"/>
  <c r="CT48" i="37"/>
  <c r="CU27" i="37"/>
  <c r="CU26" i="37" s="1"/>
  <c r="CV79" i="37"/>
  <c r="CT54" i="37"/>
  <c r="CT36" i="37"/>
  <c r="CT28" i="37"/>
  <c r="CT46" i="37"/>
  <c r="CT44" i="37"/>
  <c r="T49" i="63" l="1"/>
  <c r="Q49" i="63"/>
  <c r="V49" i="63"/>
  <c r="AA49" i="63" s="1"/>
  <c r="G50" i="63"/>
  <c r="D50" i="63"/>
  <c r="CT91" i="37"/>
  <c r="CT88" i="37"/>
  <c r="CT93" i="37"/>
  <c r="CT92" i="37"/>
  <c r="CT87" i="37"/>
  <c r="CT86" i="37"/>
  <c r="CT89" i="37"/>
  <c r="CW80" i="37"/>
  <c r="CU79" i="37"/>
  <c r="CT84" i="37"/>
  <c r="CU81" i="37"/>
  <c r="CW82" i="37"/>
  <c r="CU80" i="37"/>
  <c r="CW79" i="37"/>
  <c r="CU76" i="37"/>
  <c r="CW78" i="37"/>
  <c r="CU74" i="37"/>
  <c r="CU75" i="37"/>
  <c r="CT90" i="37"/>
  <c r="CT85" i="37"/>
  <c r="CU78" i="37"/>
  <c r="CW81" i="37"/>
  <c r="CU72" i="37"/>
  <c r="CU64" i="37"/>
  <c r="CU73" i="37"/>
  <c r="CU65" i="37"/>
  <c r="CU71" i="37"/>
  <c r="CU67" i="37"/>
  <c r="CU68" i="37"/>
  <c r="CU60" i="37"/>
  <c r="CU57" i="37"/>
  <c r="CU55" i="37"/>
  <c r="CU53" i="37"/>
  <c r="CT83" i="37"/>
  <c r="CU59" i="37"/>
  <c r="CU77" i="37"/>
  <c r="CU82" i="37"/>
  <c r="CU52" i="37"/>
  <c r="CU50" i="37"/>
  <c r="CU61" i="37"/>
  <c r="CU70" i="37"/>
  <c r="CU69" i="37"/>
  <c r="CU66" i="37"/>
  <c r="CU47" i="37"/>
  <c r="CU45" i="37"/>
  <c r="CU43" i="37"/>
  <c r="CU41" i="37"/>
  <c r="CU39" i="37"/>
  <c r="CU37" i="37"/>
  <c r="CU35" i="37"/>
  <c r="CU62" i="37"/>
  <c r="CU58" i="37"/>
  <c r="CU63" i="37"/>
  <c r="CU40" i="37"/>
  <c r="CU33" i="37"/>
  <c r="CU29" i="37"/>
  <c r="CU36" i="37"/>
  <c r="CU38" i="37"/>
  <c r="CU34" i="37"/>
  <c r="CU28" i="37"/>
  <c r="CU32" i="37"/>
  <c r="CU30" i="37"/>
  <c r="CU56" i="37"/>
  <c r="CU54" i="37"/>
  <c r="CU44" i="37"/>
  <c r="CT94" i="37"/>
  <c r="CU49" i="37"/>
  <c r="CU48" i="37"/>
  <c r="CU46" i="37"/>
  <c r="CU51" i="37"/>
  <c r="CU42" i="37"/>
  <c r="CU31" i="37"/>
  <c r="AG49" i="63" l="1"/>
  <c r="AJ49" i="63" s="1"/>
  <c r="R49" i="63"/>
  <c r="AL49" i="63" s="1"/>
  <c r="AB49" i="63"/>
  <c r="U49" i="63"/>
  <c r="F50" i="63"/>
  <c r="H50" i="63"/>
  <c r="C51" i="63" s="1"/>
  <c r="B51" i="63" l="1"/>
  <c r="E51" i="63" s="1"/>
  <c r="A50" i="63"/>
  <c r="T50" i="63" l="1"/>
  <c r="Q50" i="63"/>
  <c r="V50" i="63"/>
  <c r="AA50" i="63" s="1"/>
  <c r="G51" i="63"/>
  <c r="D51" i="63"/>
  <c r="AB50" i="63" l="1"/>
  <c r="R50" i="63"/>
  <c r="AL50" i="63" s="1"/>
  <c r="AG50" i="63"/>
  <c r="AJ50" i="63" s="1"/>
  <c r="U50" i="63"/>
  <c r="F51" i="63"/>
  <c r="H51" i="63"/>
  <c r="C52" i="63" s="1"/>
  <c r="B52" i="63" l="1"/>
  <c r="E52" i="63" s="1"/>
  <c r="A51" i="63"/>
  <c r="T51" i="63" l="1"/>
  <c r="Q51" i="63"/>
  <c r="V51" i="63"/>
  <c r="AA51" i="63" s="1"/>
  <c r="G52" i="63"/>
  <c r="D52" i="63"/>
  <c r="AB51" i="63" l="1"/>
  <c r="AG51" i="63"/>
  <c r="AJ51" i="63" s="1"/>
  <c r="R51" i="63"/>
  <c r="AL51" i="63" s="1"/>
  <c r="U51" i="63"/>
  <c r="F52" i="63"/>
  <c r="H52" i="63"/>
  <c r="C53" i="63" s="1"/>
  <c r="B53" i="63" l="1"/>
  <c r="E53" i="63" s="1"/>
  <c r="A52" i="63"/>
  <c r="L25" i="57"/>
  <c r="B34" i="1" s="1"/>
  <c r="T52" i="63" l="1"/>
  <c r="Q52" i="63"/>
  <c r="V52" i="63"/>
  <c r="AA52" i="63" s="1"/>
  <c r="I34" i="1"/>
  <c r="H34" i="1"/>
  <c r="G53" i="63"/>
  <c r="D53" i="63"/>
  <c r="H55" i="1" l="1"/>
  <c r="I55" i="1"/>
  <c r="R52" i="63"/>
  <c r="AL52" i="63" s="1"/>
  <c r="AB52" i="63"/>
  <c r="AG52" i="63"/>
  <c r="AJ52" i="63" s="1"/>
  <c r="U52" i="63"/>
  <c r="F53" i="63"/>
  <c r="H53" i="63"/>
  <c r="C54" i="63" s="1"/>
  <c r="B54" i="63" l="1"/>
  <c r="E54" i="63" s="1"/>
  <c r="A53" i="63"/>
  <c r="T53" i="63" l="1"/>
  <c r="Q53" i="63"/>
  <c r="V53" i="63"/>
  <c r="AA53" i="63" s="1"/>
  <c r="G54" i="63"/>
  <c r="D54" i="63"/>
  <c r="R53" i="63" l="1"/>
  <c r="AL53" i="63" s="1"/>
  <c r="AB53" i="63"/>
  <c r="AG53" i="63"/>
  <c r="AJ53" i="63" s="1"/>
  <c r="U53" i="63"/>
  <c r="F54" i="63"/>
  <c r="H54" i="63"/>
  <c r="C55" i="63" s="1"/>
  <c r="B55" i="63" l="1"/>
  <c r="E55" i="63" s="1"/>
  <c r="A54" i="63"/>
  <c r="T54" i="63" l="1"/>
  <c r="Q54" i="63"/>
  <c r="V54" i="63"/>
  <c r="AA54" i="63" s="1"/>
  <c r="G55" i="63"/>
  <c r="D55" i="63"/>
  <c r="R54" i="63" l="1"/>
  <c r="AL54" i="63" s="1"/>
  <c r="AB54" i="63"/>
  <c r="AG54" i="63"/>
  <c r="AJ54" i="63" s="1"/>
  <c r="U54" i="63"/>
  <c r="F55" i="63"/>
  <c r="H55" i="63"/>
  <c r="C56" i="63" s="1"/>
  <c r="B56" i="63" l="1"/>
  <c r="E56" i="63" s="1"/>
  <c r="A55" i="63"/>
  <c r="T55" i="63" l="1"/>
  <c r="Q55" i="63"/>
  <c r="V55" i="63"/>
  <c r="AA55" i="63" s="1"/>
  <c r="D56" i="63"/>
  <c r="G56" i="63"/>
  <c r="AB55" i="63" l="1"/>
  <c r="AG55" i="63"/>
  <c r="AJ55" i="63" s="1"/>
  <c r="R55" i="63"/>
  <c r="AL55" i="63" s="1"/>
  <c r="U55" i="63"/>
  <c r="F56" i="63"/>
  <c r="H56" i="63"/>
  <c r="C57" i="63" s="1"/>
  <c r="B57" i="63" l="1"/>
  <c r="E57" i="63" s="1"/>
  <c r="A56" i="63"/>
  <c r="T56" i="63" l="1"/>
  <c r="Q56" i="63"/>
  <c r="V56" i="63"/>
  <c r="AA56" i="63" s="1"/>
  <c r="G57" i="63"/>
  <c r="D57" i="63"/>
  <c r="AB56" i="63" l="1"/>
  <c r="AG56" i="63"/>
  <c r="AJ56" i="63" s="1"/>
  <c r="R56" i="63"/>
  <c r="AL56" i="63" s="1"/>
  <c r="U56" i="63"/>
  <c r="F57" i="63"/>
  <c r="H57" i="63"/>
  <c r="C58" i="63" s="1"/>
  <c r="B58" i="63" l="1"/>
  <c r="E58" i="63" s="1"/>
  <c r="A57" i="63"/>
  <c r="T57" i="63" l="1"/>
  <c r="Q57" i="63"/>
  <c r="V57" i="63"/>
  <c r="AA57" i="63" s="1"/>
  <c r="D58" i="63"/>
  <c r="G58" i="63"/>
  <c r="AG57" i="63" l="1"/>
  <c r="AJ57" i="63" s="1"/>
  <c r="R57" i="63"/>
  <c r="AL57" i="63" s="1"/>
  <c r="AB57" i="63"/>
  <c r="U57" i="63"/>
  <c r="F58" i="63"/>
  <c r="H58" i="63"/>
  <c r="C59" i="63" s="1"/>
  <c r="B59" i="63" l="1"/>
  <c r="E59" i="63" s="1"/>
  <c r="A58" i="63"/>
  <c r="Q58" i="63" s="1"/>
  <c r="AB58" i="63" l="1"/>
  <c r="R58" i="63"/>
  <c r="AL58" i="63" s="1"/>
  <c r="V58" i="63"/>
  <c r="AA58" i="63" s="1"/>
  <c r="T58" i="63"/>
  <c r="K58" i="63"/>
  <c r="G59" i="63"/>
  <c r="D59" i="63"/>
  <c r="AG58" i="63" l="1"/>
  <c r="AJ58" i="63" s="1"/>
  <c r="U58" i="63"/>
  <c r="F59" i="63"/>
  <c r="H59" i="63"/>
  <c r="C60" i="63" l="1"/>
  <c r="A59" i="63"/>
  <c r="Q59" i="63" s="1"/>
  <c r="B60" i="63"/>
  <c r="E60" i="63" s="1"/>
  <c r="AB59" i="63" l="1"/>
  <c r="R59" i="63"/>
  <c r="AL59" i="63" s="1"/>
  <c r="G60" i="63"/>
  <c r="D60" i="63"/>
  <c r="F60" i="63" l="1"/>
  <c r="H60" i="63"/>
  <c r="C61" i="63" s="1"/>
  <c r="B61" i="63" l="1"/>
  <c r="E61" i="63" s="1"/>
  <c r="A60" i="63"/>
  <c r="Q60" i="63" s="1"/>
  <c r="R60" i="63" s="1"/>
  <c r="G61" i="63" l="1"/>
  <c r="D61" i="63"/>
  <c r="F61" i="63" l="1"/>
  <c r="H61" i="63"/>
  <c r="C62" i="63" s="1"/>
  <c r="B62" i="63" l="1"/>
  <c r="A61" i="63"/>
  <c r="Q61" i="63" s="1"/>
  <c r="E62" i="63" l="1"/>
  <c r="G62" i="63" l="1"/>
  <c r="D62" i="63"/>
  <c r="F62" i="63" l="1"/>
  <c r="H62" i="63"/>
  <c r="C63" i="63" s="1"/>
  <c r="B63" i="63" l="1"/>
  <c r="A62" i="63"/>
  <c r="Q62" i="63" s="1"/>
  <c r="E63" i="63" l="1"/>
  <c r="D63" i="63" l="1"/>
  <c r="G63" i="63"/>
  <c r="F63" i="63" l="1"/>
  <c r="H63" i="63"/>
  <c r="C64" i="63" s="1"/>
  <c r="B64" i="63" l="1"/>
  <c r="A63" i="63"/>
  <c r="Q63" i="63" s="1"/>
  <c r="E64" i="63" l="1"/>
  <c r="G64" i="63" l="1"/>
  <c r="D64" i="63"/>
  <c r="F64" i="63" l="1"/>
  <c r="H64" i="63"/>
  <c r="C65" i="63" s="1"/>
  <c r="B65" i="63" l="1"/>
  <c r="A64" i="63"/>
  <c r="Q64" i="63" s="1"/>
  <c r="E65" i="63" l="1"/>
  <c r="D65" i="63" l="1"/>
  <c r="G65" i="63"/>
  <c r="F65" i="63" l="1"/>
  <c r="H65" i="63"/>
  <c r="C66" i="63" s="1"/>
  <c r="B66" i="63" l="1"/>
  <c r="A65" i="63"/>
  <c r="Q65" i="63" s="1"/>
  <c r="E66" i="63" l="1"/>
  <c r="D66" i="63" l="1"/>
  <c r="G66" i="63"/>
  <c r="F66" i="63" l="1"/>
  <c r="H66" i="63"/>
  <c r="C67" i="63" s="1"/>
  <c r="B67" i="63" l="1"/>
  <c r="A66" i="63"/>
  <c r="Q66" i="63" s="1"/>
  <c r="E67" i="63" l="1"/>
  <c r="G67" i="63" l="1"/>
  <c r="D67" i="63"/>
  <c r="F67" i="63" l="1"/>
  <c r="H67" i="63"/>
  <c r="C68" i="63" s="1"/>
  <c r="B68" i="63" l="1"/>
  <c r="A67" i="63"/>
  <c r="Q67" i="63" s="1"/>
  <c r="E68" i="63" l="1"/>
  <c r="G68" i="63" l="1"/>
  <c r="D68" i="63"/>
  <c r="F68" i="63" l="1"/>
  <c r="H68" i="63"/>
  <c r="C69" i="63" s="1"/>
  <c r="B69" i="63" l="1"/>
  <c r="A68" i="63"/>
  <c r="Q68" i="63" s="1"/>
  <c r="E69" i="63" l="1"/>
  <c r="G69" i="63" l="1"/>
  <c r="D69" i="63"/>
  <c r="F69" i="63" l="1"/>
  <c r="H69" i="63"/>
  <c r="C70" i="63" s="1"/>
  <c r="B70" i="63" l="1"/>
  <c r="A69" i="63"/>
  <c r="Q69" i="63" s="1"/>
  <c r="E70" i="63" l="1"/>
  <c r="D70" i="63" l="1"/>
  <c r="G70" i="63"/>
  <c r="F70" i="63" l="1"/>
  <c r="H70" i="63"/>
  <c r="C71" i="63" s="1"/>
  <c r="B71" i="63" l="1"/>
  <c r="A70" i="63"/>
  <c r="Q70" i="63" s="1"/>
  <c r="E71" i="63" l="1"/>
  <c r="D71" i="63" l="1"/>
  <c r="G71" i="63"/>
  <c r="F71" i="63" l="1"/>
  <c r="H71" i="63"/>
  <c r="C72" i="63" s="1"/>
  <c r="B72" i="63" l="1"/>
  <c r="A71" i="63"/>
  <c r="Q71" i="63" s="1"/>
  <c r="E72" i="63" l="1"/>
  <c r="D72" i="63" l="1"/>
  <c r="G72" i="63"/>
  <c r="F72" i="63" l="1"/>
  <c r="H72" i="63"/>
  <c r="C73" i="63" s="1"/>
  <c r="B73" i="63" l="1"/>
  <c r="A72" i="63"/>
  <c r="Q72" i="63" s="1"/>
  <c r="E73" i="63" l="1"/>
  <c r="G73" i="63" l="1"/>
  <c r="D73" i="63"/>
  <c r="F73" i="63" l="1"/>
  <c r="H73" i="63"/>
  <c r="C74" i="63" s="1"/>
  <c r="B74" i="63" l="1"/>
  <c r="A73" i="63"/>
  <c r="Q73" i="63" s="1"/>
  <c r="E74" i="63" l="1"/>
  <c r="G74" i="63" l="1"/>
  <c r="D74" i="63"/>
  <c r="F74" i="63" l="1"/>
  <c r="H74" i="63"/>
  <c r="C75" i="63" s="1"/>
  <c r="B75" i="63" l="1"/>
  <c r="A74" i="63"/>
  <c r="Q74" i="63" s="1"/>
  <c r="E75" i="63" l="1"/>
  <c r="D75" i="63" l="1"/>
  <c r="G75" i="63"/>
  <c r="F75" i="63" l="1"/>
  <c r="H75" i="63"/>
  <c r="C76" i="63" s="1"/>
  <c r="B76" i="63" l="1"/>
  <c r="A75" i="63"/>
  <c r="Q75" i="63" s="1"/>
  <c r="E76" i="63" l="1"/>
  <c r="G76" i="63" l="1"/>
  <c r="D76" i="63"/>
  <c r="F76" i="63" l="1"/>
  <c r="H76" i="63"/>
  <c r="C77" i="63" s="1"/>
  <c r="B77" i="63" l="1"/>
  <c r="A76" i="63"/>
  <c r="Q76" i="63" s="1"/>
  <c r="E77" i="63" l="1"/>
  <c r="G77" i="63" l="1"/>
  <c r="D77" i="63"/>
  <c r="F77" i="63" l="1"/>
  <c r="H77" i="63"/>
  <c r="C78" i="63" s="1"/>
  <c r="B78" i="63" l="1"/>
  <c r="A77" i="63"/>
  <c r="Q77" i="63" s="1"/>
  <c r="E78" i="63" l="1"/>
  <c r="G78" i="63" l="1"/>
  <c r="D78" i="63"/>
  <c r="F78" i="63" l="1"/>
  <c r="H78" i="63"/>
  <c r="C79" i="63" s="1"/>
  <c r="B79" i="63" l="1"/>
  <c r="A78" i="63"/>
  <c r="Q78" i="63" s="1"/>
  <c r="E79" i="63" l="1"/>
  <c r="G79" i="63" l="1"/>
  <c r="D79" i="63"/>
  <c r="F79" i="63" l="1"/>
  <c r="H79" i="63"/>
  <c r="C80" i="63" s="1"/>
  <c r="B80" i="63" l="1"/>
  <c r="A79" i="63"/>
  <c r="Q79" i="63" s="1"/>
  <c r="E80" i="63" l="1"/>
  <c r="D80" i="63" l="1"/>
  <c r="G80" i="63"/>
  <c r="F80" i="63" l="1"/>
  <c r="H80" i="63"/>
  <c r="C81" i="63" s="1"/>
  <c r="B81" i="63" l="1"/>
  <c r="A80" i="63"/>
  <c r="Q80" i="63" s="1"/>
  <c r="E81" i="63" l="1"/>
  <c r="G81" i="63" l="1"/>
  <c r="D81" i="63"/>
  <c r="F81" i="63" l="1"/>
  <c r="H81" i="63"/>
  <c r="C82" i="63" s="1"/>
  <c r="B82" i="63" l="1"/>
  <c r="A81" i="63"/>
  <c r="Q81" i="63" s="1"/>
  <c r="E82" i="63" l="1"/>
  <c r="D82" i="63" l="1"/>
  <c r="G82" i="63"/>
  <c r="F82" i="63" l="1"/>
  <c r="H82" i="63"/>
  <c r="C83" i="63" s="1"/>
  <c r="B83" i="63" l="1"/>
  <c r="A82" i="63"/>
  <c r="Q82" i="63" s="1"/>
  <c r="E83" i="63" l="1"/>
  <c r="D83" i="63" l="1"/>
  <c r="G83" i="63"/>
  <c r="F83" i="63" l="1"/>
  <c r="H83" i="63"/>
  <c r="C84" i="63" s="1"/>
  <c r="B84" i="63" l="1"/>
  <c r="A83" i="63"/>
  <c r="Q83" i="63" s="1"/>
  <c r="E84" i="63" l="1"/>
  <c r="G84" i="63" l="1"/>
  <c r="D84" i="63"/>
  <c r="F84" i="63" l="1"/>
  <c r="H84" i="63"/>
  <c r="C85" i="63" s="1"/>
  <c r="B85" i="63" l="1"/>
  <c r="A84" i="63"/>
  <c r="Q84" i="63" s="1"/>
  <c r="E85" i="63" l="1"/>
  <c r="G85" i="63" l="1"/>
  <c r="D85" i="63"/>
  <c r="F85" i="63" l="1"/>
  <c r="H85" i="63"/>
  <c r="C86" i="63" s="1"/>
  <c r="B86" i="63" l="1"/>
  <c r="A85" i="63"/>
  <c r="Q85" i="63" s="1"/>
  <c r="E86" i="63" l="1"/>
  <c r="G86" i="63" l="1"/>
  <c r="D86" i="63"/>
  <c r="F86" i="63" l="1"/>
  <c r="H86" i="63"/>
  <c r="C87" i="63" s="1"/>
  <c r="B87" i="63" l="1"/>
  <c r="A86" i="63"/>
  <c r="Q86" i="63" s="1"/>
  <c r="E87" i="63" l="1"/>
  <c r="G87" i="63" l="1"/>
  <c r="D87" i="63"/>
  <c r="F87" i="63" l="1"/>
  <c r="H87" i="63"/>
  <c r="C88" i="63" s="1"/>
  <c r="B88" i="63" l="1"/>
  <c r="A87" i="63"/>
  <c r="Q87" i="63" s="1"/>
  <c r="E88" i="63" l="1"/>
  <c r="D88" i="63" l="1"/>
  <c r="G88" i="63"/>
  <c r="F88" i="63" l="1"/>
  <c r="H88" i="63"/>
  <c r="C89" i="63" s="1"/>
  <c r="B89" i="63" l="1"/>
  <c r="A88" i="63"/>
  <c r="Q88" i="63" s="1"/>
  <c r="E89" i="63" l="1"/>
  <c r="D89" i="63" l="1"/>
  <c r="G89" i="63"/>
  <c r="F89" i="63" l="1"/>
  <c r="H89" i="63"/>
  <c r="C90" i="63" s="1"/>
  <c r="B90" i="63" l="1"/>
  <c r="A89" i="63"/>
  <c r="Q89" i="63" s="1"/>
  <c r="E90" i="63" l="1"/>
  <c r="G90" i="63" l="1"/>
  <c r="D90" i="63"/>
  <c r="F90" i="63" l="1"/>
  <c r="H90" i="63"/>
  <c r="C91" i="63" s="1"/>
  <c r="B91" i="63" l="1"/>
  <c r="A90" i="63"/>
  <c r="Q90" i="63" s="1"/>
  <c r="E91" i="63" l="1"/>
  <c r="G91" i="63" l="1"/>
  <c r="D91" i="63"/>
  <c r="F91" i="63" l="1"/>
  <c r="H91" i="63"/>
  <c r="C92" i="63" s="1"/>
  <c r="B92" i="63" l="1"/>
  <c r="A91" i="63"/>
  <c r="Q91" i="63" s="1"/>
  <c r="E92" i="63" l="1"/>
  <c r="G92" i="63" l="1"/>
  <c r="D92" i="63"/>
  <c r="F92" i="63" l="1"/>
  <c r="H92" i="63"/>
  <c r="C93" i="63" s="1"/>
  <c r="B93" i="63" l="1"/>
  <c r="A92" i="63"/>
  <c r="Q92" i="63" s="1"/>
  <c r="E93" i="63" l="1"/>
  <c r="G93" i="63" l="1"/>
  <c r="D93" i="63"/>
  <c r="F93" i="63" l="1"/>
  <c r="H93" i="63"/>
  <c r="C94" i="63" s="1"/>
  <c r="B94" i="63" l="1"/>
  <c r="A93" i="63"/>
  <c r="Q93" i="63" s="1"/>
  <c r="E94" i="63" l="1"/>
  <c r="G94" i="63" l="1"/>
  <c r="D94" i="63"/>
  <c r="F94" i="63" l="1"/>
  <c r="H94" i="63"/>
  <c r="C95" i="63" s="1"/>
  <c r="B95" i="63" l="1"/>
  <c r="A94" i="63"/>
  <c r="Q94" i="63" s="1"/>
  <c r="E95" i="63" l="1"/>
  <c r="G95" i="63" l="1"/>
  <c r="D95" i="63"/>
  <c r="F95" i="63" l="1"/>
  <c r="H95" i="63"/>
  <c r="C96" i="63" s="1"/>
  <c r="B96" i="63" l="1"/>
  <c r="A95" i="63"/>
  <c r="Q95" i="63" s="1"/>
  <c r="E96" i="63" l="1"/>
  <c r="D96" i="63" l="1"/>
  <c r="G96" i="63"/>
  <c r="F96" i="63" l="1"/>
  <c r="H96" i="63"/>
  <c r="C97" i="63" s="1"/>
  <c r="B97" i="63" l="1"/>
  <c r="A96" i="63"/>
  <c r="Q96" i="63" s="1"/>
  <c r="E97" i="63" l="1"/>
  <c r="G97" i="63" l="1"/>
  <c r="D97" i="63"/>
  <c r="F97" i="63" l="1"/>
  <c r="H97" i="63"/>
  <c r="C98" i="63" s="1"/>
  <c r="B98" i="63" l="1"/>
  <c r="A97" i="63"/>
  <c r="Q97" i="63" s="1"/>
  <c r="E98" i="63" l="1"/>
  <c r="G98" i="63" l="1"/>
  <c r="D98" i="63"/>
  <c r="F98" i="63" l="1"/>
  <c r="H98" i="63"/>
  <c r="C99" i="63" s="1"/>
  <c r="B99" i="63" l="1"/>
  <c r="A98" i="63"/>
  <c r="Q98" i="63" s="1"/>
  <c r="E99" i="63" l="1"/>
  <c r="G99" i="63" l="1"/>
  <c r="D99" i="63"/>
  <c r="F99" i="63" l="1"/>
  <c r="H99" i="63"/>
  <c r="C100" i="63" s="1"/>
  <c r="B100" i="63" l="1"/>
  <c r="A99" i="63"/>
  <c r="Q99" i="63" s="1"/>
  <c r="E100" i="63" l="1"/>
  <c r="G100" i="63" l="1"/>
  <c r="D100" i="63"/>
  <c r="F100" i="63" l="1"/>
  <c r="H100" i="63"/>
  <c r="C101" i="63" s="1"/>
  <c r="B101" i="63" l="1"/>
  <c r="A100" i="63"/>
  <c r="Q100" i="63" s="1"/>
  <c r="E101" i="63" l="1"/>
  <c r="G101" i="63" l="1"/>
  <c r="D101" i="63"/>
  <c r="F101" i="63" l="1"/>
  <c r="H101" i="63"/>
  <c r="C102" i="63" s="1"/>
  <c r="B102" i="63" l="1"/>
  <c r="A101" i="63"/>
  <c r="Q101" i="63" s="1"/>
  <c r="E102" i="63" l="1"/>
  <c r="G102" i="63" l="1"/>
  <c r="D102" i="63"/>
  <c r="F102" i="63" l="1"/>
  <c r="H102" i="63"/>
  <c r="C103" i="63" s="1"/>
  <c r="B103" i="63" l="1"/>
  <c r="A102" i="63"/>
  <c r="Q102" i="63" s="1"/>
  <c r="E103" i="63" l="1"/>
  <c r="G103" i="63" l="1"/>
  <c r="D103" i="63"/>
  <c r="F103" i="63" l="1"/>
  <c r="H103" i="63"/>
  <c r="C104" i="63" s="1"/>
  <c r="B104" i="63" l="1"/>
  <c r="A103" i="63"/>
  <c r="Q103" i="63" s="1"/>
  <c r="E104" i="63" l="1"/>
  <c r="G104" i="63" l="1"/>
  <c r="D104" i="63"/>
  <c r="F104" i="63" l="1"/>
  <c r="H104" i="63"/>
  <c r="C105" i="63" s="1"/>
  <c r="B105" i="63" l="1"/>
  <c r="A104" i="63"/>
  <c r="Q104" i="63" s="1"/>
  <c r="E105" i="63" l="1"/>
  <c r="G105" i="63" l="1"/>
  <c r="D105" i="63"/>
  <c r="F105" i="63" l="1"/>
  <c r="H105" i="63"/>
  <c r="C106" i="63" s="1"/>
  <c r="B106" i="63" l="1"/>
  <c r="A105" i="63"/>
  <c r="Q105" i="63" s="1"/>
  <c r="E106" i="63" l="1"/>
  <c r="G106" i="63" l="1"/>
  <c r="D106" i="63"/>
  <c r="F106" i="63" l="1"/>
  <c r="H106" i="63"/>
  <c r="C107" i="63" s="1"/>
  <c r="B107" i="63" l="1"/>
  <c r="A106" i="63"/>
  <c r="Q106" i="63" s="1"/>
  <c r="E107" i="63" l="1"/>
  <c r="G107" i="63" l="1"/>
  <c r="D107" i="63"/>
  <c r="F107" i="63" l="1"/>
  <c r="H107" i="63"/>
  <c r="C108" i="63" s="1"/>
  <c r="B108" i="63" l="1"/>
  <c r="A107" i="63"/>
  <c r="Q107" i="63" s="1"/>
  <c r="E108" i="63" l="1"/>
  <c r="G108" i="63" l="1"/>
  <c r="D108" i="63"/>
  <c r="F108" i="63" l="1"/>
  <c r="H108" i="63"/>
  <c r="C109" i="63" s="1"/>
  <c r="B109" i="63" l="1"/>
  <c r="A108" i="63"/>
  <c r="Q108" i="63" s="1"/>
  <c r="E109" i="63" l="1"/>
  <c r="G109" i="63" l="1"/>
  <c r="D109" i="63"/>
  <c r="F109" i="63" l="1"/>
  <c r="H109" i="63"/>
  <c r="C110" i="63" s="1"/>
  <c r="B110" i="63" l="1"/>
  <c r="A109" i="63"/>
  <c r="Q109" i="63" s="1"/>
  <c r="E110" i="63" l="1"/>
  <c r="G110" i="63" l="1"/>
  <c r="D110" i="63"/>
  <c r="F110" i="63" l="1"/>
  <c r="H110" i="63"/>
  <c r="C111" i="63" s="1"/>
  <c r="B111" i="63" l="1"/>
  <c r="A110" i="63"/>
  <c r="Q110" i="63" s="1"/>
  <c r="E111" i="63" l="1"/>
  <c r="G111" i="63" l="1"/>
  <c r="D111" i="63"/>
  <c r="F111" i="63" l="1"/>
  <c r="H111" i="63"/>
  <c r="C112" i="63" s="1"/>
  <c r="B112" i="63" l="1"/>
  <c r="A111" i="63"/>
  <c r="Q111" i="63" s="1"/>
  <c r="E112" i="63" l="1"/>
  <c r="G112" i="63" l="1"/>
  <c r="D112" i="63"/>
  <c r="F112" i="63" l="1"/>
  <c r="H112" i="63"/>
  <c r="C113" i="63" s="1"/>
  <c r="B113" i="63" l="1"/>
  <c r="A112" i="63"/>
  <c r="Q112" i="63" s="1"/>
  <c r="E113" i="63" l="1"/>
  <c r="G113" i="63" l="1"/>
  <c r="D113" i="63"/>
  <c r="F113" i="63" l="1"/>
  <c r="H113" i="63"/>
  <c r="C114" i="63" s="1"/>
  <c r="B114" i="63" l="1"/>
  <c r="A113" i="63"/>
  <c r="Q113" i="63" s="1"/>
  <c r="E114" i="63" l="1"/>
  <c r="G114" i="63" l="1"/>
  <c r="D114" i="63"/>
  <c r="F114" i="63" l="1"/>
  <c r="H114" i="63"/>
  <c r="C115" i="63" s="1"/>
  <c r="B115" i="63" l="1"/>
  <c r="A114" i="63"/>
  <c r="Q114" i="63" s="1"/>
  <c r="E115" i="63" l="1"/>
  <c r="G115" i="63" l="1"/>
  <c r="D115" i="63"/>
  <c r="F115" i="63" l="1"/>
  <c r="H115" i="63"/>
  <c r="C116" i="63" s="1"/>
  <c r="B116" i="63" l="1"/>
  <c r="A115" i="63"/>
  <c r="Q115" i="63" s="1"/>
  <c r="E116" i="63" l="1"/>
  <c r="G116" i="63" l="1"/>
  <c r="D116" i="63"/>
  <c r="F116" i="63" l="1"/>
  <c r="H116" i="63"/>
  <c r="C117" i="63" s="1"/>
  <c r="B117" i="63" l="1"/>
  <c r="A116" i="63"/>
  <c r="Q116" i="63" s="1"/>
  <c r="E117" i="63" l="1"/>
  <c r="D117" i="63" l="1"/>
  <c r="G117" i="63"/>
  <c r="F117" i="63" l="1"/>
  <c r="H117" i="63"/>
  <c r="C118" i="63" s="1"/>
  <c r="B118" i="63" l="1"/>
  <c r="A117" i="63"/>
  <c r="Q117" i="63" s="1"/>
  <c r="E118" i="63" l="1"/>
  <c r="G118" i="63" l="1"/>
  <c r="D118" i="63"/>
  <c r="F118" i="63" l="1"/>
  <c r="H118" i="63"/>
  <c r="C119" i="63" s="1"/>
  <c r="B119" i="63" l="1"/>
  <c r="A118" i="63"/>
  <c r="Q118" i="63" s="1"/>
  <c r="E119" i="63" l="1"/>
  <c r="G119" i="63" l="1"/>
  <c r="D119" i="63"/>
  <c r="F119" i="63" l="1"/>
  <c r="H119" i="63"/>
  <c r="C120" i="63" s="1"/>
  <c r="B120" i="63" l="1"/>
  <c r="A119" i="63"/>
  <c r="Q119" i="63" s="1"/>
  <c r="E120" i="63" l="1"/>
  <c r="D120" i="63" l="1"/>
  <c r="G120" i="63"/>
  <c r="F120" i="63" l="1"/>
  <c r="H120" i="63"/>
  <c r="C121" i="63" s="1"/>
  <c r="B121" i="63" l="1"/>
  <c r="A120" i="63"/>
  <c r="Q120" i="63" s="1"/>
  <c r="E121" i="63" l="1"/>
  <c r="G121" i="63" l="1"/>
  <c r="D121" i="63"/>
  <c r="F121" i="63" l="1"/>
  <c r="H121" i="63"/>
  <c r="C122" i="63" s="1"/>
  <c r="B122" i="63" l="1"/>
  <c r="A121" i="63"/>
  <c r="Q121" i="63" s="1"/>
  <c r="E122" i="63" l="1"/>
  <c r="G122" i="63" l="1"/>
  <c r="D122" i="63"/>
  <c r="F122" i="63" l="1"/>
  <c r="H122" i="63"/>
  <c r="C123" i="63" s="1"/>
  <c r="B123" i="63" l="1"/>
  <c r="A122" i="63"/>
  <c r="Q122" i="63" s="1"/>
  <c r="E123" i="63" l="1"/>
  <c r="G123" i="63" l="1"/>
  <c r="D123" i="63"/>
  <c r="F123" i="63" l="1"/>
  <c r="H123" i="63"/>
  <c r="C124" i="63" s="1"/>
  <c r="B124" i="63" l="1"/>
  <c r="A123" i="63"/>
  <c r="Q123" i="63" s="1"/>
  <c r="E124" i="63" l="1"/>
  <c r="G124" i="63" l="1"/>
  <c r="D124" i="63"/>
  <c r="F124" i="63" l="1"/>
  <c r="H124" i="63"/>
  <c r="C125" i="63" s="1"/>
  <c r="B125" i="63" l="1"/>
  <c r="A124" i="63"/>
  <c r="Q124" i="63" s="1"/>
  <c r="E125" i="63" l="1"/>
  <c r="G125" i="63" l="1"/>
  <c r="D125" i="63"/>
  <c r="F125" i="63" l="1"/>
  <c r="H125" i="63"/>
  <c r="C126" i="63" s="1"/>
  <c r="B126" i="63" l="1"/>
  <c r="A125" i="63"/>
  <c r="Q125" i="63" s="1"/>
  <c r="E126" i="63" l="1"/>
  <c r="G126" i="63" l="1"/>
  <c r="D126" i="63"/>
  <c r="F126" i="63" l="1"/>
  <c r="H126" i="63"/>
  <c r="C127" i="63" s="1"/>
  <c r="B127" i="63" l="1"/>
  <c r="A126" i="63"/>
  <c r="Q126" i="63" s="1"/>
  <c r="E127" i="63" l="1"/>
  <c r="G127" i="63" l="1"/>
  <c r="D127" i="63"/>
  <c r="F127" i="63" l="1"/>
  <c r="H127" i="63"/>
  <c r="C128" i="63" s="1"/>
  <c r="B128" i="63" l="1"/>
  <c r="A127" i="63"/>
  <c r="Q127" i="63" s="1"/>
  <c r="E128" i="63" l="1"/>
  <c r="G128" i="63" l="1"/>
  <c r="D128" i="63"/>
  <c r="F128" i="63" l="1"/>
  <c r="H128" i="63"/>
  <c r="C129" i="63" s="1"/>
  <c r="B129" i="63" l="1"/>
  <c r="A128" i="63"/>
  <c r="Q128" i="63" s="1"/>
  <c r="E129" i="63" l="1"/>
  <c r="G129" i="63" l="1"/>
  <c r="D129" i="63"/>
  <c r="F129" i="63" l="1"/>
  <c r="H129" i="63"/>
  <c r="C130" i="63" s="1"/>
  <c r="B130" i="63" l="1"/>
  <c r="A129" i="63"/>
  <c r="Q129" i="63" s="1"/>
  <c r="E130" i="63" l="1"/>
  <c r="G130" i="63" l="1"/>
  <c r="D130" i="63"/>
  <c r="F130" i="63" l="1"/>
  <c r="H130" i="63"/>
  <c r="C131" i="63" s="1"/>
  <c r="B131" i="63" l="1"/>
  <c r="A130" i="63"/>
  <c r="Q130" i="63" s="1"/>
  <c r="E131" i="63" l="1"/>
  <c r="D131" i="63" l="1"/>
  <c r="G131" i="63"/>
  <c r="F131" i="63" l="1"/>
  <c r="H131" i="63"/>
  <c r="C132" i="63" s="1"/>
  <c r="B132" i="63" l="1"/>
  <c r="A131" i="63"/>
  <c r="Q131" i="63" s="1"/>
  <c r="E132" i="63" l="1"/>
  <c r="D132" i="63" l="1"/>
  <c r="G132" i="63"/>
  <c r="F132" i="63" l="1"/>
  <c r="H132" i="63"/>
  <c r="C133" i="63" s="1"/>
  <c r="B133" i="63" l="1"/>
  <c r="A132" i="63"/>
  <c r="Q132" i="63" s="1"/>
  <c r="E133" i="63" l="1"/>
  <c r="G133" i="63" l="1"/>
  <c r="D133" i="63"/>
  <c r="F133" i="63" l="1"/>
  <c r="H133" i="63"/>
  <c r="C134" i="63" s="1"/>
  <c r="B134" i="63" l="1"/>
  <c r="A133" i="63"/>
  <c r="Q133" i="63" s="1"/>
  <c r="E134" i="63" l="1"/>
  <c r="G134" i="63" l="1"/>
  <c r="D134" i="63"/>
  <c r="F134" i="63" l="1"/>
  <c r="H134" i="63"/>
  <c r="C135" i="63" s="1"/>
  <c r="B135" i="63" l="1"/>
  <c r="A134" i="63"/>
  <c r="Q134" i="63" s="1"/>
  <c r="E135" i="63" l="1"/>
  <c r="D135" i="63" l="1"/>
  <c r="G135" i="63"/>
  <c r="F135" i="63" l="1"/>
  <c r="H135" i="63"/>
  <c r="C136" i="63" s="1"/>
  <c r="B136" i="63" l="1"/>
  <c r="A135" i="63"/>
  <c r="Q135" i="63" s="1"/>
  <c r="E136" i="63" l="1"/>
  <c r="G136" i="63" l="1"/>
  <c r="D136" i="63"/>
  <c r="F136" i="63" l="1"/>
  <c r="H136" i="63"/>
  <c r="C137" i="63" s="1"/>
  <c r="B137" i="63" l="1"/>
  <c r="A136" i="63"/>
  <c r="Q136" i="63" s="1"/>
  <c r="E137" i="63" l="1"/>
  <c r="G137" i="63" l="1"/>
  <c r="D137" i="63"/>
  <c r="F137" i="63" l="1"/>
  <c r="H137" i="63"/>
  <c r="C138" i="63" s="1"/>
  <c r="B138" i="63" l="1"/>
  <c r="A137" i="63"/>
  <c r="Q137" i="63" s="1"/>
  <c r="E138" i="63" l="1"/>
  <c r="G138" i="63" l="1"/>
  <c r="D138" i="63"/>
  <c r="F138" i="63" l="1"/>
  <c r="H138" i="63"/>
  <c r="C139" i="63" s="1"/>
  <c r="B139" i="63" l="1"/>
  <c r="A138" i="63"/>
  <c r="Q138" i="63" s="1"/>
  <c r="E139" i="63" l="1"/>
  <c r="G139" i="63" l="1"/>
  <c r="D139" i="63"/>
  <c r="F139" i="63" l="1"/>
  <c r="H139" i="63"/>
  <c r="C140" i="63" s="1"/>
  <c r="B140" i="63" l="1"/>
  <c r="A139" i="63"/>
  <c r="Q139" i="63" s="1"/>
  <c r="E140" i="63" l="1"/>
  <c r="D140" i="63" l="1"/>
  <c r="G140" i="63"/>
  <c r="F140" i="63" l="1"/>
  <c r="H140" i="63"/>
  <c r="C141" i="63" s="1"/>
  <c r="B141" i="63" l="1"/>
  <c r="A140" i="63"/>
  <c r="Q140" i="63" s="1"/>
  <c r="E141" i="63" l="1"/>
  <c r="G141" i="63" l="1"/>
  <c r="D141" i="63"/>
  <c r="F141" i="63" l="1"/>
  <c r="H141" i="63"/>
  <c r="C142" i="63" s="1"/>
  <c r="B142" i="63" l="1"/>
  <c r="A141" i="63"/>
  <c r="Q141" i="63" s="1"/>
  <c r="E142" i="63" l="1"/>
  <c r="D142" i="63" l="1"/>
  <c r="G142" i="63"/>
  <c r="F142" i="63" l="1"/>
  <c r="H142" i="63"/>
  <c r="C143" i="63" s="1"/>
  <c r="B143" i="63" l="1"/>
  <c r="A142" i="63"/>
  <c r="Q142" i="63" s="1"/>
  <c r="E143" i="63" l="1"/>
  <c r="G143" i="63" l="1"/>
  <c r="D143" i="63"/>
  <c r="F143" i="63" l="1"/>
  <c r="H143" i="63"/>
  <c r="C144" i="63" s="1"/>
  <c r="B144" i="63" l="1"/>
  <c r="A143" i="63"/>
  <c r="Q143" i="63" s="1"/>
  <c r="E144" i="63" l="1"/>
  <c r="D144" i="63" l="1"/>
  <c r="G144" i="63"/>
  <c r="F144" i="63" l="1"/>
  <c r="H144" i="63"/>
  <c r="C145" i="63" s="1"/>
  <c r="B145" i="63" l="1"/>
  <c r="A144" i="63"/>
  <c r="Q144" i="63" s="1"/>
  <c r="E145" i="63" l="1"/>
  <c r="D145" i="63" l="1"/>
  <c r="G145" i="63"/>
  <c r="F145" i="63" l="1"/>
  <c r="H145" i="63"/>
  <c r="C146" i="63" s="1"/>
  <c r="B146" i="63" l="1"/>
  <c r="A145" i="63"/>
  <c r="Q145" i="63" s="1"/>
  <c r="E146" i="63" l="1"/>
  <c r="G146" i="63" l="1"/>
  <c r="D146" i="63"/>
  <c r="F146" i="63" l="1"/>
  <c r="H146" i="63"/>
  <c r="C147" i="63" s="1"/>
  <c r="B147" i="63" l="1"/>
  <c r="A146" i="63"/>
  <c r="Q146" i="63" s="1"/>
  <c r="E147" i="63" l="1"/>
  <c r="G147" i="63" l="1"/>
  <c r="D147" i="63"/>
  <c r="F147" i="63" l="1"/>
  <c r="H147" i="63"/>
  <c r="C148" i="63" s="1"/>
  <c r="B148" i="63" l="1"/>
  <c r="A147" i="63"/>
  <c r="Q147" i="63" s="1"/>
  <c r="E148" i="63" l="1"/>
  <c r="D148" i="63" l="1"/>
  <c r="G148" i="63"/>
  <c r="F148" i="63" l="1"/>
  <c r="H148" i="63"/>
  <c r="C149" i="63" s="1"/>
  <c r="B149" i="63" l="1"/>
  <c r="A148" i="63"/>
  <c r="Q148" i="63" s="1"/>
  <c r="E149" i="63" l="1"/>
  <c r="G149" i="63" l="1"/>
  <c r="D149" i="63"/>
  <c r="F149" i="63" l="1"/>
  <c r="H149" i="63"/>
  <c r="C150" i="63" s="1"/>
  <c r="B150" i="63" l="1"/>
  <c r="A149" i="63"/>
  <c r="Q149" i="63" s="1"/>
  <c r="E150" i="63" l="1"/>
  <c r="G150" i="63" l="1"/>
  <c r="D150" i="63"/>
  <c r="F150" i="63" l="1"/>
  <c r="H150" i="63"/>
  <c r="C151" i="63" s="1"/>
  <c r="B151" i="63" l="1"/>
  <c r="A150" i="63"/>
  <c r="Q150" i="63" s="1"/>
  <c r="E151" i="63" l="1"/>
  <c r="D151" i="63" l="1"/>
  <c r="G151" i="63"/>
  <c r="F151" i="63" l="1"/>
  <c r="H151" i="63"/>
  <c r="C152" i="63" s="1"/>
  <c r="B152" i="63" l="1"/>
  <c r="A151" i="63"/>
  <c r="Q151" i="63" s="1"/>
  <c r="E152" i="63" l="1"/>
  <c r="G152" i="63" l="1"/>
  <c r="D152" i="63"/>
  <c r="F152" i="63" l="1"/>
  <c r="H152" i="63"/>
  <c r="C153" i="63" s="1"/>
  <c r="B153" i="63" l="1"/>
  <c r="A152" i="63"/>
  <c r="Q152" i="63" s="1"/>
  <c r="E153" i="63" l="1"/>
  <c r="G153" i="63" l="1"/>
  <c r="D153" i="63"/>
  <c r="F153" i="63" l="1"/>
  <c r="H153" i="63"/>
  <c r="C154" i="63" s="1"/>
  <c r="B154" i="63" l="1"/>
  <c r="A153" i="63"/>
  <c r="Q153" i="63" s="1"/>
  <c r="E154" i="63" l="1"/>
  <c r="G154" i="63" l="1"/>
  <c r="D154" i="63"/>
  <c r="F154" i="63" l="1"/>
  <c r="H154" i="63"/>
  <c r="C155" i="63" s="1"/>
  <c r="B155" i="63" l="1"/>
  <c r="A154" i="63"/>
  <c r="Q154" i="63" s="1"/>
  <c r="E155" i="63" l="1"/>
  <c r="G155" i="63" l="1"/>
  <c r="D155" i="63"/>
  <c r="F155" i="63" l="1"/>
  <c r="H155" i="63"/>
  <c r="C156" i="63" s="1"/>
  <c r="B156" i="63" l="1"/>
  <c r="A155" i="63"/>
  <c r="Q155" i="63" s="1"/>
  <c r="E156" i="63" l="1"/>
  <c r="G156" i="63" l="1"/>
  <c r="D156" i="63"/>
  <c r="F156" i="63" l="1"/>
  <c r="H156" i="63"/>
  <c r="C157" i="63" s="1"/>
  <c r="B157" i="63" l="1"/>
  <c r="A156" i="63"/>
  <c r="Q156" i="63" s="1"/>
  <c r="E157" i="63" l="1"/>
  <c r="G157" i="63" l="1"/>
  <c r="D157" i="63"/>
  <c r="F157" i="63" l="1"/>
  <c r="H157" i="63"/>
  <c r="C158" i="63" s="1"/>
  <c r="B158" i="63" l="1"/>
  <c r="A157" i="63"/>
  <c r="Q157" i="63" s="1"/>
  <c r="E158" i="63" l="1"/>
  <c r="G158" i="63" l="1"/>
  <c r="D158" i="63"/>
  <c r="F158" i="63" l="1"/>
  <c r="H158" i="63"/>
  <c r="C159" i="63" s="1"/>
  <c r="B159" i="63" l="1"/>
  <c r="A158" i="63"/>
  <c r="Q158" i="63" s="1"/>
  <c r="E159" i="63" l="1"/>
  <c r="G159" i="63" l="1"/>
  <c r="D159" i="63"/>
  <c r="F159" i="63" l="1"/>
  <c r="H159" i="63"/>
  <c r="C160" i="63" s="1"/>
  <c r="B160" i="63" l="1"/>
  <c r="A159" i="63"/>
  <c r="Q159" i="63" s="1"/>
  <c r="E160" i="63" l="1"/>
  <c r="G160" i="63" l="1"/>
  <c r="D160" i="63"/>
  <c r="F160" i="63" l="1"/>
  <c r="H160" i="63"/>
  <c r="C161" i="63" s="1"/>
  <c r="B161" i="63" l="1"/>
  <c r="A160" i="63"/>
  <c r="Q160" i="63" s="1"/>
  <c r="E161" i="63" l="1"/>
  <c r="G161" i="63" l="1"/>
  <c r="D161" i="63"/>
  <c r="F161" i="63" l="1"/>
  <c r="H161" i="63"/>
  <c r="C162" i="63" s="1"/>
  <c r="B162" i="63" l="1"/>
  <c r="A161" i="63"/>
  <c r="Q161" i="63" s="1"/>
  <c r="E162" i="63" l="1"/>
  <c r="G162" i="63" l="1"/>
  <c r="D162" i="63"/>
  <c r="F162" i="63" l="1"/>
  <c r="H162" i="63"/>
  <c r="C163" i="63" s="1"/>
  <c r="B163" i="63" l="1"/>
  <c r="A162" i="63"/>
  <c r="Q162" i="63" s="1"/>
  <c r="E163" i="63" l="1"/>
  <c r="D163" i="63" l="1"/>
  <c r="G163" i="63"/>
  <c r="F163" i="63" l="1"/>
  <c r="H163" i="63"/>
  <c r="C164" i="63" s="1"/>
  <c r="B164" i="63" l="1"/>
  <c r="A163" i="63"/>
  <c r="Q163" i="63" s="1"/>
  <c r="E164" i="63" l="1"/>
  <c r="G164" i="63" l="1"/>
  <c r="D164" i="63"/>
  <c r="F164" i="63" l="1"/>
  <c r="H164" i="63"/>
  <c r="C165" i="63" s="1"/>
  <c r="B165" i="63" l="1"/>
  <c r="A164" i="63"/>
  <c r="Q164" i="63" s="1"/>
  <c r="E165" i="63" l="1"/>
  <c r="D165" i="63" l="1"/>
  <c r="G165" i="63"/>
  <c r="F165" i="63" l="1"/>
  <c r="H165" i="63"/>
  <c r="C166" i="63" s="1"/>
  <c r="B166" i="63" l="1"/>
  <c r="A165" i="63"/>
  <c r="Q165" i="63" s="1"/>
  <c r="E166" i="63" l="1"/>
  <c r="D166" i="63" l="1"/>
  <c r="G166" i="63"/>
  <c r="F166" i="63" l="1"/>
  <c r="H166" i="63"/>
  <c r="C167" i="63" s="1"/>
  <c r="B167" i="63" l="1"/>
  <c r="A166" i="63"/>
  <c r="Q166" i="63" s="1"/>
  <c r="E167" i="63" l="1"/>
  <c r="G167" i="63" l="1"/>
  <c r="D167" i="63"/>
  <c r="F167" i="63" l="1"/>
  <c r="H167" i="63"/>
  <c r="C168" i="63" s="1"/>
  <c r="B168" i="63" l="1"/>
  <c r="A167" i="63"/>
  <c r="Q167" i="63" s="1"/>
  <c r="E168" i="63" l="1"/>
  <c r="G168" i="63" l="1"/>
  <c r="D168" i="63"/>
  <c r="F168" i="63" l="1"/>
  <c r="H168" i="63"/>
  <c r="C169" i="63" s="1"/>
  <c r="B169" i="63" l="1"/>
  <c r="A168" i="63"/>
  <c r="Q168" i="63" s="1"/>
  <c r="E169" i="63" l="1"/>
  <c r="G169" i="63" l="1"/>
  <c r="D169" i="63"/>
  <c r="F169" i="63" l="1"/>
  <c r="H169" i="63"/>
  <c r="C170" i="63" s="1"/>
  <c r="B170" i="63" l="1"/>
  <c r="A169" i="63"/>
  <c r="Q169" i="63" s="1"/>
  <c r="E170" i="63" l="1"/>
  <c r="D170" i="63" l="1"/>
  <c r="G170" i="63"/>
  <c r="F170" i="63" l="1"/>
  <c r="H170" i="63"/>
  <c r="C171" i="63" s="1"/>
  <c r="B171" i="63" l="1"/>
  <c r="A170" i="63"/>
  <c r="Q170" i="63" s="1"/>
  <c r="E171" i="63" l="1"/>
  <c r="G171" i="63" l="1"/>
  <c r="D171" i="63"/>
  <c r="F171" i="63" l="1"/>
  <c r="H171" i="63"/>
  <c r="C172" i="63" s="1"/>
  <c r="B172" i="63" l="1"/>
  <c r="A171" i="63"/>
  <c r="Q171" i="63" s="1"/>
  <c r="E172" i="63" l="1"/>
  <c r="G172" i="63" l="1"/>
  <c r="D172" i="63"/>
  <c r="F172" i="63" l="1"/>
  <c r="H172" i="63"/>
  <c r="C173" i="63" s="1"/>
  <c r="B173" i="63" l="1"/>
  <c r="A172" i="63"/>
  <c r="Q172" i="63" s="1"/>
  <c r="E173" i="63" l="1"/>
  <c r="D173" i="63" l="1"/>
  <c r="G173" i="63"/>
  <c r="F173" i="63" l="1"/>
  <c r="H173" i="63"/>
  <c r="C174" i="63" s="1"/>
  <c r="B174" i="63" l="1"/>
  <c r="A173" i="63"/>
  <c r="Q173" i="63" s="1"/>
  <c r="E174" i="63" l="1"/>
  <c r="G174" i="63" l="1"/>
  <c r="D174" i="63"/>
  <c r="F174" i="63" l="1"/>
  <c r="H174" i="63"/>
  <c r="C175" i="63" s="1"/>
  <c r="B175" i="63" l="1"/>
  <c r="A174" i="63"/>
  <c r="Q174" i="63" s="1"/>
  <c r="E175" i="63" l="1"/>
  <c r="G175" i="63" l="1"/>
  <c r="D175" i="63"/>
  <c r="F175" i="63" l="1"/>
  <c r="H175" i="63"/>
  <c r="C176" i="63" s="1"/>
  <c r="B176" i="63" l="1"/>
  <c r="A175" i="63"/>
  <c r="Q175" i="63" s="1"/>
  <c r="E176" i="63" l="1"/>
  <c r="D176" i="63" l="1"/>
  <c r="G176" i="63"/>
  <c r="F176" i="63" l="1"/>
  <c r="H176" i="63"/>
  <c r="C177" i="63" s="1"/>
  <c r="B177" i="63" l="1"/>
  <c r="A176" i="63"/>
  <c r="Q176" i="63" s="1"/>
  <c r="E177" i="63" l="1"/>
  <c r="G177" i="63" l="1"/>
  <c r="D177" i="63"/>
  <c r="F177" i="63" l="1"/>
  <c r="H177" i="63"/>
  <c r="C178" i="63" s="1"/>
  <c r="B178" i="63" l="1"/>
  <c r="A177" i="63"/>
  <c r="Q177" i="63" s="1"/>
  <c r="E178" i="63" l="1"/>
  <c r="G178" i="63" l="1"/>
  <c r="D178" i="63"/>
  <c r="F178" i="63" l="1"/>
  <c r="H178" i="63"/>
  <c r="C179" i="63" s="1"/>
  <c r="B179" i="63" l="1"/>
  <c r="A178" i="63"/>
  <c r="Q178" i="63" s="1"/>
  <c r="E179" i="63" l="1"/>
  <c r="G179" i="63" l="1"/>
  <c r="D179" i="63"/>
  <c r="F179" i="63" l="1"/>
  <c r="H179" i="63"/>
  <c r="C180" i="63" s="1"/>
  <c r="B180" i="63" l="1"/>
  <c r="A179" i="63"/>
  <c r="Q179" i="63" s="1"/>
  <c r="E180" i="63" l="1"/>
  <c r="G180" i="63" l="1"/>
  <c r="D180" i="63"/>
  <c r="F180" i="63" l="1"/>
  <c r="H180" i="63"/>
  <c r="C181" i="63" s="1"/>
  <c r="B181" i="63" l="1"/>
  <c r="A180" i="63"/>
  <c r="Q180" i="63" s="1"/>
  <c r="E181" i="63" l="1"/>
  <c r="G181" i="63" l="1"/>
  <c r="D181" i="63"/>
  <c r="F181" i="63" l="1"/>
  <c r="H181" i="63"/>
  <c r="C182" i="63" s="1"/>
  <c r="B182" i="63" l="1"/>
  <c r="A181" i="63"/>
  <c r="Q181" i="63" s="1"/>
  <c r="E182" i="63" l="1"/>
  <c r="G182" i="63" l="1"/>
  <c r="D182" i="63"/>
  <c r="F182" i="63" l="1"/>
  <c r="H182" i="63"/>
  <c r="C183" i="63" s="1"/>
  <c r="B183" i="63" l="1"/>
  <c r="A182" i="63"/>
  <c r="Q182" i="63" s="1"/>
  <c r="E183" i="63" l="1"/>
  <c r="G183" i="63" l="1"/>
  <c r="D183" i="63"/>
  <c r="F183" i="63" l="1"/>
  <c r="H183" i="63"/>
  <c r="C184" i="63" s="1"/>
  <c r="B184" i="63" l="1"/>
  <c r="A183" i="63"/>
  <c r="Q183" i="63" s="1"/>
  <c r="E184" i="63" l="1"/>
  <c r="G184" i="63" l="1"/>
  <c r="D184" i="63"/>
  <c r="F184" i="63" l="1"/>
  <c r="H184" i="63"/>
  <c r="C185" i="63" s="1"/>
  <c r="B185" i="63" l="1"/>
  <c r="A184" i="63"/>
  <c r="Q184" i="63" s="1"/>
  <c r="E185" i="63" l="1"/>
  <c r="D185" i="63" l="1"/>
  <c r="G185" i="63"/>
  <c r="F185" i="63" l="1"/>
  <c r="H185" i="63"/>
  <c r="C186" i="63" s="1"/>
  <c r="B186" i="63" l="1"/>
  <c r="A185" i="63"/>
  <c r="Q185" i="63" s="1"/>
  <c r="E186" i="63" l="1"/>
  <c r="G186" i="63" l="1"/>
  <c r="D186" i="63"/>
  <c r="F186" i="63" l="1"/>
  <c r="H186" i="63"/>
  <c r="C187" i="63" s="1"/>
  <c r="B187" i="63" l="1"/>
  <c r="A186" i="63"/>
  <c r="Q186" i="63" s="1"/>
  <c r="E187" i="63" l="1"/>
  <c r="G187" i="63" l="1"/>
  <c r="D187" i="63"/>
  <c r="F187" i="63" l="1"/>
  <c r="H187" i="63"/>
  <c r="C188" i="63" s="1"/>
  <c r="B188" i="63" l="1"/>
  <c r="A187" i="63"/>
  <c r="Q187" i="63" s="1"/>
  <c r="E188" i="63" l="1"/>
  <c r="D188" i="63" l="1"/>
  <c r="G188" i="63"/>
  <c r="F188" i="63" l="1"/>
  <c r="H188" i="63"/>
  <c r="C189" i="63" s="1"/>
  <c r="B189" i="63" l="1"/>
  <c r="A188" i="63"/>
  <c r="Q188" i="63" s="1"/>
  <c r="E189" i="63" l="1"/>
  <c r="D189" i="63" l="1"/>
  <c r="G189" i="63"/>
  <c r="F189" i="63" l="1"/>
  <c r="H189" i="63"/>
  <c r="C190" i="63" s="1"/>
  <c r="B190" i="63" l="1"/>
  <c r="A189" i="63"/>
  <c r="Q189" i="63" s="1"/>
  <c r="E190" i="63" l="1"/>
  <c r="G190" i="63" l="1"/>
  <c r="D190" i="63"/>
  <c r="F190" i="63" l="1"/>
  <c r="H190" i="63"/>
  <c r="C191" i="63" s="1"/>
  <c r="B191" i="63" l="1"/>
  <c r="A190" i="63"/>
  <c r="Q190" i="63" s="1"/>
  <c r="E191" i="63" l="1"/>
  <c r="D191" i="63" l="1"/>
  <c r="G191" i="63"/>
  <c r="F191" i="63" l="1"/>
  <c r="H191" i="63"/>
  <c r="C192" i="63" s="1"/>
  <c r="B192" i="63" l="1"/>
  <c r="A191" i="63"/>
  <c r="Q191" i="63" s="1"/>
  <c r="E192" i="63" l="1"/>
  <c r="G192" i="63" l="1"/>
  <c r="D192" i="63"/>
  <c r="F192" i="63" l="1"/>
  <c r="H192" i="63"/>
  <c r="C193" i="63" s="1"/>
  <c r="B193" i="63" l="1"/>
  <c r="A192" i="63"/>
  <c r="Q192" i="63" s="1"/>
  <c r="E193" i="63" l="1"/>
  <c r="G193" i="63" l="1"/>
  <c r="D193" i="63"/>
  <c r="F193" i="63" l="1"/>
  <c r="H193" i="63"/>
  <c r="C194" i="63" s="1"/>
  <c r="B194" i="63" l="1"/>
  <c r="A193" i="63"/>
  <c r="Q193" i="63" s="1"/>
  <c r="E194" i="63" l="1"/>
  <c r="D194" i="63" l="1"/>
  <c r="G194" i="63"/>
  <c r="F194" i="63" l="1"/>
  <c r="H194" i="63"/>
  <c r="C195" i="63" s="1"/>
  <c r="B195" i="63" l="1"/>
  <c r="A194" i="63"/>
  <c r="Q194" i="63" s="1"/>
  <c r="E195" i="63" l="1"/>
  <c r="G195" i="63" l="1"/>
  <c r="D195" i="63"/>
  <c r="F195" i="63" l="1"/>
  <c r="H195" i="63"/>
  <c r="C196" i="63" s="1"/>
  <c r="B196" i="63" l="1"/>
  <c r="A195" i="63"/>
  <c r="Q195" i="63" s="1"/>
  <c r="E196" i="63" l="1"/>
  <c r="D196" i="63" l="1"/>
  <c r="G196" i="63"/>
  <c r="F196" i="63" l="1"/>
  <c r="H196" i="63"/>
  <c r="C197" i="63" s="1"/>
  <c r="B197" i="63" l="1"/>
  <c r="A196" i="63"/>
  <c r="Q196" i="63" s="1"/>
  <c r="E197" i="63" l="1"/>
  <c r="D197" i="63" l="1"/>
  <c r="G197" i="63"/>
  <c r="F197" i="63" l="1"/>
  <c r="H197" i="63"/>
  <c r="C198" i="63" s="1"/>
  <c r="B198" i="63" l="1"/>
  <c r="A197" i="63"/>
  <c r="Q197" i="63" s="1"/>
  <c r="E198" i="63" l="1"/>
  <c r="D198" i="63" l="1"/>
  <c r="G198" i="63"/>
  <c r="F198" i="63" l="1"/>
  <c r="H198" i="63"/>
  <c r="C199" i="63" s="1"/>
  <c r="B199" i="63" l="1"/>
  <c r="A198" i="63"/>
  <c r="Q198" i="63" s="1"/>
  <c r="E199" i="63" l="1"/>
  <c r="D199" i="63" l="1"/>
  <c r="G199" i="63"/>
  <c r="F199" i="63" l="1"/>
  <c r="H199" i="63"/>
  <c r="C200" i="63" s="1"/>
  <c r="B200" i="63" l="1"/>
  <c r="A199" i="63"/>
  <c r="Q199" i="63" s="1"/>
  <c r="E200" i="63" l="1"/>
  <c r="D200" i="63" l="1"/>
  <c r="G200" i="63"/>
  <c r="F200" i="63" l="1"/>
  <c r="H200" i="63"/>
  <c r="C201" i="63" s="1"/>
  <c r="B201" i="63" l="1"/>
  <c r="A200" i="63"/>
  <c r="Q200" i="63" s="1"/>
  <c r="E201" i="63" l="1"/>
  <c r="G201" i="63" l="1"/>
  <c r="D201" i="63"/>
  <c r="F201" i="63" l="1"/>
  <c r="H201" i="63"/>
  <c r="C202" i="63" s="1"/>
  <c r="B202" i="63" l="1"/>
  <c r="A201" i="63"/>
  <c r="Q201" i="63" s="1"/>
  <c r="E202" i="63" l="1"/>
  <c r="G202" i="63" l="1"/>
  <c r="D202" i="63"/>
  <c r="F202" i="63" l="1"/>
  <c r="H202" i="63"/>
  <c r="C203" i="63" s="1"/>
  <c r="B203" i="63" l="1"/>
  <c r="A202" i="63"/>
  <c r="Q202" i="63" s="1"/>
  <c r="E203" i="63" l="1"/>
  <c r="D203" i="63" l="1"/>
  <c r="G203" i="63"/>
  <c r="F203" i="63" l="1"/>
  <c r="H203" i="63"/>
  <c r="C204" i="63" s="1"/>
  <c r="B204" i="63" l="1"/>
  <c r="A203" i="63"/>
  <c r="Q203" i="63" s="1"/>
  <c r="E204" i="63" l="1"/>
  <c r="D204" i="63" l="1"/>
  <c r="G204" i="63"/>
  <c r="F204" i="63" l="1"/>
  <c r="H204" i="63"/>
  <c r="C205" i="63" s="1"/>
  <c r="B205" i="63" l="1"/>
  <c r="A204" i="63"/>
  <c r="Q204" i="63" s="1"/>
  <c r="E205" i="63" l="1"/>
  <c r="D205" i="63" l="1"/>
  <c r="G205" i="63"/>
  <c r="F205" i="63" l="1"/>
  <c r="H205" i="63"/>
  <c r="C206" i="63" s="1"/>
  <c r="B206" i="63" l="1"/>
  <c r="A205" i="63"/>
  <c r="Q205" i="63" s="1"/>
  <c r="E206" i="63" l="1"/>
  <c r="D206" i="63" l="1"/>
  <c r="G206" i="63"/>
  <c r="F206" i="63" l="1"/>
  <c r="H206" i="63"/>
  <c r="C207" i="63" s="1"/>
  <c r="B207" i="63" l="1"/>
  <c r="A206" i="63"/>
  <c r="Q206" i="63" s="1"/>
  <c r="E207" i="63" l="1"/>
  <c r="G207" i="63" l="1"/>
  <c r="D207" i="63"/>
  <c r="F207" i="63" l="1"/>
  <c r="H207" i="63"/>
  <c r="C208" i="63" s="1"/>
  <c r="B208" i="63" l="1"/>
  <c r="A207" i="63"/>
  <c r="Q207" i="63" s="1"/>
  <c r="E208" i="63" l="1"/>
  <c r="D208" i="63" l="1"/>
  <c r="G208" i="63"/>
  <c r="F208" i="63" l="1"/>
  <c r="H208" i="63"/>
  <c r="C209" i="63" s="1"/>
  <c r="B209" i="63" l="1"/>
  <c r="A208" i="63"/>
  <c r="Q208" i="63" s="1"/>
  <c r="E209" i="63" l="1"/>
  <c r="D209" i="63" l="1"/>
  <c r="G209" i="63"/>
  <c r="F209" i="63" l="1"/>
  <c r="H209" i="63"/>
  <c r="C210" i="63" s="1"/>
  <c r="B210" i="63" l="1"/>
  <c r="A209" i="63"/>
  <c r="Q209" i="63" s="1"/>
  <c r="E210" i="63" l="1"/>
  <c r="D210" i="63" l="1"/>
  <c r="G210" i="63"/>
  <c r="F210" i="63" l="1"/>
  <c r="H210" i="63"/>
  <c r="C211" i="63" s="1"/>
  <c r="B211" i="63" l="1"/>
  <c r="A210" i="63"/>
  <c r="Q210" i="63" s="1"/>
  <c r="E211" i="63" l="1"/>
  <c r="G211" i="63" l="1"/>
  <c r="D211" i="63"/>
  <c r="F211" i="63" l="1"/>
  <c r="H211" i="63"/>
  <c r="C212" i="63" s="1"/>
  <c r="B212" i="63" l="1"/>
  <c r="A211" i="63"/>
  <c r="Q211" i="63" s="1"/>
  <c r="E212" i="63" l="1"/>
  <c r="D212" i="63" l="1"/>
  <c r="G212" i="63"/>
  <c r="F212" i="63" l="1"/>
  <c r="H212" i="63"/>
  <c r="C213" i="63" s="1"/>
  <c r="B213" i="63" l="1"/>
  <c r="A212" i="63"/>
  <c r="Q212" i="63" s="1"/>
  <c r="E213" i="63" l="1"/>
  <c r="G213" i="63" l="1"/>
  <c r="D213" i="63"/>
  <c r="F213" i="63" l="1"/>
  <c r="H213" i="63"/>
  <c r="C214" i="63" s="1"/>
  <c r="B214" i="63" l="1"/>
  <c r="A213" i="63"/>
  <c r="Q213" i="63" s="1"/>
  <c r="E214" i="63" l="1"/>
  <c r="G214" i="63" l="1"/>
  <c r="D214" i="63"/>
  <c r="F214" i="63" l="1"/>
  <c r="H214" i="63"/>
  <c r="C215" i="63" s="1"/>
  <c r="B215" i="63" l="1"/>
  <c r="A214" i="63"/>
  <c r="Q214" i="63" s="1"/>
  <c r="E215" i="63" l="1"/>
  <c r="D215" i="63" l="1"/>
  <c r="G215" i="63"/>
  <c r="F215" i="63" l="1"/>
  <c r="H215" i="63"/>
  <c r="C216" i="63" s="1"/>
  <c r="B216" i="63" l="1"/>
  <c r="A215" i="63"/>
  <c r="Q215" i="63" s="1"/>
  <c r="E216" i="63" l="1"/>
  <c r="G216" i="63" l="1"/>
  <c r="D216" i="63"/>
  <c r="F216" i="63" l="1"/>
  <c r="H216" i="63"/>
  <c r="C217" i="63" s="1"/>
  <c r="B217" i="63" l="1"/>
  <c r="A216" i="63"/>
  <c r="Q216" i="63" s="1"/>
  <c r="E217" i="63" l="1"/>
  <c r="G217" i="63" l="1"/>
  <c r="D217" i="63"/>
  <c r="F217" i="63" l="1"/>
  <c r="H217" i="63"/>
  <c r="C218" i="63" s="1"/>
  <c r="B218" i="63" l="1"/>
  <c r="A217" i="63"/>
  <c r="Q217" i="63" s="1"/>
  <c r="E218" i="63" l="1"/>
  <c r="G218" i="63" l="1"/>
  <c r="D218" i="63"/>
  <c r="F218" i="63" l="1"/>
  <c r="H218" i="63"/>
  <c r="C219" i="63" s="1"/>
  <c r="B219" i="63" l="1"/>
  <c r="A218" i="63"/>
  <c r="Q218" i="63" s="1"/>
  <c r="E219" i="63" l="1"/>
  <c r="D219" i="63" l="1"/>
  <c r="G219" i="63"/>
  <c r="F219" i="63" l="1"/>
  <c r="H219" i="63"/>
  <c r="C220" i="63" s="1"/>
  <c r="B220" i="63" l="1"/>
  <c r="A219" i="63"/>
  <c r="Q219" i="63" s="1"/>
  <c r="E220" i="63" l="1"/>
  <c r="G220" i="63" l="1"/>
  <c r="D220" i="63"/>
  <c r="F220" i="63" l="1"/>
  <c r="H220" i="63"/>
  <c r="C221" i="63" s="1"/>
  <c r="B221" i="63" l="1"/>
  <c r="A220" i="63"/>
  <c r="Q220" i="63" s="1"/>
  <c r="E221" i="63" l="1"/>
  <c r="D221" i="63" l="1"/>
  <c r="G221" i="63"/>
  <c r="F221" i="63" l="1"/>
  <c r="H221" i="63"/>
  <c r="C222" i="63" s="1"/>
  <c r="B222" i="63" l="1"/>
  <c r="A221" i="63"/>
  <c r="Q221" i="63" s="1"/>
  <c r="E222" i="63" l="1"/>
  <c r="G222" i="63" l="1"/>
  <c r="D222" i="63"/>
  <c r="F222" i="63" l="1"/>
  <c r="H222" i="63"/>
  <c r="C223" i="63" s="1"/>
  <c r="B223" i="63" l="1"/>
  <c r="A222" i="63"/>
  <c r="Q222" i="63" s="1"/>
  <c r="E223" i="63" l="1"/>
  <c r="D223" i="63" l="1"/>
  <c r="G223" i="63"/>
  <c r="F223" i="63" l="1"/>
  <c r="H223" i="63"/>
  <c r="C224" i="63" s="1"/>
  <c r="B224" i="63" l="1"/>
  <c r="A223" i="63"/>
  <c r="Q223" i="63" s="1"/>
  <c r="E224" i="63" l="1"/>
  <c r="D224" i="63" l="1"/>
  <c r="G224" i="63"/>
  <c r="F224" i="63" l="1"/>
  <c r="H224" i="63"/>
  <c r="C225" i="63" s="1"/>
  <c r="B225" i="63" l="1"/>
  <c r="A224" i="63"/>
  <c r="Q224" i="63" s="1"/>
  <c r="E225" i="63" l="1"/>
  <c r="G225" i="63" l="1"/>
  <c r="D225" i="63"/>
  <c r="F225" i="63" l="1"/>
  <c r="H225" i="63"/>
  <c r="C226" i="63" s="1"/>
  <c r="B226" i="63" l="1"/>
  <c r="A225" i="63"/>
  <c r="Q225" i="63" s="1"/>
  <c r="E226" i="63" l="1"/>
  <c r="G226" i="63" l="1"/>
  <c r="D226" i="63"/>
  <c r="F226" i="63" l="1"/>
  <c r="H226" i="63"/>
  <c r="C227" i="63" s="1"/>
  <c r="B227" i="63" l="1"/>
  <c r="A226" i="63"/>
  <c r="Q226" i="63" s="1"/>
  <c r="E227" i="63" l="1"/>
  <c r="D227" i="63" l="1"/>
  <c r="G227" i="63"/>
  <c r="F227" i="63" l="1"/>
  <c r="H227" i="63"/>
  <c r="C228" i="63" s="1"/>
  <c r="B228" i="63" l="1"/>
  <c r="A227" i="63"/>
  <c r="Q227" i="63" s="1"/>
  <c r="E228" i="63" l="1"/>
  <c r="G228" i="63" l="1"/>
  <c r="D228" i="63"/>
  <c r="F228" i="63" l="1"/>
  <c r="H228" i="63"/>
  <c r="C229" i="63" s="1"/>
  <c r="B229" i="63" l="1"/>
  <c r="A228" i="63"/>
  <c r="Q228" i="63" s="1"/>
  <c r="E229" i="63" l="1"/>
  <c r="D229" i="63" l="1"/>
  <c r="G229" i="63"/>
  <c r="F229" i="63" l="1"/>
  <c r="H229" i="63"/>
  <c r="C230" i="63" s="1"/>
  <c r="B230" i="63" l="1"/>
  <c r="A229" i="63"/>
  <c r="Q229" i="63" s="1"/>
  <c r="E230" i="63" l="1"/>
  <c r="D230" i="63" l="1"/>
  <c r="G230" i="63"/>
  <c r="F230" i="63" l="1"/>
  <c r="H230" i="63"/>
  <c r="C231" i="63" s="1"/>
  <c r="B231" i="63" l="1"/>
  <c r="A230" i="63"/>
  <c r="Q230" i="63" s="1"/>
  <c r="E231" i="63" l="1"/>
  <c r="D231" i="63" l="1"/>
  <c r="G231" i="63"/>
  <c r="F231" i="63" l="1"/>
  <c r="H231" i="63"/>
  <c r="C232" i="63" s="1"/>
  <c r="B232" i="63" l="1"/>
  <c r="A231" i="63"/>
  <c r="Q231" i="63" s="1"/>
  <c r="E232" i="63" l="1"/>
  <c r="G232" i="63" l="1"/>
  <c r="D232" i="63"/>
  <c r="F232" i="63" l="1"/>
  <c r="H232" i="63"/>
  <c r="C233" i="63" s="1"/>
  <c r="B233" i="63" l="1"/>
  <c r="A232" i="63"/>
  <c r="Q232" i="63" s="1"/>
  <c r="E233" i="63" l="1"/>
  <c r="D233" i="63" l="1"/>
  <c r="G233" i="63"/>
  <c r="F233" i="63" l="1"/>
  <c r="H233" i="63"/>
  <c r="C234" i="63" s="1"/>
  <c r="B234" i="63" l="1"/>
  <c r="A233" i="63"/>
  <c r="Q233" i="63" s="1"/>
  <c r="E234" i="63" l="1"/>
  <c r="G234" i="63" l="1"/>
  <c r="D234" i="63"/>
  <c r="F234" i="63" l="1"/>
  <c r="H234" i="63"/>
  <c r="C235" i="63" s="1"/>
  <c r="B235" i="63" l="1"/>
  <c r="A234" i="63"/>
  <c r="Q234" i="63" s="1"/>
  <c r="E235" i="63" l="1"/>
  <c r="D235" i="63" l="1"/>
  <c r="G235" i="63"/>
  <c r="F235" i="63" l="1"/>
  <c r="H235" i="63"/>
  <c r="C236" i="63" s="1"/>
  <c r="B236" i="63" l="1"/>
  <c r="A235" i="63"/>
  <c r="Q235" i="63" s="1"/>
  <c r="E236" i="63" l="1"/>
  <c r="G236" i="63" l="1"/>
  <c r="D236" i="63"/>
  <c r="F236" i="63" l="1"/>
  <c r="H236" i="63"/>
  <c r="C237" i="63" s="1"/>
  <c r="B237" i="63" l="1"/>
  <c r="A236" i="63"/>
  <c r="Q236" i="63" s="1"/>
  <c r="E237" i="63" l="1"/>
  <c r="G237" i="63" l="1"/>
  <c r="D237" i="63"/>
  <c r="F237" i="63" l="1"/>
  <c r="H237" i="63"/>
  <c r="C238" i="63" s="1"/>
  <c r="B238" i="63" l="1"/>
  <c r="A237" i="63"/>
  <c r="Q237" i="63" s="1"/>
  <c r="E238" i="63" l="1"/>
  <c r="G238" i="63" l="1"/>
  <c r="D238" i="63"/>
  <c r="F238" i="63" l="1"/>
  <c r="H238" i="63"/>
  <c r="C239" i="63" s="1"/>
  <c r="B239" i="63" l="1"/>
  <c r="A238" i="63"/>
  <c r="Q238" i="63" s="1"/>
  <c r="E239" i="63" l="1"/>
  <c r="D239" i="63" l="1"/>
  <c r="G239" i="63"/>
  <c r="F239" i="63" l="1"/>
  <c r="H239" i="63"/>
  <c r="C240" i="63" s="1"/>
  <c r="B240" i="63" l="1"/>
  <c r="A239" i="63"/>
  <c r="Q239" i="63" s="1"/>
  <c r="E240" i="63" l="1"/>
  <c r="G240" i="63" l="1"/>
  <c r="D240" i="63"/>
  <c r="F240" i="63" l="1"/>
  <c r="H240" i="63"/>
  <c r="C241" i="63" s="1"/>
  <c r="B241" i="63" l="1"/>
  <c r="A240" i="63"/>
  <c r="Q240" i="63" s="1"/>
  <c r="E241" i="63" l="1"/>
  <c r="D241" i="63" l="1"/>
  <c r="G241" i="63"/>
  <c r="F241" i="63" l="1"/>
  <c r="H241" i="63"/>
  <c r="C242" i="63" s="1"/>
  <c r="B242" i="63" l="1"/>
  <c r="A241" i="63"/>
  <c r="Q241" i="63" s="1"/>
  <c r="E242" i="63" l="1"/>
  <c r="G242" i="63" l="1"/>
  <c r="D242" i="63"/>
  <c r="F242" i="63" l="1"/>
  <c r="H242" i="63"/>
  <c r="C243" i="63" s="1"/>
  <c r="B243" i="63" l="1"/>
  <c r="A242" i="63"/>
  <c r="Q242" i="63" s="1"/>
  <c r="E243" i="63" l="1"/>
  <c r="D243" i="63" l="1"/>
  <c r="G243" i="63"/>
  <c r="F243" i="63" l="1"/>
  <c r="H243" i="63"/>
  <c r="C244" i="63" s="1"/>
  <c r="B244" i="63" l="1"/>
  <c r="A243" i="63"/>
  <c r="Q243" i="63" s="1"/>
  <c r="E244" i="63" l="1"/>
  <c r="G244" i="63" l="1"/>
  <c r="D244" i="63"/>
  <c r="F244" i="63" l="1"/>
  <c r="H244" i="63"/>
  <c r="C245" i="63" s="1"/>
  <c r="B245" i="63" l="1"/>
  <c r="A244" i="63"/>
  <c r="Q244" i="63" s="1"/>
  <c r="E245" i="63" l="1"/>
  <c r="G245" i="63" l="1"/>
  <c r="D245" i="63"/>
  <c r="F245" i="63" l="1"/>
  <c r="H245" i="63"/>
  <c r="C246" i="63" s="1"/>
  <c r="B246" i="63" l="1"/>
  <c r="A245" i="63"/>
  <c r="Q245" i="63" s="1"/>
  <c r="E246" i="63" l="1"/>
  <c r="G246" i="63" l="1"/>
  <c r="D246" i="63"/>
  <c r="F246" i="63" l="1"/>
  <c r="H246" i="63"/>
  <c r="C247" i="63" s="1"/>
  <c r="B247" i="63" l="1"/>
  <c r="A246" i="63"/>
  <c r="Q246" i="63" s="1"/>
  <c r="E247" i="63" l="1"/>
  <c r="D247" i="63" l="1"/>
  <c r="G247" i="63"/>
  <c r="F247" i="63" l="1"/>
  <c r="H247" i="63"/>
  <c r="C248" i="63" s="1"/>
  <c r="B248" i="63" l="1"/>
  <c r="A247" i="63"/>
  <c r="Q247" i="63" s="1"/>
  <c r="E248" i="63" l="1"/>
  <c r="G248" i="63" l="1"/>
  <c r="D248" i="63"/>
  <c r="F248" i="63" l="1"/>
  <c r="H248" i="63"/>
  <c r="C249" i="63" s="1"/>
  <c r="B249" i="63" l="1"/>
  <c r="A248" i="63"/>
  <c r="Q248" i="63" s="1"/>
  <c r="E249" i="63" l="1"/>
  <c r="D249" i="63" l="1"/>
  <c r="G249" i="63"/>
  <c r="F249" i="63" l="1"/>
  <c r="H249" i="63"/>
  <c r="C250" i="63" s="1"/>
  <c r="B250" i="63" l="1"/>
  <c r="A249" i="63"/>
  <c r="Q249" i="63" s="1"/>
  <c r="E250" i="63" l="1"/>
  <c r="G250" i="63" l="1"/>
  <c r="D250" i="63"/>
  <c r="F250" i="63" l="1"/>
  <c r="H250" i="63"/>
  <c r="C251" i="63" s="1"/>
  <c r="B251" i="63" l="1"/>
  <c r="A250" i="63"/>
  <c r="Q250" i="63" s="1"/>
  <c r="E251" i="63" l="1"/>
  <c r="D251" i="63" l="1"/>
  <c r="G251" i="63"/>
  <c r="F251" i="63" l="1"/>
  <c r="H251" i="63"/>
  <c r="C252" i="63" s="1"/>
  <c r="B252" i="63" l="1"/>
  <c r="A251" i="63"/>
  <c r="Q251" i="63" s="1"/>
  <c r="E252" i="63" l="1"/>
  <c r="G252" i="63" l="1"/>
  <c r="D252" i="63"/>
  <c r="F252" i="63" l="1"/>
  <c r="H252" i="63"/>
  <c r="C253" i="63" s="1"/>
  <c r="B253" i="63" l="1"/>
  <c r="A252" i="63"/>
  <c r="Q252" i="63" s="1"/>
  <c r="E253" i="63" l="1"/>
  <c r="D253" i="63" l="1"/>
  <c r="G253" i="63"/>
  <c r="F253" i="63" l="1"/>
  <c r="H253" i="63"/>
  <c r="C254" i="63" s="1"/>
  <c r="B254" i="63" l="1"/>
  <c r="A253" i="63"/>
  <c r="Q253" i="63" s="1"/>
  <c r="E254" i="63" l="1"/>
  <c r="G254" i="63" l="1"/>
  <c r="D254" i="63"/>
  <c r="F254" i="63" l="1"/>
  <c r="H254" i="63"/>
  <c r="C255" i="63" s="1"/>
  <c r="B255" i="63" l="1"/>
  <c r="A254" i="63"/>
  <c r="Q254" i="63" s="1"/>
  <c r="E255" i="63" l="1"/>
  <c r="G255" i="63" l="1"/>
  <c r="D255" i="63"/>
  <c r="F255" i="63" l="1"/>
  <c r="H255" i="63"/>
  <c r="C256" i="63" s="1"/>
  <c r="B256" i="63" l="1"/>
  <c r="A255" i="63"/>
  <c r="Q255" i="63" s="1"/>
  <c r="E256" i="63" l="1"/>
  <c r="G256" i="63" l="1"/>
  <c r="D256" i="63"/>
  <c r="F256" i="63" l="1"/>
  <c r="H256" i="63"/>
  <c r="C257" i="63" s="1"/>
  <c r="B257" i="63" l="1"/>
  <c r="A256" i="63"/>
  <c r="Q256" i="63" s="1"/>
  <c r="E257" i="63" l="1"/>
  <c r="D257" i="63" l="1"/>
  <c r="G257" i="63"/>
  <c r="F257" i="63" l="1"/>
  <c r="H257" i="63"/>
  <c r="C258" i="63" s="1"/>
  <c r="B258" i="63" l="1"/>
  <c r="A257" i="63"/>
  <c r="Q257" i="63" s="1"/>
  <c r="E258" i="63" l="1"/>
  <c r="G258" i="63" l="1"/>
  <c r="D258" i="63"/>
  <c r="F258" i="63" l="1"/>
  <c r="H258" i="63"/>
  <c r="C259" i="63" s="1"/>
  <c r="B259" i="63" l="1"/>
  <c r="A258" i="63"/>
  <c r="Q258" i="63" s="1"/>
  <c r="E259" i="63" l="1"/>
  <c r="D259" i="63" l="1"/>
  <c r="G259" i="63"/>
  <c r="F259" i="63" l="1"/>
  <c r="H259" i="63"/>
  <c r="C260" i="63" s="1"/>
  <c r="B260" i="63" l="1"/>
  <c r="A259" i="63"/>
  <c r="Q259" i="63" s="1"/>
  <c r="E260" i="63" l="1"/>
  <c r="D260" i="63" l="1"/>
  <c r="G260" i="63"/>
  <c r="F260" i="63" l="1"/>
  <c r="H260" i="63"/>
  <c r="C261" i="63" s="1"/>
  <c r="B261" i="63" l="1"/>
  <c r="A260" i="63"/>
  <c r="Q260" i="63" s="1"/>
  <c r="E261" i="63" l="1"/>
  <c r="G261" i="63" l="1"/>
  <c r="D261" i="63"/>
  <c r="F261" i="63" l="1"/>
  <c r="H261" i="63"/>
  <c r="C262" i="63" s="1"/>
  <c r="B262" i="63" l="1"/>
  <c r="A261" i="63"/>
  <c r="Q261" i="63" s="1"/>
  <c r="E262" i="63" l="1"/>
  <c r="D262" i="63" l="1"/>
  <c r="G262" i="63"/>
  <c r="F262" i="63" l="1"/>
  <c r="H262" i="63"/>
  <c r="C263" i="63" s="1"/>
  <c r="B263" i="63" l="1"/>
  <c r="A262" i="63"/>
  <c r="Q262" i="63" s="1"/>
  <c r="E263" i="63" l="1"/>
  <c r="G263" i="63" l="1"/>
  <c r="D263" i="63"/>
  <c r="F263" i="63" l="1"/>
  <c r="H263" i="63"/>
  <c r="C264" i="63" s="1"/>
  <c r="B264" i="63" l="1"/>
  <c r="A263" i="63"/>
  <c r="Q263" i="63" s="1"/>
  <c r="E264" i="63" l="1"/>
  <c r="D264" i="63" l="1"/>
  <c r="G264" i="63"/>
  <c r="F264" i="63" l="1"/>
  <c r="H264" i="63"/>
  <c r="C265" i="63" s="1"/>
  <c r="B265" i="63" l="1"/>
  <c r="A264" i="63"/>
  <c r="Q264" i="63" s="1"/>
  <c r="E265" i="63" l="1"/>
  <c r="G265" i="63" l="1"/>
  <c r="D265" i="63"/>
  <c r="F265" i="63" l="1"/>
  <c r="H265" i="63"/>
  <c r="C266" i="63" s="1"/>
  <c r="B266" i="63" l="1"/>
  <c r="A265" i="63"/>
  <c r="Q265" i="63" s="1"/>
  <c r="E266" i="63" l="1"/>
  <c r="G266" i="63" l="1"/>
  <c r="D266" i="63"/>
  <c r="F266" i="63" l="1"/>
  <c r="H266" i="63"/>
  <c r="C267" i="63" s="1"/>
  <c r="B267" i="63" l="1"/>
  <c r="A266" i="63"/>
  <c r="Q266" i="63" s="1"/>
  <c r="E267" i="63" l="1"/>
  <c r="D267" i="63" l="1"/>
  <c r="G267" i="63"/>
  <c r="F267" i="63" l="1"/>
  <c r="H267" i="63"/>
  <c r="C268" i="63" s="1"/>
  <c r="B268" i="63" l="1"/>
  <c r="A267" i="63"/>
  <c r="Q267" i="63" s="1"/>
  <c r="E268" i="63" l="1"/>
  <c r="G268" i="63" l="1"/>
  <c r="D268" i="63"/>
  <c r="F268" i="63" l="1"/>
  <c r="H268" i="63"/>
  <c r="C269" i="63" s="1"/>
  <c r="B269" i="63" l="1"/>
  <c r="A268" i="63"/>
  <c r="Q268" i="63" s="1"/>
  <c r="E269" i="63" l="1"/>
  <c r="G269" i="63" l="1"/>
  <c r="D269" i="63"/>
  <c r="F269" i="63" l="1"/>
  <c r="H269" i="63"/>
  <c r="C270" i="63" s="1"/>
  <c r="B270" i="63" l="1"/>
  <c r="A269" i="63"/>
  <c r="Q269" i="63" s="1"/>
  <c r="E270" i="63" l="1"/>
  <c r="G270" i="63" l="1"/>
  <c r="D270" i="63"/>
  <c r="F270" i="63" l="1"/>
  <c r="H270" i="63"/>
  <c r="C271" i="63" s="1"/>
  <c r="B271" i="63" l="1"/>
  <c r="A270" i="63"/>
  <c r="Q270" i="63" s="1"/>
  <c r="E271" i="63" l="1"/>
  <c r="G271" i="63" l="1"/>
  <c r="D271" i="63"/>
  <c r="F271" i="63" l="1"/>
  <c r="H271" i="63"/>
  <c r="C272" i="63" s="1"/>
  <c r="B272" i="63" l="1"/>
  <c r="A271" i="63"/>
  <c r="Q271" i="63" s="1"/>
  <c r="E272" i="63" l="1"/>
  <c r="G272" i="63" l="1"/>
  <c r="D272" i="63"/>
  <c r="F272" i="63" l="1"/>
  <c r="H272" i="63"/>
  <c r="C273" i="63" s="1"/>
  <c r="B273" i="63" l="1"/>
  <c r="A272" i="63"/>
  <c r="Q272" i="63" s="1"/>
  <c r="E273" i="63" l="1"/>
  <c r="G273" i="63" l="1"/>
  <c r="D273" i="63"/>
  <c r="F273" i="63" l="1"/>
  <c r="H273" i="63"/>
  <c r="C274" i="63" s="1"/>
  <c r="B274" i="63" l="1"/>
  <c r="A273" i="63"/>
  <c r="Q273" i="63" s="1"/>
  <c r="E274" i="63" l="1"/>
  <c r="G274" i="63" l="1"/>
  <c r="D274" i="63"/>
  <c r="F274" i="63" l="1"/>
  <c r="H274" i="63"/>
  <c r="C275" i="63" s="1"/>
  <c r="B275" i="63" l="1"/>
  <c r="A274" i="63"/>
  <c r="Q274" i="63" s="1"/>
  <c r="E275" i="63" l="1"/>
  <c r="G275" i="63" l="1"/>
  <c r="D275" i="63"/>
  <c r="F275" i="63" l="1"/>
  <c r="H275" i="63"/>
  <c r="C276" i="63" s="1"/>
  <c r="B276" i="63" l="1"/>
  <c r="A275" i="63"/>
  <c r="Q275" i="63" s="1"/>
  <c r="E276" i="63" l="1"/>
  <c r="G276" i="63" l="1"/>
  <c r="D276" i="63"/>
  <c r="F276" i="63" l="1"/>
  <c r="H276" i="63"/>
  <c r="C277" i="63" s="1"/>
  <c r="B277" i="63" l="1"/>
  <c r="A276" i="63"/>
  <c r="Q276" i="63" s="1"/>
  <c r="E277" i="63" l="1"/>
  <c r="G277" i="63" l="1"/>
  <c r="D277" i="63"/>
  <c r="F277" i="63" l="1"/>
  <c r="H277" i="63"/>
  <c r="C278" i="63" s="1"/>
  <c r="B278" i="63" l="1"/>
  <c r="A277" i="63"/>
  <c r="Q277" i="63" s="1"/>
  <c r="E278" i="63" l="1"/>
  <c r="G278" i="63" l="1"/>
  <c r="D278" i="63"/>
  <c r="F278" i="63" l="1"/>
  <c r="H278" i="63"/>
  <c r="C279" i="63" s="1"/>
  <c r="B279" i="63" l="1"/>
  <c r="A278" i="63"/>
  <c r="Q278" i="63" s="1"/>
  <c r="E279" i="63" l="1"/>
  <c r="G279" i="63" l="1"/>
  <c r="D279" i="63"/>
  <c r="F279" i="63" l="1"/>
  <c r="H279" i="63"/>
  <c r="C280" i="63" s="1"/>
  <c r="B280" i="63" l="1"/>
  <c r="A279" i="63"/>
  <c r="Q279" i="63" s="1"/>
  <c r="E280" i="63" l="1"/>
  <c r="G280" i="63" l="1"/>
  <c r="D280" i="63"/>
  <c r="F280" i="63" l="1"/>
  <c r="H280" i="63"/>
  <c r="C281" i="63" s="1"/>
  <c r="B281" i="63" l="1"/>
  <c r="A280" i="63"/>
  <c r="Q280" i="63" s="1"/>
  <c r="E281" i="63" l="1"/>
  <c r="G281" i="63" l="1"/>
  <c r="D281" i="63"/>
  <c r="F281" i="63" l="1"/>
  <c r="H281" i="63"/>
  <c r="C282" i="63" s="1"/>
  <c r="B282" i="63" l="1"/>
  <c r="A281" i="63"/>
  <c r="Q281" i="63" s="1"/>
  <c r="E282" i="63" l="1"/>
  <c r="G282" i="63" l="1"/>
  <c r="D282" i="63"/>
  <c r="F282" i="63" l="1"/>
  <c r="H282" i="63"/>
  <c r="C283" i="63" s="1"/>
  <c r="B283" i="63" l="1"/>
  <c r="A282" i="63"/>
  <c r="Q282" i="63" s="1"/>
  <c r="E283" i="63" l="1"/>
  <c r="G283" i="63" l="1"/>
  <c r="D283" i="63"/>
  <c r="F283" i="63" l="1"/>
  <c r="H283" i="63"/>
  <c r="C284" i="63" s="1"/>
  <c r="B284" i="63" l="1"/>
  <c r="A283" i="63"/>
  <c r="Q283" i="63" s="1"/>
  <c r="E284" i="63" l="1"/>
  <c r="G284" i="63" l="1"/>
  <c r="D284" i="63"/>
  <c r="F284" i="63" l="1"/>
  <c r="H284" i="63"/>
  <c r="C285" i="63" s="1"/>
  <c r="B285" i="63" l="1"/>
  <c r="A284" i="63"/>
  <c r="Q284" i="63" s="1"/>
  <c r="E285" i="63" l="1"/>
  <c r="G285" i="63" l="1"/>
  <c r="D285" i="63"/>
  <c r="F285" i="63" l="1"/>
  <c r="H285" i="63"/>
  <c r="C286" i="63" s="1"/>
  <c r="B286" i="63" l="1"/>
  <c r="A285" i="63"/>
  <c r="Q285" i="63" s="1"/>
  <c r="E286" i="63" l="1"/>
  <c r="G286" i="63" l="1"/>
  <c r="D286" i="63"/>
  <c r="F286" i="63" l="1"/>
  <c r="H286" i="63"/>
  <c r="C287" i="63" s="1"/>
  <c r="B287" i="63" l="1"/>
  <c r="A286" i="63"/>
  <c r="Q286" i="63" s="1"/>
  <c r="E287" i="63" l="1"/>
  <c r="G287" i="63" l="1"/>
  <c r="D287" i="63"/>
  <c r="F287" i="63" l="1"/>
  <c r="H287" i="63"/>
  <c r="C288" i="63" s="1"/>
  <c r="B288" i="63" l="1"/>
  <c r="A287" i="63"/>
  <c r="Q287" i="63" s="1"/>
  <c r="E288" i="63" l="1"/>
  <c r="G288" i="63" l="1"/>
  <c r="D288" i="63"/>
  <c r="F288" i="63" l="1"/>
  <c r="H288" i="63"/>
  <c r="C289" i="63" s="1"/>
  <c r="B289" i="63" l="1"/>
  <c r="A288" i="63"/>
  <c r="Q288" i="63" s="1"/>
  <c r="E289" i="63" l="1"/>
  <c r="G289" i="63" l="1"/>
  <c r="D289" i="63"/>
  <c r="F289" i="63" l="1"/>
  <c r="H289" i="63"/>
  <c r="C290" i="63" s="1"/>
  <c r="B290" i="63" l="1"/>
  <c r="A289" i="63"/>
  <c r="Q289" i="63" s="1"/>
  <c r="E290" i="63" l="1"/>
  <c r="G290" i="63" l="1"/>
  <c r="D290" i="63"/>
  <c r="F290" i="63" l="1"/>
  <c r="H290" i="63"/>
  <c r="C291" i="63" s="1"/>
  <c r="B291" i="63" l="1"/>
  <c r="A290" i="63"/>
  <c r="Q290" i="63" s="1"/>
  <c r="E291" i="63" l="1"/>
  <c r="G291" i="63" l="1"/>
  <c r="D291" i="63"/>
  <c r="F291" i="63" l="1"/>
  <c r="H291" i="63"/>
  <c r="C292" i="63" s="1"/>
  <c r="B292" i="63" l="1"/>
  <c r="A291" i="63"/>
  <c r="Q291" i="63" s="1"/>
  <c r="E292" i="63" l="1"/>
  <c r="G292" i="63" l="1"/>
  <c r="D292" i="63"/>
  <c r="F292" i="63" l="1"/>
  <c r="H292" i="63"/>
  <c r="C293" i="63" s="1"/>
  <c r="B293" i="63" l="1"/>
  <c r="A292" i="63"/>
  <c r="Q292" i="63" s="1"/>
  <c r="E293" i="63" l="1"/>
  <c r="G293" i="63" l="1"/>
  <c r="D293" i="63"/>
  <c r="F293" i="63" l="1"/>
  <c r="H293" i="63"/>
  <c r="C294" i="63" s="1"/>
  <c r="B294" i="63" l="1"/>
  <c r="A293" i="63"/>
  <c r="Q293" i="63" s="1"/>
  <c r="E294" i="63" l="1"/>
  <c r="G294" i="63" l="1"/>
  <c r="D294" i="63"/>
  <c r="F294" i="63" l="1"/>
  <c r="H294" i="63"/>
  <c r="C295" i="63" s="1"/>
  <c r="B295" i="63" l="1"/>
  <c r="A294" i="63"/>
  <c r="Q294" i="63" s="1"/>
  <c r="E295" i="63" l="1"/>
  <c r="G295" i="63" l="1"/>
  <c r="D295" i="63"/>
  <c r="F295" i="63" l="1"/>
  <c r="H295" i="63"/>
  <c r="C296" i="63" s="1"/>
  <c r="B296" i="63" l="1"/>
  <c r="A295" i="63"/>
  <c r="Q295" i="63" s="1"/>
  <c r="E296" i="63" l="1"/>
  <c r="G296" i="63" l="1"/>
  <c r="D296" i="63"/>
  <c r="F296" i="63" l="1"/>
  <c r="H296" i="63"/>
  <c r="C297" i="63" s="1"/>
  <c r="B297" i="63" l="1"/>
  <c r="A296" i="63"/>
  <c r="Q296" i="63" s="1"/>
  <c r="E297" i="63" l="1"/>
  <c r="G297" i="63" l="1"/>
  <c r="D297" i="63"/>
  <c r="F297" i="63" l="1"/>
  <c r="H297" i="63"/>
  <c r="C298" i="63" s="1"/>
  <c r="B298" i="63" l="1"/>
  <c r="A297" i="63"/>
  <c r="Q297" i="63" s="1"/>
  <c r="E298" i="63" l="1"/>
  <c r="G298" i="63" l="1"/>
  <c r="D298" i="63"/>
  <c r="F298" i="63" l="1"/>
  <c r="H298" i="63"/>
  <c r="C299" i="63" s="1"/>
  <c r="B299" i="63" l="1"/>
  <c r="A298" i="63"/>
  <c r="Q298" i="63" s="1"/>
  <c r="E299" i="63" l="1"/>
  <c r="G299" i="63" l="1"/>
  <c r="D299" i="63"/>
  <c r="F299" i="63" l="1"/>
  <c r="H299" i="63"/>
  <c r="C300" i="63" s="1"/>
  <c r="B300" i="63" l="1"/>
  <c r="A299" i="63"/>
  <c r="Q299" i="63" s="1"/>
  <c r="E300" i="63" l="1"/>
  <c r="G300" i="63" l="1"/>
  <c r="D300" i="63"/>
  <c r="F300" i="63" l="1"/>
  <c r="H300" i="63"/>
  <c r="C301" i="63" s="1"/>
  <c r="B301" i="63" l="1"/>
  <c r="A300" i="63"/>
  <c r="Q300" i="63" s="1"/>
  <c r="E301" i="63" l="1"/>
  <c r="G301" i="63" l="1"/>
  <c r="D301" i="63"/>
  <c r="F301" i="63" l="1"/>
  <c r="H301" i="63"/>
  <c r="C302" i="63" s="1"/>
  <c r="B302" i="63" l="1"/>
  <c r="A301" i="63"/>
  <c r="Q301" i="63" s="1"/>
  <c r="E302" i="63" l="1"/>
  <c r="G302" i="63" l="1"/>
  <c r="D302" i="63"/>
  <c r="F302" i="63" l="1"/>
  <c r="H302" i="63"/>
  <c r="C303" i="63" s="1"/>
  <c r="B303" i="63" l="1"/>
  <c r="A302" i="63"/>
  <c r="Q302" i="63" s="1"/>
  <c r="E303" i="63" l="1"/>
  <c r="G303" i="63" l="1"/>
  <c r="D303" i="63"/>
  <c r="F303" i="63" l="1"/>
  <c r="H303" i="63"/>
  <c r="C304" i="63" s="1"/>
  <c r="B304" i="63" l="1"/>
  <c r="A303" i="63"/>
  <c r="Q303" i="63" s="1"/>
  <c r="E304" i="63" l="1"/>
  <c r="G304" i="63" l="1"/>
  <c r="D304" i="63"/>
  <c r="F304" i="63" l="1"/>
  <c r="H304" i="63"/>
  <c r="C305" i="63" s="1"/>
  <c r="B305" i="63" l="1"/>
  <c r="A304" i="63"/>
  <c r="Q304" i="63" s="1"/>
  <c r="E305" i="63" l="1"/>
  <c r="G305" i="63" l="1"/>
  <c r="D305" i="63"/>
  <c r="F305" i="63" l="1"/>
  <c r="H305" i="63"/>
  <c r="C306" i="63" s="1"/>
  <c r="B306" i="63" l="1"/>
  <c r="A305" i="63"/>
  <c r="Q305" i="63" s="1"/>
  <c r="E306" i="63" l="1"/>
  <c r="G306" i="63" l="1"/>
  <c r="D306" i="63"/>
  <c r="F306" i="63" l="1"/>
  <c r="H306" i="63"/>
  <c r="C307" i="63" s="1"/>
  <c r="B307" i="63" l="1"/>
  <c r="A306" i="63"/>
  <c r="Q306" i="63" s="1"/>
  <c r="E307" i="63" l="1"/>
  <c r="G307" i="63" l="1"/>
  <c r="D307" i="63"/>
  <c r="F307" i="63" l="1"/>
  <c r="H307" i="63"/>
  <c r="C308" i="63" s="1"/>
  <c r="B308" i="63" l="1"/>
  <c r="A307" i="63"/>
  <c r="Q307" i="63" s="1"/>
  <c r="E308" i="63" l="1"/>
  <c r="D308" i="63" l="1"/>
  <c r="G308" i="63"/>
  <c r="F308" i="63" l="1"/>
  <c r="H308" i="63"/>
  <c r="C309" i="63" s="1"/>
  <c r="B309" i="63" l="1"/>
  <c r="A308" i="63"/>
  <c r="Q308" i="63" s="1"/>
  <c r="E309" i="63" l="1"/>
  <c r="G309" i="63" l="1"/>
  <c r="D309" i="63"/>
  <c r="F309" i="63" l="1"/>
  <c r="H309" i="63"/>
  <c r="C310" i="63" s="1"/>
  <c r="B310" i="63" l="1"/>
  <c r="A309" i="63"/>
  <c r="Q309" i="63" s="1"/>
  <c r="E310" i="63" l="1"/>
  <c r="G310" i="63" l="1"/>
  <c r="D310" i="63"/>
  <c r="F310" i="63" l="1"/>
  <c r="H310" i="63"/>
  <c r="C311" i="63" s="1"/>
  <c r="B311" i="63" l="1"/>
  <c r="A310" i="63"/>
  <c r="Q310" i="63" s="1"/>
  <c r="E311" i="63" l="1"/>
  <c r="G311" i="63" l="1"/>
  <c r="D311" i="63"/>
  <c r="F311" i="63" l="1"/>
  <c r="H311" i="63"/>
  <c r="C312" i="63" s="1"/>
  <c r="B312" i="63" l="1"/>
  <c r="A311" i="63"/>
  <c r="Q311" i="63" s="1"/>
  <c r="E312" i="63" l="1"/>
  <c r="G312" i="63" l="1"/>
  <c r="D312" i="63"/>
  <c r="F312" i="63" l="1"/>
  <c r="H312" i="63"/>
  <c r="C313" i="63" s="1"/>
  <c r="B313" i="63" l="1"/>
  <c r="A312" i="63"/>
  <c r="Q312" i="63" s="1"/>
  <c r="E313" i="63" l="1"/>
  <c r="G313" i="63" l="1"/>
  <c r="D313" i="63"/>
  <c r="F313" i="63" l="1"/>
  <c r="H313" i="63"/>
  <c r="C314" i="63" s="1"/>
  <c r="B314" i="63" l="1"/>
  <c r="A313" i="63"/>
  <c r="Q313" i="63" s="1"/>
  <c r="E314" i="63" l="1"/>
  <c r="D314" i="63" l="1"/>
  <c r="G314" i="63"/>
  <c r="F314" i="63" l="1"/>
  <c r="H314" i="63"/>
  <c r="C315" i="63" s="1"/>
  <c r="A314" i="63" l="1"/>
  <c r="Q314" i="63" s="1"/>
  <c r="B315" i="63"/>
  <c r="E315" i="63" l="1"/>
  <c r="G315" i="63" l="1"/>
  <c r="D315" i="63"/>
  <c r="F315" i="63" l="1"/>
  <c r="H315" i="63"/>
  <c r="C316" i="63" s="1"/>
  <c r="A315" i="63" l="1"/>
  <c r="Q315" i="63" s="1"/>
  <c r="B316" i="63"/>
  <c r="E316" i="63" l="1"/>
  <c r="G316" i="63" l="1"/>
  <c r="D316" i="63"/>
  <c r="F316" i="63" l="1"/>
  <c r="H316" i="63"/>
  <c r="C317" i="63" s="1"/>
  <c r="B317" i="63" l="1"/>
  <c r="A316" i="63"/>
  <c r="Q316" i="63" s="1"/>
  <c r="E317" i="63" l="1"/>
  <c r="G317" i="63" l="1"/>
  <c r="D317" i="63"/>
  <c r="F317" i="63" l="1"/>
  <c r="H317" i="63"/>
  <c r="C318" i="63" s="1"/>
  <c r="B318" i="63" l="1"/>
  <c r="A317" i="63"/>
  <c r="Q317" i="63" s="1"/>
  <c r="E318" i="63" l="1"/>
  <c r="G318" i="63" l="1"/>
  <c r="D318" i="63"/>
  <c r="F318" i="63" l="1"/>
  <c r="H318" i="63"/>
  <c r="C319" i="63" s="1"/>
  <c r="B319" i="63" l="1"/>
  <c r="A318" i="63"/>
  <c r="Q318" i="63" s="1"/>
  <c r="E319" i="63" l="1"/>
  <c r="G319" i="63" l="1"/>
  <c r="D319" i="63"/>
  <c r="F319" i="63" l="1"/>
  <c r="H319" i="63"/>
  <c r="C320" i="63" s="1"/>
  <c r="B320" i="63" l="1"/>
  <c r="A319" i="63"/>
  <c r="Q319" i="63" s="1"/>
  <c r="E320" i="63" l="1"/>
  <c r="D320" i="63" l="1"/>
  <c r="G320" i="63"/>
  <c r="F320" i="63" l="1"/>
  <c r="H320" i="63"/>
  <c r="C321" i="63" s="1"/>
  <c r="B321" i="63" l="1"/>
  <c r="A320" i="63"/>
  <c r="Q320" i="63" s="1"/>
  <c r="E321" i="63" l="1"/>
  <c r="D321" i="63" l="1"/>
  <c r="G321" i="63"/>
  <c r="F321" i="63" l="1"/>
  <c r="H321" i="63"/>
  <c r="C322" i="63" s="1"/>
  <c r="B322" i="63" l="1"/>
  <c r="A321" i="63"/>
  <c r="Q321" i="63" s="1"/>
  <c r="E322" i="63" l="1"/>
  <c r="D322" i="63" l="1"/>
  <c r="G322" i="63"/>
  <c r="F322" i="63" l="1"/>
  <c r="H322" i="63"/>
  <c r="C323" i="63" s="1"/>
  <c r="B323" i="63" l="1"/>
  <c r="A322" i="63"/>
  <c r="Q322" i="63" s="1"/>
  <c r="E323" i="63" l="1"/>
  <c r="G323" i="63" l="1"/>
  <c r="D323" i="63"/>
  <c r="F323" i="63" l="1"/>
  <c r="H323" i="63"/>
  <c r="C324" i="63" s="1"/>
  <c r="B324" i="63" l="1"/>
  <c r="A323" i="63"/>
  <c r="Q323" i="63" s="1"/>
  <c r="E324" i="63" l="1"/>
  <c r="D324" i="63" l="1"/>
  <c r="G324" i="63"/>
  <c r="F324" i="63" l="1"/>
  <c r="H324" i="63"/>
  <c r="C325" i="63" s="1"/>
  <c r="B325" i="63" l="1"/>
  <c r="A324" i="63"/>
  <c r="Q324" i="63" s="1"/>
  <c r="E325" i="63" l="1"/>
  <c r="D325" i="63" l="1"/>
  <c r="G325" i="63"/>
  <c r="F325" i="63" l="1"/>
  <c r="H325" i="63"/>
  <c r="C326" i="63" s="1"/>
  <c r="B326" i="63" l="1"/>
  <c r="A325" i="63"/>
  <c r="Q325" i="63" s="1"/>
  <c r="E326" i="63" l="1"/>
  <c r="D326" i="63" l="1"/>
  <c r="G326" i="63"/>
  <c r="F326" i="63" l="1"/>
  <c r="H326" i="63"/>
  <c r="C327" i="63" s="1"/>
  <c r="B327" i="63" l="1"/>
  <c r="A326" i="63"/>
  <c r="Q326" i="63" s="1"/>
  <c r="E327" i="63" l="1"/>
  <c r="G327" i="63" l="1"/>
  <c r="D327" i="63"/>
  <c r="F327" i="63" l="1"/>
  <c r="H327" i="63"/>
  <c r="C328" i="63" s="1"/>
  <c r="B328" i="63" l="1"/>
  <c r="A327" i="63"/>
  <c r="Q327" i="63" s="1"/>
  <c r="E328" i="63" l="1"/>
  <c r="G328" i="63" l="1"/>
  <c r="D328" i="63"/>
  <c r="F328" i="63" l="1"/>
  <c r="H328" i="63"/>
  <c r="C329" i="63" s="1"/>
  <c r="B329" i="63" l="1"/>
  <c r="A328" i="63"/>
  <c r="Q328" i="63" s="1"/>
  <c r="E329" i="63" l="1"/>
  <c r="G329" i="63" l="1"/>
  <c r="D329" i="63"/>
  <c r="F329" i="63" l="1"/>
  <c r="H329" i="63"/>
  <c r="C330" i="63" s="1"/>
  <c r="B330" i="63" l="1"/>
  <c r="A329" i="63"/>
  <c r="Q329" i="63" s="1"/>
  <c r="E330" i="63" l="1"/>
  <c r="D330" i="63" l="1"/>
  <c r="G330" i="63"/>
  <c r="F330" i="63" l="1"/>
  <c r="H330" i="63"/>
  <c r="C331" i="63" s="1"/>
  <c r="B331" i="63" l="1"/>
  <c r="A330" i="63"/>
  <c r="Q330" i="63" s="1"/>
  <c r="E331" i="63" l="1"/>
  <c r="G331" i="63" l="1"/>
  <c r="D331" i="63"/>
  <c r="F331" i="63" l="1"/>
  <c r="H331" i="63"/>
  <c r="C332" i="63" s="1"/>
  <c r="B332" i="63" l="1"/>
  <c r="A331" i="63"/>
  <c r="Q331" i="63" s="1"/>
  <c r="E332" i="63" l="1"/>
  <c r="G332" i="63" l="1"/>
  <c r="D332" i="63"/>
  <c r="F332" i="63" l="1"/>
  <c r="H332" i="63"/>
  <c r="C333" i="63" s="1"/>
  <c r="B333" i="63" l="1"/>
  <c r="A332" i="63"/>
  <c r="Q332" i="63" s="1"/>
  <c r="E333" i="63" l="1"/>
  <c r="G333" i="63" l="1"/>
  <c r="D333" i="63"/>
  <c r="F333" i="63" l="1"/>
  <c r="H333" i="63"/>
  <c r="C334" i="63" s="1"/>
  <c r="B334" i="63" l="1"/>
  <c r="A333" i="63"/>
  <c r="Q333" i="63" s="1"/>
  <c r="E334" i="63" l="1"/>
  <c r="D334" i="63" l="1"/>
  <c r="G334" i="63"/>
  <c r="F334" i="63" l="1"/>
  <c r="H334" i="63"/>
  <c r="C335" i="63" s="1"/>
  <c r="B335" i="63" l="1"/>
  <c r="A334" i="63"/>
  <c r="Q334" i="63" s="1"/>
  <c r="E335" i="63" l="1"/>
  <c r="G335" i="63" l="1"/>
  <c r="D335" i="63"/>
  <c r="F335" i="63" l="1"/>
  <c r="H335" i="63"/>
  <c r="C336" i="63" s="1"/>
  <c r="B336" i="63" l="1"/>
  <c r="A335" i="63"/>
  <c r="Q335" i="63" s="1"/>
  <c r="E336" i="63" l="1"/>
  <c r="D336" i="63" l="1"/>
  <c r="G336" i="63"/>
  <c r="F336" i="63" l="1"/>
  <c r="H336" i="63"/>
  <c r="C337" i="63" s="1"/>
  <c r="B337" i="63" l="1"/>
  <c r="A336" i="63"/>
  <c r="Q336" i="63" s="1"/>
  <c r="E337" i="63" l="1"/>
  <c r="G337" i="63" l="1"/>
  <c r="D337" i="63"/>
  <c r="F337" i="63" l="1"/>
  <c r="H337" i="63"/>
  <c r="C338" i="63" s="1"/>
  <c r="B338" i="63" l="1"/>
  <c r="A337" i="63"/>
  <c r="Q337" i="63" s="1"/>
  <c r="E338" i="63" l="1"/>
  <c r="G338" i="63" l="1"/>
  <c r="D338" i="63"/>
  <c r="F338" i="63" l="1"/>
  <c r="H338" i="63"/>
  <c r="C339" i="63" s="1"/>
  <c r="B339" i="63" l="1"/>
  <c r="A338" i="63"/>
  <c r="Q338" i="63" s="1"/>
  <c r="E339" i="63" l="1"/>
  <c r="G339" i="63" l="1"/>
  <c r="D339" i="63"/>
  <c r="F339" i="63" l="1"/>
  <c r="H339" i="63"/>
  <c r="C340" i="63" s="1"/>
  <c r="B340" i="63" l="1"/>
  <c r="A339" i="63"/>
  <c r="Q339" i="63" s="1"/>
  <c r="E340" i="63" l="1"/>
  <c r="G340" i="63" l="1"/>
  <c r="D340" i="63"/>
  <c r="F340" i="63" l="1"/>
  <c r="H340" i="63"/>
  <c r="C341" i="63" s="1"/>
  <c r="B341" i="63" l="1"/>
  <c r="A340" i="63"/>
  <c r="Q340" i="63" s="1"/>
  <c r="E341" i="63" l="1"/>
  <c r="D341" i="63" l="1"/>
  <c r="G341" i="63"/>
  <c r="F341" i="63" l="1"/>
  <c r="H341" i="63"/>
  <c r="C342" i="63" s="1"/>
  <c r="B342" i="63" l="1"/>
  <c r="A341" i="63"/>
  <c r="Q341" i="63" s="1"/>
  <c r="E342" i="63" l="1"/>
  <c r="G342" i="63" l="1"/>
  <c r="D342" i="63"/>
  <c r="F342" i="63" l="1"/>
  <c r="H342" i="63"/>
  <c r="C343" i="63" s="1"/>
  <c r="B343" i="63" l="1"/>
  <c r="A342" i="63"/>
  <c r="Q342" i="63" s="1"/>
  <c r="E343" i="63" l="1"/>
  <c r="G343" i="63" l="1"/>
  <c r="D343" i="63"/>
  <c r="F343" i="63" l="1"/>
  <c r="H343" i="63"/>
  <c r="C344" i="63" s="1"/>
  <c r="B344" i="63" l="1"/>
  <c r="A343" i="63"/>
  <c r="Q343" i="63" s="1"/>
  <c r="E344" i="63" l="1"/>
  <c r="D344" i="63" l="1"/>
  <c r="G344" i="63"/>
  <c r="F344" i="63" l="1"/>
  <c r="H344" i="63"/>
  <c r="C345" i="63" s="1"/>
  <c r="B345" i="63" l="1"/>
  <c r="A344" i="63"/>
  <c r="Q344" i="63" s="1"/>
  <c r="E345" i="63" l="1"/>
  <c r="G345" i="63" l="1"/>
  <c r="D345" i="63"/>
  <c r="F345" i="63" l="1"/>
  <c r="H345" i="63"/>
  <c r="C346" i="63" s="1"/>
  <c r="B346" i="63" l="1"/>
  <c r="A345" i="63"/>
  <c r="Q345" i="63" s="1"/>
  <c r="E346" i="63" l="1"/>
  <c r="G346" i="63" l="1"/>
  <c r="D346" i="63"/>
  <c r="F346" i="63" l="1"/>
  <c r="H346" i="63"/>
  <c r="C347" i="63" s="1"/>
  <c r="B347" i="63" l="1"/>
  <c r="A346" i="63"/>
  <c r="Q346" i="63" s="1"/>
  <c r="E347" i="63" l="1"/>
  <c r="D347" i="63" l="1"/>
  <c r="G347" i="63"/>
  <c r="F347" i="63" l="1"/>
  <c r="H347" i="63"/>
  <c r="C348" i="63" s="1"/>
  <c r="B348" i="63" l="1"/>
  <c r="A347" i="63"/>
  <c r="Q347" i="63" s="1"/>
  <c r="E348" i="63" l="1"/>
  <c r="G348" i="63" l="1"/>
  <c r="D348" i="63"/>
  <c r="F348" i="63" l="1"/>
  <c r="H348" i="63"/>
  <c r="C349" i="63" s="1"/>
  <c r="B349" i="63" l="1"/>
  <c r="A348" i="63"/>
  <c r="Q348" i="63" s="1"/>
  <c r="E349" i="63" l="1"/>
  <c r="D349" i="63" l="1"/>
  <c r="G349" i="63"/>
  <c r="F349" i="63" l="1"/>
  <c r="H349" i="63"/>
  <c r="C350" i="63" s="1"/>
  <c r="B350" i="63" l="1"/>
  <c r="A349" i="63"/>
  <c r="Q349" i="63" s="1"/>
  <c r="E350" i="63" l="1"/>
  <c r="G350" i="63" l="1"/>
  <c r="D350" i="63"/>
  <c r="F350" i="63" l="1"/>
  <c r="H350" i="63"/>
  <c r="C351" i="63" s="1"/>
  <c r="B351" i="63" l="1"/>
  <c r="A350" i="63"/>
  <c r="Q350" i="63" s="1"/>
  <c r="E351" i="63" l="1"/>
  <c r="G351" i="63" l="1"/>
  <c r="D351" i="63"/>
  <c r="F351" i="63" l="1"/>
  <c r="H351" i="63"/>
  <c r="C352" i="63" s="1"/>
  <c r="B352" i="63" l="1"/>
  <c r="A351" i="63"/>
  <c r="Q351" i="63" s="1"/>
  <c r="E352" i="63" l="1"/>
  <c r="D352" i="63" l="1"/>
  <c r="G352" i="63"/>
  <c r="F352" i="63" l="1"/>
  <c r="H352" i="63"/>
  <c r="C353" i="63" s="1"/>
  <c r="B353" i="63" l="1"/>
  <c r="A352" i="63"/>
  <c r="Q352" i="63" s="1"/>
  <c r="E353" i="63" l="1"/>
  <c r="G353" i="63" l="1"/>
  <c r="D353" i="63"/>
  <c r="F353" i="63" l="1"/>
  <c r="H353" i="63"/>
  <c r="C354" i="63" s="1"/>
  <c r="B354" i="63" l="1"/>
  <c r="A353" i="63"/>
  <c r="Q353" i="63" s="1"/>
  <c r="E354" i="63" l="1"/>
  <c r="D354" i="63" l="1"/>
  <c r="G354" i="63"/>
  <c r="F354" i="63" l="1"/>
  <c r="H354" i="63"/>
  <c r="C355" i="63" s="1"/>
  <c r="B355" i="63" l="1"/>
  <c r="A354" i="63"/>
  <c r="Q354" i="63" s="1"/>
  <c r="E355" i="63" l="1"/>
  <c r="D355" i="63" l="1"/>
  <c r="G355" i="63"/>
  <c r="F355" i="63" l="1"/>
  <c r="H355" i="63"/>
  <c r="C356" i="63" s="1"/>
  <c r="B356" i="63" l="1"/>
  <c r="A355" i="63"/>
  <c r="Q355" i="63" s="1"/>
  <c r="E356" i="63" l="1"/>
  <c r="D356" i="63" l="1"/>
  <c r="G356" i="63"/>
  <c r="F356" i="63" l="1"/>
  <c r="H356" i="63"/>
  <c r="C357" i="63" s="1"/>
  <c r="B357" i="63" l="1"/>
  <c r="A356" i="63"/>
  <c r="Q356" i="63" s="1"/>
  <c r="E357" i="63" l="1"/>
  <c r="D357" i="63" l="1"/>
  <c r="G357" i="63"/>
  <c r="F357" i="63" l="1"/>
  <c r="H357" i="63"/>
  <c r="C358" i="63" s="1"/>
  <c r="B358" i="63" l="1"/>
  <c r="A357" i="63"/>
  <c r="Q357" i="63" s="1"/>
  <c r="E358" i="63" l="1"/>
  <c r="G358" i="63" l="1"/>
  <c r="D358" i="63"/>
  <c r="F358" i="63" l="1"/>
  <c r="H358" i="63"/>
  <c r="C359" i="63" s="1"/>
  <c r="B359" i="63" l="1"/>
  <c r="A358" i="63"/>
  <c r="Q358" i="63" s="1"/>
  <c r="E359" i="63" l="1"/>
  <c r="G359" i="63" l="1"/>
  <c r="D359" i="63"/>
  <c r="F359" i="63" l="1"/>
  <c r="H359" i="63"/>
  <c r="C360" i="63" s="1"/>
  <c r="B360" i="63" l="1"/>
  <c r="A359" i="63"/>
  <c r="Q359" i="63" s="1"/>
  <c r="E360" i="63" l="1"/>
  <c r="D360" i="63" l="1"/>
  <c r="G360" i="63"/>
  <c r="F360" i="63" l="1"/>
  <c r="H360" i="63"/>
  <c r="C361" i="63" s="1"/>
  <c r="B361" i="63" l="1"/>
  <c r="A360" i="63"/>
  <c r="Q360" i="63" s="1"/>
  <c r="E361" i="63" l="1"/>
  <c r="D361" i="63" l="1"/>
  <c r="G361" i="63"/>
  <c r="F361" i="63" l="1"/>
  <c r="H361" i="63"/>
  <c r="C362" i="63" s="1"/>
  <c r="B362" i="63" l="1"/>
  <c r="A361" i="63"/>
  <c r="Q361" i="63" s="1"/>
  <c r="E362" i="63" l="1"/>
  <c r="G362" i="63" l="1"/>
  <c r="D362" i="63"/>
  <c r="F362" i="63" l="1"/>
  <c r="H362" i="63"/>
  <c r="C363" i="63" s="1"/>
  <c r="B363" i="63" l="1"/>
  <c r="A362" i="63"/>
  <c r="Q362" i="63" s="1"/>
  <c r="E363" i="63" l="1"/>
  <c r="D363" i="63" l="1"/>
  <c r="G363" i="63"/>
  <c r="F363" i="63" l="1"/>
  <c r="H363" i="63"/>
  <c r="C364" i="63" s="1"/>
  <c r="B364" i="63" l="1"/>
  <c r="A363" i="63"/>
  <c r="Q363" i="63" s="1"/>
  <c r="E364" i="63" l="1"/>
  <c r="D364" i="63" l="1"/>
  <c r="G364" i="63"/>
  <c r="F364" i="63" l="1"/>
  <c r="H364" i="63"/>
  <c r="C365" i="63" s="1"/>
  <c r="B365" i="63" l="1"/>
  <c r="A364" i="63"/>
  <c r="Q364" i="63" s="1"/>
  <c r="E365" i="63" l="1"/>
  <c r="D365" i="63" l="1"/>
  <c r="G365" i="63"/>
  <c r="F365" i="63" l="1"/>
  <c r="H365" i="63"/>
  <c r="C366" i="63" s="1"/>
  <c r="B366" i="63" l="1"/>
  <c r="A365" i="63"/>
  <c r="Q365" i="63" s="1"/>
  <c r="E366" i="63" l="1"/>
  <c r="G366" i="63" l="1"/>
  <c r="D366" i="63"/>
  <c r="F366" i="63" l="1"/>
  <c r="H366" i="63"/>
  <c r="C367" i="63" s="1"/>
  <c r="B367" i="63" l="1"/>
  <c r="A366" i="63"/>
  <c r="Q366" i="63" s="1"/>
  <c r="E367" i="63" l="1"/>
  <c r="D367" i="63" l="1"/>
  <c r="G367" i="63"/>
  <c r="F367" i="63" l="1"/>
  <c r="H367" i="63"/>
  <c r="C368" i="63" s="1"/>
  <c r="B368" i="63" l="1"/>
  <c r="A367" i="63"/>
  <c r="Q367" i="63" s="1"/>
  <c r="E368" i="63" l="1"/>
  <c r="G368" i="63" l="1"/>
  <c r="D368" i="63"/>
  <c r="F368" i="63" l="1"/>
  <c r="H368" i="63"/>
  <c r="C369" i="63" s="1"/>
  <c r="B369" i="63" l="1"/>
  <c r="A368" i="63"/>
  <c r="Q368" i="63" s="1"/>
  <c r="E369" i="63" l="1"/>
  <c r="G369" i="63" l="1"/>
  <c r="D369" i="63"/>
  <c r="F369" i="63" l="1"/>
  <c r="H369" i="63"/>
  <c r="C370" i="63" s="1"/>
  <c r="B370" i="63" l="1"/>
  <c r="A369" i="63"/>
  <c r="Q369" i="63" s="1"/>
  <c r="E370" i="63" l="1"/>
  <c r="D370" i="63" l="1"/>
  <c r="G370" i="63"/>
  <c r="F370" i="63" l="1"/>
  <c r="H370" i="63"/>
  <c r="C371" i="63" s="1"/>
  <c r="B371" i="63" l="1"/>
  <c r="A370" i="63"/>
  <c r="Q370" i="63" s="1"/>
  <c r="E371" i="63" l="1"/>
  <c r="G371" i="63" l="1"/>
  <c r="D371" i="63"/>
  <c r="F371" i="63" l="1"/>
  <c r="H371" i="63"/>
  <c r="C372" i="63" s="1"/>
  <c r="B372" i="63" l="1"/>
  <c r="A371" i="63"/>
  <c r="Q371" i="63" s="1"/>
  <c r="E372" i="63" l="1"/>
  <c r="G372" i="63" l="1"/>
  <c r="D372" i="63"/>
  <c r="F372" i="63" l="1"/>
  <c r="H372" i="63"/>
  <c r="C373" i="63" s="1"/>
  <c r="B373" i="63" l="1"/>
  <c r="A372" i="63"/>
  <c r="Q372" i="63" s="1"/>
  <c r="E373" i="63" l="1"/>
  <c r="D373" i="63" l="1"/>
  <c r="G373" i="63"/>
  <c r="F373" i="63" l="1"/>
  <c r="H373" i="63"/>
  <c r="C374" i="63" s="1"/>
  <c r="B374" i="63" l="1"/>
  <c r="A373" i="63"/>
  <c r="Q373" i="63" s="1"/>
  <c r="E374" i="63" l="1"/>
  <c r="D374" i="63" l="1"/>
  <c r="G374" i="63"/>
  <c r="F374" i="63" l="1"/>
  <c r="H374" i="63"/>
  <c r="C375" i="63" l="1"/>
  <c r="B375" i="63"/>
  <c r="A374" i="63"/>
  <c r="Q374" i="63" s="1"/>
  <c r="E375" i="63" l="1"/>
  <c r="G375" i="63" l="1"/>
  <c r="D375" i="63"/>
  <c r="F375" i="63" l="1"/>
  <c r="H375" i="63"/>
  <c r="C376" i="63" s="1"/>
  <c r="B376" i="63" l="1"/>
  <c r="A375" i="63"/>
  <c r="Q375" i="63" s="1"/>
  <c r="E376" i="63" l="1"/>
  <c r="G376" i="63" l="1"/>
  <c r="D376" i="63"/>
  <c r="F376" i="63" l="1"/>
  <c r="H376" i="63"/>
  <c r="C377" i="63" s="1"/>
  <c r="B377" i="63" l="1"/>
  <c r="A376" i="63"/>
  <c r="Q376" i="63" s="1"/>
  <c r="E377" i="63" l="1"/>
  <c r="D377" i="63" l="1"/>
  <c r="G377" i="63"/>
  <c r="F377" i="63" l="1"/>
  <c r="H377" i="63"/>
  <c r="C378" i="63" s="1"/>
  <c r="B378" i="63" l="1"/>
  <c r="A377" i="63"/>
  <c r="Q377" i="63" s="1"/>
  <c r="E378" i="63" l="1"/>
  <c r="G378" i="63" l="1"/>
  <c r="D378" i="63"/>
  <c r="F378" i="63" l="1"/>
  <c r="H378" i="63"/>
  <c r="C379" i="63" s="1"/>
  <c r="B379" i="63" l="1"/>
  <c r="A378" i="63"/>
  <c r="Q378" i="63" s="1"/>
  <c r="E379" i="63" l="1"/>
  <c r="G379" i="63" l="1"/>
  <c r="D379" i="63"/>
  <c r="F379" i="63" l="1"/>
  <c r="H379" i="63"/>
  <c r="C380" i="63" s="1"/>
  <c r="B380" i="63" l="1"/>
  <c r="A379" i="63"/>
  <c r="Q379" i="63" s="1"/>
  <c r="E380" i="63" l="1"/>
  <c r="G380" i="63" l="1"/>
  <c r="D380" i="63"/>
  <c r="F380" i="63" l="1"/>
  <c r="H380" i="63"/>
  <c r="C381" i="63" s="1"/>
  <c r="B381" i="63" l="1"/>
  <c r="A380" i="63"/>
  <c r="Q380" i="63" s="1"/>
  <c r="E381" i="63" l="1"/>
  <c r="G381" i="63" l="1"/>
  <c r="D381" i="63"/>
  <c r="F381" i="63" l="1"/>
  <c r="H381" i="63"/>
  <c r="C382" i="63" s="1"/>
  <c r="B382" i="63" l="1"/>
  <c r="A381" i="63"/>
  <c r="Q381" i="63" s="1"/>
  <c r="E382" i="63" l="1"/>
  <c r="G382" i="63" l="1"/>
  <c r="D382" i="63"/>
  <c r="F382" i="63" l="1"/>
  <c r="H382" i="63"/>
  <c r="C383" i="63" s="1"/>
  <c r="B383" i="63" l="1"/>
  <c r="A382" i="63"/>
  <c r="Q382" i="63" s="1"/>
  <c r="E383" i="63" l="1"/>
  <c r="G383" i="63" l="1"/>
  <c r="D383" i="63"/>
  <c r="F383" i="63" l="1"/>
  <c r="H383" i="63"/>
  <c r="C384" i="63" s="1"/>
  <c r="B384" i="63" l="1"/>
  <c r="A383" i="63"/>
  <c r="Q383" i="63" s="1"/>
  <c r="E384" i="63" l="1"/>
  <c r="G384" i="63" l="1"/>
  <c r="D384" i="63"/>
  <c r="F384" i="63" l="1"/>
  <c r="H384" i="63"/>
  <c r="C385" i="63" s="1"/>
  <c r="B385" i="63" l="1"/>
  <c r="A384" i="63"/>
  <c r="Q384" i="63" s="1"/>
  <c r="E385" i="63" l="1"/>
  <c r="G385" i="63" l="1"/>
  <c r="D385" i="63"/>
  <c r="F385" i="63" l="1"/>
  <c r="H385" i="63"/>
  <c r="C386" i="63" s="1"/>
  <c r="B386" i="63" l="1"/>
  <c r="A385" i="63"/>
  <c r="Q385" i="63" s="1"/>
  <c r="E386" i="63" l="1"/>
  <c r="G386" i="63" l="1"/>
  <c r="D386" i="63"/>
  <c r="F386" i="63" l="1"/>
  <c r="H386" i="63"/>
  <c r="C387" i="63" s="1"/>
  <c r="B387" i="63" l="1"/>
  <c r="A386" i="63"/>
  <c r="Q386" i="63" s="1"/>
  <c r="E387" i="63" l="1"/>
  <c r="D387" i="63" l="1"/>
  <c r="G387" i="63"/>
  <c r="F387" i="63" l="1"/>
  <c r="H387" i="63"/>
  <c r="C388" i="63" s="1"/>
  <c r="B388" i="63" l="1"/>
  <c r="A387" i="63"/>
  <c r="Q387" i="63" s="1"/>
  <c r="E388" i="63" l="1"/>
  <c r="D388" i="63" l="1"/>
  <c r="G388" i="63"/>
  <c r="F388" i="63" l="1"/>
  <c r="H388" i="63"/>
  <c r="C389" i="63" s="1"/>
  <c r="B389" i="63" l="1"/>
  <c r="A388" i="63"/>
  <c r="Q388" i="63" s="1"/>
  <c r="E389" i="63" l="1"/>
  <c r="D389" i="63" l="1"/>
  <c r="G389" i="63"/>
  <c r="F389" i="63" l="1"/>
  <c r="H389" i="63"/>
  <c r="C390" i="63" s="1"/>
  <c r="B390" i="63" l="1"/>
  <c r="A389" i="63"/>
  <c r="Q389" i="63" s="1"/>
  <c r="E390" i="63" l="1"/>
  <c r="G390" i="63" l="1"/>
  <c r="D390" i="63"/>
  <c r="F390" i="63" l="1"/>
  <c r="H390" i="63"/>
  <c r="C391" i="63" s="1"/>
  <c r="B391" i="63" l="1"/>
  <c r="A390" i="63"/>
  <c r="Q390" i="63" s="1"/>
  <c r="E391" i="63" l="1"/>
  <c r="G391" i="63" l="1"/>
  <c r="D391" i="63"/>
  <c r="F391" i="63" l="1"/>
  <c r="H391" i="63"/>
  <c r="C392" i="63" s="1"/>
  <c r="B392" i="63" l="1"/>
  <c r="A391" i="63"/>
  <c r="Q391" i="63" s="1"/>
  <c r="E392" i="63" l="1"/>
  <c r="D392" i="63" l="1"/>
  <c r="G392" i="63"/>
  <c r="F392" i="63" l="1"/>
  <c r="H392" i="63"/>
  <c r="C393" i="63" s="1"/>
  <c r="B393" i="63" l="1"/>
  <c r="A392" i="63"/>
  <c r="Q392" i="63" s="1"/>
  <c r="E393" i="63" l="1"/>
  <c r="D393" i="63" l="1"/>
  <c r="G393" i="63"/>
  <c r="F393" i="63" l="1"/>
  <c r="H393" i="63"/>
  <c r="C394" i="63" s="1"/>
  <c r="B394" i="63" l="1"/>
  <c r="A393" i="63"/>
  <c r="Q393" i="63" s="1"/>
  <c r="E394" i="63" l="1"/>
  <c r="D394" i="63" l="1"/>
  <c r="G394" i="63"/>
  <c r="F394" i="63" l="1"/>
  <c r="H394" i="63"/>
  <c r="C395" i="63" s="1"/>
  <c r="B395" i="63" l="1"/>
  <c r="A394" i="63"/>
  <c r="Q394" i="63" s="1"/>
  <c r="E395" i="63" l="1"/>
  <c r="G395" i="63" l="1"/>
  <c r="D395" i="63"/>
  <c r="F395" i="63" l="1"/>
  <c r="H395" i="63"/>
  <c r="C396" i="63" s="1"/>
  <c r="B396" i="63" l="1"/>
  <c r="A395" i="63"/>
  <c r="Q395" i="63" s="1"/>
  <c r="E396" i="63" l="1"/>
  <c r="G396" i="63" l="1"/>
  <c r="D396" i="63"/>
  <c r="F396" i="63" l="1"/>
  <c r="H396" i="63"/>
  <c r="C397" i="63" s="1"/>
  <c r="B397" i="63" l="1"/>
  <c r="A396" i="63"/>
  <c r="Q396" i="63" s="1"/>
  <c r="E397" i="63" l="1"/>
  <c r="G397" i="63" l="1"/>
  <c r="D397" i="63"/>
  <c r="F397" i="63" l="1"/>
  <c r="H397" i="63"/>
  <c r="C398" i="63" s="1"/>
  <c r="B398" i="63" l="1"/>
  <c r="A397" i="63"/>
  <c r="Q397" i="63" s="1"/>
  <c r="E398" i="63" l="1"/>
  <c r="G398" i="63" l="1"/>
  <c r="D398" i="63"/>
  <c r="F398" i="63" l="1"/>
  <c r="H398" i="63"/>
  <c r="C399" i="63" s="1"/>
  <c r="B399" i="63" l="1"/>
  <c r="A398" i="63"/>
  <c r="Q398" i="63" s="1"/>
  <c r="E399" i="63" l="1"/>
  <c r="G399" i="63" l="1"/>
  <c r="D399" i="63"/>
  <c r="F399" i="63" l="1"/>
  <c r="H399" i="63"/>
  <c r="C400" i="63" s="1"/>
  <c r="B400" i="63" l="1"/>
  <c r="A399" i="63"/>
  <c r="Q399" i="63" s="1"/>
  <c r="E400" i="63" l="1"/>
  <c r="D400" i="63" l="1"/>
  <c r="G400" i="63"/>
  <c r="F400" i="63" l="1"/>
  <c r="H400" i="63"/>
  <c r="C401" i="63" s="1"/>
  <c r="B401" i="63" l="1"/>
  <c r="A400" i="63"/>
  <c r="Q400" i="63" s="1"/>
  <c r="E401" i="63" l="1"/>
  <c r="G401" i="63" l="1"/>
  <c r="D401" i="63"/>
  <c r="F401" i="63" l="1"/>
  <c r="H401" i="63"/>
  <c r="C402" i="63" s="1"/>
  <c r="B402" i="63" l="1"/>
  <c r="A401" i="63"/>
  <c r="Q401" i="63" s="1"/>
  <c r="E402" i="63" l="1"/>
  <c r="G402" i="63" l="1"/>
  <c r="D402" i="63"/>
  <c r="F402" i="63" l="1"/>
  <c r="H402" i="63"/>
  <c r="C403" i="63" s="1"/>
  <c r="B403" i="63" l="1"/>
  <c r="A402" i="63"/>
  <c r="Q402" i="63" s="1"/>
  <c r="E403" i="63" l="1"/>
  <c r="G403" i="63" l="1"/>
  <c r="D403" i="63"/>
  <c r="F403" i="63" l="1"/>
  <c r="H403" i="63"/>
  <c r="C404" i="63" s="1"/>
  <c r="B404" i="63" l="1"/>
  <c r="A403" i="63"/>
  <c r="Q403" i="63" s="1"/>
  <c r="E404" i="63" l="1"/>
  <c r="G404" i="63" l="1"/>
  <c r="D404" i="63"/>
  <c r="F404" i="63" l="1"/>
  <c r="H404" i="63"/>
  <c r="C405" i="63" s="1"/>
  <c r="B405" i="63" l="1"/>
  <c r="A404" i="63"/>
  <c r="Q404" i="63" s="1"/>
  <c r="E405" i="63" l="1"/>
  <c r="G405" i="63" l="1"/>
  <c r="D405" i="63"/>
  <c r="F405" i="63" l="1"/>
  <c r="H405" i="63"/>
  <c r="C406" i="63" s="1"/>
  <c r="B406" i="63" l="1"/>
  <c r="A405" i="63"/>
  <c r="Q405" i="63" s="1"/>
  <c r="E406" i="63" l="1"/>
  <c r="G406" i="63" l="1"/>
  <c r="D406" i="63"/>
  <c r="F406" i="63" l="1"/>
  <c r="H406" i="63"/>
  <c r="C407" i="63" s="1"/>
  <c r="B407" i="63" l="1"/>
  <c r="A406" i="63"/>
  <c r="Q406" i="63" s="1"/>
  <c r="E407" i="63" l="1"/>
  <c r="G407" i="63" l="1"/>
  <c r="D407" i="63"/>
  <c r="F407" i="63" l="1"/>
  <c r="H407" i="63"/>
  <c r="C408" i="63" s="1"/>
  <c r="B408" i="63" l="1"/>
  <c r="A407" i="63"/>
  <c r="Q407" i="63" s="1"/>
  <c r="E408" i="63" l="1"/>
  <c r="D408" i="63" l="1"/>
  <c r="G408" i="63"/>
  <c r="F408" i="63" l="1"/>
  <c r="H408" i="63"/>
  <c r="C409" i="63" s="1"/>
  <c r="B409" i="63" l="1"/>
  <c r="A408" i="63"/>
  <c r="Q408" i="63" s="1"/>
  <c r="E409" i="63" l="1"/>
  <c r="G409" i="63" l="1"/>
  <c r="D409" i="63"/>
  <c r="F409" i="63" l="1"/>
  <c r="H409" i="63"/>
  <c r="C410" i="63" s="1"/>
  <c r="B410" i="63" l="1"/>
  <c r="A409" i="63"/>
  <c r="Q409" i="63" s="1"/>
  <c r="E410" i="63" l="1"/>
  <c r="G410" i="63" l="1"/>
  <c r="D410" i="63"/>
  <c r="F410" i="63" l="1"/>
  <c r="H410" i="63"/>
  <c r="C411" i="63" s="1"/>
  <c r="B411" i="63" l="1"/>
  <c r="A410" i="63"/>
  <c r="Q410" i="63" s="1"/>
  <c r="E411" i="63" l="1"/>
  <c r="G411" i="63" l="1"/>
  <c r="D411" i="63"/>
  <c r="F411" i="63" l="1"/>
  <c r="H411" i="63"/>
  <c r="C412" i="63" s="1"/>
  <c r="B412" i="63" l="1"/>
  <c r="A411" i="63"/>
  <c r="Q411" i="63" s="1"/>
  <c r="E412" i="63" l="1"/>
  <c r="D412" i="63" l="1"/>
  <c r="G412" i="63"/>
  <c r="F412" i="63" l="1"/>
  <c r="H412" i="63"/>
  <c r="C413" i="63" s="1"/>
  <c r="B413" i="63" l="1"/>
  <c r="A412" i="63"/>
  <c r="Q412" i="63" s="1"/>
  <c r="E413" i="63" l="1"/>
  <c r="G413" i="63" l="1"/>
  <c r="D413" i="63"/>
  <c r="F413" i="63" l="1"/>
  <c r="H413" i="63"/>
  <c r="C414" i="63" s="1"/>
  <c r="B414" i="63" l="1"/>
  <c r="A413" i="63"/>
  <c r="Q413" i="63" s="1"/>
  <c r="E414" i="63" l="1"/>
  <c r="D414" i="63" l="1"/>
  <c r="G414" i="63"/>
  <c r="F414" i="63" l="1"/>
  <c r="H414" i="63"/>
  <c r="C415" i="63" s="1"/>
  <c r="B415" i="63" l="1"/>
  <c r="A414" i="63"/>
  <c r="Q414" i="63" s="1"/>
  <c r="E415" i="63" l="1"/>
  <c r="G415" i="63" l="1"/>
  <c r="D415" i="63"/>
  <c r="F415" i="63" l="1"/>
  <c r="H415" i="63"/>
  <c r="C416" i="63" s="1"/>
  <c r="B416" i="63" l="1"/>
  <c r="A415" i="63"/>
  <c r="Q415" i="63" s="1"/>
  <c r="E416" i="63" l="1"/>
  <c r="G416" i="63" l="1"/>
  <c r="D416" i="63"/>
  <c r="F416" i="63" l="1"/>
  <c r="H416" i="63"/>
  <c r="C417" i="63" s="1"/>
  <c r="B417" i="63" l="1"/>
  <c r="A416" i="63"/>
  <c r="Q416" i="63" s="1"/>
  <c r="E417" i="63" l="1"/>
  <c r="D417" i="63" l="1"/>
  <c r="G417" i="63"/>
  <c r="F417" i="63" l="1"/>
  <c r="H417" i="63"/>
  <c r="C418" i="63" s="1"/>
  <c r="B418" i="63" l="1"/>
  <c r="A417" i="63"/>
  <c r="Q417" i="63" s="1"/>
  <c r="E418" i="63" l="1"/>
  <c r="G418" i="63" l="1"/>
  <c r="D418" i="63"/>
  <c r="F418" i="63" l="1"/>
  <c r="H418" i="63"/>
  <c r="C419" i="63" s="1"/>
  <c r="B419" i="63" l="1"/>
  <c r="A418" i="63"/>
  <c r="Q418" i="63" s="1"/>
  <c r="E419" i="63" l="1"/>
  <c r="D419" i="63" l="1"/>
  <c r="G419" i="63"/>
  <c r="F419" i="63" l="1"/>
  <c r="H419" i="63"/>
  <c r="C420" i="63" s="1"/>
  <c r="B420" i="63" l="1"/>
  <c r="A419" i="63"/>
  <c r="Q419" i="63" s="1"/>
  <c r="E420" i="63" l="1"/>
  <c r="G420" i="63" l="1"/>
  <c r="D420" i="63"/>
  <c r="F420" i="63" l="1"/>
  <c r="H420" i="63"/>
  <c r="C421" i="63" s="1"/>
  <c r="B421" i="63" l="1"/>
  <c r="A420" i="63"/>
  <c r="Q420" i="63" s="1"/>
  <c r="E421" i="63" l="1"/>
  <c r="G421" i="63" l="1"/>
  <c r="D421" i="63"/>
  <c r="F421" i="63" l="1"/>
  <c r="H421" i="63"/>
  <c r="C422" i="63" s="1"/>
  <c r="B422" i="63" l="1"/>
  <c r="A421" i="63"/>
  <c r="Q421" i="63" s="1"/>
  <c r="E422" i="63" l="1"/>
  <c r="G422" i="63" l="1"/>
  <c r="D422" i="63"/>
  <c r="F422" i="63" l="1"/>
  <c r="H422" i="63"/>
  <c r="C423" i="63" s="1"/>
  <c r="B423" i="63" l="1"/>
  <c r="A422" i="63"/>
  <c r="Q422" i="63" s="1"/>
  <c r="E423" i="63" l="1"/>
  <c r="G423" i="63" l="1"/>
  <c r="D423" i="63"/>
  <c r="F423" i="63" l="1"/>
  <c r="H423" i="63"/>
  <c r="C424" i="63" s="1"/>
  <c r="B424" i="63" l="1"/>
  <c r="A423" i="63"/>
  <c r="Q423" i="63" s="1"/>
  <c r="E424" i="63" l="1"/>
  <c r="G424" i="63" l="1"/>
  <c r="D424" i="63"/>
  <c r="F424" i="63" l="1"/>
  <c r="H424" i="63"/>
  <c r="C425" i="63" s="1"/>
  <c r="B425" i="63" l="1"/>
  <c r="A424" i="63"/>
  <c r="Q424" i="63" s="1"/>
  <c r="E425" i="63" l="1"/>
  <c r="D425" i="63" l="1"/>
  <c r="G425" i="63"/>
  <c r="F425" i="63" l="1"/>
  <c r="H425" i="63"/>
  <c r="C426" i="63" s="1"/>
  <c r="B426" i="63" l="1"/>
  <c r="A425" i="63"/>
  <c r="Q425" i="63" s="1"/>
  <c r="E426" i="63" l="1"/>
  <c r="G426" i="63" l="1"/>
  <c r="D426" i="63"/>
  <c r="F426" i="63" l="1"/>
  <c r="H426" i="63"/>
  <c r="C427" i="63" s="1"/>
  <c r="B427" i="63" l="1"/>
  <c r="A426" i="63"/>
  <c r="Q426" i="63" s="1"/>
  <c r="E427" i="63" l="1"/>
  <c r="G427" i="63" l="1"/>
  <c r="D427" i="63"/>
  <c r="F427" i="63" l="1"/>
  <c r="H427" i="63"/>
  <c r="C428" i="63" s="1"/>
  <c r="B428" i="63" l="1"/>
  <c r="A427" i="63"/>
  <c r="Q427" i="63" s="1"/>
  <c r="E428" i="63" l="1"/>
  <c r="G428" i="63" l="1"/>
  <c r="D428" i="63"/>
  <c r="F428" i="63" l="1"/>
  <c r="H428" i="63"/>
  <c r="C429" i="63" s="1"/>
  <c r="B429" i="63" l="1"/>
  <c r="A428" i="63"/>
  <c r="Q428" i="63" s="1"/>
  <c r="E429" i="63" l="1"/>
  <c r="D429" i="63" l="1"/>
  <c r="G429" i="63"/>
  <c r="F429" i="63" l="1"/>
  <c r="H429" i="63"/>
  <c r="C430" i="63" s="1"/>
  <c r="B430" i="63" l="1"/>
  <c r="A429" i="63"/>
  <c r="Q429" i="63" s="1"/>
  <c r="E430" i="63" l="1"/>
  <c r="D430" i="63" l="1"/>
  <c r="G430" i="63"/>
  <c r="F430" i="63" l="1"/>
  <c r="H430" i="63"/>
  <c r="C431" i="63" s="1"/>
  <c r="B431" i="63" l="1"/>
  <c r="A430" i="63"/>
  <c r="Q430" i="63" s="1"/>
  <c r="E431" i="63" l="1"/>
  <c r="G431" i="63" l="1"/>
  <c r="D431" i="63"/>
  <c r="F431" i="63" l="1"/>
  <c r="H431" i="63"/>
  <c r="C432" i="63" s="1"/>
  <c r="B432" i="63" l="1"/>
  <c r="A431" i="63"/>
  <c r="Q431" i="63" s="1"/>
  <c r="E432" i="63" l="1"/>
  <c r="G432" i="63" l="1"/>
  <c r="D432" i="63"/>
  <c r="F432" i="63" l="1"/>
  <c r="H432" i="63"/>
  <c r="C433" i="63" s="1"/>
  <c r="B433" i="63" l="1"/>
  <c r="A432" i="63"/>
  <c r="Q432" i="63" s="1"/>
  <c r="E433" i="63" l="1"/>
  <c r="D433" i="63" l="1"/>
  <c r="G433" i="63"/>
  <c r="F433" i="63" l="1"/>
  <c r="H433" i="63"/>
  <c r="C434" i="63" s="1"/>
  <c r="B434" i="63" l="1"/>
  <c r="A433" i="63"/>
  <c r="Q433" i="63" s="1"/>
  <c r="E434" i="63" l="1"/>
  <c r="G434" i="63" l="1"/>
  <c r="D434" i="63"/>
  <c r="F434" i="63" l="1"/>
  <c r="H434" i="63"/>
  <c r="C435" i="63" s="1"/>
  <c r="B435" i="63" l="1"/>
  <c r="A434" i="63"/>
  <c r="Q434" i="63" s="1"/>
  <c r="E435" i="63" l="1"/>
  <c r="D435" i="63" l="1"/>
  <c r="G435" i="63"/>
  <c r="F435" i="63" l="1"/>
  <c r="H435" i="63"/>
  <c r="C436" i="63" s="1"/>
  <c r="B436" i="63" l="1"/>
  <c r="A435" i="63"/>
  <c r="Q435" i="63" s="1"/>
  <c r="E436" i="63" l="1"/>
  <c r="G436" i="63" l="1"/>
  <c r="D436" i="63"/>
  <c r="F436" i="63" l="1"/>
  <c r="H436" i="63"/>
  <c r="C437" i="63" s="1"/>
  <c r="B437" i="63" l="1"/>
  <c r="A436" i="63"/>
  <c r="Q436" i="63" s="1"/>
  <c r="E437" i="63" l="1"/>
  <c r="D437" i="63" l="1"/>
  <c r="G437" i="63"/>
  <c r="F437" i="63" l="1"/>
  <c r="H437" i="63"/>
  <c r="C438" i="63" s="1"/>
  <c r="B438" i="63" l="1"/>
  <c r="A437" i="63"/>
  <c r="Q437" i="63" s="1"/>
  <c r="E438" i="63" l="1"/>
  <c r="D438" i="63" l="1"/>
  <c r="G438" i="63"/>
  <c r="F438" i="63" l="1"/>
  <c r="H438" i="63"/>
  <c r="C439" i="63" s="1"/>
  <c r="B439" i="63" l="1"/>
  <c r="A438" i="63"/>
  <c r="Q438" i="63" s="1"/>
  <c r="E439" i="63" l="1"/>
  <c r="G439" i="63" l="1"/>
  <c r="D439" i="63"/>
  <c r="F439" i="63" l="1"/>
  <c r="H439" i="63"/>
  <c r="C440" i="63" s="1"/>
  <c r="B440" i="63" l="1"/>
  <c r="A439" i="63"/>
  <c r="Q439" i="63" s="1"/>
  <c r="E440" i="63" l="1"/>
  <c r="G440" i="63" l="1"/>
  <c r="D440" i="63"/>
  <c r="F440" i="63" l="1"/>
  <c r="H440" i="63"/>
  <c r="C441" i="63" s="1"/>
  <c r="B441" i="63" l="1"/>
  <c r="A440" i="63"/>
  <c r="Q440" i="63" s="1"/>
  <c r="E441" i="63" l="1"/>
  <c r="D441" i="63" l="1"/>
  <c r="G441" i="63"/>
  <c r="F441" i="63" l="1"/>
  <c r="H441" i="63"/>
  <c r="C442" i="63" s="1"/>
  <c r="B442" i="63" l="1"/>
  <c r="A441" i="63"/>
  <c r="Q441" i="63" s="1"/>
  <c r="E442" i="63" l="1"/>
  <c r="G442" i="63" l="1"/>
  <c r="D442" i="63"/>
  <c r="F442" i="63" l="1"/>
  <c r="H442" i="63"/>
  <c r="C443" i="63" s="1"/>
  <c r="B443" i="63" l="1"/>
  <c r="A442" i="63"/>
  <c r="Q442" i="63" s="1"/>
  <c r="E443" i="63" l="1"/>
  <c r="D443" i="63" l="1"/>
  <c r="G443" i="63"/>
  <c r="F443" i="63" l="1"/>
  <c r="H443" i="63"/>
  <c r="C444" i="63" s="1"/>
  <c r="B444" i="63" l="1"/>
  <c r="A443" i="63"/>
  <c r="Q443" i="63" s="1"/>
  <c r="E444" i="63" l="1"/>
  <c r="G444" i="63" l="1"/>
  <c r="D444" i="63"/>
  <c r="F444" i="63" l="1"/>
  <c r="H444" i="63"/>
  <c r="C445" i="63" s="1"/>
  <c r="B445" i="63" l="1"/>
  <c r="A444" i="63"/>
  <c r="Q444" i="63" s="1"/>
  <c r="E445" i="63" l="1"/>
  <c r="G445" i="63" l="1"/>
  <c r="D445" i="63"/>
  <c r="F445" i="63" l="1"/>
  <c r="H445" i="63"/>
  <c r="C446" i="63" s="1"/>
  <c r="B446" i="63" l="1"/>
  <c r="A445" i="63"/>
  <c r="Q445" i="63" s="1"/>
  <c r="E446" i="63" l="1"/>
  <c r="G446" i="63" l="1"/>
  <c r="D446" i="63"/>
  <c r="F446" i="63" l="1"/>
  <c r="H446" i="63"/>
  <c r="C447" i="63" s="1"/>
  <c r="B447" i="63" l="1"/>
  <c r="A446" i="63"/>
  <c r="Q446" i="63" s="1"/>
  <c r="E447" i="63" l="1"/>
  <c r="D447" i="63" l="1"/>
  <c r="G447" i="63"/>
  <c r="F447" i="63" l="1"/>
  <c r="H447" i="63"/>
  <c r="C448" i="63" s="1"/>
  <c r="B448" i="63" l="1"/>
  <c r="A447" i="63"/>
  <c r="Q447" i="63" s="1"/>
  <c r="E448" i="63" l="1"/>
  <c r="D448" i="63" l="1"/>
  <c r="G448" i="63"/>
  <c r="F448" i="63" l="1"/>
  <c r="H448" i="63"/>
  <c r="C449" i="63" s="1"/>
  <c r="B449" i="63" l="1"/>
  <c r="A448" i="63"/>
  <c r="Q448" i="63" s="1"/>
  <c r="E449" i="63" l="1"/>
  <c r="G449" i="63" l="1"/>
  <c r="D449" i="63"/>
  <c r="F449" i="63" l="1"/>
  <c r="H449" i="63"/>
  <c r="C450" i="63" s="1"/>
  <c r="B450" i="63" l="1"/>
  <c r="A449" i="63"/>
  <c r="Q449" i="63" s="1"/>
  <c r="E450" i="63" l="1"/>
  <c r="G450" i="63" l="1"/>
  <c r="D450" i="63"/>
  <c r="F450" i="63" l="1"/>
  <c r="H450" i="63"/>
  <c r="C451" i="63" s="1"/>
  <c r="B451" i="63" l="1"/>
  <c r="A450" i="63"/>
  <c r="Q450" i="63" s="1"/>
  <c r="E451" i="63" l="1"/>
  <c r="D451" i="63" l="1"/>
  <c r="G451" i="63"/>
  <c r="F451" i="63" l="1"/>
  <c r="H451" i="63"/>
  <c r="C452" i="63" s="1"/>
  <c r="B452" i="63" l="1"/>
  <c r="A451" i="63"/>
  <c r="Q451" i="63" s="1"/>
  <c r="E452" i="63" l="1"/>
  <c r="G452" i="63" l="1"/>
  <c r="D452" i="63"/>
  <c r="F452" i="63" l="1"/>
  <c r="H452" i="63"/>
  <c r="C453" i="63" s="1"/>
  <c r="B453" i="63" l="1"/>
  <c r="A452" i="63"/>
  <c r="Q452" i="63" s="1"/>
  <c r="E453" i="63" l="1"/>
  <c r="D453" i="63" l="1"/>
  <c r="G453" i="63"/>
  <c r="F453" i="63" l="1"/>
  <c r="H453" i="63"/>
  <c r="C454" i="63" s="1"/>
  <c r="B454" i="63" l="1"/>
  <c r="A453" i="63"/>
  <c r="Q453" i="63" s="1"/>
  <c r="E454" i="63" l="1"/>
  <c r="G454" i="63" l="1"/>
  <c r="D454" i="63"/>
  <c r="F454" i="63" l="1"/>
  <c r="H454" i="63"/>
  <c r="C455" i="63" s="1"/>
  <c r="B455" i="63" l="1"/>
  <c r="A454" i="63"/>
  <c r="Q454" i="63" s="1"/>
  <c r="E455" i="63" l="1"/>
  <c r="D455" i="63" l="1"/>
  <c r="G455" i="63"/>
  <c r="F455" i="63" l="1"/>
  <c r="H455" i="63"/>
  <c r="C456" i="63" s="1"/>
  <c r="B456" i="63" l="1"/>
  <c r="A455" i="63"/>
  <c r="Q455" i="63" s="1"/>
  <c r="E456" i="63" l="1"/>
  <c r="G456" i="63" l="1"/>
  <c r="D456" i="63"/>
  <c r="F456" i="63" l="1"/>
  <c r="H456" i="63"/>
  <c r="C457" i="63" s="1"/>
  <c r="B457" i="63" l="1"/>
  <c r="A456" i="63"/>
  <c r="Q456" i="63" s="1"/>
  <c r="E457" i="63" l="1"/>
  <c r="G457" i="63" l="1"/>
  <c r="D457" i="63"/>
  <c r="F457" i="63" l="1"/>
  <c r="H457" i="63"/>
  <c r="C458" i="63" s="1"/>
  <c r="B458" i="63" l="1"/>
  <c r="A457" i="63"/>
  <c r="Q457" i="63" s="1"/>
  <c r="E458" i="63" l="1"/>
  <c r="G458" i="63" l="1"/>
  <c r="D458" i="63"/>
  <c r="F458" i="63" l="1"/>
  <c r="H458" i="63"/>
  <c r="C459" i="63" s="1"/>
  <c r="B459" i="63" l="1"/>
  <c r="A458" i="63"/>
  <c r="Q458" i="63" s="1"/>
  <c r="E459" i="63" l="1"/>
  <c r="G459" i="63" l="1"/>
  <c r="D459" i="63"/>
  <c r="F459" i="63" l="1"/>
  <c r="H459" i="63"/>
  <c r="C460" i="63" s="1"/>
  <c r="B460" i="63" l="1"/>
  <c r="A459" i="63"/>
  <c r="Q459" i="63" s="1"/>
  <c r="E460" i="63" l="1"/>
  <c r="G460" i="63" l="1"/>
  <c r="D460" i="63"/>
  <c r="F460" i="63" l="1"/>
  <c r="H460" i="63"/>
  <c r="C461" i="63" s="1"/>
  <c r="B461" i="63" l="1"/>
  <c r="A460" i="63"/>
  <c r="Q460" i="63" s="1"/>
  <c r="E461" i="63" l="1"/>
  <c r="G461" i="63" l="1"/>
  <c r="D461" i="63"/>
  <c r="F461" i="63" l="1"/>
  <c r="H461" i="63"/>
  <c r="C462" i="63" s="1"/>
  <c r="B462" i="63" l="1"/>
  <c r="A461" i="63"/>
  <c r="Q461" i="63" s="1"/>
  <c r="E462" i="63" l="1"/>
  <c r="G462" i="63" l="1"/>
  <c r="D462" i="63"/>
  <c r="F462" i="63" l="1"/>
  <c r="H462" i="63"/>
  <c r="C463" i="63" s="1"/>
  <c r="B463" i="63" l="1"/>
  <c r="A462" i="63"/>
  <c r="Q462" i="63" s="1"/>
  <c r="E463" i="63" l="1"/>
  <c r="G463" i="63" l="1"/>
  <c r="D463" i="63"/>
  <c r="F463" i="63" l="1"/>
  <c r="H463" i="63"/>
  <c r="C464" i="63" s="1"/>
  <c r="B464" i="63" l="1"/>
  <c r="A463" i="63"/>
  <c r="Q463" i="63" s="1"/>
  <c r="E464" i="63" l="1"/>
  <c r="G464" i="63" l="1"/>
  <c r="D464" i="63"/>
  <c r="F464" i="63" l="1"/>
  <c r="H464" i="63"/>
  <c r="C465" i="63" s="1"/>
  <c r="B465" i="63" l="1"/>
  <c r="A464" i="63"/>
  <c r="Q464" i="63" s="1"/>
  <c r="E465" i="63" l="1"/>
  <c r="D465" i="63" l="1"/>
  <c r="G465" i="63"/>
  <c r="F465" i="63" l="1"/>
  <c r="H465" i="63"/>
  <c r="C466" i="63" s="1"/>
  <c r="B466" i="63" l="1"/>
  <c r="A465" i="63"/>
  <c r="Q465" i="63" s="1"/>
  <c r="E466" i="63" l="1"/>
  <c r="G466" i="63" l="1"/>
  <c r="D466" i="63"/>
  <c r="F466" i="63" l="1"/>
  <c r="H466" i="63"/>
  <c r="C467" i="63" s="1"/>
  <c r="B467" i="63" l="1"/>
  <c r="A466" i="63"/>
  <c r="Q466" i="63" s="1"/>
  <c r="E467" i="63" l="1"/>
  <c r="G467" i="63" l="1"/>
  <c r="D467" i="63"/>
  <c r="F467" i="63" l="1"/>
  <c r="H467" i="63"/>
  <c r="C468" i="63" s="1"/>
  <c r="B468" i="63" l="1"/>
  <c r="A467" i="63"/>
  <c r="Q467" i="63" s="1"/>
  <c r="E468" i="63" l="1"/>
  <c r="G468" i="63" l="1"/>
  <c r="D468" i="63"/>
  <c r="F468" i="63" l="1"/>
  <c r="H468" i="63"/>
  <c r="C469" i="63" s="1"/>
  <c r="B469" i="63" l="1"/>
  <c r="A468" i="63"/>
  <c r="Q468" i="63" s="1"/>
  <c r="E469" i="63" l="1"/>
  <c r="G469" i="63" l="1"/>
  <c r="D469" i="63"/>
  <c r="F469" i="63" l="1"/>
  <c r="H469" i="63"/>
  <c r="C470" i="63" s="1"/>
  <c r="B470" i="63" l="1"/>
  <c r="A469" i="63"/>
  <c r="Q469" i="63" s="1"/>
  <c r="E470" i="63" l="1"/>
  <c r="G470" i="63" l="1"/>
  <c r="D470" i="63"/>
  <c r="F470" i="63" l="1"/>
  <c r="H470" i="63"/>
  <c r="C471" i="63" s="1"/>
  <c r="B471" i="63" l="1"/>
  <c r="A470" i="63"/>
  <c r="Q470" i="63" s="1"/>
  <c r="E471" i="63" l="1"/>
  <c r="G471" i="63" l="1"/>
  <c r="D471" i="63"/>
  <c r="F471" i="63" l="1"/>
  <c r="H471" i="63"/>
  <c r="C472" i="63" s="1"/>
  <c r="B472" i="63" l="1"/>
  <c r="A471" i="63"/>
  <c r="Q471" i="63" s="1"/>
  <c r="E472" i="63" l="1"/>
  <c r="D472" i="63" l="1"/>
  <c r="G472" i="63"/>
  <c r="F472" i="63" l="1"/>
  <c r="H472" i="63"/>
  <c r="C473" i="63" s="1"/>
  <c r="B473" i="63" l="1"/>
  <c r="A472" i="63"/>
  <c r="Q472" i="63" s="1"/>
  <c r="E473" i="63" l="1"/>
  <c r="G473" i="63" l="1"/>
  <c r="D473" i="63"/>
  <c r="F473" i="63" l="1"/>
  <c r="H473" i="63"/>
  <c r="C474" i="63" s="1"/>
  <c r="B474" i="63" l="1"/>
  <c r="A473" i="63"/>
  <c r="Q473" i="63" s="1"/>
  <c r="E474" i="63" l="1"/>
  <c r="G474" i="63" l="1"/>
  <c r="D474" i="63"/>
  <c r="F474" i="63" l="1"/>
  <c r="H474" i="63"/>
  <c r="C475" i="63" s="1"/>
  <c r="B475" i="63" l="1"/>
  <c r="A474" i="63"/>
  <c r="Q474" i="63" s="1"/>
  <c r="E475" i="63" l="1"/>
  <c r="G475" i="63" l="1"/>
  <c r="D475" i="63"/>
  <c r="F475" i="63" l="1"/>
  <c r="H475" i="63"/>
  <c r="C476" i="63" s="1"/>
  <c r="B476" i="63" l="1"/>
  <c r="A475" i="63"/>
  <c r="Q475" i="63" s="1"/>
  <c r="E476" i="63" l="1"/>
  <c r="G476" i="63" l="1"/>
  <c r="D476" i="63"/>
  <c r="F476" i="63" l="1"/>
  <c r="H476" i="63"/>
  <c r="C477" i="63" s="1"/>
  <c r="B477" i="63" l="1"/>
  <c r="A476" i="63"/>
  <c r="Q476" i="63" s="1"/>
  <c r="E477" i="63" l="1"/>
  <c r="G477" i="63" l="1"/>
  <c r="D477" i="63"/>
  <c r="F477" i="63" l="1"/>
  <c r="H477" i="63"/>
  <c r="C478" i="63" s="1"/>
  <c r="B478" i="63" l="1"/>
  <c r="A477" i="63"/>
  <c r="Q477" i="63" s="1"/>
  <c r="E478" i="63" l="1"/>
  <c r="G478" i="63" l="1"/>
  <c r="D478" i="63"/>
  <c r="F478" i="63" l="1"/>
  <c r="H478" i="63"/>
  <c r="C479" i="63" s="1"/>
  <c r="B479" i="63" l="1"/>
  <c r="A478" i="63"/>
  <c r="Q478" i="63" s="1"/>
  <c r="E479" i="63" l="1"/>
  <c r="G479" i="63" l="1"/>
  <c r="D479" i="63"/>
  <c r="F479" i="63" l="1"/>
  <c r="H479" i="63"/>
  <c r="C480" i="63" s="1"/>
  <c r="B480" i="63" l="1"/>
  <c r="A479" i="63"/>
  <c r="Q479" i="63" s="1"/>
  <c r="E480" i="63" l="1"/>
  <c r="G480" i="63" l="1"/>
  <c r="D480" i="63"/>
  <c r="F480" i="63" l="1"/>
  <c r="H480" i="63"/>
  <c r="C481" i="63" s="1"/>
  <c r="B481" i="63" l="1"/>
  <c r="A480" i="63"/>
  <c r="Q480" i="63" s="1"/>
  <c r="E481" i="63" l="1"/>
  <c r="G481" i="63" l="1"/>
  <c r="D481" i="63"/>
  <c r="F481" i="63" l="1"/>
  <c r="H481" i="63"/>
  <c r="C482" i="63" s="1"/>
  <c r="B482" i="63" l="1"/>
  <c r="A481" i="63"/>
  <c r="Q481" i="63" s="1"/>
  <c r="E482" i="63" l="1"/>
  <c r="G482" i="63" l="1"/>
  <c r="D482" i="63"/>
  <c r="F482" i="63" l="1"/>
  <c r="H482" i="63"/>
  <c r="C483" i="63" s="1"/>
  <c r="B483" i="63" l="1"/>
  <c r="A482" i="63"/>
  <c r="Q482" i="63" s="1"/>
  <c r="E483" i="63" l="1"/>
  <c r="D483" i="63" l="1"/>
  <c r="G483" i="63"/>
  <c r="F483" i="63" l="1"/>
  <c r="H483" i="63"/>
  <c r="C484" i="63" s="1"/>
  <c r="B484" i="63" l="1"/>
  <c r="A483" i="63"/>
  <c r="Q483" i="63" s="1"/>
  <c r="E484" i="63" l="1"/>
  <c r="G484" i="63" l="1"/>
  <c r="D484" i="63"/>
  <c r="F484" i="63" l="1"/>
  <c r="H484" i="63"/>
  <c r="C485" i="63" s="1"/>
  <c r="B485" i="63" l="1"/>
  <c r="A484" i="63"/>
  <c r="Q484" i="63" s="1"/>
  <c r="E485" i="63" l="1"/>
  <c r="G485" i="63" l="1"/>
  <c r="D485" i="63"/>
  <c r="F485" i="63" l="1"/>
  <c r="H485" i="63"/>
  <c r="C486" i="63" s="1"/>
  <c r="B486" i="63" l="1"/>
  <c r="A485" i="63"/>
  <c r="Q485" i="63" s="1"/>
  <c r="E486" i="63" l="1"/>
  <c r="G486" i="63" l="1"/>
  <c r="D486" i="63"/>
  <c r="F486" i="63" l="1"/>
  <c r="H486" i="63"/>
  <c r="C487" i="63" s="1"/>
  <c r="B487" i="63" l="1"/>
  <c r="A486" i="63"/>
  <c r="Q486" i="63" s="1"/>
  <c r="E487" i="63" l="1"/>
  <c r="G487" i="63" l="1"/>
  <c r="D487" i="63"/>
  <c r="F487" i="63" l="1"/>
  <c r="H487" i="63"/>
  <c r="C488" i="63" s="1"/>
  <c r="B488" i="63" l="1"/>
  <c r="A487" i="63"/>
  <c r="Q487" i="63" s="1"/>
  <c r="E488" i="63" l="1"/>
  <c r="G488" i="63" l="1"/>
  <c r="D488" i="63"/>
  <c r="F488" i="63" l="1"/>
  <c r="H488" i="63"/>
  <c r="C489" i="63" s="1"/>
  <c r="B489" i="63" l="1"/>
  <c r="A488" i="63"/>
  <c r="Q488" i="63" s="1"/>
  <c r="E489" i="63" l="1"/>
  <c r="D489" i="63" l="1"/>
  <c r="G489" i="63"/>
  <c r="F489" i="63" l="1"/>
  <c r="H489" i="63"/>
  <c r="C490" i="63" s="1"/>
  <c r="B490" i="63" l="1"/>
  <c r="A489" i="63"/>
  <c r="Q489" i="63" s="1"/>
  <c r="E490" i="63" l="1"/>
  <c r="G490" i="63" l="1"/>
  <c r="D490" i="63"/>
  <c r="F490" i="63" l="1"/>
  <c r="H490" i="63"/>
  <c r="A490" i="63" s="1"/>
  <c r="Q490" i="63" s="1"/>
  <c r="K1" i="33" l="1"/>
  <c r="J15" i="63" l="1"/>
  <c r="P15" i="63" s="1"/>
  <c r="AM15" i="63"/>
  <c r="J16" i="63" l="1"/>
  <c r="P16" i="63" s="1"/>
  <c r="AC16" i="63" l="1"/>
  <c r="S16" i="63" s="1"/>
  <c r="AK16" i="63"/>
  <c r="K17" i="63"/>
  <c r="W16" i="63"/>
  <c r="AM16" i="63"/>
  <c r="J17" i="63"/>
  <c r="M17" i="63" s="1"/>
  <c r="O17" i="63" s="1"/>
  <c r="I16" i="63" l="1"/>
  <c r="AD17" i="63"/>
  <c r="L17" i="63"/>
  <c r="AC17" i="63"/>
  <c r="S17" i="63" l="1"/>
  <c r="P17" i="63"/>
  <c r="AK17" i="63" s="1"/>
  <c r="K18" i="63"/>
  <c r="AD18" i="63" s="1"/>
  <c r="I17" i="63"/>
  <c r="Z16" i="63"/>
  <c r="W17" i="63"/>
  <c r="N17" i="63"/>
  <c r="X16" i="63"/>
  <c r="Y16" i="63" s="1"/>
  <c r="J18" i="63" l="1"/>
  <c r="AM17" i="63"/>
  <c r="Z17" i="63"/>
  <c r="X17" i="63"/>
  <c r="Y17" i="63" s="1"/>
  <c r="M18" i="63" l="1"/>
  <c r="O18" i="63" s="1"/>
  <c r="AC18" i="63"/>
  <c r="K19" i="63"/>
  <c r="W18" i="63"/>
  <c r="I18" i="63" l="1"/>
  <c r="S18" i="63"/>
  <c r="L18" i="63"/>
  <c r="AD19" i="63"/>
  <c r="X18" i="63"/>
  <c r="Y18" i="63" s="1"/>
  <c r="Z18" i="63"/>
  <c r="P18" i="63" l="1"/>
  <c r="N18" i="63"/>
  <c r="K20" i="63"/>
  <c r="AD20" i="63" s="1"/>
  <c r="W19" i="63"/>
  <c r="J19" i="63" l="1"/>
  <c r="AK18" i="63"/>
  <c r="AM18" i="63"/>
  <c r="Z19" i="63"/>
  <c r="X19" i="63"/>
  <c r="Y19" i="63" s="1"/>
  <c r="M19" i="63" l="1"/>
  <c r="AC19" i="63"/>
  <c r="K21" i="63"/>
  <c r="W20" i="63"/>
  <c r="I19" i="63" l="1"/>
  <c r="S19" i="63"/>
  <c r="O19" i="63"/>
  <c r="L19" i="63"/>
  <c r="AD21" i="63"/>
  <c r="X20" i="63"/>
  <c r="Y20" i="63" s="1"/>
  <c r="Z20" i="63"/>
  <c r="N19" i="63" l="1"/>
  <c r="P19" i="63"/>
  <c r="K22" i="63"/>
  <c r="AM19" i="63" l="1"/>
  <c r="AK19" i="63"/>
  <c r="J20" i="63"/>
  <c r="AD22" i="63"/>
  <c r="W21" i="63"/>
  <c r="M20" i="63" l="1"/>
  <c r="AC20" i="63"/>
  <c r="K23" i="63"/>
  <c r="X21" i="63"/>
  <c r="Y21" i="63" s="1"/>
  <c r="Z21" i="63"/>
  <c r="I20" i="63" l="1"/>
  <c r="S20" i="63"/>
  <c r="O20" i="63"/>
  <c r="L20" i="63"/>
  <c r="AD23" i="63"/>
  <c r="W22" i="63"/>
  <c r="Z22" i="63"/>
  <c r="P20" i="63" l="1"/>
  <c r="N20" i="63"/>
  <c r="K24" i="63"/>
  <c r="AD24" i="63" s="1"/>
  <c r="X22" i="63"/>
  <c r="Y22" i="63" s="1"/>
  <c r="AM20" i="63" l="1"/>
  <c r="J21" i="63"/>
  <c r="AK20" i="63"/>
  <c r="W23" i="63"/>
  <c r="M21" i="63" l="1"/>
  <c r="AC21" i="63"/>
  <c r="K25" i="63"/>
  <c r="X23" i="63"/>
  <c r="Y23" i="63" s="1"/>
  <c r="Z23" i="63"/>
  <c r="I21" i="63" l="1"/>
  <c r="S21" i="63"/>
  <c r="O21" i="63"/>
  <c r="L21" i="63"/>
  <c r="AD25" i="63"/>
  <c r="W24" i="63"/>
  <c r="Z24" i="63"/>
  <c r="P21" i="63" l="1"/>
  <c r="N21" i="63"/>
  <c r="K26" i="63"/>
  <c r="X24" i="63"/>
  <c r="Y24" i="63" s="1"/>
  <c r="AK21" i="63" l="1"/>
  <c r="J22" i="63"/>
  <c r="AM21" i="63"/>
  <c r="AD26" i="63"/>
  <c r="W25" i="63"/>
  <c r="M22" i="63" l="1"/>
  <c r="AC22" i="63"/>
  <c r="K27" i="63"/>
  <c r="X25" i="63"/>
  <c r="Y25" i="63" s="1"/>
  <c r="Z25" i="63"/>
  <c r="I22" i="63" l="1"/>
  <c r="S22" i="63"/>
  <c r="O22" i="63"/>
  <c r="L22" i="63"/>
  <c r="AD27" i="63"/>
  <c r="W26" i="63"/>
  <c r="P22" i="63" l="1"/>
  <c r="N22" i="63"/>
  <c r="K28" i="63"/>
  <c r="X26" i="63"/>
  <c r="Y26" i="63" s="1"/>
  <c r="Z26" i="63"/>
  <c r="J23" i="63" l="1"/>
  <c r="AK22" i="63"/>
  <c r="AM22" i="63"/>
  <c r="AD28" i="63"/>
  <c r="W27" i="63"/>
  <c r="M23" i="63" l="1"/>
  <c r="AC23" i="63"/>
  <c r="K29" i="63"/>
  <c r="X27" i="63"/>
  <c r="Y27" i="63" s="1"/>
  <c r="Z27" i="63"/>
  <c r="I23" i="63" l="1"/>
  <c r="S23" i="63"/>
  <c r="O23" i="63"/>
  <c r="L23" i="63"/>
  <c r="AD29" i="63"/>
  <c r="W28" i="63"/>
  <c r="N23" i="63" l="1"/>
  <c r="P23" i="63"/>
  <c r="K30" i="63"/>
  <c r="X28" i="63"/>
  <c r="Y28" i="63" s="1"/>
  <c r="Z28" i="63"/>
  <c r="J24" i="63" l="1"/>
  <c r="AK23" i="63"/>
  <c r="AM23" i="63"/>
  <c r="AD30" i="63"/>
  <c r="W29" i="63"/>
  <c r="M24" i="63" l="1"/>
  <c r="AC24" i="63"/>
  <c r="K31" i="63"/>
  <c r="X29" i="63"/>
  <c r="Y29" i="63" s="1"/>
  <c r="Z29" i="63"/>
  <c r="I24" i="63" l="1"/>
  <c r="S24" i="63"/>
  <c r="O24" i="63"/>
  <c r="L24" i="63"/>
  <c r="AD31" i="63"/>
  <c r="W30" i="63"/>
  <c r="Z30" i="63"/>
  <c r="N24" i="63" l="1"/>
  <c r="P24" i="63"/>
  <c r="K32" i="63"/>
  <c r="X30" i="63"/>
  <c r="Y30" i="63" s="1"/>
  <c r="AK24" i="63" l="1"/>
  <c r="J25" i="63"/>
  <c r="AM24" i="63"/>
  <c r="AD32" i="63"/>
  <c r="W31" i="63"/>
  <c r="M25" i="63" l="1"/>
  <c r="AC25" i="63"/>
  <c r="K33" i="63"/>
  <c r="X31" i="63"/>
  <c r="Y31" i="63" s="1"/>
  <c r="Z31" i="63"/>
  <c r="I25" i="63" l="1"/>
  <c r="S25" i="63"/>
  <c r="O25" i="63"/>
  <c r="L25" i="63"/>
  <c r="AD33" i="63"/>
  <c r="W32" i="63"/>
  <c r="Z32" i="63"/>
  <c r="P25" i="63" l="1"/>
  <c r="N25" i="63"/>
  <c r="X32" i="63"/>
  <c r="Y32" i="63" s="1"/>
  <c r="J26" i="63" l="1"/>
  <c r="AM25" i="63"/>
  <c r="AK25" i="63"/>
  <c r="K34" i="63"/>
  <c r="AD34" i="63" s="1"/>
  <c r="W33" i="63"/>
  <c r="M26" i="63" l="1"/>
  <c r="AC26" i="63"/>
  <c r="X33" i="63"/>
  <c r="Y33" i="63" s="1"/>
  <c r="Z33" i="63"/>
  <c r="I26" i="63" l="1"/>
  <c r="S26" i="63"/>
  <c r="O26" i="63"/>
  <c r="L26" i="63"/>
  <c r="P26" i="63" l="1"/>
  <c r="N26" i="63"/>
  <c r="W34" i="63"/>
  <c r="K35" i="63"/>
  <c r="AM26" i="63" l="1"/>
  <c r="J27" i="63"/>
  <c r="AK26" i="63"/>
  <c r="AD35" i="63"/>
  <c r="X34" i="63"/>
  <c r="Y34" i="63" s="1"/>
  <c r="Z34" i="63"/>
  <c r="M35" i="63"/>
  <c r="M27" i="63" l="1"/>
  <c r="AC27" i="63"/>
  <c r="L35" i="63"/>
  <c r="I27" i="63" l="1"/>
  <c r="S27" i="63"/>
  <c r="O27" i="63"/>
  <c r="L27" i="63"/>
  <c r="W35" i="63"/>
  <c r="K36" i="63"/>
  <c r="N27" i="63" l="1"/>
  <c r="P27" i="63"/>
  <c r="AD36" i="63"/>
  <c r="X35" i="63"/>
  <c r="Y35" i="63" s="1"/>
  <c r="Z35" i="63"/>
  <c r="M36" i="63"/>
  <c r="AM27" i="63" l="1"/>
  <c r="J28" i="63"/>
  <c r="AK27" i="63"/>
  <c r="L36" i="63"/>
  <c r="M28" i="63" l="1"/>
  <c r="AC28" i="63"/>
  <c r="W36" i="63"/>
  <c r="K37" i="63"/>
  <c r="I28" i="63" l="1"/>
  <c r="S28" i="63"/>
  <c r="O28" i="63"/>
  <c r="L28" i="63"/>
  <c r="AD37" i="63"/>
  <c r="X36" i="63"/>
  <c r="Y36" i="63" s="1"/>
  <c r="Z36" i="63"/>
  <c r="M37" i="63"/>
  <c r="N28" i="63" l="1"/>
  <c r="P28" i="63"/>
  <c r="L37" i="63"/>
  <c r="AK28" i="63" l="1"/>
  <c r="AM28" i="63"/>
  <c r="J29" i="63"/>
  <c r="W37" i="63"/>
  <c r="K38" i="63"/>
  <c r="M29" i="63" l="1"/>
  <c r="AC29" i="63"/>
  <c r="AD38" i="63"/>
  <c r="X37" i="63"/>
  <c r="Y37" i="63" s="1"/>
  <c r="Z37" i="63"/>
  <c r="M38" i="63"/>
  <c r="I29" i="63" l="1"/>
  <c r="S29" i="63"/>
  <c r="O29" i="63"/>
  <c r="L29" i="63"/>
  <c r="L38" i="63"/>
  <c r="N29" i="63" l="1"/>
  <c r="P29" i="63"/>
  <c r="W38" i="63"/>
  <c r="K39" i="63"/>
  <c r="AK29" i="63" l="1"/>
  <c r="AM29" i="63"/>
  <c r="J30" i="63"/>
  <c r="AD39" i="63"/>
  <c r="X38" i="63"/>
  <c r="Y38" i="63" s="1"/>
  <c r="Z38" i="63"/>
  <c r="M39" i="63"/>
  <c r="M30" i="63" l="1"/>
  <c r="AC30" i="63"/>
  <c r="L39" i="63"/>
  <c r="I30" i="63" l="1"/>
  <c r="S30" i="63"/>
  <c r="O30" i="63"/>
  <c r="L30" i="63"/>
  <c r="W39" i="63"/>
  <c r="K40" i="63"/>
  <c r="P30" i="63" l="1"/>
  <c r="N30" i="63"/>
  <c r="AD40" i="63"/>
  <c r="X39" i="63"/>
  <c r="Y39" i="63" s="1"/>
  <c r="Z39" i="63"/>
  <c r="M40" i="63"/>
  <c r="AK30" i="63" l="1"/>
  <c r="AM30" i="63"/>
  <c r="J31" i="63"/>
  <c r="L40" i="63"/>
  <c r="M31" i="63" l="1"/>
  <c r="AC31" i="63"/>
  <c r="W40" i="63"/>
  <c r="K41" i="63"/>
  <c r="I31" i="63" l="1"/>
  <c r="S31" i="63"/>
  <c r="O31" i="63"/>
  <c r="L31" i="63"/>
  <c r="AD41" i="63"/>
  <c r="X40" i="63"/>
  <c r="Y40" i="63" s="1"/>
  <c r="Z40" i="63"/>
  <c r="M41" i="63"/>
  <c r="P31" i="63" l="1"/>
  <c r="N31" i="63"/>
  <c r="L41" i="63"/>
  <c r="J32" i="63" l="1"/>
  <c r="AK31" i="63"/>
  <c r="AM31" i="63"/>
  <c r="W41" i="63"/>
  <c r="K42" i="63"/>
  <c r="M32" i="63" l="1"/>
  <c r="AC32" i="63"/>
  <c r="AD42" i="63"/>
  <c r="X41" i="63"/>
  <c r="Y41" i="63" s="1"/>
  <c r="Z41" i="63"/>
  <c r="M42" i="63"/>
  <c r="I32" i="63" l="1"/>
  <c r="S32" i="63"/>
  <c r="O32" i="63"/>
  <c r="L32" i="63"/>
  <c r="L42" i="63"/>
  <c r="N32" i="63" l="1"/>
  <c r="P32" i="63"/>
  <c r="W42" i="63"/>
  <c r="K43" i="63"/>
  <c r="J33" i="63" l="1"/>
  <c r="AK32" i="63"/>
  <c r="AM32" i="63"/>
  <c r="AD43" i="63"/>
  <c r="X42" i="63"/>
  <c r="Y42" i="63" s="1"/>
  <c r="Z42" i="63"/>
  <c r="M43" i="63"/>
  <c r="M33" i="63" l="1"/>
  <c r="AC33" i="63"/>
  <c r="L43" i="63"/>
  <c r="I33" i="63" l="1"/>
  <c r="S33" i="63"/>
  <c r="O33" i="63"/>
  <c r="L33" i="63"/>
  <c r="W43" i="63"/>
  <c r="K44" i="63"/>
  <c r="N33" i="63" l="1"/>
  <c r="P33" i="63"/>
  <c r="AD44" i="63"/>
  <c r="X43" i="63"/>
  <c r="Y43" i="63" s="1"/>
  <c r="Z43" i="63"/>
  <c r="M44" i="63"/>
  <c r="AM33" i="63" l="1"/>
  <c r="J34" i="63"/>
  <c r="AK33" i="63"/>
  <c r="L44" i="63"/>
  <c r="M34" i="63" l="1"/>
  <c r="AC34" i="63"/>
  <c r="W44" i="63"/>
  <c r="K45" i="63"/>
  <c r="I34" i="63" l="1"/>
  <c r="S34" i="63"/>
  <c r="O34" i="63"/>
  <c r="O35" i="63" s="1"/>
  <c r="O36" i="63" s="1"/>
  <c r="O37" i="63" s="1"/>
  <c r="O38" i="63" s="1"/>
  <c r="O39" i="63" s="1"/>
  <c r="O40" i="63" s="1"/>
  <c r="O41" i="63" s="1"/>
  <c r="O42" i="63" s="1"/>
  <c r="O43" i="63" s="1"/>
  <c r="O44" i="63" s="1"/>
  <c r="L34" i="63"/>
  <c r="AD45" i="63"/>
  <c r="X44" i="63"/>
  <c r="Y44" i="63" s="1"/>
  <c r="Z44" i="63"/>
  <c r="M45" i="63"/>
  <c r="O45" i="63" l="1"/>
  <c r="N34" i="63"/>
  <c r="N35" i="63" s="1"/>
  <c r="N36" i="63" s="1"/>
  <c r="N37" i="63" s="1"/>
  <c r="N38" i="63" s="1"/>
  <c r="N39" i="63" s="1"/>
  <c r="N40" i="63" s="1"/>
  <c r="N41" i="63" s="1"/>
  <c r="N42" i="63" s="1"/>
  <c r="N43" i="63" s="1"/>
  <c r="N44" i="63" s="1"/>
  <c r="P34" i="63"/>
  <c r="L45" i="63"/>
  <c r="J35" i="63" l="1"/>
  <c r="AM34" i="63"/>
  <c r="AK34" i="63"/>
  <c r="W45" i="63"/>
  <c r="N45" i="63"/>
  <c r="K46" i="63"/>
  <c r="AC35" i="63" l="1"/>
  <c r="P35" i="63"/>
  <c r="AD46" i="63"/>
  <c r="X45" i="63"/>
  <c r="Y45" i="63" s="1"/>
  <c r="Z45" i="63"/>
  <c r="M46" i="63"/>
  <c r="O46" i="63" s="1"/>
  <c r="I35" i="63" l="1"/>
  <c r="S35" i="63"/>
  <c r="AK35" i="63"/>
  <c r="J36" i="63"/>
  <c r="AM35" i="63"/>
  <c r="L46" i="63"/>
  <c r="AC36" i="63" l="1"/>
  <c r="P36" i="63"/>
  <c r="N46" i="63"/>
  <c r="W46" i="63"/>
  <c r="K47" i="63"/>
  <c r="I36" i="63" l="1"/>
  <c r="S36" i="63"/>
  <c r="AM36" i="63"/>
  <c r="J37" i="63"/>
  <c r="AK36" i="63"/>
  <c r="AD47" i="63"/>
  <c r="X46" i="63"/>
  <c r="Y46" i="63" s="1"/>
  <c r="Z46" i="63"/>
  <c r="M47" i="63"/>
  <c r="O47" i="63" s="1"/>
  <c r="AC37" i="63" l="1"/>
  <c r="P37" i="63"/>
  <c r="L47" i="63"/>
  <c r="I37" i="63" l="1"/>
  <c r="S37" i="63"/>
  <c r="AK37" i="63"/>
  <c r="AM37" i="63"/>
  <c r="J38" i="63"/>
  <c r="N47" i="63"/>
  <c r="W47" i="63"/>
  <c r="K48" i="63"/>
  <c r="AC38" i="63" l="1"/>
  <c r="P38" i="63"/>
  <c r="AD48" i="63"/>
  <c r="X47" i="63"/>
  <c r="Y47" i="63" s="1"/>
  <c r="Z47" i="63"/>
  <c r="M48" i="63"/>
  <c r="O48" i="63" s="1"/>
  <c r="I38" i="63" l="1"/>
  <c r="S38" i="63"/>
  <c r="AM38" i="63"/>
  <c r="AK38" i="63"/>
  <c r="J39" i="63"/>
  <c r="L48" i="63"/>
  <c r="AC39" i="63" l="1"/>
  <c r="P39" i="63"/>
  <c r="N48" i="63"/>
  <c r="W48" i="63"/>
  <c r="K49" i="63"/>
  <c r="I39" i="63" l="1"/>
  <c r="S39" i="63"/>
  <c r="J40" i="63"/>
  <c r="AM39" i="63"/>
  <c r="AK39" i="63"/>
  <c r="AD49" i="63"/>
  <c r="X48" i="63"/>
  <c r="Y48" i="63" s="1"/>
  <c r="Z48" i="63"/>
  <c r="M49" i="63"/>
  <c r="O49" i="63" s="1"/>
  <c r="AC40" i="63" l="1"/>
  <c r="P40" i="63"/>
  <c r="L49" i="63"/>
  <c r="I40" i="63" l="1"/>
  <c r="S40" i="63"/>
  <c r="J41" i="63"/>
  <c r="AK40" i="63"/>
  <c r="AM40" i="63"/>
  <c r="W49" i="63"/>
  <c r="N49" i="63"/>
  <c r="K50" i="63"/>
  <c r="M58" i="63"/>
  <c r="AC41" i="63" l="1"/>
  <c r="P41" i="63"/>
  <c r="AD50" i="63"/>
  <c r="X49" i="63"/>
  <c r="Y49" i="63" s="1"/>
  <c r="Z49" i="63"/>
  <c r="M50" i="63"/>
  <c r="O50" i="63" s="1"/>
  <c r="L58" i="63"/>
  <c r="I41" i="63" l="1"/>
  <c r="S41" i="63"/>
  <c r="AK41" i="63"/>
  <c r="AM41" i="63"/>
  <c r="J42" i="63"/>
  <c r="L50" i="63"/>
  <c r="AC42" i="63" l="1"/>
  <c r="P42" i="63"/>
  <c r="N50" i="63"/>
  <c r="W50" i="63"/>
  <c r="K51" i="63"/>
  <c r="I42" i="63" l="1"/>
  <c r="S42" i="63"/>
  <c r="J43" i="63"/>
  <c r="AK42" i="63"/>
  <c r="AM42" i="63"/>
  <c r="AD51" i="63"/>
  <c r="X50" i="63"/>
  <c r="Y50" i="63" s="1"/>
  <c r="Z50" i="63"/>
  <c r="M51" i="63"/>
  <c r="O51" i="63" s="1"/>
  <c r="AC43" i="63" l="1"/>
  <c r="P43" i="63"/>
  <c r="L51" i="63"/>
  <c r="I43" i="63" l="1"/>
  <c r="S43" i="63"/>
  <c r="AK43" i="63"/>
  <c r="J44" i="63"/>
  <c r="AM43" i="63"/>
  <c r="N51" i="63"/>
  <c r="W51" i="63"/>
  <c r="K52" i="63"/>
  <c r="AC44" i="63" l="1"/>
  <c r="P44" i="63"/>
  <c r="AD52" i="63"/>
  <c r="X51" i="63"/>
  <c r="Y51" i="63" s="1"/>
  <c r="Z51" i="63"/>
  <c r="M52" i="63"/>
  <c r="O52" i="63" s="1"/>
  <c r="I44" i="63" l="1"/>
  <c r="S44" i="63"/>
  <c r="AK44" i="63"/>
  <c r="J45" i="63"/>
  <c r="AM44" i="63"/>
  <c r="L52" i="63"/>
  <c r="AC45" i="63" l="1"/>
  <c r="P45" i="63"/>
  <c r="N52" i="63"/>
  <c r="W52" i="63"/>
  <c r="K53" i="63"/>
  <c r="I45" i="63" l="1"/>
  <c r="S45" i="63"/>
  <c r="AK45" i="63"/>
  <c r="AM45" i="63"/>
  <c r="J46" i="63"/>
  <c r="AD53" i="63"/>
  <c r="X52" i="63"/>
  <c r="Y52" i="63" s="1"/>
  <c r="Z52" i="63"/>
  <c r="M53" i="63"/>
  <c r="O53" i="63" s="1"/>
  <c r="AC46" i="63" l="1"/>
  <c r="P46" i="63"/>
  <c r="L53" i="63"/>
  <c r="I46" i="63" l="1"/>
  <c r="S46" i="63"/>
  <c r="J47" i="63"/>
  <c r="AK46" i="63"/>
  <c r="AM46" i="63"/>
  <c r="N53" i="63"/>
  <c r="W53" i="63"/>
  <c r="K54" i="63"/>
  <c r="AC47" i="63" l="1"/>
  <c r="P47" i="63"/>
  <c r="AD54" i="63"/>
  <c r="X53" i="63"/>
  <c r="Y53" i="63" s="1"/>
  <c r="Z53" i="63"/>
  <c r="M54" i="63"/>
  <c r="O54" i="63" s="1"/>
  <c r="I47" i="63" l="1"/>
  <c r="S47" i="63"/>
  <c r="AK47" i="63"/>
  <c r="AM47" i="63"/>
  <c r="J48" i="63"/>
  <c r="L54" i="63"/>
  <c r="AC48" i="63" l="1"/>
  <c r="P48" i="63"/>
  <c r="N54" i="63"/>
  <c r="W54" i="63"/>
  <c r="K55" i="63"/>
  <c r="I48" i="63" l="1"/>
  <c r="S48" i="63"/>
  <c r="AM48" i="63"/>
  <c r="J49" i="63"/>
  <c r="AK48" i="63"/>
  <c r="AD55" i="63"/>
  <c r="X54" i="63"/>
  <c r="Y54" i="63" s="1"/>
  <c r="Z54" i="63"/>
  <c r="M55" i="63"/>
  <c r="O55" i="63" s="1"/>
  <c r="AC49" i="63" l="1"/>
  <c r="P49" i="63"/>
  <c r="L55" i="63"/>
  <c r="N55" i="63" s="1"/>
  <c r="I49" i="63" l="1"/>
  <c r="S49" i="63"/>
  <c r="AM49" i="63"/>
  <c r="AK49" i="63"/>
  <c r="J50" i="63"/>
  <c r="W55" i="63"/>
  <c r="K56" i="63"/>
  <c r="AC50" i="63" l="1"/>
  <c r="P50" i="63"/>
  <c r="AD56" i="63"/>
  <c r="X55" i="63"/>
  <c r="Y55" i="63" s="1"/>
  <c r="Z55" i="63"/>
  <c r="M56" i="63"/>
  <c r="O56" i="63" s="1"/>
  <c r="I50" i="63" l="1"/>
  <c r="S50" i="63"/>
  <c r="AM50" i="63"/>
  <c r="J51" i="63"/>
  <c r="AK50" i="63"/>
  <c r="L56" i="63"/>
  <c r="AC51" i="63" l="1"/>
  <c r="P51" i="63"/>
  <c r="N56" i="63"/>
  <c r="W56" i="63"/>
  <c r="K57" i="63"/>
  <c r="I51" i="63" l="1"/>
  <c r="S51" i="63"/>
  <c r="J52" i="63"/>
  <c r="AM51" i="63"/>
  <c r="AK51" i="63"/>
  <c r="AD57" i="63"/>
  <c r="AD58" i="63" s="1"/>
  <c r="X56" i="63"/>
  <c r="Y56" i="63" s="1"/>
  <c r="Z56" i="63"/>
  <c r="M57" i="63"/>
  <c r="O57" i="63" s="1"/>
  <c r="O58" i="63" s="1"/>
  <c r="AC52" i="63" l="1"/>
  <c r="P52" i="63"/>
  <c r="L57" i="63"/>
  <c r="I52" i="63" l="1"/>
  <c r="S52" i="63"/>
  <c r="AK52" i="63"/>
  <c r="AM52" i="63"/>
  <c r="J53" i="63"/>
  <c r="N57" i="63"/>
  <c r="N58" i="63" s="1"/>
  <c r="W57" i="63"/>
  <c r="AC53" i="63" l="1"/>
  <c r="P53" i="63"/>
  <c r="X57" i="63"/>
  <c r="Y57" i="63" s="1"/>
  <c r="Z57" i="63"/>
  <c r="I53" i="63" l="1"/>
  <c r="S53" i="63"/>
  <c r="AK53" i="63"/>
  <c r="AM53" i="63"/>
  <c r="J54" i="63"/>
  <c r="K59" i="63"/>
  <c r="AC54" i="63" l="1"/>
  <c r="P54" i="63"/>
  <c r="W58" i="63"/>
  <c r="M59" i="63"/>
  <c r="O59" i="63" s="1"/>
  <c r="I54" i="63" l="1"/>
  <c r="S54" i="63"/>
  <c r="AM54" i="63"/>
  <c r="J55" i="63"/>
  <c r="AK54" i="63"/>
  <c r="X58" i="63"/>
  <c r="Y58" i="63" s="1"/>
  <c r="Z58" i="63"/>
  <c r="L59" i="63"/>
  <c r="AC55" i="63" l="1"/>
  <c r="P55" i="63"/>
  <c r="N59" i="63"/>
  <c r="I55" i="63" l="1"/>
  <c r="S55" i="63"/>
  <c r="AM55" i="63"/>
  <c r="AK55" i="63"/>
  <c r="J56" i="63"/>
  <c r="AC56" i="63" l="1"/>
  <c r="P56" i="63"/>
  <c r="I56" i="63" l="1"/>
  <c r="S56" i="63"/>
  <c r="J57" i="63"/>
  <c r="AK56" i="63"/>
  <c r="AM56" i="63"/>
  <c r="AC57" i="63" l="1"/>
  <c r="P57" i="63"/>
  <c r="I57" i="63" l="1"/>
  <c r="S57" i="63"/>
  <c r="AK57" i="63"/>
  <c r="AM57" i="63"/>
  <c r="J58" i="63"/>
  <c r="AC58" i="63" l="1"/>
  <c r="P58" i="63"/>
  <c r="I58" i="63" l="1"/>
  <c r="S58" i="63"/>
  <c r="J59" i="63"/>
  <c r="AK58" i="63"/>
  <c r="AM58" i="63"/>
  <c r="AC59" i="63" l="1"/>
  <c r="P59" i="63"/>
  <c r="I59" i="63" l="1"/>
  <c r="S59" i="63"/>
  <c r="AM59" i="63"/>
  <c r="AL60" i="63" s="1"/>
  <c r="J60" i="63"/>
  <c r="K60" i="63"/>
  <c r="AC60" i="63" l="1"/>
  <c r="M60" i="63"/>
  <c r="O60" i="63" s="1"/>
  <c r="I60" i="63" l="1"/>
  <c r="S60" i="63"/>
  <c r="L60" i="63"/>
  <c r="N60" i="63" l="1"/>
  <c r="P60" i="63"/>
  <c r="K61" i="63" l="1"/>
  <c r="J61" i="63"/>
  <c r="AM60" i="63"/>
  <c r="M61" i="63" l="1"/>
  <c r="O61" i="63" s="1"/>
  <c r="AC61" i="63"/>
  <c r="I61" i="63" l="1"/>
  <c r="S61" i="63"/>
  <c r="L61" i="63"/>
  <c r="N61" i="63" s="1"/>
  <c r="P61" i="63" l="1"/>
  <c r="K62" i="63" s="1"/>
  <c r="J62" i="63" l="1"/>
  <c r="M62" i="63" s="1"/>
  <c r="O62" i="63" l="1"/>
  <c r="L62" i="63"/>
  <c r="N62" i="63" s="1"/>
  <c r="AC62" i="63"/>
  <c r="P62" i="63"/>
  <c r="I62" i="63" l="1"/>
  <c r="S62" i="63"/>
  <c r="K63" i="63"/>
  <c r="J63" i="63"/>
  <c r="AC63" i="63" l="1"/>
  <c r="M63" i="63"/>
  <c r="O63" i="63" s="1"/>
  <c r="I63" i="63" l="1"/>
  <c r="S63" i="63"/>
  <c r="L63" i="63"/>
  <c r="N63" i="63" l="1"/>
  <c r="P63" i="63"/>
  <c r="K64" i="63" l="1"/>
  <c r="J64" i="63"/>
  <c r="M64" i="63" l="1"/>
  <c r="O64" i="63" s="1"/>
  <c r="AC64" i="63"/>
  <c r="I64" i="63" l="1"/>
  <c r="S64" i="63"/>
  <c r="L64" i="63"/>
  <c r="N64" i="63" s="1"/>
  <c r="P64" i="63" l="1"/>
  <c r="K65" i="63" s="1"/>
  <c r="J65" i="63" l="1"/>
  <c r="AC65" i="63" s="1"/>
  <c r="I65" i="63" l="1"/>
  <c r="S65" i="63"/>
  <c r="M65" i="63"/>
  <c r="O65" i="63" s="1"/>
  <c r="L65" i="63" l="1"/>
  <c r="N65" i="63" l="1"/>
  <c r="P65" i="63"/>
  <c r="K66" i="63" l="1"/>
  <c r="J66" i="63"/>
  <c r="M66" i="63" l="1"/>
  <c r="O66" i="63" s="1"/>
  <c r="AC66" i="63"/>
  <c r="I66" i="63" l="1"/>
  <c r="S66" i="63"/>
  <c r="L66" i="63"/>
  <c r="P66" i="63" s="1"/>
  <c r="N66" i="63" l="1"/>
  <c r="J67" i="63"/>
  <c r="K67" i="63"/>
  <c r="M67" i="63" l="1"/>
  <c r="O67" i="63" s="1"/>
  <c r="AC67" i="63"/>
  <c r="I67" i="63" l="1"/>
  <c r="S67" i="63"/>
  <c r="L67" i="63"/>
  <c r="N67" i="63" l="1"/>
  <c r="P67" i="63"/>
  <c r="J68" i="63" l="1"/>
  <c r="K68" i="63"/>
  <c r="AC68" i="63" l="1"/>
  <c r="M68" i="63"/>
  <c r="O68" i="63" s="1"/>
  <c r="I68" i="63" l="1"/>
  <c r="S68" i="63"/>
  <c r="L68" i="63"/>
  <c r="N68" i="63" l="1"/>
  <c r="P68" i="63"/>
  <c r="J69" i="63" l="1"/>
  <c r="K69" i="63"/>
  <c r="AC69" i="63" l="1"/>
  <c r="M69" i="63"/>
  <c r="O69" i="63" s="1"/>
  <c r="I69" i="63" l="1"/>
  <c r="S69" i="63"/>
  <c r="L69" i="63"/>
  <c r="P69" i="63" l="1"/>
  <c r="N69" i="63"/>
  <c r="J70" i="63" l="1"/>
  <c r="K70" i="63"/>
  <c r="AC70" i="63" l="1"/>
  <c r="M70" i="63"/>
  <c r="O70" i="63" s="1"/>
  <c r="I70" i="63" l="1"/>
  <c r="S70" i="63"/>
  <c r="L70" i="63"/>
  <c r="P70" i="63" l="1"/>
  <c r="N70" i="63"/>
  <c r="J71" i="63" l="1"/>
  <c r="K71" i="63"/>
  <c r="AC71" i="63" l="1"/>
  <c r="M71" i="63"/>
  <c r="O71" i="63" s="1"/>
  <c r="I71" i="63" l="1"/>
  <c r="S71" i="63"/>
  <c r="L71" i="63"/>
  <c r="N71" i="63" l="1"/>
  <c r="P71" i="63"/>
  <c r="J72" i="63" l="1"/>
  <c r="K72" i="63"/>
  <c r="AC72" i="63" l="1"/>
  <c r="M72" i="63"/>
  <c r="O72" i="63" s="1"/>
  <c r="I72" i="63" l="1"/>
  <c r="S72" i="63"/>
  <c r="L72" i="63"/>
  <c r="P72" i="63" l="1"/>
  <c r="N72" i="63"/>
  <c r="K73" i="63" l="1"/>
  <c r="J73" i="63"/>
  <c r="AC73" i="63" l="1"/>
  <c r="M73" i="63"/>
  <c r="O73" i="63" s="1"/>
  <c r="I73" i="63" l="1"/>
  <c r="S73" i="63"/>
  <c r="L73" i="63"/>
  <c r="N73" i="63" s="1"/>
  <c r="P73" i="63" l="1"/>
  <c r="K74" i="63" s="1"/>
  <c r="J74" i="63" l="1"/>
  <c r="AC74" i="63" s="1"/>
  <c r="M74" i="63" l="1"/>
  <c r="O74" i="63" s="1"/>
  <c r="I74" i="63"/>
  <c r="S74" i="63"/>
  <c r="L74" i="63" l="1"/>
  <c r="N74" i="63" s="1"/>
  <c r="P74" i="63" l="1"/>
  <c r="J75" i="63" s="1"/>
  <c r="M75" i="63" s="1"/>
  <c r="AC75" i="63" l="1"/>
  <c r="K75" i="63"/>
  <c r="I75" i="63"/>
  <c r="S75" i="63"/>
  <c r="O75" i="63"/>
  <c r="L75" i="63"/>
  <c r="P75" i="63" l="1"/>
  <c r="N75" i="63"/>
  <c r="K76" i="63" l="1"/>
  <c r="J76" i="63"/>
  <c r="AC76" i="63" l="1"/>
  <c r="M76" i="63"/>
  <c r="I76" i="63" l="1"/>
  <c r="S76" i="63"/>
  <c r="O76" i="63"/>
  <c r="L76" i="63"/>
  <c r="N76" i="63" l="1"/>
  <c r="P76" i="63"/>
  <c r="K77" i="63" l="1"/>
  <c r="J77" i="63"/>
  <c r="AC77" i="63" l="1"/>
  <c r="M77" i="63"/>
  <c r="O77" i="63" s="1"/>
  <c r="I77" i="63" l="1"/>
  <c r="S77" i="63"/>
  <c r="L77" i="63"/>
  <c r="P77" i="63" l="1"/>
  <c r="N77" i="63"/>
  <c r="K78" i="63" l="1"/>
  <c r="J78" i="63"/>
  <c r="AC78" i="63" l="1"/>
  <c r="M78" i="63"/>
  <c r="O78" i="63" s="1"/>
  <c r="I78" i="63" l="1"/>
  <c r="S78" i="63"/>
  <c r="L78" i="63"/>
  <c r="N78" i="63" l="1"/>
  <c r="P78" i="63"/>
  <c r="K79" i="63" l="1"/>
  <c r="J79" i="63"/>
  <c r="M79" i="63" l="1"/>
  <c r="O79" i="63" s="1"/>
  <c r="AC79" i="63"/>
  <c r="L79" i="63" l="1"/>
  <c r="N79" i="63" s="1"/>
  <c r="I79" i="63"/>
  <c r="S79" i="63"/>
  <c r="P79" i="63" l="1"/>
  <c r="K80" i="63" s="1"/>
  <c r="J80" i="63" l="1"/>
  <c r="M80" i="63" s="1"/>
  <c r="AC80" i="63"/>
  <c r="I80" i="63" l="1"/>
  <c r="S80" i="63"/>
  <c r="O80" i="63"/>
  <c r="L80" i="63"/>
  <c r="N80" i="63" l="1"/>
  <c r="P80" i="63"/>
  <c r="J81" i="63" l="1"/>
  <c r="K81" i="63"/>
  <c r="M81" i="63" l="1"/>
  <c r="AC81" i="63"/>
  <c r="I81" i="63" l="1"/>
  <c r="S81" i="63"/>
  <c r="O81" i="63"/>
  <c r="L81" i="63"/>
  <c r="P81" i="63" l="1"/>
  <c r="N81" i="63"/>
  <c r="K82" i="63" l="1"/>
  <c r="J82" i="63"/>
  <c r="M82" i="63" l="1"/>
  <c r="O82" i="63" s="1"/>
  <c r="AC82" i="63"/>
  <c r="L82" i="63" l="1"/>
  <c r="N82" i="63" s="1"/>
  <c r="I82" i="63"/>
  <c r="S82" i="63"/>
  <c r="P82" i="63" l="1"/>
  <c r="K83" i="63"/>
  <c r="J83" i="63"/>
  <c r="AC83" i="63" l="1"/>
  <c r="M83" i="63"/>
  <c r="I83" i="63" l="1"/>
  <c r="S83" i="63"/>
  <c r="O83" i="63"/>
  <c r="L83" i="63"/>
  <c r="N83" i="63" l="1"/>
  <c r="P83" i="63"/>
  <c r="J84" i="63" l="1"/>
  <c r="K84" i="63"/>
  <c r="AC84" i="63" l="1"/>
  <c r="M84" i="63"/>
  <c r="O84" i="63" s="1"/>
  <c r="I84" i="63" l="1"/>
  <c r="S84" i="63"/>
  <c r="L84" i="63"/>
  <c r="P84" i="63" l="1"/>
  <c r="N84" i="63"/>
  <c r="K85" i="63" l="1"/>
  <c r="J85" i="63"/>
  <c r="AC85" i="63" l="1"/>
  <c r="M85" i="63"/>
  <c r="I85" i="63" l="1"/>
  <c r="S85" i="63"/>
  <c r="O85" i="63"/>
  <c r="L85" i="63"/>
  <c r="N85" i="63" l="1"/>
  <c r="P85" i="63"/>
  <c r="J86" i="63" l="1"/>
  <c r="K86" i="63"/>
  <c r="AC86" i="63" l="1"/>
  <c r="M86" i="63"/>
  <c r="O86" i="63" s="1"/>
  <c r="I86" i="63" l="1"/>
  <c r="S86" i="63"/>
  <c r="L86" i="63"/>
  <c r="P86" i="63" l="1"/>
  <c r="N86" i="63"/>
  <c r="K87" i="63" l="1"/>
  <c r="J87" i="63"/>
  <c r="M87" i="63" l="1"/>
  <c r="O87" i="63" s="1"/>
  <c r="AC87" i="63"/>
  <c r="L87" i="63" l="1"/>
  <c r="N87" i="63" s="1"/>
  <c r="I87" i="63"/>
  <c r="S87" i="63"/>
  <c r="P87" i="63" l="1"/>
  <c r="K88" i="63" s="1"/>
  <c r="J88" i="63" l="1"/>
  <c r="AC88" i="63" s="1"/>
  <c r="M88" i="63" l="1"/>
  <c r="O88" i="63" s="1"/>
  <c r="I88" i="63"/>
  <c r="S88" i="63"/>
  <c r="L88" i="63" l="1"/>
  <c r="N88" i="63" s="1"/>
  <c r="P88" i="63"/>
  <c r="J89" i="63" s="1"/>
  <c r="K89" i="63"/>
  <c r="M89" i="63" l="1"/>
  <c r="AC89" i="63"/>
  <c r="I89" i="63" l="1"/>
  <c r="S89" i="63"/>
  <c r="L89" i="63"/>
  <c r="O89" i="63"/>
  <c r="N89" i="63" l="1"/>
  <c r="P89" i="63"/>
  <c r="J90" i="63" l="1"/>
  <c r="K90" i="63"/>
  <c r="AC90" i="63" l="1"/>
  <c r="M90" i="63"/>
  <c r="I90" i="63" l="1"/>
  <c r="S90" i="63"/>
  <c r="L90" i="63"/>
  <c r="O90" i="63"/>
  <c r="N90" i="63" l="1"/>
  <c r="P90" i="63"/>
  <c r="J91" i="63" l="1"/>
  <c r="K91" i="63"/>
  <c r="AC91" i="63" l="1"/>
  <c r="M91" i="63"/>
  <c r="I91" i="63" l="1"/>
  <c r="S91" i="63"/>
  <c r="L91" i="63"/>
  <c r="O91" i="63"/>
  <c r="N91" i="63" l="1"/>
  <c r="P91" i="63"/>
  <c r="J92" i="63" l="1"/>
  <c r="K92" i="63"/>
  <c r="M92" i="63" l="1"/>
  <c r="AC92" i="63"/>
  <c r="I92" i="63" l="1"/>
  <c r="S92" i="63"/>
  <c r="O92" i="63"/>
  <c r="L92" i="63"/>
  <c r="N92" i="63" l="1"/>
  <c r="P92" i="63"/>
  <c r="J93" i="63" l="1"/>
  <c r="K93" i="63"/>
  <c r="M93" i="63" l="1"/>
  <c r="AC93" i="63"/>
  <c r="I93" i="63" l="1"/>
  <c r="S93" i="63"/>
  <c r="O93" i="63"/>
  <c r="L93" i="63"/>
  <c r="P93" i="63" l="1"/>
  <c r="N93" i="63"/>
  <c r="K94" i="63" l="1"/>
  <c r="J94" i="63"/>
  <c r="AC94" i="63" l="1"/>
  <c r="M94" i="63"/>
  <c r="I94" i="63" l="1"/>
  <c r="S94" i="63"/>
  <c r="O94" i="63"/>
  <c r="L94" i="63"/>
  <c r="N94" i="63" l="1"/>
  <c r="P94" i="63"/>
  <c r="K95" i="63" l="1"/>
  <c r="J95" i="63"/>
  <c r="AC95" i="63" l="1"/>
  <c r="M95" i="63"/>
  <c r="O95" i="63" s="1"/>
  <c r="I95" i="63" l="1"/>
  <c r="S95" i="63"/>
  <c r="L95" i="63"/>
  <c r="N95" i="63" s="1"/>
  <c r="P95" i="63" l="1"/>
  <c r="J96" i="63" s="1"/>
  <c r="K96" i="63" l="1"/>
  <c r="M96" i="63"/>
  <c r="AC96" i="63"/>
  <c r="I96" i="63" l="1"/>
  <c r="S96" i="63"/>
  <c r="O96" i="63"/>
  <c r="L96" i="63"/>
  <c r="P96" i="63" l="1"/>
  <c r="N96" i="63"/>
  <c r="J97" i="63" l="1"/>
  <c r="K97" i="63"/>
  <c r="AC97" i="63" l="1"/>
  <c r="M97" i="63"/>
  <c r="I97" i="63" l="1"/>
  <c r="S97" i="63"/>
  <c r="O97" i="63"/>
  <c r="L97" i="63"/>
  <c r="N97" i="63" l="1"/>
  <c r="P97" i="63"/>
  <c r="K98" i="63" l="1"/>
  <c r="J98" i="63"/>
  <c r="AC98" i="63" l="1"/>
  <c r="M98" i="63"/>
  <c r="I98" i="63" l="1"/>
  <c r="S98" i="63"/>
  <c r="O98" i="63"/>
  <c r="L98" i="63"/>
  <c r="N98" i="63" l="1"/>
  <c r="P98" i="63"/>
  <c r="K99" i="63" l="1"/>
  <c r="J99" i="63"/>
  <c r="M99" i="63" l="1"/>
  <c r="O99" i="63" s="1"/>
  <c r="AC99" i="63"/>
  <c r="L99" i="63" l="1"/>
  <c r="N99" i="63" s="1"/>
  <c r="I99" i="63"/>
  <c r="S99" i="63"/>
  <c r="P99" i="63" l="1"/>
  <c r="J100" i="63"/>
  <c r="K100" i="63"/>
  <c r="AC100" i="63" l="1"/>
  <c r="M100" i="63"/>
  <c r="O100" i="63" s="1"/>
  <c r="I100" i="63" l="1"/>
  <c r="S100" i="63"/>
  <c r="L100" i="63"/>
  <c r="N100" i="63" l="1"/>
  <c r="P100" i="63"/>
  <c r="K101" i="63" l="1"/>
  <c r="J101" i="63"/>
  <c r="AC101" i="63" l="1"/>
  <c r="M101" i="63"/>
  <c r="O101" i="63" s="1"/>
  <c r="I101" i="63" l="1"/>
  <c r="S101" i="63"/>
  <c r="L101" i="63"/>
  <c r="N101" i="63" s="1"/>
  <c r="P101" i="63" l="1"/>
  <c r="K102" i="63" s="1"/>
  <c r="J102" i="63" l="1"/>
  <c r="AC102" i="63"/>
  <c r="M102" i="63"/>
  <c r="I102" i="63" l="1"/>
  <c r="S102" i="63"/>
  <c r="O102" i="63"/>
  <c r="L102" i="63"/>
  <c r="N102" i="63" l="1"/>
  <c r="P102" i="63"/>
  <c r="K103" i="63" l="1"/>
  <c r="J103" i="63"/>
  <c r="AC103" i="63" l="1"/>
  <c r="M103" i="63"/>
  <c r="I103" i="63" l="1"/>
  <c r="S103" i="63"/>
  <c r="O103" i="63"/>
  <c r="L103" i="63"/>
  <c r="N103" i="63" l="1"/>
  <c r="P103" i="63"/>
  <c r="K104" i="63" l="1"/>
  <c r="J104" i="63"/>
  <c r="M104" i="63" l="1"/>
  <c r="O104" i="63" s="1"/>
  <c r="AC104" i="63"/>
  <c r="L104" i="63" l="1"/>
  <c r="N104" i="63" s="1"/>
  <c r="I104" i="63"/>
  <c r="S104" i="63"/>
  <c r="P104" i="63"/>
  <c r="K105" i="63" l="1"/>
  <c r="J105" i="63"/>
  <c r="M105" i="63" l="1"/>
  <c r="AC105" i="63"/>
  <c r="I105" i="63" l="1"/>
  <c r="S105" i="63"/>
  <c r="O105" i="63"/>
  <c r="L105" i="63"/>
  <c r="N105" i="63" l="1"/>
  <c r="P105" i="63"/>
  <c r="K106" i="63" l="1"/>
  <c r="J106" i="63"/>
  <c r="AC106" i="63" l="1"/>
  <c r="M106" i="63"/>
  <c r="O106" i="63" s="1"/>
  <c r="I106" i="63" l="1"/>
  <c r="S106" i="63"/>
  <c r="L106" i="63"/>
  <c r="N106" i="63" s="1"/>
  <c r="P106" i="63" l="1"/>
  <c r="K107" i="63" s="1"/>
  <c r="J107" i="63" l="1"/>
  <c r="AC107" i="63" s="1"/>
  <c r="M107" i="63" l="1"/>
  <c r="O107" i="63" s="1"/>
  <c r="I107" i="63"/>
  <c r="S107" i="63"/>
  <c r="L107" i="63"/>
  <c r="P107" i="63" l="1"/>
  <c r="N107" i="63"/>
  <c r="J108" i="63" l="1"/>
  <c r="K108" i="63"/>
  <c r="AC108" i="63" l="1"/>
  <c r="M108" i="63"/>
  <c r="I108" i="63" l="1"/>
  <c r="S108" i="63"/>
  <c r="O108" i="63"/>
  <c r="L108" i="63"/>
  <c r="P108" i="63" l="1"/>
  <c r="N108" i="63"/>
  <c r="J109" i="63" l="1"/>
  <c r="K109" i="63"/>
  <c r="AC109" i="63" l="1"/>
  <c r="M109" i="63"/>
  <c r="I109" i="63" l="1"/>
  <c r="S109" i="63"/>
  <c r="O109" i="63"/>
  <c r="L109" i="63"/>
  <c r="P109" i="63" l="1"/>
  <c r="N109" i="63"/>
  <c r="K110" i="63" l="1"/>
  <c r="J110" i="63"/>
  <c r="M110" i="63" l="1"/>
  <c r="AC110" i="63"/>
  <c r="I110" i="63" l="1"/>
  <c r="S110" i="63"/>
  <c r="O110" i="63"/>
  <c r="L110" i="63"/>
  <c r="N110" i="63" l="1"/>
  <c r="P110" i="63"/>
  <c r="J111" i="63" l="1"/>
  <c r="K111" i="63"/>
  <c r="AC111" i="63" l="1"/>
  <c r="M111" i="63"/>
  <c r="O111" i="63" s="1"/>
  <c r="I111" i="63" l="1"/>
  <c r="S111" i="63"/>
  <c r="L111" i="63"/>
  <c r="P111" i="63" l="1"/>
  <c r="N111" i="63"/>
  <c r="K112" i="63" l="1"/>
  <c r="J112" i="63"/>
  <c r="AC112" i="63" l="1"/>
  <c r="M112" i="63"/>
  <c r="O112" i="63" s="1"/>
  <c r="I112" i="63" l="1"/>
  <c r="S112" i="63"/>
  <c r="L112" i="63"/>
  <c r="N112" i="63" s="1"/>
  <c r="P112" i="63" l="1"/>
  <c r="J113" i="63" s="1"/>
  <c r="K113" i="63" l="1"/>
  <c r="AC113" i="63"/>
  <c r="M113" i="63"/>
  <c r="I113" i="63" l="1"/>
  <c r="S113" i="63"/>
  <c r="O113" i="63"/>
  <c r="L113" i="63"/>
  <c r="N113" i="63" l="1"/>
  <c r="P113" i="63"/>
  <c r="K114" i="63" l="1"/>
  <c r="J114" i="63"/>
  <c r="AC114" i="63" l="1"/>
  <c r="M114" i="63"/>
  <c r="I114" i="63" l="1"/>
  <c r="S114" i="63"/>
  <c r="O114" i="63"/>
  <c r="L114" i="63"/>
  <c r="N114" i="63" l="1"/>
  <c r="P114" i="63"/>
  <c r="K115" i="63" l="1"/>
  <c r="J115" i="63"/>
  <c r="AC115" i="63" l="1"/>
  <c r="M115" i="63"/>
  <c r="I115" i="63" l="1"/>
  <c r="S115" i="63"/>
  <c r="O115" i="63"/>
  <c r="L115" i="63"/>
  <c r="N115" i="63" l="1"/>
  <c r="P115" i="63"/>
  <c r="J116" i="63" l="1"/>
  <c r="K116" i="63"/>
  <c r="M116" i="63" l="1"/>
  <c r="O116" i="63" s="1"/>
  <c r="AC116" i="63"/>
  <c r="I116" i="63" l="1"/>
  <c r="S116" i="63"/>
  <c r="L116" i="63"/>
  <c r="P116" i="63" l="1"/>
  <c r="N116" i="63"/>
  <c r="K117" i="63" l="1"/>
  <c r="J117" i="63"/>
  <c r="M117" i="63" l="1"/>
  <c r="O117" i="63" s="1"/>
  <c r="AC117" i="63"/>
  <c r="L117" i="63" l="1"/>
  <c r="N117" i="63" s="1"/>
  <c r="I117" i="63"/>
  <c r="S117" i="63"/>
  <c r="P117" i="63" l="1"/>
  <c r="J118" i="63" s="1"/>
  <c r="K118" i="63" l="1"/>
  <c r="AC118" i="63"/>
  <c r="M118" i="63"/>
  <c r="O118" i="63" s="1"/>
  <c r="I118" i="63" l="1"/>
  <c r="S118" i="63"/>
  <c r="L118" i="63"/>
  <c r="P118" i="63" l="1"/>
  <c r="N118" i="63"/>
  <c r="K119" i="63" l="1"/>
  <c r="J119" i="63"/>
  <c r="M119" i="63" l="1"/>
  <c r="O119" i="63" s="1"/>
  <c r="AC119" i="63"/>
  <c r="L119" i="63" l="1"/>
  <c r="P119" i="63" s="1"/>
  <c r="I119" i="63"/>
  <c r="S119" i="63"/>
  <c r="N119" i="63" l="1"/>
  <c r="K120" i="63"/>
  <c r="J120" i="63"/>
  <c r="AC120" i="63" l="1"/>
  <c r="M120" i="63"/>
  <c r="I120" i="63" l="1"/>
  <c r="S120" i="63"/>
  <c r="O120" i="63"/>
  <c r="L120" i="63"/>
  <c r="N120" i="63" l="1"/>
  <c r="P120" i="63"/>
  <c r="K121" i="63" l="1"/>
  <c r="J121" i="63"/>
  <c r="AC121" i="63" l="1"/>
  <c r="M121" i="63"/>
  <c r="I121" i="63" l="1"/>
  <c r="S121" i="63"/>
  <c r="O121" i="63"/>
  <c r="L121" i="63"/>
  <c r="P121" i="63" l="1"/>
  <c r="N121" i="63"/>
  <c r="K122" i="63" l="1"/>
  <c r="J122" i="63"/>
  <c r="AC122" i="63" l="1"/>
  <c r="M122" i="63"/>
  <c r="I122" i="63" l="1"/>
  <c r="S122" i="63"/>
  <c r="O122" i="63"/>
  <c r="L122" i="63"/>
  <c r="N122" i="63" l="1"/>
  <c r="P122" i="63"/>
  <c r="J123" i="63" l="1"/>
  <c r="K123" i="63"/>
  <c r="M123" i="63" l="1"/>
  <c r="O123" i="63" s="1"/>
  <c r="AC123" i="63"/>
  <c r="I123" i="63" l="1"/>
  <c r="S123" i="63"/>
  <c r="L123" i="63"/>
  <c r="P123" i="63" l="1"/>
  <c r="N123" i="63"/>
  <c r="J124" i="63" l="1"/>
  <c r="K124" i="63"/>
  <c r="M124" i="63" l="1"/>
  <c r="O124" i="63" s="1"/>
  <c r="AC124" i="63"/>
  <c r="I124" i="63" l="1"/>
  <c r="S124" i="63"/>
  <c r="L124" i="63"/>
  <c r="P124" i="63" l="1"/>
  <c r="N124" i="63"/>
  <c r="K125" i="63" l="1"/>
  <c r="J125" i="63"/>
  <c r="AC125" i="63" l="1"/>
  <c r="M125" i="63"/>
  <c r="O125" i="63" s="1"/>
  <c r="I125" i="63" l="1"/>
  <c r="S125" i="63"/>
  <c r="L125" i="63"/>
  <c r="N125" i="63" s="1"/>
  <c r="P125" i="63" l="1"/>
  <c r="K126" i="63" s="1"/>
  <c r="J126" i="63"/>
  <c r="AC126" i="63" l="1"/>
  <c r="M126" i="63"/>
  <c r="I126" i="63" l="1"/>
  <c r="S126" i="63"/>
  <c r="L126" i="63"/>
  <c r="O126" i="63"/>
  <c r="N126" i="63" l="1"/>
  <c r="P126" i="63"/>
  <c r="K127" i="63" l="1"/>
  <c r="J127" i="63"/>
  <c r="AC127" i="63" l="1"/>
  <c r="M127" i="63"/>
  <c r="I127" i="63" l="1"/>
  <c r="S127" i="63"/>
  <c r="O127" i="63"/>
  <c r="L127" i="63"/>
  <c r="N127" i="63" l="1"/>
  <c r="P127" i="63"/>
  <c r="K128" i="63" l="1"/>
  <c r="J128" i="63"/>
  <c r="AC128" i="63" l="1"/>
  <c r="M128" i="63"/>
  <c r="O128" i="63" s="1"/>
  <c r="I128" i="63" l="1"/>
  <c r="S128" i="63"/>
  <c r="L128" i="63"/>
  <c r="P128" i="63" s="1"/>
  <c r="N128" i="63" l="1"/>
  <c r="J129" i="63"/>
  <c r="K129" i="63"/>
  <c r="AC129" i="63" l="1"/>
  <c r="M129" i="63"/>
  <c r="I129" i="63" l="1"/>
  <c r="S129" i="63"/>
  <c r="L129" i="63"/>
  <c r="O129" i="63"/>
  <c r="N129" i="63" l="1"/>
  <c r="P129" i="63"/>
  <c r="K130" i="63" l="1"/>
  <c r="J130" i="63"/>
  <c r="M130" i="63" l="1"/>
  <c r="O130" i="63" s="1"/>
  <c r="AC130" i="63"/>
  <c r="L130" i="63" l="1"/>
  <c r="N130" i="63" s="1"/>
  <c r="I130" i="63"/>
  <c r="S130" i="63"/>
  <c r="P130" i="63"/>
  <c r="J131" i="63" l="1"/>
  <c r="K131" i="63"/>
  <c r="M131" i="63" l="1"/>
  <c r="AC131" i="63"/>
  <c r="I131" i="63" l="1"/>
  <c r="S131" i="63"/>
  <c r="O131" i="63"/>
  <c r="L131" i="63"/>
  <c r="N131" i="63" l="1"/>
  <c r="P131" i="63"/>
  <c r="K132" i="63" l="1"/>
  <c r="J132" i="63"/>
  <c r="AC132" i="63" l="1"/>
  <c r="M132" i="63"/>
  <c r="I132" i="63" l="1"/>
  <c r="S132" i="63"/>
  <c r="O132" i="63"/>
  <c r="L132" i="63"/>
  <c r="N132" i="63" l="1"/>
  <c r="P132" i="63"/>
  <c r="J133" i="63" l="1"/>
  <c r="K133" i="63"/>
  <c r="AC133" i="63" l="1"/>
  <c r="M133" i="63"/>
  <c r="I133" i="63" l="1"/>
  <c r="S133" i="63"/>
  <c r="O133" i="63"/>
  <c r="L133" i="63"/>
  <c r="P133" i="63" l="1"/>
  <c r="N133" i="63"/>
  <c r="J134" i="63" l="1"/>
  <c r="K134" i="63"/>
  <c r="M134" i="63" l="1"/>
  <c r="AC134" i="63"/>
  <c r="I134" i="63" l="1"/>
  <c r="S134" i="63"/>
  <c r="O134" i="63"/>
  <c r="L134" i="63"/>
  <c r="P134" i="63" l="1"/>
  <c r="N134" i="63"/>
  <c r="J135" i="63" l="1"/>
  <c r="K135" i="63"/>
  <c r="AC135" i="63" l="1"/>
  <c r="M135" i="63"/>
  <c r="I135" i="63" l="1"/>
  <c r="S135" i="63"/>
  <c r="O135" i="63"/>
  <c r="L135" i="63"/>
  <c r="N135" i="63" l="1"/>
  <c r="P135" i="63"/>
  <c r="K136" i="63" l="1"/>
  <c r="J136" i="63"/>
  <c r="AC136" i="63" l="1"/>
  <c r="M136" i="63"/>
  <c r="I136" i="63" l="1"/>
  <c r="S136" i="63"/>
  <c r="O136" i="63"/>
  <c r="L136" i="63"/>
  <c r="N136" i="63" l="1"/>
  <c r="P136" i="63"/>
  <c r="K137" i="63" l="1"/>
  <c r="J137" i="63"/>
  <c r="AC137" i="63" l="1"/>
  <c r="M137" i="63"/>
  <c r="O137" i="63" s="1"/>
  <c r="I137" i="63" l="1"/>
  <c r="S137" i="63"/>
  <c r="L137" i="63"/>
  <c r="N137" i="63" s="1"/>
  <c r="P137" i="63" l="1"/>
  <c r="J138" i="63" s="1"/>
  <c r="K138" i="63"/>
  <c r="M138" i="63" l="1"/>
  <c r="O138" i="63" s="1"/>
  <c r="AC138" i="63"/>
  <c r="I138" i="63" l="1"/>
  <c r="S138" i="63"/>
  <c r="L138" i="63"/>
  <c r="N138" i="63" l="1"/>
  <c r="P138" i="63"/>
  <c r="K139" i="63" l="1"/>
  <c r="J139" i="63"/>
  <c r="M139" i="63" l="1"/>
  <c r="O139" i="63" s="1"/>
  <c r="AC139" i="63"/>
  <c r="L139" i="63" l="1"/>
  <c r="N139" i="63" s="1"/>
  <c r="I139" i="63"/>
  <c r="S139" i="63"/>
  <c r="P139" i="63" l="1"/>
  <c r="J140" i="63"/>
  <c r="K140" i="63"/>
  <c r="M140" i="63" l="1"/>
  <c r="AC140" i="63"/>
  <c r="I140" i="63" l="1"/>
  <c r="S140" i="63"/>
  <c r="O140" i="63"/>
  <c r="L140" i="63"/>
  <c r="N140" i="63" l="1"/>
  <c r="P140" i="63"/>
  <c r="K141" i="63" l="1"/>
  <c r="J141" i="63"/>
  <c r="AC141" i="63" l="1"/>
  <c r="M141" i="63"/>
  <c r="I141" i="63" l="1"/>
  <c r="S141" i="63"/>
  <c r="O141" i="63"/>
  <c r="L141" i="63"/>
  <c r="N141" i="63" l="1"/>
  <c r="P141" i="63"/>
  <c r="J142" i="63" l="1"/>
  <c r="K142" i="63"/>
  <c r="M142" i="63" l="1"/>
  <c r="AC142" i="63"/>
  <c r="I142" i="63" l="1"/>
  <c r="S142" i="63"/>
  <c r="O142" i="63"/>
  <c r="L142" i="63"/>
  <c r="N142" i="63" l="1"/>
  <c r="P142" i="63"/>
  <c r="J143" i="63" l="1"/>
  <c r="K143" i="63"/>
  <c r="AC143" i="63" l="1"/>
  <c r="M143" i="63"/>
  <c r="I143" i="63" l="1"/>
  <c r="S143" i="63"/>
  <c r="O143" i="63"/>
  <c r="L143" i="63"/>
  <c r="N143" i="63" l="1"/>
  <c r="P143" i="63"/>
  <c r="K144" i="63" l="1"/>
  <c r="J144" i="63"/>
  <c r="AC144" i="63" l="1"/>
  <c r="M144" i="63"/>
  <c r="I144" i="63" l="1"/>
  <c r="S144" i="63"/>
  <c r="O144" i="63"/>
  <c r="L144" i="63"/>
  <c r="N144" i="63" l="1"/>
  <c r="P144" i="63"/>
  <c r="K145" i="63" l="1"/>
  <c r="J145" i="63"/>
  <c r="AC145" i="63" l="1"/>
  <c r="M145" i="63"/>
  <c r="I145" i="63" l="1"/>
  <c r="S145" i="63"/>
  <c r="O145" i="63"/>
  <c r="L145" i="63"/>
  <c r="N145" i="63" l="1"/>
  <c r="P145" i="63"/>
  <c r="K146" i="63" l="1"/>
  <c r="J146" i="63"/>
  <c r="M146" i="63" l="1"/>
  <c r="O146" i="63" s="1"/>
  <c r="AC146" i="63"/>
  <c r="L146" i="63" l="1"/>
  <c r="N146" i="63" s="1"/>
  <c r="I146" i="63"/>
  <c r="S146" i="63"/>
  <c r="P146" i="63" l="1"/>
  <c r="J147" i="63"/>
  <c r="K147" i="63"/>
  <c r="AC147" i="63" l="1"/>
  <c r="M147" i="63"/>
  <c r="I147" i="63" l="1"/>
  <c r="S147" i="63"/>
  <c r="O147" i="63"/>
  <c r="L147" i="63"/>
  <c r="N147" i="63" l="1"/>
  <c r="P147" i="63"/>
  <c r="J148" i="63" l="1"/>
  <c r="K148" i="63"/>
  <c r="AC148" i="63" l="1"/>
  <c r="M148" i="63"/>
  <c r="I148" i="63" l="1"/>
  <c r="S148" i="63"/>
  <c r="O148" i="63"/>
  <c r="L148" i="63"/>
  <c r="N148" i="63" l="1"/>
  <c r="P148" i="63"/>
  <c r="K149" i="63" l="1"/>
  <c r="J149" i="63"/>
  <c r="AC149" i="63" l="1"/>
  <c r="M149" i="63"/>
  <c r="I149" i="63" l="1"/>
  <c r="S149" i="63"/>
  <c r="O149" i="63"/>
  <c r="L149" i="63"/>
  <c r="N149" i="63" l="1"/>
  <c r="P149" i="63"/>
  <c r="K150" i="63" l="1"/>
  <c r="J150" i="63"/>
  <c r="AC150" i="63" l="1"/>
  <c r="M150" i="63"/>
  <c r="O150" i="63" s="1"/>
  <c r="I150" i="63" l="1"/>
  <c r="S150" i="63"/>
  <c r="L150" i="63"/>
  <c r="N150" i="63" l="1"/>
  <c r="P150" i="63"/>
  <c r="K151" i="63" l="1"/>
  <c r="J151" i="63"/>
  <c r="M151" i="63" l="1"/>
  <c r="O151" i="63" s="1"/>
  <c r="AC151" i="63"/>
  <c r="L151" i="63" l="1"/>
  <c r="N151" i="63" s="1"/>
  <c r="I151" i="63"/>
  <c r="S151" i="63"/>
  <c r="P151" i="63" l="1"/>
  <c r="K152" i="63" s="1"/>
  <c r="J152" i="63" l="1"/>
  <c r="M152" i="63" s="1"/>
  <c r="O152" i="63" s="1"/>
  <c r="AC152" i="63" l="1"/>
  <c r="I152" i="63" s="1"/>
  <c r="L152" i="63"/>
  <c r="N152" i="63" s="1"/>
  <c r="P152" i="63" l="1"/>
  <c r="S152" i="63"/>
  <c r="K153" i="63"/>
  <c r="J153" i="63"/>
  <c r="AC153" i="63" l="1"/>
  <c r="M153" i="63"/>
  <c r="O153" i="63" s="1"/>
  <c r="I153" i="63" l="1"/>
  <c r="S153" i="63"/>
  <c r="L153" i="63"/>
  <c r="N153" i="63" s="1"/>
  <c r="P153" i="63" l="1"/>
  <c r="J154" i="63" s="1"/>
  <c r="K154" i="63" l="1"/>
  <c r="AC154" i="63"/>
  <c r="M154" i="63"/>
  <c r="O154" i="63" s="1"/>
  <c r="I154" i="63" l="1"/>
  <c r="S154" i="63"/>
  <c r="L154" i="63"/>
  <c r="N154" i="63" s="1"/>
  <c r="P154" i="63" l="1"/>
  <c r="J155" i="63" s="1"/>
  <c r="K155" i="63" l="1"/>
  <c r="AC155" i="63"/>
  <c r="M155" i="63"/>
  <c r="O155" i="63" s="1"/>
  <c r="I155" i="63" l="1"/>
  <c r="S155" i="63"/>
  <c r="L155" i="63"/>
  <c r="N155" i="63" l="1"/>
  <c r="P155" i="63"/>
  <c r="K156" i="63" l="1"/>
  <c r="J156" i="63"/>
  <c r="AC156" i="63" l="1"/>
  <c r="M156" i="63"/>
  <c r="O156" i="63" s="1"/>
  <c r="I156" i="63" l="1"/>
  <c r="S156" i="63"/>
  <c r="L156" i="63"/>
  <c r="N156" i="63" s="1"/>
  <c r="P156" i="63" l="1"/>
  <c r="J157" i="63" s="1"/>
  <c r="K157" i="63" l="1"/>
  <c r="AC157" i="63"/>
  <c r="M157" i="63"/>
  <c r="I157" i="63" l="1"/>
  <c r="S157" i="63"/>
  <c r="O157" i="63"/>
  <c r="L157" i="63"/>
  <c r="N157" i="63" l="1"/>
  <c r="P157" i="63"/>
  <c r="J158" i="63" l="1"/>
  <c r="K158" i="63"/>
  <c r="M158" i="63" l="1"/>
  <c r="AC158" i="63"/>
  <c r="I158" i="63" l="1"/>
  <c r="S158" i="63"/>
  <c r="O158" i="63"/>
  <c r="L158" i="63"/>
  <c r="N158" i="63" l="1"/>
  <c r="P158" i="63"/>
  <c r="K159" i="63" l="1"/>
  <c r="J159" i="63"/>
  <c r="AC159" i="63" l="1"/>
  <c r="M159" i="63"/>
  <c r="I159" i="63" l="1"/>
  <c r="S159" i="63"/>
  <c r="L159" i="63"/>
  <c r="O159" i="63"/>
  <c r="N159" i="63" l="1"/>
  <c r="P159" i="63"/>
  <c r="K160" i="63" l="1"/>
  <c r="J160" i="63"/>
  <c r="M160" i="63" l="1"/>
  <c r="AC160" i="63"/>
  <c r="I160" i="63" l="1"/>
  <c r="S160" i="63"/>
  <c r="L160" i="63"/>
  <c r="O160" i="63"/>
  <c r="N160" i="63" l="1"/>
  <c r="P160" i="63"/>
  <c r="K161" i="63" l="1"/>
  <c r="J161" i="63"/>
  <c r="M161" i="63" l="1"/>
  <c r="AC161" i="63"/>
  <c r="I161" i="63" l="1"/>
  <c r="S161" i="63"/>
  <c r="O161" i="63"/>
  <c r="L161" i="63"/>
  <c r="N161" i="63" l="1"/>
  <c r="P161" i="63"/>
  <c r="K162" i="63" l="1"/>
  <c r="J162" i="63"/>
  <c r="M162" i="63" l="1"/>
  <c r="O162" i="63" s="1"/>
  <c r="AC162" i="63"/>
  <c r="L162" i="63" l="1"/>
  <c r="N162" i="63" s="1"/>
  <c r="I162" i="63"/>
  <c r="S162" i="63"/>
  <c r="P162" i="63" l="1"/>
  <c r="J163" i="63" s="1"/>
  <c r="K163" i="63" l="1"/>
  <c r="M163" i="63"/>
  <c r="O163" i="63" s="1"/>
  <c r="AC163" i="63"/>
  <c r="I163" i="63" l="1"/>
  <c r="S163" i="63"/>
  <c r="L163" i="63"/>
  <c r="N163" i="63" l="1"/>
  <c r="P163" i="63"/>
  <c r="K164" i="63" l="1"/>
  <c r="J164" i="63"/>
  <c r="M164" i="63" l="1"/>
  <c r="AC164" i="63"/>
  <c r="I164" i="63" l="1"/>
  <c r="S164" i="63"/>
  <c r="O164" i="63"/>
  <c r="L164" i="63"/>
  <c r="P164" i="63" l="1"/>
  <c r="N164" i="63"/>
  <c r="K165" i="63" l="1"/>
  <c r="J165" i="63"/>
  <c r="M165" i="63" l="1"/>
  <c r="O165" i="63" s="1"/>
  <c r="AC165" i="63"/>
  <c r="L165" i="63" l="1"/>
  <c r="N165" i="63" s="1"/>
  <c r="I165" i="63"/>
  <c r="S165" i="63"/>
  <c r="P165" i="63"/>
  <c r="J166" i="63" l="1"/>
  <c r="K166" i="63"/>
  <c r="AC166" i="63" l="1"/>
  <c r="M166" i="63"/>
  <c r="I166" i="63" l="1"/>
  <c r="S166" i="63"/>
  <c r="O166" i="63"/>
  <c r="L166" i="63"/>
  <c r="N166" i="63" l="1"/>
  <c r="P166" i="63"/>
  <c r="J167" i="63" l="1"/>
  <c r="K167" i="63"/>
  <c r="M167" i="63" l="1"/>
  <c r="O167" i="63" s="1"/>
  <c r="AC167" i="63"/>
  <c r="I167" i="63" l="1"/>
  <c r="S167" i="63"/>
  <c r="L167" i="63"/>
  <c r="P167" i="63" l="1"/>
  <c r="N167" i="63"/>
  <c r="J168" i="63" l="1"/>
  <c r="K168" i="63"/>
  <c r="AC168" i="63" l="1"/>
  <c r="M168" i="63"/>
  <c r="O168" i="63" s="1"/>
  <c r="I168" i="63" l="1"/>
  <c r="S168" i="63"/>
  <c r="L168" i="63"/>
  <c r="N168" i="63" l="1"/>
  <c r="P168" i="63"/>
  <c r="J169" i="63" l="1"/>
  <c r="K169" i="63"/>
  <c r="M169" i="63" l="1"/>
  <c r="O169" i="63" s="1"/>
  <c r="AC169" i="63"/>
  <c r="I169" i="63" l="1"/>
  <c r="S169" i="63"/>
  <c r="L169" i="63"/>
  <c r="N169" i="63" l="1"/>
  <c r="P169" i="63"/>
  <c r="J170" i="63" l="1"/>
  <c r="K170" i="63"/>
  <c r="AC170" i="63" l="1"/>
  <c r="M170" i="63"/>
  <c r="O170" i="63" s="1"/>
  <c r="I170" i="63" l="1"/>
  <c r="S170" i="63"/>
  <c r="L170" i="63"/>
  <c r="P170" i="63" l="1"/>
  <c r="N170" i="63"/>
  <c r="J171" i="63" l="1"/>
  <c r="K171" i="63"/>
  <c r="AC171" i="63" l="1"/>
  <c r="M171" i="63"/>
  <c r="O171" i="63" s="1"/>
  <c r="I171" i="63" l="1"/>
  <c r="S171" i="63"/>
  <c r="L171" i="63"/>
  <c r="N171" i="63" l="1"/>
  <c r="P171" i="63"/>
  <c r="J172" i="63" l="1"/>
  <c r="K172" i="63"/>
  <c r="M172" i="63" l="1"/>
  <c r="O172" i="63" s="1"/>
  <c r="AC172" i="63"/>
  <c r="I172" i="63" l="1"/>
  <c r="S172" i="63"/>
  <c r="L172" i="63"/>
  <c r="P172" i="63" l="1"/>
  <c r="N172" i="63"/>
  <c r="K173" i="63" l="1"/>
  <c r="J173" i="63"/>
  <c r="M173" i="63" l="1"/>
  <c r="O173" i="63" s="1"/>
  <c r="AC173" i="63"/>
  <c r="L173" i="63" l="1"/>
  <c r="P173" i="63" s="1"/>
  <c r="I173" i="63"/>
  <c r="S173" i="63"/>
  <c r="N173" i="63" l="1"/>
  <c r="J174" i="63"/>
  <c r="K174" i="63"/>
  <c r="AC174" i="63" l="1"/>
  <c r="M174" i="63"/>
  <c r="I174" i="63" l="1"/>
  <c r="S174" i="63"/>
  <c r="O174" i="63"/>
  <c r="L174" i="63"/>
  <c r="P174" i="63" l="1"/>
  <c r="N174" i="63"/>
  <c r="J175" i="63" l="1"/>
  <c r="K175" i="63"/>
  <c r="AC175" i="63" l="1"/>
  <c r="M175" i="63"/>
  <c r="I175" i="63" l="1"/>
  <c r="S175" i="63"/>
  <c r="O175" i="63"/>
  <c r="L175" i="63"/>
  <c r="P175" i="63" l="1"/>
  <c r="N175" i="63"/>
  <c r="J176" i="63" l="1"/>
  <c r="K176" i="63"/>
  <c r="M176" i="63" l="1"/>
  <c r="AC176" i="63"/>
  <c r="I176" i="63" l="1"/>
  <c r="S176" i="63"/>
  <c r="O176" i="63"/>
  <c r="L176" i="63"/>
  <c r="N176" i="63" l="1"/>
  <c r="P176" i="63"/>
  <c r="K177" i="63" l="1"/>
  <c r="J177" i="63"/>
  <c r="AC177" i="63" l="1"/>
  <c r="M177" i="63"/>
  <c r="I177" i="63" l="1"/>
  <c r="S177" i="63"/>
  <c r="O177" i="63"/>
  <c r="L177" i="63"/>
  <c r="N177" i="63" l="1"/>
  <c r="P177" i="63"/>
  <c r="K178" i="63" l="1"/>
  <c r="J178" i="63"/>
  <c r="M178" i="63" l="1"/>
  <c r="AC178" i="63"/>
  <c r="I178" i="63" l="1"/>
  <c r="S178" i="63"/>
  <c r="L178" i="63"/>
  <c r="O178" i="63"/>
  <c r="P178" i="63" l="1"/>
  <c r="N178" i="63"/>
  <c r="J179" i="63" l="1"/>
  <c r="K179" i="63"/>
  <c r="M179" i="63" l="1"/>
  <c r="AC179" i="63"/>
  <c r="I179" i="63" l="1"/>
  <c r="S179" i="63"/>
  <c r="O179" i="63"/>
  <c r="L179" i="63"/>
  <c r="P179" i="63" l="1"/>
  <c r="N179" i="63"/>
  <c r="J180" i="63" l="1"/>
  <c r="K180" i="63"/>
  <c r="AC180" i="63" l="1"/>
  <c r="M180" i="63"/>
  <c r="I180" i="63" l="1"/>
  <c r="S180" i="63"/>
  <c r="O180" i="63"/>
  <c r="L180" i="63"/>
  <c r="N180" i="63" l="1"/>
  <c r="P180" i="63"/>
  <c r="J181" i="63" l="1"/>
  <c r="K181" i="63"/>
  <c r="M181" i="63" l="1"/>
  <c r="AC181" i="63"/>
  <c r="I181" i="63" l="1"/>
  <c r="S181" i="63"/>
  <c r="L181" i="63"/>
  <c r="O181" i="63"/>
  <c r="N181" i="63" l="1"/>
  <c r="P181" i="63"/>
  <c r="J182" i="63" l="1"/>
  <c r="K182" i="63"/>
  <c r="AC182" i="63" l="1"/>
  <c r="M182" i="63"/>
  <c r="I182" i="63" l="1"/>
  <c r="S182" i="63"/>
  <c r="L182" i="63"/>
  <c r="O182" i="63"/>
  <c r="P182" i="63" l="1"/>
  <c r="N182" i="63"/>
  <c r="K183" i="63" l="1"/>
  <c r="J183" i="63"/>
  <c r="AC183" i="63" l="1"/>
  <c r="M183" i="63"/>
  <c r="I183" i="63" l="1"/>
  <c r="S183" i="63"/>
  <c r="O183" i="63"/>
  <c r="L183" i="63"/>
  <c r="P183" i="63" l="1"/>
  <c r="N183" i="63"/>
  <c r="J184" i="63" l="1"/>
  <c r="K184" i="63"/>
  <c r="M184" i="63" l="1"/>
  <c r="AC184" i="63"/>
  <c r="I184" i="63" l="1"/>
  <c r="S184" i="63"/>
  <c r="O184" i="63"/>
  <c r="L184" i="63"/>
  <c r="N184" i="63" l="1"/>
  <c r="P184" i="63"/>
  <c r="J185" i="63" l="1"/>
  <c r="K185" i="63"/>
  <c r="AC185" i="63" l="1"/>
  <c r="M185" i="63"/>
  <c r="I185" i="63" l="1"/>
  <c r="S185" i="63"/>
  <c r="O185" i="63"/>
  <c r="L185" i="63"/>
  <c r="N185" i="63" l="1"/>
  <c r="P185" i="63"/>
  <c r="K186" i="63" l="1"/>
  <c r="J186" i="63"/>
  <c r="M186" i="63" l="1"/>
  <c r="AC186" i="63"/>
  <c r="I186" i="63" l="1"/>
  <c r="S186" i="63"/>
  <c r="O186" i="63"/>
  <c r="L186" i="63"/>
  <c r="N186" i="63" l="1"/>
  <c r="P186" i="63"/>
  <c r="K187" i="63" l="1"/>
  <c r="J187" i="63"/>
  <c r="AC187" i="63" l="1"/>
  <c r="M187" i="63"/>
  <c r="I187" i="63" l="1"/>
  <c r="S187" i="63"/>
  <c r="O187" i="63"/>
  <c r="L187" i="63"/>
  <c r="N187" i="63" l="1"/>
  <c r="P187" i="63"/>
  <c r="K188" i="63" l="1"/>
  <c r="J188" i="63"/>
  <c r="M188" i="63" l="1"/>
  <c r="AC188" i="63"/>
  <c r="I188" i="63" l="1"/>
  <c r="S188" i="63"/>
  <c r="O188" i="63"/>
  <c r="L188" i="63"/>
  <c r="P188" i="63" l="1"/>
  <c r="N188" i="63"/>
  <c r="K189" i="63" l="1"/>
  <c r="J189" i="63"/>
  <c r="M189" i="63" l="1"/>
  <c r="AC189" i="63"/>
  <c r="I189" i="63" l="1"/>
  <c r="S189" i="63"/>
  <c r="O189" i="63"/>
  <c r="L189" i="63"/>
  <c r="N189" i="63" l="1"/>
  <c r="P189" i="63"/>
  <c r="K190" i="63" l="1"/>
  <c r="J190" i="63"/>
  <c r="AC190" i="63" l="1"/>
  <c r="M190" i="63"/>
  <c r="O190" i="63" s="1"/>
  <c r="I190" i="63" l="1"/>
  <c r="S190" i="63"/>
  <c r="L190" i="63"/>
  <c r="N190" i="63" s="1"/>
  <c r="P190" i="63" l="1"/>
  <c r="J191" i="63" s="1"/>
  <c r="K191" i="63" l="1"/>
  <c r="M191" i="63"/>
  <c r="AC191" i="63"/>
  <c r="I191" i="63" l="1"/>
  <c r="S191" i="63"/>
  <c r="O191" i="63"/>
  <c r="L191" i="63"/>
  <c r="N191" i="63" l="1"/>
  <c r="P191" i="63"/>
  <c r="J192" i="63" l="1"/>
  <c r="K192" i="63"/>
  <c r="M192" i="63" l="1"/>
  <c r="AC192" i="63"/>
  <c r="I192" i="63" l="1"/>
  <c r="S192" i="63"/>
  <c r="O192" i="63"/>
  <c r="L192" i="63"/>
  <c r="P192" i="63" l="1"/>
  <c r="N192" i="63"/>
  <c r="K193" i="63" l="1"/>
  <c r="J193" i="63"/>
  <c r="AC193" i="63" l="1"/>
  <c r="M193" i="63"/>
  <c r="I193" i="63" l="1"/>
  <c r="S193" i="63"/>
  <c r="O193" i="63"/>
  <c r="L193" i="63"/>
  <c r="N193" i="63" l="1"/>
  <c r="P193" i="63"/>
  <c r="K194" i="63" l="1"/>
  <c r="J194" i="63"/>
  <c r="AC194" i="63" l="1"/>
  <c r="M194" i="63"/>
  <c r="I194" i="63" l="1"/>
  <c r="S194" i="63"/>
  <c r="O194" i="63"/>
  <c r="L194" i="63"/>
  <c r="N194" i="63" l="1"/>
  <c r="P194" i="63"/>
  <c r="K195" i="63" l="1"/>
  <c r="J195" i="63"/>
  <c r="AC195" i="63" l="1"/>
  <c r="M195" i="63"/>
  <c r="O195" i="63" s="1"/>
  <c r="I195" i="63" l="1"/>
  <c r="S195" i="63"/>
  <c r="L195" i="63"/>
  <c r="N195" i="63" l="1"/>
  <c r="P195" i="63"/>
  <c r="J196" i="63" l="1"/>
  <c r="K196" i="63"/>
  <c r="M196" i="63" l="1"/>
  <c r="O196" i="63" s="1"/>
  <c r="AC196" i="63"/>
  <c r="I196" i="63" l="1"/>
  <c r="S196" i="63"/>
  <c r="L196" i="63"/>
  <c r="P196" i="63" l="1"/>
  <c r="N196" i="63"/>
  <c r="K197" i="63" l="1"/>
  <c r="J197" i="63"/>
  <c r="AC197" i="63" l="1"/>
  <c r="M197" i="63"/>
  <c r="O197" i="63" s="1"/>
  <c r="L197" i="63" l="1"/>
  <c r="P197" i="63" s="1"/>
  <c r="I197" i="63"/>
  <c r="S197" i="63"/>
  <c r="N197" i="63" l="1"/>
  <c r="K198" i="63"/>
  <c r="J198" i="63"/>
  <c r="M198" i="63" l="1"/>
  <c r="O198" i="63" s="1"/>
  <c r="AC198" i="63"/>
  <c r="L198" i="63" l="1"/>
  <c r="N198" i="63" s="1"/>
  <c r="I198" i="63"/>
  <c r="S198" i="63"/>
  <c r="P198" i="63" l="1"/>
  <c r="J199" i="63" s="1"/>
  <c r="K199" i="63" l="1"/>
  <c r="M199" i="63"/>
  <c r="O199" i="63" s="1"/>
  <c r="AC199" i="63"/>
  <c r="I199" i="63" l="1"/>
  <c r="S199" i="63"/>
  <c r="L199" i="63"/>
  <c r="P199" i="63" l="1"/>
  <c r="N199" i="63"/>
  <c r="K200" i="63" l="1"/>
  <c r="J200" i="63"/>
  <c r="AC200" i="63" l="1"/>
  <c r="M200" i="63"/>
  <c r="O200" i="63" s="1"/>
  <c r="I200" i="63" l="1"/>
  <c r="S200" i="63"/>
  <c r="L200" i="63"/>
  <c r="N200" i="63" l="1"/>
  <c r="P200" i="63"/>
  <c r="K201" i="63" l="1"/>
  <c r="J201" i="63"/>
  <c r="M201" i="63" l="1"/>
  <c r="O201" i="63" s="1"/>
  <c r="AC201" i="63"/>
  <c r="L201" i="63" l="1"/>
  <c r="N201" i="63" s="1"/>
  <c r="I201" i="63"/>
  <c r="S201" i="63"/>
  <c r="P201" i="63" l="1"/>
  <c r="K202" i="63" s="1"/>
  <c r="J202" i="63" l="1"/>
  <c r="M202" i="63" s="1"/>
  <c r="O202" i="63" s="1"/>
  <c r="AC202" i="63" l="1"/>
  <c r="I202" i="63" s="1"/>
  <c r="L202" i="63"/>
  <c r="N202" i="63" s="1"/>
  <c r="P202" i="63" l="1"/>
  <c r="S202" i="63"/>
  <c r="J203" i="63"/>
  <c r="K203" i="63"/>
  <c r="AC203" i="63" l="1"/>
  <c r="M203" i="63"/>
  <c r="I203" i="63" l="1"/>
  <c r="S203" i="63"/>
  <c r="O203" i="63"/>
  <c r="L203" i="63"/>
  <c r="N203" i="63" l="1"/>
  <c r="P203" i="63"/>
  <c r="J204" i="63" l="1"/>
  <c r="K204" i="63"/>
  <c r="AC204" i="63" l="1"/>
  <c r="M204" i="63"/>
  <c r="I204" i="63" l="1"/>
  <c r="S204" i="63"/>
  <c r="O204" i="63"/>
  <c r="L204" i="63"/>
  <c r="N204" i="63" l="1"/>
  <c r="P204" i="63"/>
  <c r="J205" i="63" l="1"/>
  <c r="K205" i="63"/>
  <c r="AC205" i="63" l="1"/>
  <c r="M205" i="63"/>
  <c r="I205" i="63" l="1"/>
  <c r="S205" i="63"/>
  <c r="O205" i="63"/>
  <c r="L205" i="63"/>
  <c r="N205" i="63" l="1"/>
  <c r="P205" i="63"/>
  <c r="K206" i="63" l="1"/>
  <c r="J206" i="63"/>
  <c r="AC206" i="63" l="1"/>
  <c r="M206" i="63"/>
  <c r="I206" i="63" l="1"/>
  <c r="S206" i="63"/>
  <c r="O206" i="63"/>
  <c r="L206" i="63"/>
  <c r="P206" i="63" l="1"/>
  <c r="N206" i="63"/>
  <c r="K207" i="63" l="1"/>
  <c r="J207" i="63"/>
  <c r="AC207" i="63" l="1"/>
  <c r="M207" i="63"/>
  <c r="I207" i="63" l="1"/>
  <c r="S207" i="63"/>
  <c r="O207" i="63"/>
  <c r="L207" i="63"/>
  <c r="P207" i="63" l="1"/>
  <c r="N207" i="63"/>
  <c r="K208" i="63" l="1"/>
  <c r="J208" i="63"/>
  <c r="AC208" i="63" l="1"/>
  <c r="M208" i="63"/>
  <c r="I208" i="63" l="1"/>
  <c r="S208" i="63"/>
  <c r="O208" i="63"/>
  <c r="L208" i="63"/>
  <c r="N208" i="63" l="1"/>
  <c r="P208" i="63"/>
  <c r="K209" i="63" l="1"/>
  <c r="J209" i="63"/>
  <c r="AC209" i="63" l="1"/>
  <c r="M209" i="63"/>
  <c r="I209" i="63" l="1"/>
  <c r="S209" i="63"/>
  <c r="O209" i="63"/>
  <c r="L209" i="63"/>
  <c r="N209" i="63" l="1"/>
  <c r="P209" i="63"/>
  <c r="J210" i="63" l="1"/>
  <c r="K210" i="63"/>
  <c r="AC210" i="63" l="1"/>
  <c r="M210" i="63"/>
  <c r="O210" i="63" s="1"/>
  <c r="I210" i="63" l="1"/>
  <c r="S210" i="63"/>
  <c r="L210" i="63"/>
  <c r="N210" i="63" l="1"/>
  <c r="P210" i="63"/>
  <c r="K211" i="63" l="1"/>
  <c r="J211" i="63"/>
  <c r="M211" i="63" l="1"/>
  <c r="O211" i="63" s="1"/>
  <c r="AC211" i="63"/>
  <c r="L211" i="63" l="1"/>
  <c r="N211" i="63" s="1"/>
  <c r="I211" i="63"/>
  <c r="S211" i="63"/>
  <c r="P211" i="63" l="1"/>
  <c r="J212" i="63" s="1"/>
  <c r="K212" i="63" l="1"/>
  <c r="M212" i="63"/>
  <c r="O212" i="63" s="1"/>
  <c r="AC212" i="63"/>
  <c r="I212" i="63" l="1"/>
  <c r="S212" i="63"/>
  <c r="L212" i="63"/>
  <c r="N212" i="63" l="1"/>
  <c r="P212" i="63"/>
  <c r="J213" i="63" l="1"/>
  <c r="K213" i="63"/>
  <c r="AC213" i="63" l="1"/>
  <c r="M213" i="63"/>
  <c r="O213" i="63" s="1"/>
  <c r="I213" i="63" l="1"/>
  <c r="S213" i="63"/>
  <c r="L213" i="63"/>
  <c r="N213" i="63" l="1"/>
  <c r="P213" i="63"/>
  <c r="K214" i="63" l="1"/>
  <c r="J214" i="63"/>
  <c r="AC214" i="63" l="1"/>
  <c r="M214" i="63"/>
  <c r="O214" i="63" s="1"/>
  <c r="I214" i="63" l="1"/>
  <c r="S214" i="63"/>
  <c r="L214" i="63"/>
  <c r="N214" i="63" s="1"/>
  <c r="P214" i="63" l="1"/>
  <c r="J215" i="63" s="1"/>
  <c r="K215" i="63"/>
  <c r="M215" i="63" l="1"/>
  <c r="O215" i="63" s="1"/>
  <c r="AC215" i="63"/>
  <c r="I215" i="63" l="1"/>
  <c r="S215" i="63"/>
  <c r="L215" i="63"/>
  <c r="N215" i="63" l="1"/>
  <c r="P215" i="63"/>
  <c r="J216" i="63" l="1"/>
  <c r="K216" i="63"/>
  <c r="M216" i="63" l="1"/>
  <c r="O216" i="63" s="1"/>
  <c r="AC216" i="63"/>
  <c r="I216" i="63" l="1"/>
  <c r="S216" i="63"/>
  <c r="L216" i="63"/>
  <c r="N216" i="63" l="1"/>
  <c r="P216" i="63"/>
  <c r="J217" i="63" l="1"/>
  <c r="K217" i="63"/>
  <c r="AC217" i="63" l="1"/>
  <c r="M217" i="63"/>
  <c r="O217" i="63" s="1"/>
  <c r="I217" i="63" l="1"/>
  <c r="S217" i="63"/>
  <c r="L217" i="63"/>
  <c r="N217" i="63" l="1"/>
  <c r="P217" i="63"/>
  <c r="J218" i="63" l="1"/>
  <c r="K218" i="63"/>
  <c r="AC218" i="63" l="1"/>
  <c r="M218" i="63"/>
  <c r="O218" i="63" s="1"/>
  <c r="I218" i="63" l="1"/>
  <c r="S218" i="63"/>
  <c r="L218" i="63"/>
  <c r="N218" i="63" l="1"/>
  <c r="P218" i="63"/>
  <c r="J219" i="63" l="1"/>
  <c r="K219" i="63"/>
  <c r="AC219" i="63" l="1"/>
  <c r="M219" i="63"/>
  <c r="O219" i="63" s="1"/>
  <c r="I219" i="63" l="1"/>
  <c r="S219" i="63"/>
  <c r="L219" i="63"/>
  <c r="N219" i="63" l="1"/>
  <c r="P219" i="63"/>
  <c r="J220" i="63" l="1"/>
  <c r="K220" i="63"/>
  <c r="M220" i="63" l="1"/>
  <c r="O220" i="63" s="1"/>
  <c r="AC220" i="63"/>
  <c r="I220" i="63" l="1"/>
  <c r="S220" i="63"/>
  <c r="L220" i="63"/>
  <c r="N220" i="63" l="1"/>
  <c r="P220" i="63"/>
  <c r="J221" i="63" l="1"/>
  <c r="K221" i="63"/>
  <c r="AC221" i="63" l="1"/>
  <c r="M221" i="63"/>
  <c r="O221" i="63" s="1"/>
  <c r="I221" i="63" l="1"/>
  <c r="S221" i="63"/>
  <c r="L221" i="63"/>
  <c r="N221" i="63" l="1"/>
  <c r="P221" i="63"/>
  <c r="J222" i="63" l="1"/>
  <c r="K222" i="63"/>
  <c r="M222" i="63" l="1"/>
  <c r="O222" i="63" s="1"/>
  <c r="AC222" i="63"/>
  <c r="I222" i="63" l="1"/>
  <c r="S222" i="63"/>
  <c r="L222" i="63"/>
  <c r="N222" i="63" l="1"/>
  <c r="P222" i="63"/>
  <c r="J223" i="63" l="1"/>
  <c r="K223" i="63"/>
  <c r="M223" i="63" l="1"/>
  <c r="O223" i="63" s="1"/>
  <c r="AC223" i="63"/>
  <c r="I223" i="63" l="1"/>
  <c r="S223" i="63"/>
  <c r="L223" i="63"/>
  <c r="N223" i="63" l="1"/>
  <c r="P223" i="63"/>
  <c r="K224" i="63" l="1"/>
  <c r="J224" i="63"/>
  <c r="AC224" i="63" l="1"/>
  <c r="M224" i="63"/>
  <c r="O224" i="63" s="1"/>
  <c r="I224" i="63" l="1"/>
  <c r="S224" i="63"/>
  <c r="L224" i="63"/>
  <c r="N224" i="63" l="1"/>
  <c r="P224" i="63"/>
  <c r="J225" i="63" l="1"/>
  <c r="K225" i="63"/>
  <c r="M225" i="63" l="1"/>
  <c r="O225" i="63" s="1"/>
  <c r="AC225" i="63"/>
  <c r="I225" i="63" l="1"/>
  <c r="S225" i="63"/>
  <c r="L225" i="63"/>
  <c r="N225" i="63" l="1"/>
  <c r="P225" i="63"/>
  <c r="K226" i="63" l="1"/>
  <c r="J226" i="63"/>
  <c r="AC226" i="63" l="1"/>
  <c r="M226" i="63"/>
  <c r="O226" i="63" s="1"/>
  <c r="I226" i="63" l="1"/>
  <c r="S226" i="63"/>
  <c r="L226" i="63"/>
  <c r="N226" i="63" l="1"/>
  <c r="P226" i="63"/>
  <c r="J227" i="63" l="1"/>
  <c r="K227" i="63"/>
  <c r="AC227" i="63" l="1"/>
  <c r="M227" i="63"/>
  <c r="O227" i="63" s="1"/>
  <c r="I227" i="63" l="1"/>
  <c r="S227" i="63"/>
  <c r="L227" i="63"/>
  <c r="N227" i="63" l="1"/>
  <c r="P227" i="63"/>
  <c r="J228" i="63" l="1"/>
  <c r="K228" i="63"/>
  <c r="M228" i="63" l="1"/>
  <c r="O228" i="63" s="1"/>
  <c r="AC228" i="63"/>
  <c r="I228" i="63" l="1"/>
  <c r="S228" i="63"/>
  <c r="L228" i="63"/>
  <c r="N228" i="63" l="1"/>
  <c r="P228" i="63"/>
  <c r="K229" i="63" l="1"/>
  <c r="J229" i="63"/>
  <c r="M229" i="63" l="1"/>
  <c r="O229" i="63" s="1"/>
  <c r="AC229" i="63"/>
  <c r="I229" i="63" l="1"/>
  <c r="S229" i="63"/>
  <c r="L229" i="63"/>
  <c r="N229" i="63" s="1"/>
  <c r="P229" i="63" l="1"/>
  <c r="J230" i="63" s="1"/>
  <c r="K230" i="63" l="1"/>
  <c r="AC230" i="63"/>
  <c r="M230" i="63"/>
  <c r="O230" i="63" s="1"/>
  <c r="I230" i="63" l="1"/>
  <c r="S230" i="63"/>
  <c r="L230" i="63"/>
  <c r="N230" i="63" l="1"/>
  <c r="P230" i="63"/>
  <c r="J231" i="63" l="1"/>
  <c r="K231" i="63"/>
  <c r="AC231" i="63" l="1"/>
  <c r="M231" i="63"/>
  <c r="O231" i="63" s="1"/>
  <c r="I231" i="63" l="1"/>
  <c r="S231" i="63"/>
  <c r="L231" i="63"/>
  <c r="N231" i="63" l="1"/>
  <c r="P231" i="63"/>
  <c r="K232" i="63" l="1"/>
  <c r="J232" i="63"/>
  <c r="AC232" i="63" l="1"/>
  <c r="M232" i="63"/>
  <c r="O232" i="63" s="1"/>
  <c r="I232" i="63" l="1"/>
  <c r="S232" i="63"/>
  <c r="L232" i="63"/>
  <c r="N232" i="63" s="1"/>
  <c r="P232" i="63" l="1"/>
  <c r="J233" i="63" s="1"/>
  <c r="K233" i="63"/>
  <c r="M233" i="63" l="1"/>
  <c r="O233" i="63" s="1"/>
  <c r="AC233" i="63"/>
  <c r="I233" i="63" l="1"/>
  <c r="S233" i="63"/>
  <c r="L233" i="63"/>
  <c r="N233" i="63" l="1"/>
  <c r="P233" i="63"/>
  <c r="K234" i="63" l="1"/>
  <c r="J234" i="63"/>
  <c r="AC234" i="63" l="1"/>
  <c r="M234" i="63"/>
  <c r="O234" i="63" s="1"/>
  <c r="I234" i="63" l="1"/>
  <c r="S234" i="63"/>
  <c r="L234" i="63"/>
  <c r="N234" i="63" l="1"/>
  <c r="P234" i="63"/>
  <c r="K235" i="63" l="1"/>
  <c r="J235" i="63"/>
  <c r="AC235" i="63" l="1"/>
  <c r="M235" i="63"/>
  <c r="O235" i="63" s="1"/>
  <c r="I235" i="63" l="1"/>
  <c r="S235" i="63"/>
  <c r="L235" i="63"/>
  <c r="N235" i="63" l="1"/>
  <c r="P235" i="63"/>
  <c r="J236" i="63" l="1"/>
  <c r="K236" i="63"/>
  <c r="M236" i="63" l="1"/>
  <c r="O236" i="63" s="1"/>
  <c r="AC236" i="63"/>
  <c r="I236" i="63" l="1"/>
  <c r="S236" i="63"/>
  <c r="L236" i="63"/>
  <c r="P236" i="63" l="1"/>
  <c r="N236" i="63"/>
  <c r="K237" i="63" l="1"/>
  <c r="J237" i="63"/>
  <c r="AC237" i="63" l="1"/>
  <c r="M237" i="63"/>
  <c r="O237" i="63" s="1"/>
  <c r="I237" i="63" l="1"/>
  <c r="S237" i="63"/>
  <c r="L237" i="63"/>
  <c r="N237" i="63" l="1"/>
  <c r="P237" i="63"/>
  <c r="K238" i="63" l="1"/>
  <c r="J238" i="63"/>
  <c r="M238" i="63" l="1"/>
  <c r="O238" i="63" s="1"/>
  <c r="AC238" i="63"/>
  <c r="L238" i="63" l="1"/>
  <c r="N238" i="63" s="1"/>
  <c r="I238" i="63"/>
  <c r="S238" i="63"/>
  <c r="P238" i="63" l="1"/>
  <c r="K239" i="63"/>
  <c r="J239" i="63"/>
  <c r="M239" i="63" l="1"/>
  <c r="AC239" i="63"/>
  <c r="I239" i="63" l="1"/>
  <c r="S239" i="63"/>
  <c r="L239" i="63"/>
  <c r="O239" i="63"/>
  <c r="N239" i="63" l="1"/>
  <c r="P239" i="63"/>
  <c r="K240" i="63" l="1"/>
  <c r="J240" i="63"/>
  <c r="M240" i="63" l="1"/>
  <c r="AC240" i="63"/>
  <c r="I240" i="63" l="1"/>
  <c r="S240" i="63"/>
  <c r="O240" i="63"/>
  <c r="L240" i="63"/>
  <c r="P240" i="63" l="1"/>
  <c r="N240" i="63"/>
  <c r="J241" i="63" l="1"/>
  <c r="K241" i="63"/>
  <c r="AC241" i="63" l="1"/>
  <c r="M241" i="63"/>
  <c r="I241" i="63" l="1"/>
  <c r="S241" i="63"/>
  <c r="O241" i="63"/>
  <c r="L241" i="63"/>
  <c r="P241" i="63" l="1"/>
  <c r="N241" i="63"/>
  <c r="K242" i="63" l="1"/>
  <c r="J242" i="63"/>
  <c r="M242" i="63" l="1"/>
  <c r="AC242" i="63"/>
  <c r="I242" i="63" l="1"/>
  <c r="S242" i="63"/>
  <c r="O242" i="63"/>
  <c r="L242" i="63"/>
  <c r="N242" i="63" l="1"/>
  <c r="P242" i="63"/>
  <c r="J243" i="63" l="1"/>
  <c r="K243" i="63"/>
  <c r="M243" i="63" l="1"/>
  <c r="AC243" i="63"/>
  <c r="I243" i="63" l="1"/>
  <c r="S243" i="63"/>
  <c r="O243" i="63"/>
  <c r="L243" i="63"/>
  <c r="P243" i="63" l="1"/>
  <c r="N243" i="63"/>
  <c r="K244" i="63" l="1"/>
  <c r="J244" i="63"/>
  <c r="AC244" i="63" l="1"/>
  <c r="M244" i="63"/>
  <c r="I244" i="63" l="1"/>
  <c r="S244" i="63"/>
  <c r="O244" i="63"/>
  <c r="L244" i="63"/>
  <c r="N244" i="63" l="1"/>
  <c r="P244" i="63"/>
  <c r="J245" i="63" l="1"/>
  <c r="K245" i="63"/>
  <c r="AC245" i="63" l="1"/>
  <c r="M245" i="63"/>
  <c r="I245" i="63" l="1"/>
  <c r="S245" i="63"/>
  <c r="O245" i="63"/>
  <c r="L245" i="63"/>
  <c r="N245" i="63" l="1"/>
  <c r="P245" i="63"/>
  <c r="J246" i="63" l="1"/>
  <c r="K246" i="63"/>
  <c r="AC246" i="63" l="1"/>
  <c r="M246" i="63"/>
  <c r="I246" i="63" l="1"/>
  <c r="S246" i="63"/>
  <c r="L246" i="63"/>
  <c r="O246" i="63"/>
  <c r="N246" i="63" l="1"/>
  <c r="P246" i="63"/>
  <c r="J247" i="63" l="1"/>
  <c r="K247" i="63"/>
  <c r="AC247" i="63" l="1"/>
  <c r="M247" i="63"/>
  <c r="I247" i="63" l="1"/>
  <c r="S247" i="63"/>
  <c r="L247" i="63"/>
  <c r="O247" i="63"/>
  <c r="N247" i="63" l="1"/>
  <c r="P247" i="63"/>
  <c r="J248" i="63" l="1"/>
  <c r="K248" i="63"/>
  <c r="M248" i="63" l="1"/>
  <c r="AC248" i="63"/>
  <c r="I248" i="63" l="1"/>
  <c r="S248" i="63"/>
  <c r="O248" i="63"/>
  <c r="L248" i="63"/>
  <c r="P248" i="63" l="1"/>
  <c r="N248" i="63"/>
  <c r="K249" i="63" l="1"/>
  <c r="J249" i="63"/>
  <c r="M249" i="63" l="1"/>
  <c r="AC249" i="63"/>
  <c r="I249" i="63" l="1"/>
  <c r="S249" i="63"/>
  <c r="L249" i="63"/>
  <c r="O249" i="63"/>
  <c r="N249" i="63" l="1"/>
  <c r="P249" i="63"/>
  <c r="J250" i="63" l="1"/>
  <c r="K250" i="63"/>
  <c r="AC250" i="63" l="1"/>
  <c r="M250" i="63"/>
  <c r="I250" i="63" l="1"/>
  <c r="S250" i="63"/>
  <c r="L250" i="63"/>
  <c r="O250" i="63"/>
  <c r="P250" i="63" l="1"/>
  <c r="N250" i="63"/>
  <c r="K251" i="63" l="1"/>
  <c r="J251" i="63"/>
  <c r="AC251" i="63" l="1"/>
  <c r="M251" i="63"/>
  <c r="I251" i="63" l="1"/>
  <c r="S251" i="63"/>
  <c r="O251" i="63"/>
  <c r="L251" i="63"/>
  <c r="N251" i="63" l="1"/>
  <c r="P251" i="63"/>
  <c r="J252" i="63" l="1"/>
  <c r="K252" i="63"/>
  <c r="M252" i="63" l="1"/>
  <c r="AC252" i="63"/>
  <c r="I252" i="63" l="1"/>
  <c r="S252" i="63"/>
  <c r="L252" i="63"/>
  <c r="O252" i="63"/>
  <c r="N252" i="63" l="1"/>
  <c r="P252" i="63"/>
  <c r="J253" i="63" l="1"/>
  <c r="K253" i="63"/>
  <c r="M253" i="63" l="1"/>
  <c r="AC253" i="63"/>
  <c r="I253" i="63" l="1"/>
  <c r="S253" i="63"/>
  <c r="L253" i="63"/>
  <c r="O253" i="63"/>
  <c r="P253" i="63" l="1"/>
  <c r="N253" i="63"/>
  <c r="K254" i="63" l="1"/>
  <c r="J254" i="63"/>
  <c r="M254" i="63" l="1"/>
  <c r="O254" i="63" s="1"/>
  <c r="AC254" i="63"/>
  <c r="L254" i="63" l="1"/>
  <c r="I254" i="63"/>
  <c r="S254" i="63"/>
  <c r="N254" i="63"/>
  <c r="P254" i="63"/>
  <c r="K255" i="63" l="1"/>
  <c r="J255" i="63"/>
  <c r="M255" i="63" l="1"/>
  <c r="O255" i="63" s="1"/>
  <c r="AC255" i="63"/>
  <c r="L255" i="63" l="1"/>
  <c r="N255" i="63" s="1"/>
  <c r="I255" i="63"/>
  <c r="S255" i="63"/>
  <c r="P255" i="63"/>
  <c r="J256" i="63" l="1"/>
  <c r="K256" i="63"/>
  <c r="AC256" i="63" l="1"/>
  <c r="M256" i="63"/>
  <c r="I256" i="63" l="1"/>
  <c r="S256" i="63"/>
  <c r="O256" i="63"/>
  <c r="L256" i="63"/>
  <c r="N256" i="63" l="1"/>
  <c r="P256" i="63"/>
  <c r="K257" i="63" l="1"/>
  <c r="J257" i="63"/>
  <c r="AC257" i="63" l="1"/>
  <c r="M257" i="63"/>
  <c r="I257" i="63" l="1"/>
  <c r="S257" i="63"/>
  <c r="O257" i="63"/>
  <c r="L257" i="63"/>
  <c r="N257" i="63" l="1"/>
  <c r="P257" i="63"/>
  <c r="J258" i="63" l="1"/>
  <c r="K258" i="63"/>
  <c r="AC258" i="63" l="1"/>
  <c r="M258" i="63"/>
  <c r="I258" i="63" l="1"/>
  <c r="S258" i="63"/>
  <c r="O258" i="63"/>
  <c r="L258" i="63"/>
  <c r="N258" i="63" l="1"/>
  <c r="P258" i="63"/>
  <c r="K259" i="63" l="1"/>
  <c r="J259" i="63"/>
  <c r="AC259" i="63" l="1"/>
  <c r="M259" i="63"/>
  <c r="I259" i="63" l="1"/>
  <c r="S259" i="63"/>
  <c r="O259" i="63"/>
  <c r="L259" i="63"/>
  <c r="N259" i="63" l="1"/>
  <c r="P259" i="63"/>
  <c r="J260" i="63" l="1"/>
  <c r="K260" i="63"/>
  <c r="M260" i="63" l="1"/>
  <c r="AC260" i="63"/>
  <c r="I260" i="63" l="1"/>
  <c r="S260" i="63"/>
  <c r="O260" i="63"/>
  <c r="L260" i="63"/>
  <c r="P260" i="63" l="1"/>
  <c r="N260" i="63"/>
  <c r="K261" i="63" l="1"/>
  <c r="J261" i="63"/>
  <c r="AC261" i="63" l="1"/>
  <c r="M261" i="63"/>
  <c r="I261" i="63" l="1"/>
  <c r="S261" i="63"/>
  <c r="O261" i="63"/>
  <c r="L261" i="63"/>
  <c r="N261" i="63" l="1"/>
  <c r="P261" i="63"/>
  <c r="K262" i="63" l="1"/>
  <c r="J262" i="63"/>
  <c r="AC262" i="63" l="1"/>
  <c r="M262" i="63"/>
  <c r="I262" i="63" l="1"/>
  <c r="S262" i="63"/>
  <c r="O262" i="63"/>
  <c r="L262" i="63"/>
  <c r="N262" i="63" l="1"/>
  <c r="P262" i="63"/>
  <c r="J263" i="63" l="1"/>
  <c r="K263" i="63"/>
  <c r="M263" i="63" l="1"/>
  <c r="AC263" i="63"/>
  <c r="I263" i="63" l="1"/>
  <c r="S263" i="63"/>
  <c r="O263" i="63"/>
  <c r="L263" i="63"/>
  <c r="N263" i="63" l="1"/>
  <c r="P263" i="63"/>
  <c r="J264" i="63" l="1"/>
  <c r="K264" i="63"/>
  <c r="AC264" i="63" l="1"/>
  <c r="M264" i="63"/>
  <c r="I264" i="63" l="1"/>
  <c r="S264" i="63"/>
  <c r="O264" i="63"/>
  <c r="L264" i="63"/>
  <c r="N264" i="63" l="1"/>
  <c r="P264" i="63"/>
  <c r="J265" i="63" l="1"/>
  <c r="K265" i="63"/>
  <c r="M265" i="63" l="1"/>
  <c r="AC265" i="63"/>
  <c r="I265" i="63" l="1"/>
  <c r="S265" i="63"/>
  <c r="O265" i="63"/>
  <c r="L265" i="63"/>
  <c r="N265" i="63" l="1"/>
  <c r="P265" i="63"/>
  <c r="J266" i="63" l="1"/>
  <c r="K266" i="63"/>
  <c r="AC266" i="63" l="1"/>
  <c r="M266" i="63"/>
  <c r="I266" i="63" l="1"/>
  <c r="S266" i="63"/>
  <c r="O266" i="63"/>
  <c r="L266" i="63"/>
  <c r="N266" i="63" l="1"/>
  <c r="P266" i="63"/>
  <c r="K267" i="63" l="1"/>
  <c r="J267" i="63"/>
  <c r="AC267" i="63" l="1"/>
  <c r="M267" i="63"/>
  <c r="O267" i="63" s="1"/>
  <c r="I267" i="63" l="1"/>
  <c r="S267" i="63"/>
  <c r="L267" i="63"/>
  <c r="N267" i="63" l="1"/>
  <c r="P267" i="63"/>
  <c r="J268" i="63" l="1"/>
  <c r="K268" i="63"/>
  <c r="AC268" i="63" l="1"/>
  <c r="M268" i="63"/>
  <c r="O268" i="63" s="1"/>
  <c r="I268" i="63" l="1"/>
  <c r="S268" i="63"/>
  <c r="L268" i="63"/>
  <c r="N268" i="63" l="1"/>
  <c r="P268" i="63"/>
  <c r="K269" i="63" l="1"/>
  <c r="J269" i="63"/>
  <c r="M269" i="63" l="1"/>
  <c r="O269" i="63" s="1"/>
  <c r="AC269" i="63"/>
  <c r="L269" i="63" l="1"/>
  <c r="N269" i="63" s="1"/>
  <c r="I269" i="63"/>
  <c r="S269" i="63"/>
  <c r="P269" i="63" l="1"/>
  <c r="K270" i="63" s="1"/>
  <c r="J270" i="63" l="1"/>
  <c r="M270" i="63" s="1"/>
  <c r="O270" i="63" s="1"/>
  <c r="AC270" i="63" l="1"/>
  <c r="L270" i="63"/>
  <c r="I270" i="63"/>
  <c r="S270" i="63"/>
  <c r="N270" i="63"/>
  <c r="P270" i="63"/>
  <c r="J271" i="63" l="1"/>
  <c r="K271" i="63"/>
  <c r="M271" i="63" l="1"/>
  <c r="AC271" i="63"/>
  <c r="I271" i="63" l="1"/>
  <c r="S271" i="63"/>
  <c r="O271" i="63"/>
  <c r="L271" i="63"/>
  <c r="N271" i="63" l="1"/>
  <c r="P271" i="63"/>
  <c r="K272" i="63" l="1"/>
  <c r="J272" i="63"/>
  <c r="M272" i="63" l="1"/>
  <c r="O272" i="63" s="1"/>
  <c r="AC272" i="63"/>
  <c r="L272" i="63" l="1"/>
  <c r="N272" i="63" s="1"/>
  <c r="I272" i="63"/>
  <c r="S272" i="63"/>
  <c r="P272" i="63" l="1"/>
  <c r="K273" i="63" s="1"/>
  <c r="J273" i="63" l="1"/>
  <c r="AC273" i="63"/>
  <c r="M273" i="63"/>
  <c r="O273" i="63" s="1"/>
  <c r="I273" i="63" l="1"/>
  <c r="S273" i="63"/>
  <c r="L273" i="63"/>
  <c r="P273" i="63" l="1"/>
  <c r="N273" i="63"/>
  <c r="J274" i="63" l="1"/>
  <c r="K274" i="63"/>
  <c r="AC274" i="63" l="1"/>
  <c r="M274" i="63"/>
  <c r="O274" i="63" s="1"/>
  <c r="I274" i="63" l="1"/>
  <c r="S274" i="63"/>
  <c r="L274" i="63"/>
  <c r="P274" i="63" l="1"/>
  <c r="N274" i="63"/>
  <c r="J275" i="63" l="1"/>
  <c r="K275" i="63"/>
  <c r="M275" i="63" l="1"/>
  <c r="O275" i="63" s="1"/>
  <c r="AC275" i="63"/>
  <c r="I275" i="63" l="1"/>
  <c r="S275" i="63"/>
  <c r="L275" i="63"/>
  <c r="N275" i="63" l="1"/>
  <c r="P275" i="63"/>
  <c r="J276" i="63" l="1"/>
  <c r="K276" i="63"/>
  <c r="M276" i="63" l="1"/>
  <c r="O276" i="63" s="1"/>
  <c r="AC276" i="63"/>
  <c r="I276" i="63" l="1"/>
  <c r="S276" i="63"/>
  <c r="L276" i="63"/>
  <c r="N276" i="63" l="1"/>
  <c r="P276" i="63"/>
  <c r="K277" i="63" l="1"/>
  <c r="J277" i="63"/>
  <c r="AC277" i="63" l="1"/>
  <c r="M277" i="63"/>
  <c r="O277" i="63" s="1"/>
  <c r="I277" i="63" l="1"/>
  <c r="S277" i="63"/>
  <c r="L277" i="63"/>
  <c r="N277" i="63" s="1"/>
  <c r="P277" i="63" l="1"/>
  <c r="J278" i="63" s="1"/>
  <c r="K278" i="63" l="1"/>
  <c r="AC278" i="63"/>
  <c r="M278" i="63"/>
  <c r="I278" i="63" l="1"/>
  <c r="S278" i="63"/>
  <c r="O278" i="63"/>
  <c r="L278" i="63"/>
  <c r="P278" i="63" l="1"/>
  <c r="N278" i="63"/>
  <c r="J279" i="63" l="1"/>
  <c r="K279" i="63"/>
  <c r="AC279" i="63" l="1"/>
  <c r="M279" i="63"/>
  <c r="I279" i="63" l="1"/>
  <c r="S279" i="63"/>
  <c r="O279" i="63"/>
  <c r="L279" i="63"/>
  <c r="P279" i="63" l="1"/>
  <c r="N279" i="63"/>
  <c r="J280" i="63" l="1"/>
  <c r="K280" i="63"/>
  <c r="AC280" i="63" l="1"/>
  <c r="M280" i="63"/>
  <c r="I280" i="63" l="1"/>
  <c r="S280" i="63"/>
  <c r="O280" i="63"/>
  <c r="L280" i="63"/>
  <c r="P280" i="63" l="1"/>
  <c r="N280" i="63"/>
  <c r="J281" i="63" l="1"/>
  <c r="K281" i="63"/>
  <c r="AC281" i="63" l="1"/>
  <c r="M281" i="63"/>
  <c r="I281" i="63" l="1"/>
  <c r="S281" i="63"/>
  <c r="O281" i="63"/>
  <c r="L281" i="63"/>
  <c r="P281" i="63" l="1"/>
  <c r="N281" i="63"/>
  <c r="J282" i="63" l="1"/>
  <c r="K282" i="63"/>
  <c r="M282" i="63" l="1"/>
  <c r="AC282" i="63"/>
  <c r="I282" i="63" l="1"/>
  <c r="S282" i="63"/>
  <c r="O282" i="63"/>
  <c r="L282" i="63"/>
  <c r="N282" i="63" l="1"/>
  <c r="P282" i="63"/>
  <c r="J283" i="63" l="1"/>
  <c r="K283" i="63"/>
  <c r="M283" i="63" l="1"/>
  <c r="AC283" i="63"/>
  <c r="I283" i="63" l="1"/>
  <c r="S283" i="63"/>
  <c r="O283" i="63"/>
  <c r="L283" i="63"/>
  <c r="P283" i="63" l="1"/>
  <c r="N283" i="63"/>
  <c r="K284" i="63" l="1"/>
  <c r="J284" i="63"/>
  <c r="AC284" i="63" l="1"/>
  <c r="M284" i="63"/>
  <c r="I284" i="63" l="1"/>
  <c r="S284" i="63"/>
  <c r="O284" i="63"/>
  <c r="L284" i="63"/>
  <c r="N284" i="63" l="1"/>
  <c r="P284" i="63"/>
  <c r="J285" i="63" l="1"/>
  <c r="K285" i="63"/>
  <c r="AC285" i="63" l="1"/>
  <c r="M285" i="63"/>
  <c r="I285" i="63" l="1"/>
  <c r="S285" i="63"/>
  <c r="O285" i="63"/>
  <c r="L285" i="63"/>
  <c r="P285" i="63" l="1"/>
  <c r="N285" i="63"/>
  <c r="K286" i="63" l="1"/>
  <c r="J286" i="63"/>
  <c r="AC286" i="63" l="1"/>
  <c r="M286" i="63"/>
  <c r="I286" i="63" l="1"/>
  <c r="S286" i="63"/>
  <c r="O286" i="63"/>
  <c r="L286" i="63"/>
  <c r="P286" i="63" l="1"/>
  <c r="N286" i="63"/>
  <c r="J287" i="63" l="1"/>
  <c r="K287" i="63"/>
  <c r="M287" i="63" l="1"/>
  <c r="AC287" i="63"/>
  <c r="I287" i="63" l="1"/>
  <c r="S287" i="63"/>
  <c r="O287" i="63"/>
  <c r="L287" i="63"/>
  <c r="N287" i="63" l="1"/>
  <c r="P287" i="63"/>
  <c r="J288" i="63" l="1"/>
  <c r="K288" i="63"/>
  <c r="M288" i="63" l="1"/>
  <c r="AC288" i="63"/>
  <c r="I288" i="63" l="1"/>
  <c r="S288" i="63"/>
  <c r="O288" i="63"/>
  <c r="L288" i="63"/>
  <c r="P288" i="63" l="1"/>
  <c r="N288" i="63"/>
  <c r="K289" i="63" l="1"/>
  <c r="J289" i="63"/>
  <c r="M289" i="63" l="1"/>
  <c r="O289" i="63" s="1"/>
  <c r="AC289" i="63"/>
  <c r="L289" i="63" l="1"/>
  <c r="N289" i="63" s="1"/>
  <c r="I289" i="63"/>
  <c r="S289" i="63"/>
  <c r="P289" i="63" l="1"/>
  <c r="K290" i="63" s="1"/>
  <c r="J290" i="63" l="1"/>
  <c r="AC290" i="63"/>
  <c r="M290" i="63"/>
  <c r="I290" i="63" l="1"/>
  <c r="S290" i="63"/>
  <c r="O290" i="63"/>
  <c r="L290" i="63"/>
  <c r="P290" i="63" l="1"/>
  <c r="N290" i="63"/>
  <c r="J291" i="63" l="1"/>
  <c r="K291" i="63"/>
  <c r="AC291" i="63" l="1"/>
  <c r="M291" i="63"/>
  <c r="I291" i="63" l="1"/>
  <c r="S291" i="63"/>
  <c r="O291" i="63"/>
  <c r="L291" i="63"/>
  <c r="P291" i="63" l="1"/>
  <c r="N291" i="63"/>
  <c r="K292" i="63" l="1"/>
  <c r="J292" i="63"/>
  <c r="AC292" i="63" l="1"/>
  <c r="M292" i="63"/>
  <c r="I292" i="63" l="1"/>
  <c r="S292" i="63"/>
  <c r="O292" i="63"/>
  <c r="L292" i="63"/>
  <c r="P292" i="63" l="1"/>
  <c r="N292" i="63"/>
  <c r="J293" i="63" l="1"/>
  <c r="K293" i="63"/>
  <c r="AC293" i="63" l="1"/>
  <c r="M293" i="63"/>
  <c r="I293" i="63" l="1"/>
  <c r="S293" i="63"/>
  <c r="O293" i="63"/>
  <c r="L293" i="63"/>
  <c r="N293" i="63" l="1"/>
  <c r="P293" i="63"/>
  <c r="K294" i="63" l="1"/>
  <c r="J294" i="63"/>
  <c r="AC294" i="63" l="1"/>
  <c r="M294" i="63"/>
  <c r="I294" i="63" l="1"/>
  <c r="S294" i="63"/>
  <c r="O294" i="63"/>
  <c r="L294" i="63"/>
  <c r="P294" i="63" l="1"/>
  <c r="N294" i="63"/>
  <c r="J295" i="63" l="1"/>
  <c r="K295" i="63"/>
  <c r="M295" i="63" l="1"/>
  <c r="AC295" i="63"/>
  <c r="I295" i="63" l="1"/>
  <c r="S295" i="63"/>
  <c r="O295" i="63"/>
  <c r="L295" i="63"/>
  <c r="P295" i="63" l="1"/>
  <c r="N295" i="63"/>
  <c r="K296" i="63" l="1"/>
  <c r="J296" i="63"/>
  <c r="AC296" i="63" l="1"/>
  <c r="M296" i="63"/>
  <c r="I296" i="63" l="1"/>
  <c r="S296" i="63"/>
  <c r="O296" i="63"/>
  <c r="L296" i="63"/>
  <c r="N296" i="63" l="1"/>
  <c r="P296" i="63"/>
  <c r="K297" i="63" l="1"/>
  <c r="J297" i="63"/>
  <c r="AC297" i="63" l="1"/>
  <c r="M297" i="63"/>
  <c r="I297" i="63" l="1"/>
  <c r="S297" i="63"/>
  <c r="O297" i="63"/>
  <c r="L297" i="63"/>
  <c r="P297" i="63" l="1"/>
  <c r="N297" i="63"/>
  <c r="K298" i="63" l="1"/>
  <c r="J298" i="63"/>
  <c r="M298" i="63" l="1"/>
  <c r="O298" i="63" s="1"/>
  <c r="AC298" i="63"/>
  <c r="L298" i="63" l="1"/>
  <c r="I298" i="63"/>
  <c r="S298" i="63"/>
  <c r="P298" i="63"/>
  <c r="N298" i="63"/>
  <c r="K299" i="63" l="1"/>
  <c r="J299" i="63"/>
  <c r="M299" i="63" l="1"/>
  <c r="O299" i="63" s="1"/>
  <c r="AC299" i="63"/>
  <c r="L299" i="63" l="1"/>
  <c r="N299" i="63" s="1"/>
  <c r="I299" i="63"/>
  <c r="S299" i="63"/>
  <c r="P299" i="63"/>
  <c r="J300" i="63" l="1"/>
  <c r="K300" i="63"/>
  <c r="M300" i="63" l="1"/>
  <c r="AC300" i="63"/>
  <c r="I300" i="63" l="1"/>
  <c r="S300" i="63"/>
  <c r="O300" i="63"/>
  <c r="L300" i="63"/>
  <c r="P300" i="63" l="1"/>
  <c r="N300" i="63"/>
  <c r="K301" i="63" l="1"/>
  <c r="J301" i="63"/>
  <c r="M301" i="63" l="1"/>
  <c r="AC301" i="63"/>
  <c r="I301" i="63" l="1"/>
  <c r="S301" i="63"/>
  <c r="O301" i="63"/>
  <c r="L301" i="63"/>
  <c r="N301" i="63" l="1"/>
  <c r="P301" i="63"/>
  <c r="J302" i="63" l="1"/>
  <c r="K302" i="63"/>
  <c r="AC302" i="63" l="1"/>
  <c r="M302" i="63"/>
  <c r="I302" i="63" l="1"/>
  <c r="S302" i="63"/>
  <c r="O302" i="63"/>
  <c r="L302" i="63"/>
  <c r="P302" i="63" l="1"/>
  <c r="N302" i="63"/>
  <c r="K303" i="63" l="1"/>
  <c r="J303" i="63"/>
  <c r="M303" i="63" l="1"/>
  <c r="O303" i="63" s="1"/>
  <c r="AC303" i="63"/>
  <c r="L303" i="63" l="1"/>
  <c r="N303" i="63" s="1"/>
  <c r="I303" i="63"/>
  <c r="S303" i="63"/>
  <c r="P303" i="63"/>
  <c r="J304" i="63" l="1"/>
  <c r="K304" i="63"/>
  <c r="M304" i="63" l="1"/>
  <c r="AC304" i="63"/>
  <c r="I304" i="63" l="1"/>
  <c r="S304" i="63"/>
  <c r="O304" i="63"/>
  <c r="L304" i="63"/>
  <c r="N304" i="63" l="1"/>
  <c r="P304" i="63"/>
  <c r="K305" i="63" l="1"/>
  <c r="J305" i="63"/>
  <c r="M305" i="63" l="1"/>
  <c r="AC305" i="63"/>
  <c r="I305" i="63" l="1"/>
  <c r="S305" i="63"/>
  <c r="O305" i="63"/>
  <c r="L305" i="63"/>
  <c r="N305" i="63" l="1"/>
  <c r="P305" i="63"/>
  <c r="J306" i="63" l="1"/>
  <c r="K306" i="63"/>
  <c r="AC306" i="63" l="1"/>
  <c r="M306" i="63"/>
  <c r="I306" i="63" l="1"/>
  <c r="S306" i="63"/>
  <c r="O306" i="63"/>
  <c r="L306" i="63"/>
  <c r="N306" i="63" l="1"/>
  <c r="P306" i="63"/>
  <c r="J307" i="63" l="1"/>
  <c r="K307" i="63"/>
  <c r="M307" i="63" l="1"/>
  <c r="AC307" i="63"/>
  <c r="I307" i="63" l="1"/>
  <c r="S307" i="63"/>
  <c r="O307" i="63"/>
  <c r="L307" i="63"/>
  <c r="P307" i="63" l="1"/>
  <c r="N307" i="63"/>
  <c r="J308" i="63" l="1"/>
  <c r="K308" i="63"/>
  <c r="M308" i="63" l="1"/>
  <c r="AC308" i="63"/>
  <c r="I308" i="63" l="1"/>
  <c r="S308" i="63"/>
  <c r="O308" i="63"/>
  <c r="L308" i="63"/>
  <c r="P308" i="63" l="1"/>
  <c r="N308" i="63"/>
  <c r="J309" i="63" l="1"/>
  <c r="K309" i="63"/>
  <c r="M309" i="63" l="1"/>
  <c r="AC309" i="63"/>
  <c r="I309" i="63" l="1"/>
  <c r="S309" i="63"/>
  <c r="O309" i="63"/>
  <c r="L309" i="63"/>
  <c r="N309" i="63" l="1"/>
  <c r="P309" i="63"/>
  <c r="J310" i="63" l="1"/>
  <c r="K310" i="63"/>
  <c r="AC310" i="63" l="1"/>
  <c r="M310" i="63"/>
  <c r="I310" i="63" l="1"/>
  <c r="S310" i="63"/>
  <c r="O310" i="63"/>
  <c r="L310" i="63"/>
  <c r="N310" i="63" l="1"/>
  <c r="P310" i="63"/>
  <c r="J311" i="63" l="1"/>
  <c r="K311" i="63"/>
  <c r="M311" i="63" l="1"/>
  <c r="AC311" i="63"/>
  <c r="I311" i="63" l="1"/>
  <c r="S311" i="63"/>
  <c r="O311" i="63"/>
  <c r="L311" i="63"/>
  <c r="N311" i="63" l="1"/>
  <c r="P311" i="63"/>
  <c r="K312" i="63" l="1"/>
  <c r="J312" i="63"/>
  <c r="AC312" i="63" l="1"/>
  <c r="M312" i="63"/>
  <c r="O312" i="63" s="1"/>
  <c r="I312" i="63" l="1"/>
  <c r="S312" i="63"/>
  <c r="L312" i="63"/>
  <c r="N312" i="63" l="1"/>
  <c r="P312" i="63"/>
  <c r="J313" i="63" l="1"/>
  <c r="K313" i="63"/>
  <c r="M313" i="63" l="1"/>
  <c r="O313" i="63" s="1"/>
  <c r="AC313" i="63"/>
  <c r="I313" i="63" l="1"/>
  <c r="S313" i="63"/>
  <c r="L313" i="63"/>
  <c r="N313" i="63" l="1"/>
  <c r="P313" i="63"/>
  <c r="J314" i="63" l="1"/>
  <c r="K314" i="63"/>
  <c r="AC314" i="63" l="1"/>
  <c r="M314" i="63"/>
  <c r="O314" i="63" s="1"/>
  <c r="I314" i="63" l="1"/>
  <c r="S314" i="63"/>
  <c r="L314" i="63"/>
  <c r="N314" i="63" l="1"/>
  <c r="P314" i="63"/>
  <c r="J315" i="63" l="1"/>
  <c r="K315" i="63"/>
  <c r="M315" i="63" l="1"/>
  <c r="O315" i="63" s="1"/>
  <c r="AC315" i="63"/>
  <c r="I315" i="63" l="1"/>
  <c r="S315" i="63"/>
  <c r="L315" i="63"/>
  <c r="N315" i="63" l="1"/>
  <c r="P315" i="63"/>
  <c r="J316" i="63" l="1"/>
  <c r="K316" i="63"/>
  <c r="M316" i="63" l="1"/>
  <c r="O316" i="63" s="1"/>
  <c r="AC316" i="63"/>
  <c r="I316" i="63" l="1"/>
  <c r="S316" i="63"/>
  <c r="L316" i="63"/>
  <c r="N316" i="63" l="1"/>
  <c r="P316" i="63"/>
  <c r="J317" i="63" l="1"/>
  <c r="K317" i="63"/>
  <c r="M317" i="63" l="1"/>
  <c r="O317" i="63" s="1"/>
  <c r="AC317" i="63"/>
  <c r="I317" i="63" l="1"/>
  <c r="S317" i="63"/>
  <c r="L317" i="63"/>
  <c r="N317" i="63" l="1"/>
  <c r="P317" i="63"/>
  <c r="J318" i="63" l="1"/>
  <c r="K318" i="63"/>
  <c r="AC318" i="63" l="1"/>
  <c r="M318" i="63"/>
  <c r="O318" i="63" s="1"/>
  <c r="I318" i="63" l="1"/>
  <c r="S318" i="63"/>
  <c r="L318" i="63"/>
  <c r="N318" i="63" l="1"/>
  <c r="P318" i="63"/>
  <c r="K319" i="63" l="1"/>
  <c r="J319" i="63"/>
  <c r="AC319" i="63" l="1"/>
  <c r="M319" i="63"/>
  <c r="O319" i="63" s="1"/>
  <c r="I319" i="63" l="1"/>
  <c r="S319" i="63"/>
  <c r="L319" i="63"/>
  <c r="N319" i="63" l="1"/>
  <c r="P319" i="63"/>
  <c r="J320" i="63" l="1"/>
  <c r="K320" i="63"/>
  <c r="AC320" i="63" l="1"/>
  <c r="M320" i="63"/>
  <c r="O320" i="63" s="1"/>
  <c r="I320" i="63" l="1"/>
  <c r="S320" i="63"/>
  <c r="L320" i="63"/>
  <c r="N320" i="63" l="1"/>
  <c r="P320" i="63"/>
  <c r="J321" i="63" l="1"/>
  <c r="K321" i="63"/>
  <c r="AC321" i="63" l="1"/>
  <c r="M321" i="63"/>
  <c r="O321" i="63" s="1"/>
  <c r="I321" i="63" l="1"/>
  <c r="S321" i="63"/>
  <c r="L321" i="63"/>
  <c r="N321" i="63" l="1"/>
  <c r="P321" i="63"/>
  <c r="K322" i="63" l="1"/>
  <c r="J322" i="63"/>
  <c r="AC322" i="63" l="1"/>
  <c r="M322" i="63"/>
  <c r="O322" i="63" s="1"/>
  <c r="I322" i="63" l="1"/>
  <c r="S322" i="63"/>
  <c r="L322" i="63"/>
  <c r="N322" i="63" l="1"/>
  <c r="P322" i="63"/>
  <c r="J323" i="63" l="1"/>
  <c r="K323" i="63"/>
  <c r="AC323" i="63" l="1"/>
  <c r="M323" i="63"/>
  <c r="O323" i="63" s="1"/>
  <c r="I323" i="63" l="1"/>
  <c r="S323" i="63"/>
  <c r="L323" i="63"/>
  <c r="N323" i="63" l="1"/>
  <c r="P323" i="63"/>
  <c r="J324" i="63" l="1"/>
  <c r="K324" i="63"/>
  <c r="AC324" i="63" l="1"/>
  <c r="M324" i="63"/>
  <c r="O324" i="63" s="1"/>
  <c r="I324" i="63" l="1"/>
  <c r="S324" i="63"/>
  <c r="L324" i="63"/>
  <c r="N324" i="63" l="1"/>
  <c r="P324" i="63"/>
  <c r="K325" i="63" l="1"/>
  <c r="J325" i="63"/>
  <c r="AC325" i="63" l="1"/>
  <c r="M325" i="63"/>
  <c r="O325" i="63" s="1"/>
  <c r="I325" i="63" l="1"/>
  <c r="S325" i="63"/>
  <c r="L325" i="63"/>
  <c r="N325" i="63" l="1"/>
  <c r="P325" i="63"/>
  <c r="J326" i="63" l="1"/>
  <c r="K326" i="63"/>
  <c r="AC326" i="63" l="1"/>
  <c r="M326" i="63"/>
  <c r="O326" i="63" s="1"/>
  <c r="I326" i="63" l="1"/>
  <c r="S326" i="63"/>
  <c r="L326" i="63"/>
  <c r="N326" i="63" l="1"/>
  <c r="P326" i="63"/>
  <c r="J327" i="63" l="1"/>
  <c r="K327" i="63"/>
  <c r="AC327" i="63" l="1"/>
  <c r="M327" i="63"/>
  <c r="O327" i="63" s="1"/>
  <c r="I327" i="63" l="1"/>
  <c r="S327" i="63"/>
  <c r="L327" i="63"/>
  <c r="N327" i="63" l="1"/>
  <c r="P327" i="63"/>
  <c r="J328" i="63" l="1"/>
  <c r="K328" i="63"/>
  <c r="M328" i="63" l="1"/>
  <c r="O328" i="63" s="1"/>
  <c r="AC328" i="63"/>
  <c r="I328" i="63" l="1"/>
  <c r="S328" i="63"/>
  <c r="L328" i="63"/>
  <c r="N328" i="63" l="1"/>
  <c r="P328" i="63"/>
  <c r="K329" i="63" l="1"/>
  <c r="J329" i="63"/>
  <c r="M329" i="63" l="1"/>
  <c r="O329" i="63" s="1"/>
  <c r="AC329" i="63"/>
  <c r="L329" i="63" l="1"/>
  <c r="N329" i="63" s="1"/>
  <c r="I329" i="63"/>
  <c r="S329" i="63"/>
  <c r="P329" i="63"/>
  <c r="K330" i="63" l="1"/>
  <c r="J330" i="63"/>
  <c r="M330" i="63" l="1"/>
  <c r="O330" i="63" s="1"/>
  <c r="AC330" i="63"/>
  <c r="L330" i="63" l="1"/>
  <c r="N330" i="63" s="1"/>
  <c r="I330" i="63"/>
  <c r="S330" i="63"/>
  <c r="P330" i="63"/>
  <c r="K331" i="63" l="1"/>
  <c r="J331" i="63"/>
  <c r="AC331" i="63" l="1"/>
  <c r="M331" i="63"/>
  <c r="O331" i="63" s="1"/>
  <c r="I331" i="63" l="1"/>
  <c r="S331" i="63"/>
  <c r="L331" i="63"/>
  <c r="N331" i="63" l="1"/>
  <c r="P331" i="63"/>
  <c r="K332" i="63" l="1"/>
  <c r="J332" i="63"/>
  <c r="AC332" i="63" l="1"/>
  <c r="M332" i="63"/>
  <c r="O332" i="63" s="1"/>
  <c r="I332" i="63" l="1"/>
  <c r="S332" i="63"/>
  <c r="L332" i="63"/>
  <c r="N332" i="63" s="1"/>
  <c r="P332" i="63" l="1"/>
  <c r="J333" i="63" s="1"/>
  <c r="K333" i="63"/>
  <c r="AC333" i="63" l="1"/>
  <c r="M333" i="63"/>
  <c r="O333" i="63" s="1"/>
  <c r="I333" i="63" l="1"/>
  <c r="S333" i="63"/>
  <c r="L333" i="63"/>
  <c r="N333" i="63" l="1"/>
  <c r="P333" i="63"/>
  <c r="K334" i="63" l="1"/>
  <c r="J334" i="63"/>
  <c r="M334" i="63" l="1"/>
  <c r="O334" i="63" s="1"/>
  <c r="AC334" i="63"/>
  <c r="L334" i="63" l="1"/>
  <c r="N334" i="63" s="1"/>
  <c r="I334" i="63"/>
  <c r="S334" i="63"/>
  <c r="P334" i="63" l="1"/>
  <c r="K335" i="63" s="1"/>
  <c r="J335" i="63" l="1"/>
  <c r="AC335" i="63" s="1"/>
  <c r="M335" i="63"/>
  <c r="O335" i="63" s="1"/>
  <c r="I335" i="63"/>
  <c r="S335" i="63"/>
  <c r="L335" i="63" l="1"/>
  <c r="N335" i="63" s="1"/>
  <c r="P335" i="63"/>
  <c r="K336" i="63" l="1"/>
  <c r="J336" i="63"/>
  <c r="M336" i="63" l="1"/>
  <c r="O336" i="63" s="1"/>
  <c r="AC336" i="63"/>
  <c r="L336" i="63" l="1"/>
  <c r="N336" i="63" s="1"/>
  <c r="I336" i="63"/>
  <c r="S336" i="63"/>
  <c r="P336" i="63"/>
  <c r="K337" i="63" l="1"/>
  <c r="J337" i="63"/>
  <c r="AC337" i="63" l="1"/>
  <c r="M337" i="63"/>
  <c r="O337" i="63" s="1"/>
  <c r="I337" i="63" l="1"/>
  <c r="S337" i="63"/>
  <c r="L337" i="63"/>
  <c r="N337" i="63" l="1"/>
  <c r="P337" i="63"/>
  <c r="K338" i="63" l="1"/>
  <c r="J338" i="63"/>
  <c r="M338" i="63" l="1"/>
  <c r="O338" i="63" s="1"/>
  <c r="AC338" i="63"/>
  <c r="L338" i="63" l="1"/>
  <c r="N338" i="63" s="1"/>
  <c r="I338" i="63"/>
  <c r="S338" i="63"/>
  <c r="P338" i="63" l="1"/>
  <c r="K339" i="63"/>
  <c r="J339" i="63"/>
  <c r="AC339" i="63" l="1"/>
  <c r="M339" i="63"/>
  <c r="O339" i="63" s="1"/>
  <c r="I339" i="63" l="1"/>
  <c r="S339" i="63"/>
  <c r="L339" i="63"/>
  <c r="N339" i="63" l="1"/>
  <c r="P339" i="63"/>
  <c r="J340" i="63" l="1"/>
  <c r="K340" i="63"/>
  <c r="M340" i="63" l="1"/>
  <c r="O340" i="63" s="1"/>
  <c r="AC340" i="63"/>
  <c r="I340" i="63" l="1"/>
  <c r="S340" i="63"/>
  <c r="L340" i="63"/>
  <c r="N340" i="63" l="1"/>
  <c r="P340" i="63"/>
  <c r="K341" i="63" l="1"/>
  <c r="J341" i="63"/>
  <c r="AC341" i="63" l="1"/>
  <c r="M341" i="63"/>
  <c r="O341" i="63" s="1"/>
  <c r="I341" i="63" l="1"/>
  <c r="S341" i="63"/>
  <c r="L341" i="63"/>
  <c r="N341" i="63" s="1"/>
  <c r="P341" i="63" l="1"/>
  <c r="K342" i="63" s="1"/>
  <c r="J342" i="63" l="1"/>
  <c r="AC342" i="63" s="1"/>
  <c r="M342" i="63" l="1"/>
  <c r="O342" i="63" s="1"/>
  <c r="I342" i="63"/>
  <c r="S342" i="63"/>
  <c r="L342" i="63" l="1"/>
  <c r="N342" i="63" l="1"/>
  <c r="P342" i="63"/>
  <c r="J343" i="63" l="1"/>
  <c r="K343" i="63"/>
  <c r="AC343" i="63" l="1"/>
  <c r="M343" i="63"/>
  <c r="O343" i="63" s="1"/>
  <c r="I343" i="63" l="1"/>
  <c r="S343" i="63"/>
  <c r="L343" i="63"/>
  <c r="N343" i="63" l="1"/>
  <c r="P343" i="63"/>
  <c r="J344" i="63" l="1"/>
  <c r="K344" i="63"/>
  <c r="AC344" i="63" l="1"/>
  <c r="M344" i="63"/>
  <c r="O344" i="63" s="1"/>
  <c r="I344" i="63" l="1"/>
  <c r="S344" i="63"/>
  <c r="L344" i="63"/>
  <c r="P344" i="63" l="1"/>
  <c r="N344" i="63"/>
  <c r="J345" i="63" l="1"/>
  <c r="K345" i="63"/>
  <c r="M345" i="63" l="1"/>
  <c r="O345" i="63" s="1"/>
  <c r="AC345" i="63"/>
  <c r="I345" i="63" l="1"/>
  <c r="S345" i="63"/>
  <c r="L345" i="63"/>
  <c r="N345" i="63" l="1"/>
  <c r="P345" i="63"/>
  <c r="K346" i="63" l="1"/>
  <c r="J346" i="63"/>
  <c r="M346" i="63" l="1"/>
  <c r="O346" i="63" s="1"/>
  <c r="AC346" i="63"/>
  <c r="L346" i="63"/>
  <c r="I346" i="63" l="1"/>
  <c r="S346" i="63"/>
  <c r="N346" i="63"/>
  <c r="P346" i="63"/>
  <c r="K347" i="63" l="1"/>
  <c r="J347" i="63"/>
  <c r="M347" i="63" l="1"/>
  <c r="AC347" i="63"/>
  <c r="S347" i="63" l="1"/>
  <c r="I347" i="63"/>
  <c r="O347" i="63"/>
  <c r="L347" i="63"/>
  <c r="N347" i="63" l="1"/>
  <c r="P347" i="63"/>
  <c r="J348" i="63" l="1"/>
  <c r="K348" i="63"/>
  <c r="M348" i="63" l="1"/>
  <c r="O348" i="63" s="1"/>
  <c r="AC348" i="63"/>
  <c r="I348" i="63" l="1"/>
  <c r="S348" i="63"/>
  <c r="L348" i="63"/>
  <c r="P348" i="63" l="1"/>
  <c r="N348" i="63"/>
  <c r="K349" i="63" l="1"/>
  <c r="J349" i="63"/>
  <c r="AC349" i="63" l="1"/>
  <c r="M349" i="63"/>
  <c r="O349" i="63" s="1"/>
  <c r="L349" i="63" l="1"/>
  <c r="I349" i="63"/>
  <c r="S349" i="63"/>
  <c r="N349" i="63" l="1"/>
  <c r="P349" i="63"/>
  <c r="J350" i="63" l="1"/>
  <c r="K350" i="63"/>
  <c r="M350" i="63" l="1"/>
  <c r="O350" i="63" s="1"/>
  <c r="AC350" i="63"/>
  <c r="I350" i="63" l="1"/>
  <c r="S350" i="63"/>
  <c r="L350" i="63"/>
  <c r="P350" i="63" l="1"/>
  <c r="N350" i="63"/>
  <c r="K351" i="63" l="1"/>
  <c r="J351" i="63"/>
  <c r="M351" i="63" l="1"/>
  <c r="O351" i="63" s="1"/>
  <c r="AC351" i="63"/>
  <c r="L351" i="63" l="1"/>
  <c r="I351" i="63"/>
  <c r="S351" i="63"/>
  <c r="N351" i="63"/>
  <c r="P351" i="63"/>
  <c r="K352" i="63" l="1"/>
  <c r="J352" i="63"/>
  <c r="AC352" i="63" l="1"/>
  <c r="M352" i="63"/>
  <c r="O352" i="63" s="1"/>
  <c r="L352" i="63" l="1"/>
  <c r="P352" i="63" s="1"/>
  <c r="N352" i="63"/>
  <c r="S352" i="63"/>
  <c r="I352" i="63"/>
  <c r="K353" i="63" l="1"/>
  <c r="J353" i="63"/>
  <c r="AC353" i="63" l="1"/>
  <c r="M353" i="63"/>
  <c r="O353" i="63" l="1"/>
  <c r="L353" i="63"/>
  <c r="I353" i="63"/>
  <c r="S353" i="63"/>
  <c r="P353" i="63" l="1"/>
  <c r="N353" i="63"/>
  <c r="J354" i="63" l="1"/>
  <c r="K354" i="63"/>
  <c r="M354" i="63" l="1"/>
  <c r="AC354" i="63"/>
  <c r="I354" i="63" l="1"/>
  <c r="S354" i="63"/>
  <c r="O354" i="63"/>
  <c r="L354" i="63"/>
  <c r="P354" i="63" l="1"/>
  <c r="N354" i="63"/>
  <c r="K355" i="63" l="1"/>
  <c r="J355" i="63"/>
  <c r="M355" i="63" l="1"/>
  <c r="AC355" i="63"/>
  <c r="I355" i="63" l="1"/>
  <c r="S355" i="63"/>
  <c r="O355" i="63"/>
  <c r="L355" i="63"/>
  <c r="N355" i="63" l="1"/>
  <c r="P355" i="63"/>
  <c r="J356" i="63" l="1"/>
  <c r="K356" i="63"/>
  <c r="M356" i="63" l="1"/>
  <c r="O356" i="63" s="1"/>
  <c r="AC356" i="63"/>
  <c r="I356" i="63" l="1"/>
  <c r="S356" i="63"/>
  <c r="L356" i="63"/>
  <c r="N356" i="63" l="1"/>
  <c r="P356" i="63"/>
  <c r="J357" i="63" l="1"/>
  <c r="K357" i="63"/>
  <c r="M357" i="63" l="1"/>
  <c r="O357" i="63" s="1"/>
  <c r="AC357" i="63"/>
  <c r="I357" i="63" l="1"/>
  <c r="S357" i="63"/>
  <c r="L357" i="63"/>
  <c r="P357" i="63" l="1"/>
  <c r="N357" i="63"/>
  <c r="K358" i="63" l="1"/>
  <c r="J358" i="63"/>
  <c r="AC358" i="63" l="1"/>
  <c r="M358" i="63"/>
  <c r="O358" i="63" s="1"/>
  <c r="L358" i="63" l="1"/>
  <c r="P358" i="63" s="1"/>
  <c r="I358" i="63"/>
  <c r="S358" i="63"/>
  <c r="N358" i="63" l="1"/>
  <c r="K359" i="63"/>
  <c r="J359" i="63"/>
  <c r="AC359" i="63" l="1"/>
  <c r="M359" i="63"/>
  <c r="O359" i="63" l="1"/>
  <c r="L359" i="63"/>
  <c r="I359" i="63"/>
  <c r="S359" i="63"/>
  <c r="N359" i="63" l="1"/>
  <c r="P359" i="63"/>
  <c r="J360" i="63" l="1"/>
  <c r="K360" i="63"/>
  <c r="M360" i="63" l="1"/>
  <c r="O360" i="63" s="1"/>
  <c r="AC360" i="63"/>
  <c r="I360" i="63" l="1"/>
  <c r="S360" i="63"/>
  <c r="L360" i="63"/>
  <c r="P360" i="63" l="1"/>
  <c r="N360" i="63"/>
  <c r="K361" i="63" l="1"/>
  <c r="J361" i="63"/>
  <c r="M361" i="63" l="1"/>
  <c r="O361" i="63" s="1"/>
  <c r="AC361" i="63"/>
  <c r="L361" i="63" l="1"/>
  <c r="N361" i="63" s="1"/>
  <c r="I361" i="63"/>
  <c r="S361" i="63"/>
  <c r="P361" i="63"/>
  <c r="J362" i="63" l="1"/>
  <c r="K362" i="63"/>
  <c r="AC362" i="63" l="1"/>
  <c r="M362" i="63"/>
  <c r="O362" i="63" s="1"/>
  <c r="I362" i="63" l="1"/>
  <c r="S362" i="63"/>
  <c r="L362" i="63"/>
  <c r="P362" i="63" l="1"/>
  <c r="N362" i="63"/>
  <c r="K363" i="63" l="1"/>
  <c r="J363" i="63"/>
  <c r="M363" i="63" l="1"/>
  <c r="O363" i="63" s="1"/>
  <c r="AC363" i="63"/>
  <c r="L363" i="63" l="1"/>
  <c r="N363" i="63"/>
  <c r="P363" i="63"/>
  <c r="I363" i="63"/>
  <c r="S363" i="63"/>
  <c r="J364" i="63" l="1"/>
  <c r="K364" i="63"/>
  <c r="AC364" i="63" l="1"/>
  <c r="M364" i="63"/>
  <c r="O364" i="63" l="1"/>
  <c r="L364" i="63"/>
  <c r="I364" i="63"/>
  <c r="S364" i="63"/>
  <c r="P364" i="63" l="1"/>
  <c r="N364" i="63"/>
  <c r="J365" i="63" l="1"/>
  <c r="K365" i="63"/>
  <c r="M365" i="63" l="1"/>
  <c r="AC365" i="63"/>
  <c r="I365" i="63" l="1"/>
  <c r="S365" i="63"/>
  <c r="O365" i="63"/>
  <c r="L365" i="63"/>
  <c r="P365" i="63" l="1"/>
  <c r="N365" i="63"/>
  <c r="J366" i="63" l="1"/>
  <c r="K366" i="63"/>
  <c r="AC366" i="63" l="1"/>
  <c r="M366" i="63"/>
  <c r="L366" i="63" l="1"/>
  <c r="O366" i="63"/>
  <c r="I366" i="63"/>
  <c r="S366" i="63"/>
  <c r="N366" i="63" l="1"/>
  <c r="P366" i="63"/>
  <c r="J367" i="63" l="1"/>
  <c r="K367" i="63"/>
  <c r="AC367" i="63" l="1"/>
  <c r="M367" i="63"/>
  <c r="O367" i="63" l="1"/>
  <c r="L367" i="63"/>
  <c r="S367" i="63"/>
  <c r="I367" i="63"/>
  <c r="N367" i="63" l="1"/>
  <c r="P367" i="63"/>
  <c r="K368" i="63" l="1"/>
  <c r="J368" i="63"/>
  <c r="M368" i="63" l="1"/>
  <c r="AC368" i="63"/>
  <c r="I368" i="63" l="1"/>
  <c r="S368" i="63"/>
  <c r="L368" i="63"/>
  <c r="O368" i="63"/>
  <c r="N368" i="63" l="1"/>
  <c r="P368" i="63"/>
  <c r="J369" i="63" l="1"/>
  <c r="K369" i="63"/>
  <c r="M369" i="63" l="1"/>
  <c r="AC369" i="63"/>
  <c r="S369" i="63" l="1"/>
  <c r="I369" i="63"/>
  <c r="L369" i="63"/>
  <c r="O369" i="63"/>
  <c r="P369" i="63" l="1"/>
  <c r="N369" i="63"/>
  <c r="J370" i="63" l="1"/>
  <c r="K370" i="63"/>
  <c r="M370" i="63" l="1"/>
  <c r="AC370" i="63"/>
  <c r="I370" i="63" l="1"/>
  <c r="S370" i="63"/>
  <c r="L370" i="63"/>
  <c r="O370" i="63"/>
  <c r="N370" i="63" l="1"/>
  <c r="P370" i="63"/>
  <c r="J371" i="63" l="1"/>
  <c r="K371" i="63"/>
  <c r="AC371" i="63" l="1"/>
  <c r="M371" i="63"/>
  <c r="O371" i="63" l="1"/>
  <c r="L371" i="63"/>
  <c r="S371" i="63"/>
  <c r="I371" i="63"/>
  <c r="N371" i="63" l="1"/>
  <c r="P371" i="63"/>
  <c r="J372" i="63" l="1"/>
  <c r="K372" i="63"/>
  <c r="M372" i="63" l="1"/>
  <c r="AC372" i="63"/>
  <c r="S372" i="63" l="1"/>
  <c r="I372" i="63"/>
  <c r="O372" i="63"/>
  <c r="L372" i="63"/>
  <c r="N372" i="63" l="1"/>
  <c r="P372" i="63"/>
  <c r="J373" i="63" l="1"/>
  <c r="K373" i="63"/>
  <c r="M373" i="63" l="1"/>
  <c r="AC373" i="63"/>
  <c r="S373" i="63" l="1"/>
  <c r="I373" i="63"/>
  <c r="O373" i="63"/>
  <c r="L373" i="63"/>
  <c r="N373" i="63" l="1"/>
  <c r="P373" i="63"/>
  <c r="K374" i="63" l="1"/>
  <c r="J374" i="63"/>
  <c r="AC374" i="63" l="1"/>
  <c r="M374" i="63"/>
  <c r="O374" i="63" s="1"/>
  <c r="L374" i="63" l="1"/>
  <c r="I374" i="63"/>
  <c r="S374" i="63"/>
  <c r="N374" i="63" l="1"/>
  <c r="P374" i="63"/>
  <c r="J375" i="63" l="1"/>
  <c r="K375" i="63"/>
  <c r="AC375" i="63" l="1"/>
  <c r="M375" i="63"/>
  <c r="O375" i="63" s="1"/>
  <c r="I375" i="63" l="1"/>
  <c r="S375" i="63"/>
  <c r="L375" i="63"/>
  <c r="N375" i="63" l="1"/>
  <c r="P375" i="63"/>
  <c r="K376" i="63" l="1"/>
  <c r="J376" i="63"/>
  <c r="AC376" i="63" l="1"/>
  <c r="M376" i="63"/>
  <c r="O376" i="63" s="1"/>
  <c r="L376" i="63" l="1"/>
  <c r="N376" i="63" s="1"/>
  <c r="I376" i="63"/>
  <c r="S376" i="63"/>
  <c r="P376" i="63" l="1"/>
  <c r="J377" i="63" s="1"/>
  <c r="K377" i="63"/>
  <c r="M377" i="63" l="1"/>
  <c r="O377" i="63" s="1"/>
  <c r="AC377" i="63"/>
  <c r="I377" i="63" l="1"/>
  <c r="S377" i="63"/>
  <c r="L377" i="63"/>
  <c r="P377" i="63" l="1"/>
  <c r="N377" i="63"/>
  <c r="K378" i="63" l="1"/>
  <c r="J378" i="63"/>
  <c r="M378" i="63" l="1"/>
  <c r="O378" i="63" s="1"/>
  <c r="AC378" i="63"/>
  <c r="L378" i="63" l="1"/>
  <c r="N378" i="63" s="1"/>
  <c r="I378" i="63"/>
  <c r="S378" i="63"/>
  <c r="P378" i="63" l="1"/>
  <c r="J379" i="63" s="1"/>
  <c r="K379" i="63"/>
  <c r="M379" i="63" l="1"/>
  <c r="AC379" i="63"/>
  <c r="I379" i="63" l="1"/>
  <c r="S379" i="63"/>
  <c r="O379" i="63"/>
  <c r="L379" i="63"/>
  <c r="P379" i="63" l="1"/>
  <c r="N379" i="63"/>
  <c r="K380" i="63" l="1"/>
  <c r="J380" i="63"/>
  <c r="AC380" i="63" l="1"/>
  <c r="M380" i="63"/>
  <c r="O380" i="63" l="1"/>
  <c r="L380" i="63"/>
  <c r="I380" i="63"/>
  <c r="S380" i="63"/>
  <c r="P380" i="63" l="1"/>
  <c r="N380" i="63"/>
  <c r="K381" i="63" l="1"/>
  <c r="J381" i="63"/>
  <c r="AC381" i="63" l="1"/>
  <c r="M381" i="63"/>
  <c r="O381" i="63" l="1"/>
  <c r="L381" i="63"/>
  <c r="I381" i="63"/>
  <c r="S381" i="63"/>
  <c r="P381" i="63" l="1"/>
  <c r="N381" i="63"/>
  <c r="J382" i="63" l="1"/>
  <c r="K382" i="63"/>
  <c r="AC382" i="63" l="1"/>
  <c r="M382" i="63"/>
  <c r="O382" i="63" l="1"/>
  <c r="L382" i="63"/>
  <c r="I382" i="63"/>
  <c r="S382" i="63"/>
  <c r="P382" i="63" l="1"/>
  <c r="N382" i="63"/>
  <c r="K383" i="63" l="1"/>
  <c r="J383" i="63"/>
  <c r="M383" i="63" l="1"/>
  <c r="AC383" i="63"/>
  <c r="I383" i="63" l="1"/>
  <c r="S383" i="63"/>
  <c r="O383" i="63"/>
  <c r="L383" i="63"/>
  <c r="N383" i="63" l="1"/>
  <c r="P383" i="63"/>
  <c r="K384" i="63" l="1"/>
  <c r="J384" i="63"/>
  <c r="AC384" i="63" l="1"/>
  <c r="M384" i="63"/>
  <c r="O384" i="63" s="1"/>
  <c r="L384" i="63" l="1"/>
  <c r="P384" i="63" s="1"/>
  <c r="I384" i="63"/>
  <c r="S384" i="63"/>
  <c r="N384" i="63" l="1"/>
  <c r="K385" i="63"/>
  <c r="J385" i="63"/>
  <c r="AC385" i="63" l="1"/>
  <c r="M385" i="63"/>
  <c r="O385" i="63" l="1"/>
  <c r="L385" i="63"/>
  <c r="I385" i="63"/>
  <c r="S385" i="63"/>
  <c r="N385" i="63" l="1"/>
  <c r="P385" i="63"/>
  <c r="K386" i="63" l="1"/>
  <c r="J386" i="63"/>
  <c r="M386" i="63" l="1"/>
  <c r="AC386" i="63"/>
  <c r="I386" i="63" l="1"/>
  <c r="S386" i="63"/>
  <c r="O386" i="63"/>
  <c r="L386" i="63"/>
  <c r="N386" i="63" l="1"/>
  <c r="P386" i="63"/>
  <c r="K387" i="63" l="1"/>
  <c r="J387" i="63"/>
  <c r="M387" i="63" l="1"/>
  <c r="O387" i="63" s="1"/>
  <c r="AC387" i="63"/>
  <c r="L387" i="63" l="1"/>
  <c r="N387" i="63" s="1"/>
  <c r="I387" i="63"/>
  <c r="S387" i="63"/>
  <c r="P387" i="63" l="1"/>
  <c r="K388" i="63"/>
  <c r="J388" i="63"/>
  <c r="AC388" i="63" l="1"/>
  <c r="M388" i="63"/>
  <c r="O388" i="63" l="1"/>
  <c r="L388" i="63"/>
  <c r="I388" i="63"/>
  <c r="S388" i="63"/>
  <c r="N388" i="63" l="1"/>
  <c r="P388" i="63"/>
  <c r="J389" i="63" l="1"/>
  <c r="K389" i="63"/>
  <c r="M389" i="63" l="1"/>
  <c r="AC389" i="63"/>
  <c r="I389" i="63" l="1"/>
  <c r="S389" i="63"/>
  <c r="O389" i="63"/>
  <c r="L389" i="63"/>
  <c r="P389" i="63" l="1"/>
  <c r="N389" i="63"/>
  <c r="J390" i="63" l="1"/>
  <c r="K390" i="63"/>
  <c r="AC390" i="63" l="1"/>
  <c r="M390" i="63"/>
  <c r="O390" i="63" s="1"/>
  <c r="I390" i="63" l="1"/>
  <c r="S390" i="63"/>
  <c r="L390" i="63"/>
  <c r="P390" i="63" l="1"/>
  <c r="N390" i="63"/>
  <c r="J391" i="63" l="1"/>
  <c r="K391" i="63"/>
  <c r="M391" i="63" l="1"/>
  <c r="O391" i="63" s="1"/>
  <c r="AC391" i="63"/>
  <c r="I391" i="63" l="1"/>
  <c r="S391" i="63"/>
  <c r="L391" i="63"/>
  <c r="N391" i="63" l="1"/>
  <c r="P391" i="63"/>
  <c r="J392" i="63" l="1"/>
  <c r="K392" i="63"/>
  <c r="M392" i="63" l="1"/>
  <c r="O392" i="63" s="1"/>
  <c r="AC392" i="63"/>
  <c r="I392" i="63" l="1"/>
  <c r="S392" i="63"/>
  <c r="L392" i="63"/>
  <c r="N392" i="63" l="1"/>
  <c r="P392" i="63"/>
  <c r="K393" i="63" l="1"/>
  <c r="J393" i="63"/>
  <c r="AC393" i="63" l="1"/>
  <c r="M393" i="63"/>
  <c r="O393" i="63" s="1"/>
  <c r="L393" i="63" l="1"/>
  <c r="I393" i="63"/>
  <c r="S393" i="63"/>
  <c r="N393" i="63" l="1"/>
  <c r="P393" i="63"/>
  <c r="K394" i="63" l="1"/>
  <c r="J394" i="63"/>
  <c r="AC394" i="63" l="1"/>
  <c r="M394" i="63"/>
  <c r="O394" i="63" s="1"/>
  <c r="L394" i="63" l="1"/>
  <c r="N394" i="63" s="1"/>
  <c r="S394" i="63"/>
  <c r="I394" i="63"/>
  <c r="P394" i="63" l="1"/>
  <c r="J395" i="63" s="1"/>
  <c r="K395" i="63" l="1"/>
  <c r="M395" i="63"/>
  <c r="O395" i="63" s="1"/>
  <c r="AC395" i="63"/>
  <c r="I395" i="63" l="1"/>
  <c r="S395" i="63"/>
  <c r="L395" i="63"/>
  <c r="P395" i="63" l="1"/>
  <c r="N395" i="63"/>
  <c r="J396" i="63" l="1"/>
  <c r="K396" i="63"/>
  <c r="AC396" i="63" l="1"/>
  <c r="M396" i="63"/>
  <c r="O396" i="63" s="1"/>
  <c r="I396" i="63" l="1"/>
  <c r="S396" i="63"/>
  <c r="L396" i="63"/>
  <c r="N396" i="63" l="1"/>
  <c r="P396" i="63"/>
  <c r="K397" i="63" l="1"/>
  <c r="J397" i="63"/>
  <c r="M397" i="63" l="1"/>
  <c r="O397" i="63" s="1"/>
  <c r="AC397" i="63"/>
  <c r="L397" i="63" l="1"/>
  <c r="N397" i="63" s="1"/>
  <c r="I397" i="63"/>
  <c r="S397" i="63"/>
  <c r="P397" i="63" l="1"/>
  <c r="J398" i="63" s="1"/>
  <c r="K398" i="63" l="1"/>
  <c r="M398" i="63"/>
  <c r="AC398" i="63"/>
  <c r="I398" i="63" l="1"/>
  <c r="S398" i="63"/>
  <c r="O398" i="63"/>
  <c r="L398" i="63"/>
  <c r="P398" i="63" l="1"/>
  <c r="N398" i="63"/>
  <c r="J399" i="63" l="1"/>
  <c r="K399" i="63"/>
  <c r="M399" i="63" l="1"/>
  <c r="AC399" i="63"/>
  <c r="I399" i="63" l="1"/>
  <c r="S399" i="63"/>
  <c r="O399" i="63"/>
  <c r="L399" i="63"/>
  <c r="N399" i="63" l="1"/>
  <c r="P399" i="63"/>
  <c r="K400" i="63" l="1"/>
  <c r="J400" i="63"/>
  <c r="M400" i="63" l="1"/>
  <c r="AC400" i="63"/>
  <c r="S400" i="63" l="1"/>
  <c r="I400" i="63"/>
  <c r="O400" i="63"/>
  <c r="L400" i="63"/>
  <c r="N400" i="63" l="1"/>
  <c r="P400" i="63"/>
  <c r="J401" i="63" l="1"/>
  <c r="K401" i="63"/>
  <c r="M401" i="63" l="1"/>
  <c r="O401" i="63" s="1"/>
  <c r="AC401" i="63"/>
  <c r="I401" i="63" l="1"/>
  <c r="S401" i="63"/>
  <c r="L401" i="63"/>
  <c r="P401" i="63" l="1"/>
  <c r="N401" i="63"/>
  <c r="J402" i="63" l="1"/>
  <c r="K402" i="63"/>
  <c r="AC402" i="63" l="1"/>
  <c r="M402" i="63"/>
  <c r="O402" i="63" s="1"/>
  <c r="I402" i="63" l="1"/>
  <c r="S402" i="63"/>
  <c r="L402" i="63"/>
  <c r="N402" i="63" l="1"/>
  <c r="P402" i="63"/>
  <c r="J403" i="63" l="1"/>
  <c r="K403" i="63"/>
  <c r="AC403" i="63" l="1"/>
  <c r="M403" i="63"/>
  <c r="O403" i="63" s="1"/>
  <c r="I403" i="63" l="1"/>
  <c r="S403" i="63"/>
  <c r="L403" i="63"/>
  <c r="N403" i="63" l="1"/>
  <c r="P403" i="63"/>
  <c r="J404" i="63" l="1"/>
  <c r="K404" i="63"/>
  <c r="AC404" i="63" l="1"/>
  <c r="M404" i="63"/>
  <c r="O404" i="63" s="1"/>
  <c r="I404" i="63" l="1"/>
  <c r="S404" i="63"/>
  <c r="L404" i="63"/>
  <c r="P404" i="63" l="1"/>
  <c r="N404" i="63"/>
  <c r="J405" i="63" l="1"/>
  <c r="K405" i="63"/>
  <c r="M405" i="63" l="1"/>
  <c r="O405" i="63" s="1"/>
  <c r="AC405" i="63"/>
  <c r="I405" i="63" l="1"/>
  <c r="S405" i="63"/>
  <c r="L405" i="63"/>
  <c r="N405" i="63" l="1"/>
  <c r="P405" i="63"/>
  <c r="J406" i="63" l="1"/>
  <c r="K406" i="63"/>
  <c r="AC406" i="63" l="1"/>
  <c r="M406" i="63"/>
  <c r="O406" i="63" s="1"/>
  <c r="I406" i="63" l="1"/>
  <c r="S406" i="63"/>
  <c r="L406" i="63"/>
  <c r="N406" i="63" l="1"/>
  <c r="P406" i="63"/>
  <c r="J407" i="63" l="1"/>
  <c r="K407" i="63"/>
  <c r="AC407" i="63" l="1"/>
  <c r="M407" i="63"/>
  <c r="O407" i="63" s="1"/>
  <c r="I407" i="63" l="1"/>
  <c r="S407" i="63"/>
  <c r="L407" i="63"/>
  <c r="N407" i="63" l="1"/>
  <c r="P407" i="63"/>
  <c r="J408" i="63" l="1"/>
  <c r="K408" i="63"/>
  <c r="AC408" i="63" l="1"/>
  <c r="M408" i="63"/>
  <c r="O408" i="63" s="1"/>
  <c r="L408" i="63" l="1"/>
  <c r="N408" i="63" s="1"/>
  <c r="I408" i="63"/>
  <c r="S408" i="63"/>
  <c r="P408" i="63" l="1"/>
  <c r="J409" i="63" s="1"/>
  <c r="K409" i="63"/>
  <c r="M409" i="63" l="1"/>
  <c r="O409" i="63" s="1"/>
  <c r="AC409" i="63"/>
  <c r="S409" i="63" l="1"/>
  <c r="I409" i="63"/>
  <c r="L409" i="63"/>
  <c r="N409" i="63" l="1"/>
  <c r="P409" i="63"/>
  <c r="K410" i="63" l="1"/>
  <c r="J410" i="63"/>
  <c r="AC410" i="63" l="1"/>
  <c r="M410" i="63"/>
  <c r="O410" i="63" s="1"/>
  <c r="I410" i="63" l="1"/>
  <c r="S410" i="63"/>
  <c r="L410" i="63"/>
  <c r="N410" i="63" l="1"/>
  <c r="P410" i="63"/>
  <c r="K411" i="63" l="1"/>
  <c r="J411" i="63"/>
  <c r="AC411" i="63" l="1"/>
  <c r="M411" i="63"/>
  <c r="O411" i="63" s="1"/>
  <c r="L411" i="63" l="1"/>
  <c r="N411" i="63" s="1"/>
  <c r="P411" i="63"/>
  <c r="I411" i="63"/>
  <c r="S411" i="63"/>
  <c r="J412" i="63" l="1"/>
  <c r="K412" i="63"/>
  <c r="M412" i="63" l="1"/>
  <c r="O412" i="63" s="1"/>
  <c r="AC412" i="63"/>
  <c r="I412" i="63" l="1"/>
  <c r="S412" i="63"/>
  <c r="L412" i="63"/>
  <c r="N412" i="63" l="1"/>
  <c r="P412" i="63"/>
  <c r="J413" i="63" l="1"/>
  <c r="K413" i="63"/>
  <c r="AC413" i="63" l="1"/>
  <c r="M413" i="63"/>
  <c r="O413" i="63" s="1"/>
  <c r="L413" i="63" l="1"/>
  <c r="N413" i="63" s="1"/>
  <c r="I413" i="63"/>
  <c r="S413" i="63"/>
  <c r="P413" i="63" l="1"/>
  <c r="K414" i="63"/>
  <c r="J414" i="63"/>
  <c r="AC414" i="63" l="1"/>
  <c r="M414" i="63"/>
  <c r="O414" i="63" s="1"/>
  <c r="L414" i="63" l="1"/>
  <c r="S414" i="63"/>
  <c r="I414" i="63"/>
  <c r="N414" i="63" l="1"/>
  <c r="P414" i="63"/>
  <c r="K415" i="63" l="1"/>
  <c r="J415" i="63"/>
  <c r="AC415" i="63" l="1"/>
  <c r="M415" i="63"/>
  <c r="O415" i="63" s="1"/>
  <c r="L415" i="63" l="1"/>
  <c r="N415" i="63" s="1"/>
  <c r="I415" i="63"/>
  <c r="S415" i="63"/>
  <c r="P415" i="63" l="1"/>
  <c r="K416" i="63"/>
  <c r="J416" i="63"/>
  <c r="M416" i="63" l="1"/>
  <c r="O416" i="63" s="1"/>
  <c r="AC416" i="63"/>
  <c r="L416" i="63" l="1"/>
  <c r="N416" i="63" s="1"/>
  <c r="P416" i="63"/>
  <c r="I416" i="63"/>
  <c r="S416" i="63"/>
  <c r="J417" i="63" l="1"/>
  <c r="K417" i="63"/>
  <c r="AC417" i="63" l="1"/>
  <c r="M417" i="63"/>
  <c r="O417" i="63" s="1"/>
  <c r="I417" i="63" l="1"/>
  <c r="S417" i="63"/>
  <c r="L417" i="63"/>
  <c r="N417" i="63" l="1"/>
  <c r="P417" i="63"/>
  <c r="J418" i="63" l="1"/>
  <c r="K418" i="63"/>
  <c r="AC418" i="63" l="1"/>
  <c r="M418" i="63"/>
  <c r="O418" i="63" s="1"/>
  <c r="I418" i="63" l="1"/>
  <c r="S418" i="63"/>
  <c r="L418" i="63"/>
  <c r="N418" i="63" l="1"/>
  <c r="P418" i="63"/>
  <c r="J419" i="63" l="1"/>
  <c r="K419" i="63"/>
  <c r="AC419" i="63" l="1"/>
  <c r="M419" i="63"/>
  <c r="O419" i="63" s="1"/>
  <c r="I419" i="63" l="1"/>
  <c r="S419" i="63"/>
  <c r="L419" i="63"/>
  <c r="N419" i="63" l="1"/>
  <c r="P419" i="63"/>
  <c r="J420" i="63" l="1"/>
  <c r="K420" i="63"/>
  <c r="M420" i="63" l="1"/>
  <c r="O420" i="63" s="1"/>
  <c r="AC420" i="63"/>
  <c r="L420" i="63" l="1"/>
  <c r="N420" i="63" s="1"/>
  <c r="I420" i="63"/>
  <c r="S420" i="63"/>
  <c r="P420" i="63" l="1"/>
  <c r="K421" i="63" l="1"/>
  <c r="J421" i="63"/>
  <c r="M421" i="63" l="1"/>
  <c r="AC421" i="63"/>
  <c r="I421" i="63" l="1"/>
  <c r="S421" i="63"/>
  <c r="O421" i="63"/>
  <c r="L421" i="63"/>
  <c r="N421" i="63" l="1"/>
  <c r="P421" i="63"/>
  <c r="K422" i="63" l="1"/>
  <c r="J422" i="63"/>
  <c r="AC422" i="63" l="1"/>
  <c r="M422" i="63"/>
  <c r="O422" i="63" l="1"/>
  <c r="L422" i="63"/>
  <c r="I422" i="63"/>
  <c r="S422" i="63"/>
  <c r="N422" i="63" l="1"/>
  <c r="P422" i="63"/>
  <c r="J423" i="63" l="1"/>
  <c r="K423" i="63"/>
  <c r="M423" i="63" l="1"/>
  <c r="AC423" i="63"/>
  <c r="I423" i="63" l="1"/>
  <c r="S423" i="63"/>
  <c r="O423" i="63"/>
  <c r="L423" i="63"/>
  <c r="N423" i="63" l="1"/>
  <c r="P423" i="63"/>
  <c r="K424" i="63" l="1"/>
  <c r="J424" i="63"/>
  <c r="M424" i="63" l="1"/>
  <c r="AC424" i="63"/>
  <c r="I424" i="63" l="1"/>
  <c r="S424" i="63"/>
  <c r="L424" i="63"/>
  <c r="O424" i="63"/>
  <c r="N424" i="63" l="1"/>
  <c r="P424" i="63"/>
  <c r="J425" i="63" l="1"/>
  <c r="K425" i="63"/>
  <c r="AC425" i="63" l="1"/>
  <c r="M425" i="63"/>
  <c r="O425" i="63" l="1"/>
  <c r="L425" i="63"/>
  <c r="I425" i="63"/>
  <c r="S425" i="63"/>
  <c r="P425" i="63" l="1"/>
  <c r="N425" i="63"/>
  <c r="K426" i="63" l="1"/>
  <c r="J426" i="63"/>
  <c r="AC426" i="63" l="1"/>
  <c r="M426" i="63"/>
  <c r="O426" i="63" l="1"/>
  <c r="L426" i="63"/>
  <c r="I426" i="63"/>
  <c r="S426" i="63"/>
  <c r="N426" i="63" l="1"/>
  <c r="P426" i="63"/>
  <c r="K427" i="63" l="1"/>
  <c r="J427" i="63"/>
  <c r="AC427" i="63" l="1"/>
  <c r="M427" i="63"/>
  <c r="O427" i="63" l="1"/>
  <c r="L427" i="63"/>
  <c r="I427" i="63"/>
  <c r="S427" i="63"/>
  <c r="P427" i="63" l="1"/>
  <c r="N427" i="63"/>
  <c r="K428" i="63" l="1"/>
  <c r="J428" i="63"/>
  <c r="M428" i="63" l="1"/>
  <c r="O428" i="63" s="1"/>
  <c r="AC428" i="63"/>
  <c r="L428" i="63"/>
  <c r="N428" i="63" l="1"/>
  <c r="P428" i="63"/>
  <c r="I428" i="63"/>
  <c r="S428" i="63"/>
  <c r="K429" i="63" l="1"/>
  <c r="J429" i="63"/>
  <c r="AC429" i="63" l="1"/>
  <c r="M429" i="63"/>
  <c r="O429" i="63" l="1"/>
  <c r="L429" i="63"/>
  <c r="I429" i="63"/>
  <c r="S429" i="63"/>
  <c r="P429" i="63" l="1"/>
  <c r="N429" i="63"/>
  <c r="K430" i="63" l="1"/>
  <c r="J430" i="63"/>
  <c r="M430" i="63" l="1"/>
  <c r="AC430" i="63"/>
  <c r="S430" i="63" l="1"/>
  <c r="I430" i="63"/>
  <c r="O430" i="63"/>
  <c r="L430" i="63"/>
  <c r="N430" i="63" l="1"/>
  <c r="P430" i="63"/>
  <c r="K431" i="63" l="1"/>
  <c r="J431" i="63"/>
  <c r="AC431" i="63" l="1"/>
  <c r="M431" i="63"/>
  <c r="I25" i="57"/>
  <c r="B33" i="1" s="1"/>
  <c r="O431" i="63" l="1"/>
  <c r="L431" i="63"/>
  <c r="S431" i="63"/>
  <c r="I431" i="63"/>
  <c r="B43" i="1"/>
  <c r="K41" i="1" s="1"/>
  <c r="N431" i="63" l="1"/>
  <c r="P431" i="63"/>
  <c r="D43" i="1"/>
  <c r="K432" i="63" l="1"/>
  <c r="J432" i="63"/>
  <c r="D55" i="1"/>
  <c r="E56" i="1"/>
  <c r="G81" i="1" s="1"/>
  <c r="M81" i="1" s="1"/>
  <c r="M83" i="1" s="1"/>
  <c r="AC432" i="63" l="1"/>
  <c r="M432" i="63"/>
  <c r="G83" i="1"/>
  <c r="H81" i="1" s="1"/>
  <c r="G14" i="33"/>
  <c r="E17" i="33" s="1"/>
  <c r="O432" i="63" l="1"/>
  <c r="L432" i="63"/>
  <c r="I432" i="63"/>
  <c r="S432" i="63"/>
  <c r="H79" i="1"/>
  <c r="H78" i="1"/>
  <c r="H80" i="1"/>
  <c r="H77" i="1"/>
  <c r="N432" i="63" l="1"/>
  <c r="P432" i="63"/>
  <c r="H82" i="1"/>
  <c r="H83" i="1"/>
  <c r="K433" i="63" l="1"/>
  <c r="J433" i="63"/>
  <c r="M433" i="63" l="1"/>
  <c r="AC433" i="63"/>
  <c r="I433" i="63" l="1"/>
  <c r="S433" i="63"/>
  <c r="O433" i="63"/>
  <c r="L433" i="63"/>
  <c r="P433" i="63" l="1"/>
  <c r="N433" i="63"/>
  <c r="J434" i="63" l="1"/>
  <c r="K434" i="63"/>
  <c r="AC434" i="63" l="1"/>
  <c r="M434" i="63"/>
  <c r="O434" i="63" s="1"/>
  <c r="I434" i="63" l="1"/>
  <c r="S434" i="63"/>
  <c r="L434" i="63"/>
  <c r="N434" i="63" l="1"/>
  <c r="P434" i="63"/>
  <c r="K435" i="63" l="1"/>
  <c r="J435" i="63"/>
  <c r="AC435" i="63" l="1"/>
  <c r="M435" i="63"/>
  <c r="O435" i="63" s="1"/>
  <c r="L435" i="63"/>
  <c r="N435" i="63" s="1"/>
  <c r="P435" i="63" l="1"/>
  <c r="I435" i="63"/>
  <c r="S435" i="63"/>
  <c r="J436" i="63" l="1"/>
  <c r="K436" i="63"/>
  <c r="M436" i="63" l="1"/>
  <c r="O436" i="63" s="1"/>
  <c r="AC436" i="63"/>
  <c r="I436" i="63" l="1"/>
  <c r="S436" i="63"/>
  <c r="L436" i="63"/>
  <c r="N436" i="63" l="1"/>
  <c r="P436" i="63"/>
  <c r="K437" i="63" l="1"/>
  <c r="J437" i="63"/>
  <c r="M437" i="63" l="1"/>
  <c r="O437" i="63" s="1"/>
  <c r="AC437" i="63"/>
  <c r="L437" i="63"/>
  <c r="P437" i="63" l="1"/>
  <c r="N437" i="63"/>
  <c r="I437" i="63"/>
  <c r="S437" i="63"/>
  <c r="K438" i="63" l="1"/>
  <c r="J438" i="63"/>
  <c r="AC438" i="63" l="1"/>
  <c r="M438" i="63"/>
  <c r="O438" i="63" l="1"/>
  <c r="L438" i="63"/>
  <c r="I438" i="63"/>
  <c r="S438" i="63"/>
  <c r="N438" i="63" l="1"/>
  <c r="P438" i="63"/>
  <c r="J439" i="63" l="1"/>
  <c r="K439" i="63"/>
  <c r="AC439" i="63" l="1"/>
  <c r="M439" i="63"/>
  <c r="O439" i="63" l="1"/>
  <c r="L439" i="63"/>
  <c r="I439" i="63"/>
  <c r="S439" i="63"/>
  <c r="P439" i="63" l="1"/>
  <c r="N439" i="63"/>
  <c r="K440" i="63" l="1"/>
  <c r="J440" i="63"/>
  <c r="AC440" i="63" l="1"/>
  <c r="M440" i="63"/>
  <c r="O440" i="63" s="1"/>
  <c r="L440" i="63"/>
  <c r="N440" i="63" l="1"/>
  <c r="P440" i="63"/>
  <c r="S440" i="63"/>
  <c r="I440" i="63"/>
  <c r="J441" i="63" l="1"/>
  <c r="K441" i="63"/>
  <c r="M441" i="63" l="1"/>
  <c r="AC441" i="63"/>
  <c r="I441" i="63" l="1"/>
  <c r="S441" i="63"/>
  <c r="O441" i="63"/>
  <c r="L441" i="63"/>
  <c r="N441" i="63" l="1"/>
  <c r="P441" i="63"/>
  <c r="J442" i="63" l="1"/>
  <c r="K442" i="63"/>
  <c r="AC442" i="63" l="1"/>
  <c r="M442" i="63"/>
  <c r="L442" i="63" l="1"/>
  <c r="O442" i="63"/>
  <c r="I442" i="63"/>
  <c r="S442" i="63"/>
  <c r="N442" i="63" l="1"/>
  <c r="P442" i="63"/>
  <c r="J443" i="63" l="1"/>
  <c r="K443" i="63"/>
  <c r="M443" i="63" l="1"/>
  <c r="AC443" i="63"/>
  <c r="I443" i="63" l="1"/>
  <c r="S443" i="63"/>
  <c r="O443" i="63"/>
  <c r="L443" i="63"/>
  <c r="N443" i="63" l="1"/>
  <c r="P443" i="63"/>
  <c r="K444" i="63" l="1"/>
  <c r="J444" i="63"/>
  <c r="AC444" i="63" l="1"/>
  <c r="M444" i="63"/>
  <c r="O444" i="63" l="1"/>
  <c r="L444" i="63"/>
  <c r="I444" i="63"/>
  <c r="S444" i="63"/>
  <c r="N444" i="63" l="1"/>
  <c r="P444" i="63"/>
  <c r="J445" i="63" l="1"/>
  <c r="K445" i="63"/>
  <c r="M445" i="63" l="1"/>
  <c r="AC445" i="63"/>
  <c r="I445" i="63" l="1"/>
  <c r="S445" i="63"/>
  <c r="O445" i="63"/>
  <c r="L445" i="63"/>
  <c r="P445" i="63" l="1"/>
  <c r="N445" i="63"/>
  <c r="J446" i="63" l="1"/>
  <c r="K446" i="63"/>
  <c r="M446" i="63" l="1"/>
  <c r="O446" i="63" s="1"/>
  <c r="AC446" i="63"/>
  <c r="I446" i="63" l="1"/>
  <c r="S446" i="63"/>
  <c r="L446" i="63"/>
  <c r="N446" i="63" l="1"/>
  <c r="P446" i="63"/>
  <c r="J447" i="63" l="1"/>
  <c r="K447" i="63"/>
  <c r="AC447" i="63" l="1"/>
  <c r="M447" i="63"/>
  <c r="O447" i="63" s="1"/>
  <c r="S447" i="63" l="1"/>
  <c r="I447" i="63"/>
  <c r="L447" i="63"/>
  <c r="N447" i="63" l="1"/>
  <c r="P447" i="63"/>
  <c r="J448" i="63" l="1"/>
  <c r="K448" i="63"/>
  <c r="AC448" i="63" l="1"/>
  <c r="M448" i="63"/>
  <c r="O448" i="63" s="1"/>
  <c r="I448" i="63" l="1"/>
  <c r="S448" i="63"/>
  <c r="L448" i="63"/>
  <c r="N448" i="63" l="1"/>
  <c r="P448" i="63"/>
  <c r="J449" i="63" l="1"/>
  <c r="K449" i="63"/>
  <c r="M449" i="63" l="1"/>
  <c r="O449" i="63" s="1"/>
  <c r="AC449" i="63"/>
  <c r="I449" i="63" l="1"/>
  <c r="S449" i="63"/>
  <c r="L449" i="63"/>
  <c r="N449" i="63" l="1"/>
  <c r="P449" i="63"/>
  <c r="K450" i="63" l="1"/>
  <c r="J450" i="63"/>
  <c r="AC450" i="63" l="1"/>
  <c r="M450" i="63"/>
  <c r="O450" i="63" s="1"/>
  <c r="L450" i="63" l="1"/>
  <c r="I450" i="63"/>
  <c r="S450" i="63"/>
  <c r="N450" i="63" l="1"/>
  <c r="P450" i="63"/>
  <c r="J451" i="63" l="1"/>
  <c r="K451" i="63"/>
  <c r="AC451" i="63" l="1"/>
  <c r="M451" i="63"/>
  <c r="O451" i="63" s="1"/>
  <c r="I451" i="63" l="1"/>
  <c r="S451" i="63"/>
  <c r="L451" i="63"/>
  <c r="N451" i="63" l="1"/>
  <c r="P451" i="63"/>
  <c r="K452" i="63" l="1"/>
  <c r="J452" i="63"/>
  <c r="AC452" i="63" l="1"/>
  <c r="M452" i="63"/>
  <c r="O452" i="63" s="1"/>
  <c r="L452" i="63"/>
  <c r="N452" i="63" s="1"/>
  <c r="P452" i="63" l="1"/>
  <c r="I452" i="63"/>
  <c r="S452" i="63"/>
  <c r="K453" i="63" l="1"/>
  <c r="J453" i="63"/>
  <c r="AC453" i="63" l="1"/>
  <c r="M453" i="63"/>
  <c r="O453" i="63" s="1"/>
  <c r="L453" i="63"/>
  <c r="N453" i="63" s="1"/>
  <c r="P453" i="63" l="1"/>
  <c r="I453" i="63"/>
  <c r="S453" i="63"/>
  <c r="K454" i="63" l="1"/>
  <c r="J454" i="63"/>
  <c r="M454" i="63" l="1"/>
  <c r="O454" i="63" s="1"/>
  <c r="AC454" i="63"/>
  <c r="L454" i="63"/>
  <c r="N454" i="63" s="1"/>
  <c r="P454" i="63" l="1"/>
  <c r="S454" i="63"/>
  <c r="I454" i="63"/>
  <c r="J455" i="63" l="1"/>
  <c r="K455" i="63"/>
  <c r="M455" i="63" l="1"/>
  <c r="O455" i="63" s="1"/>
  <c r="AC455" i="63"/>
  <c r="S455" i="63" l="1"/>
  <c r="I455" i="63"/>
  <c r="L455" i="63"/>
  <c r="N455" i="63" l="1"/>
  <c r="P455" i="63"/>
  <c r="K456" i="63" l="1"/>
  <c r="J456" i="63"/>
  <c r="AC456" i="63" l="1"/>
  <c r="M456" i="63"/>
  <c r="O456" i="63" s="1"/>
  <c r="L456" i="63" l="1"/>
  <c r="I456" i="63"/>
  <c r="S456" i="63"/>
  <c r="N456" i="63" l="1"/>
  <c r="P456" i="63"/>
  <c r="J457" i="63" l="1"/>
  <c r="K457" i="63"/>
  <c r="M457" i="63" l="1"/>
  <c r="O457" i="63" s="1"/>
  <c r="AC457" i="63"/>
  <c r="I457" i="63" l="1"/>
  <c r="S457" i="63"/>
  <c r="L457" i="63"/>
  <c r="N457" i="63" l="1"/>
  <c r="P457" i="63"/>
  <c r="K458" i="63" l="1"/>
  <c r="J458" i="63"/>
  <c r="AC458" i="63" l="1"/>
  <c r="M458" i="63"/>
  <c r="O458" i="63" s="1"/>
  <c r="L458" i="63"/>
  <c r="N458" i="63" s="1"/>
  <c r="P458" i="63" l="1"/>
  <c r="I458" i="63"/>
  <c r="S458" i="63"/>
  <c r="J459" i="63" l="1"/>
  <c r="K459" i="63"/>
  <c r="AC459" i="63" l="1"/>
  <c r="M459" i="63"/>
  <c r="O459" i="63" s="1"/>
  <c r="I459" i="63" l="1"/>
  <c r="S459" i="63"/>
  <c r="L459" i="63"/>
  <c r="N459" i="63" l="1"/>
  <c r="P459" i="63"/>
  <c r="K460" i="63" l="1"/>
  <c r="J460" i="63"/>
  <c r="M460" i="63" l="1"/>
  <c r="O460" i="63" s="1"/>
  <c r="AC460" i="63"/>
  <c r="L460" i="63"/>
  <c r="P460" i="63" l="1"/>
  <c r="N460" i="63"/>
  <c r="I460" i="63"/>
  <c r="S460" i="63"/>
  <c r="K461" i="63" l="1"/>
  <c r="J461" i="63"/>
  <c r="M461" i="63" l="1"/>
  <c r="AC461" i="63"/>
  <c r="I461" i="63" l="1"/>
  <c r="S461" i="63"/>
  <c r="O461" i="63"/>
  <c r="L461" i="63"/>
  <c r="N461" i="63" l="1"/>
  <c r="P461" i="63"/>
  <c r="K462" i="63" l="1"/>
  <c r="J462" i="63"/>
  <c r="M462" i="63" l="1"/>
  <c r="AC462" i="63"/>
  <c r="I462" i="63" l="1"/>
  <c r="S462" i="63"/>
  <c r="L462" i="63"/>
  <c r="O462" i="63"/>
  <c r="N462" i="63" l="1"/>
  <c r="P462" i="63"/>
  <c r="K463" i="63" l="1"/>
  <c r="J463" i="63"/>
  <c r="AC463" i="63" l="1"/>
  <c r="M463" i="63"/>
  <c r="O463" i="63" l="1"/>
  <c r="L463" i="63"/>
  <c r="S463" i="63"/>
  <c r="I463" i="63"/>
  <c r="P463" i="63" l="1"/>
  <c r="N463" i="63"/>
  <c r="K464" i="63" l="1"/>
  <c r="J464" i="63"/>
  <c r="AC464" i="63" l="1"/>
  <c r="M464" i="63"/>
  <c r="O464" i="63" l="1"/>
  <c r="L464" i="63"/>
  <c r="I464" i="63"/>
  <c r="S464" i="63"/>
  <c r="N464" i="63" l="1"/>
  <c r="P464" i="63"/>
  <c r="K465" i="63" l="1"/>
  <c r="J465" i="63"/>
  <c r="M465" i="63" l="1"/>
  <c r="O465" i="63" s="1"/>
  <c r="AC465" i="63"/>
  <c r="L465" i="63"/>
  <c r="N465" i="63" s="1"/>
  <c r="I465" i="63" l="1"/>
  <c r="S465" i="63"/>
  <c r="P465" i="63"/>
  <c r="J466" i="63" l="1"/>
  <c r="K466" i="63"/>
  <c r="M466" i="63" l="1"/>
  <c r="O466" i="63" s="1"/>
  <c r="AC466" i="63"/>
  <c r="I466" i="63" l="1"/>
  <c r="S466" i="63"/>
  <c r="L466" i="63"/>
  <c r="N466" i="63" l="1"/>
  <c r="P466" i="63"/>
  <c r="J467" i="63" l="1"/>
  <c r="K467" i="63"/>
  <c r="AC467" i="63" l="1"/>
  <c r="M467" i="63"/>
  <c r="O467" i="63" s="1"/>
  <c r="I467" i="63" l="1"/>
  <c r="S467" i="63"/>
  <c r="L467" i="63"/>
  <c r="AE15" i="63"/>
  <c r="N467" i="63" l="1"/>
  <c r="P467" i="63"/>
  <c r="AE16" i="63"/>
  <c r="J468" i="63" l="1"/>
  <c r="K468" i="63"/>
  <c r="AE17" i="63"/>
  <c r="L468" i="63" l="1"/>
  <c r="AC468" i="63"/>
  <c r="M468" i="63"/>
  <c r="O468" i="63" s="1"/>
  <c r="AE18" i="63"/>
  <c r="N468" i="63" l="1"/>
  <c r="P468" i="63"/>
  <c r="I468" i="63"/>
  <c r="S468" i="63"/>
  <c r="AE19" i="63"/>
  <c r="J469" i="63" l="1"/>
  <c r="K469" i="63"/>
  <c r="AE20" i="63"/>
  <c r="M469" i="63" l="1"/>
  <c r="AC469" i="63"/>
  <c r="AE21" i="63"/>
  <c r="I469" i="63" l="1"/>
  <c r="S469" i="63"/>
  <c r="O469" i="63"/>
  <c r="L469" i="63"/>
  <c r="AE22" i="63"/>
  <c r="N469" i="63" l="1"/>
  <c r="P469" i="63"/>
  <c r="AE23" i="63"/>
  <c r="K470" i="63" l="1"/>
  <c r="J470" i="63"/>
  <c r="AE24" i="63"/>
  <c r="M470" i="63" l="1"/>
  <c r="O470" i="63" s="1"/>
  <c r="AC470" i="63"/>
  <c r="L470" i="63"/>
  <c r="AE25" i="63"/>
  <c r="N470" i="63" l="1"/>
  <c r="P470" i="63"/>
  <c r="I470" i="63"/>
  <c r="S470" i="63"/>
  <c r="AE26" i="63"/>
  <c r="J471" i="63" l="1"/>
  <c r="K471" i="63"/>
  <c r="AE27" i="63"/>
  <c r="AC471" i="63" l="1"/>
  <c r="M471" i="63"/>
  <c r="AE28" i="63"/>
  <c r="O471" i="63" l="1"/>
  <c r="L471" i="63"/>
  <c r="I471" i="63"/>
  <c r="S471" i="63"/>
  <c r="AE29" i="63"/>
  <c r="N471" i="63" l="1"/>
  <c r="P471" i="63"/>
  <c r="AE30" i="63"/>
  <c r="J472" i="63" l="1"/>
  <c r="K472" i="63"/>
  <c r="AE31" i="63"/>
  <c r="AC472" i="63" l="1"/>
  <c r="M472" i="63"/>
  <c r="AE32" i="63"/>
  <c r="O472" i="63" l="1"/>
  <c r="L472" i="63"/>
  <c r="I472" i="63"/>
  <c r="S472" i="63"/>
  <c r="AE33" i="63"/>
  <c r="N472" i="63" l="1"/>
  <c r="P472" i="63"/>
  <c r="AE34" i="63"/>
  <c r="J473" i="63" l="1"/>
  <c r="K473" i="63"/>
  <c r="AE35" i="63"/>
  <c r="M473" i="63" l="1"/>
  <c r="AC473" i="63"/>
  <c r="AE36" i="63"/>
  <c r="I473" i="63" l="1"/>
  <c r="S473" i="63"/>
  <c r="O473" i="63"/>
  <c r="L473" i="63"/>
  <c r="AE37" i="63"/>
  <c r="N473" i="63" l="1"/>
  <c r="P473" i="63"/>
  <c r="AE38" i="63"/>
  <c r="K474" i="63" l="1"/>
  <c r="J474" i="63"/>
  <c r="AE39" i="63"/>
  <c r="M474" i="63" l="1"/>
  <c r="O474" i="63" s="1"/>
  <c r="AC474" i="63"/>
  <c r="L474" i="63"/>
  <c r="AE40" i="63"/>
  <c r="N474" i="63" l="1"/>
  <c r="P474" i="63"/>
  <c r="I474" i="63"/>
  <c r="S474" i="63"/>
  <c r="AE41" i="63"/>
  <c r="J475" i="63" l="1"/>
  <c r="K475" i="63"/>
  <c r="AE42" i="63"/>
  <c r="M475" i="63" l="1"/>
  <c r="AC475" i="63"/>
  <c r="AE43" i="63"/>
  <c r="I475" i="63" l="1"/>
  <c r="S475" i="63"/>
  <c r="O475" i="63"/>
  <c r="L475" i="63"/>
  <c r="AE44" i="63"/>
  <c r="N475" i="63" l="1"/>
  <c r="P475" i="63"/>
  <c r="AE45" i="63"/>
  <c r="K476" i="63" l="1"/>
  <c r="J476" i="63"/>
  <c r="AE46" i="63"/>
  <c r="AC476" i="63" l="1"/>
  <c r="M476" i="63"/>
  <c r="O476" i="63" s="1"/>
  <c r="L476" i="63"/>
  <c r="AE47" i="63"/>
  <c r="N476" i="63" l="1"/>
  <c r="P476" i="63"/>
  <c r="I476" i="63"/>
  <c r="S476" i="63"/>
  <c r="AE48" i="63"/>
  <c r="K477" i="63" l="1"/>
  <c r="J477" i="63"/>
  <c r="AE49" i="63"/>
  <c r="AC477" i="63" l="1"/>
  <c r="M477" i="63"/>
  <c r="AE50" i="63"/>
  <c r="O477" i="63" l="1"/>
  <c r="L477" i="63"/>
  <c r="I477" i="63"/>
  <c r="S477" i="63"/>
  <c r="AE51" i="63"/>
  <c r="N477" i="63" l="1"/>
  <c r="P477" i="63"/>
  <c r="AE52" i="63"/>
  <c r="J478" i="63" l="1"/>
  <c r="K478" i="63"/>
  <c r="AE53" i="63"/>
  <c r="M478" i="63" l="1"/>
  <c r="AC478" i="63"/>
  <c r="AE54" i="63"/>
  <c r="I478" i="63" l="1"/>
  <c r="S478" i="63"/>
  <c r="O478" i="63"/>
  <c r="L478" i="63"/>
  <c r="AE55" i="63"/>
  <c r="N478" i="63" l="1"/>
  <c r="P478" i="63"/>
  <c r="AE56" i="63"/>
  <c r="J479" i="63" l="1"/>
  <c r="K479" i="63"/>
  <c r="AE57" i="63"/>
  <c r="AC479" i="63" l="1"/>
  <c r="M479" i="63"/>
  <c r="T59" i="63"/>
  <c r="AG59" i="63" s="1"/>
  <c r="AE58" i="63"/>
  <c r="V59" i="63"/>
  <c r="O479" i="63" l="1"/>
  <c r="L479" i="63"/>
  <c r="I479" i="63"/>
  <c r="S479" i="63"/>
  <c r="U59" i="63"/>
  <c r="Z59" i="63" s="1"/>
  <c r="AA59" i="63"/>
  <c r="AJ59" i="63"/>
  <c r="AK59" i="63" s="1"/>
  <c r="AD59" i="63"/>
  <c r="W59" i="63"/>
  <c r="W60" i="63" s="1"/>
  <c r="W61" i="63" s="1"/>
  <c r="W62" i="63" s="1"/>
  <c r="W63" i="63" s="1"/>
  <c r="W64" i="63" s="1"/>
  <c r="W65" i="63" s="1"/>
  <c r="W66" i="63" s="1"/>
  <c r="W67" i="63" s="1"/>
  <c r="W68" i="63" s="1"/>
  <c r="W69" i="63" s="1"/>
  <c r="W70" i="63" s="1"/>
  <c r="W71" i="63" s="1"/>
  <c r="W72" i="63" s="1"/>
  <c r="W73" i="63" s="1"/>
  <c r="W74" i="63" s="1"/>
  <c r="W75" i="63" s="1"/>
  <c r="W76" i="63" s="1"/>
  <c r="W77" i="63" s="1"/>
  <c r="W78" i="63" s="1"/>
  <c r="W79" i="63" s="1"/>
  <c r="W80" i="63" s="1"/>
  <c r="W81" i="63" s="1"/>
  <c r="W82" i="63" s="1"/>
  <c r="W83" i="63" s="1"/>
  <c r="W84" i="63" s="1"/>
  <c r="W85" i="63" s="1"/>
  <c r="W86" i="63" s="1"/>
  <c r="W87" i="63" s="1"/>
  <c r="W88" i="63" s="1"/>
  <c r="W89" i="63" s="1"/>
  <c r="W90" i="63" s="1"/>
  <c r="W91" i="63" s="1"/>
  <c r="W92" i="63" s="1"/>
  <c r="W93" i="63" s="1"/>
  <c r="W94" i="63" s="1"/>
  <c r="W95" i="63" s="1"/>
  <c r="W96" i="63" s="1"/>
  <c r="W97" i="63" s="1"/>
  <c r="W98" i="63" s="1"/>
  <c r="W99" i="63" s="1"/>
  <c r="W100" i="63" s="1"/>
  <c r="W101" i="63" s="1"/>
  <c r="W102" i="63" s="1"/>
  <c r="W103" i="63" s="1"/>
  <c r="W104" i="63" s="1"/>
  <c r="W105" i="63" s="1"/>
  <c r="W106" i="63" s="1"/>
  <c r="W107" i="63" s="1"/>
  <c r="W108" i="63" s="1"/>
  <c r="W109" i="63" s="1"/>
  <c r="W110" i="63" s="1"/>
  <c r="W111" i="63" s="1"/>
  <c r="W112" i="63" s="1"/>
  <c r="W113" i="63" s="1"/>
  <c r="W114" i="63" s="1"/>
  <c r="W115" i="63" s="1"/>
  <c r="W116" i="63" s="1"/>
  <c r="W117" i="63" s="1"/>
  <c r="W118" i="63" s="1"/>
  <c r="W119" i="63" s="1"/>
  <c r="W120" i="63" s="1"/>
  <c r="W121" i="63" s="1"/>
  <c r="W122" i="63" s="1"/>
  <c r="W123" i="63" s="1"/>
  <c r="W124" i="63" s="1"/>
  <c r="W125" i="63" s="1"/>
  <c r="W126" i="63" s="1"/>
  <c r="W127" i="63" s="1"/>
  <c r="W128" i="63" s="1"/>
  <c r="W129" i="63" s="1"/>
  <c r="W130" i="63" s="1"/>
  <c r="W131" i="63" s="1"/>
  <c r="W132" i="63" s="1"/>
  <c r="W133" i="63" s="1"/>
  <c r="W134" i="63" s="1"/>
  <c r="W135" i="63" s="1"/>
  <c r="W136" i="63" s="1"/>
  <c r="W137" i="63" s="1"/>
  <c r="W138" i="63" s="1"/>
  <c r="W139" i="63" s="1"/>
  <c r="W140" i="63" s="1"/>
  <c r="W141" i="63" s="1"/>
  <c r="W142" i="63" s="1"/>
  <c r="W143" i="63" s="1"/>
  <c r="W144" i="63" s="1"/>
  <c r="W145" i="63" s="1"/>
  <c r="W146" i="63" s="1"/>
  <c r="W147" i="63" s="1"/>
  <c r="W148" i="63" s="1"/>
  <c r="W149" i="63" s="1"/>
  <c r="W150" i="63" s="1"/>
  <c r="W151" i="63" s="1"/>
  <c r="W152" i="63" s="1"/>
  <c r="W153" i="63" s="1"/>
  <c r="W154" i="63" s="1"/>
  <c r="W155" i="63" s="1"/>
  <c r="W156" i="63" s="1"/>
  <c r="W157" i="63" s="1"/>
  <c r="W158" i="63" s="1"/>
  <c r="W159" i="63" s="1"/>
  <c r="W160" i="63" s="1"/>
  <c r="W161" i="63" s="1"/>
  <c r="W162" i="63" s="1"/>
  <c r="W163" i="63" s="1"/>
  <c r="W164" i="63" s="1"/>
  <c r="W165" i="63" s="1"/>
  <c r="W166" i="63" s="1"/>
  <c r="W167" i="63" s="1"/>
  <c r="W168" i="63" s="1"/>
  <c r="W169" i="63" s="1"/>
  <c r="W170" i="63" s="1"/>
  <c r="W171" i="63" s="1"/>
  <c r="W172" i="63" s="1"/>
  <c r="W173" i="63" s="1"/>
  <c r="W174" i="63" s="1"/>
  <c r="W175" i="63" s="1"/>
  <c r="W176" i="63" s="1"/>
  <c r="W177" i="63" s="1"/>
  <c r="W178" i="63" s="1"/>
  <c r="W179" i="63" s="1"/>
  <c r="W180" i="63" s="1"/>
  <c r="W181" i="63" s="1"/>
  <c r="W182" i="63" s="1"/>
  <c r="W183" i="63" s="1"/>
  <c r="W184" i="63" s="1"/>
  <c r="W185" i="63" s="1"/>
  <c r="W186" i="63" s="1"/>
  <c r="W187" i="63" s="1"/>
  <c r="W188" i="63" s="1"/>
  <c r="W189" i="63" s="1"/>
  <c r="W190" i="63" s="1"/>
  <c r="W191" i="63" s="1"/>
  <c r="W192" i="63" s="1"/>
  <c r="W193" i="63" s="1"/>
  <c r="W194" i="63" s="1"/>
  <c r="W195" i="63" s="1"/>
  <c r="W196" i="63" s="1"/>
  <c r="W197" i="63" s="1"/>
  <c r="W198" i="63" s="1"/>
  <c r="W199" i="63" s="1"/>
  <c r="W200" i="63" s="1"/>
  <c r="W201" i="63" s="1"/>
  <c r="W202" i="63" s="1"/>
  <c r="W203" i="63" s="1"/>
  <c r="W204" i="63" s="1"/>
  <c r="W205" i="63" s="1"/>
  <c r="W206" i="63" s="1"/>
  <c r="W207" i="63" s="1"/>
  <c r="W208" i="63" s="1"/>
  <c r="W209" i="63" s="1"/>
  <c r="W210" i="63" s="1"/>
  <c r="W211" i="63" s="1"/>
  <c r="W212" i="63" s="1"/>
  <c r="W213" i="63" s="1"/>
  <c r="W214" i="63" s="1"/>
  <c r="W215" i="63" s="1"/>
  <c r="W216" i="63" s="1"/>
  <c r="W217" i="63" s="1"/>
  <c r="W218" i="63" s="1"/>
  <c r="W219" i="63" s="1"/>
  <c r="W220" i="63" s="1"/>
  <c r="W221" i="63" s="1"/>
  <c r="W222" i="63" s="1"/>
  <c r="W223" i="63" s="1"/>
  <c r="W224" i="63" s="1"/>
  <c r="W225" i="63" s="1"/>
  <c r="W226" i="63" s="1"/>
  <c r="W227" i="63" s="1"/>
  <c r="W228" i="63" s="1"/>
  <c r="W229" i="63" s="1"/>
  <c r="W230" i="63" s="1"/>
  <c r="W231" i="63" s="1"/>
  <c r="W232" i="63" s="1"/>
  <c r="W233" i="63" s="1"/>
  <c r="W234" i="63" s="1"/>
  <c r="W235" i="63" s="1"/>
  <c r="W236" i="63" s="1"/>
  <c r="W237" i="63" s="1"/>
  <c r="W238" i="63" s="1"/>
  <c r="W239" i="63" s="1"/>
  <c r="W240" i="63" s="1"/>
  <c r="W241" i="63" s="1"/>
  <c r="W242" i="63" s="1"/>
  <c r="W243" i="63" s="1"/>
  <c r="W244" i="63" s="1"/>
  <c r="W245" i="63" s="1"/>
  <c r="W246" i="63" s="1"/>
  <c r="W247" i="63" s="1"/>
  <c r="W248" i="63" s="1"/>
  <c r="W249" i="63" s="1"/>
  <c r="W250" i="63" s="1"/>
  <c r="W251" i="63" s="1"/>
  <c r="W252" i="63" s="1"/>
  <c r="W253" i="63" s="1"/>
  <c r="W254" i="63" s="1"/>
  <c r="W255" i="63" s="1"/>
  <c r="W256" i="63" s="1"/>
  <c r="W257" i="63" s="1"/>
  <c r="W258" i="63" s="1"/>
  <c r="W259" i="63" s="1"/>
  <c r="W260" i="63" s="1"/>
  <c r="W261" i="63" s="1"/>
  <c r="W262" i="63" s="1"/>
  <c r="W263" i="63" s="1"/>
  <c r="W264" i="63" s="1"/>
  <c r="W265" i="63" s="1"/>
  <c r="W266" i="63" s="1"/>
  <c r="W267" i="63" s="1"/>
  <c r="W268" i="63" s="1"/>
  <c r="W269" i="63" s="1"/>
  <c r="W270" i="63" s="1"/>
  <c r="W271" i="63" s="1"/>
  <c r="W272" i="63" s="1"/>
  <c r="W273" i="63" s="1"/>
  <c r="W274" i="63" s="1"/>
  <c r="W275" i="63" s="1"/>
  <c r="W276" i="63" s="1"/>
  <c r="W277" i="63" s="1"/>
  <c r="W278" i="63" s="1"/>
  <c r="W279" i="63" s="1"/>
  <c r="W280" i="63" s="1"/>
  <c r="W281" i="63" s="1"/>
  <c r="W282" i="63" s="1"/>
  <c r="W283" i="63" s="1"/>
  <c r="W284" i="63" s="1"/>
  <c r="W285" i="63" s="1"/>
  <c r="W286" i="63" s="1"/>
  <c r="W287" i="63" s="1"/>
  <c r="W288" i="63" s="1"/>
  <c r="W289" i="63" s="1"/>
  <c r="W290" i="63" s="1"/>
  <c r="W291" i="63" s="1"/>
  <c r="W292" i="63" s="1"/>
  <c r="W293" i="63" s="1"/>
  <c r="W294" i="63" s="1"/>
  <c r="W295" i="63" s="1"/>
  <c r="W296" i="63" s="1"/>
  <c r="W297" i="63" s="1"/>
  <c r="W298" i="63" s="1"/>
  <c r="W299" i="63" s="1"/>
  <c r="W300" i="63" s="1"/>
  <c r="W301" i="63" s="1"/>
  <c r="W302" i="63" s="1"/>
  <c r="W303" i="63" s="1"/>
  <c r="W304" i="63" s="1"/>
  <c r="W305" i="63" s="1"/>
  <c r="W306" i="63" s="1"/>
  <c r="W307" i="63" s="1"/>
  <c r="W308" i="63" s="1"/>
  <c r="W309" i="63" s="1"/>
  <c r="W310" i="63" s="1"/>
  <c r="W311" i="63" s="1"/>
  <c r="W312" i="63" s="1"/>
  <c r="W313" i="63" s="1"/>
  <c r="W314" i="63" s="1"/>
  <c r="W315" i="63" s="1"/>
  <c r="W316" i="63" s="1"/>
  <c r="W317" i="63" s="1"/>
  <c r="W318" i="63" s="1"/>
  <c r="W319" i="63" s="1"/>
  <c r="W320" i="63" s="1"/>
  <c r="W321" i="63" s="1"/>
  <c r="W322" i="63" s="1"/>
  <c r="W323" i="63" s="1"/>
  <c r="W324" i="63" s="1"/>
  <c r="W325" i="63" s="1"/>
  <c r="W326" i="63" s="1"/>
  <c r="W327" i="63" s="1"/>
  <c r="W328" i="63" s="1"/>
  <c r="W329" i="63" s="1"/>
  <c r="W330" i="63" s="1"/>
  <c r="W331" i="63" s="1"/>
  <c r="W332" i="63" s="1"/>
  <c r="W333" i="63" s="1"/>
  <c r="W334" i="63" s="1"/>
  <c r="W335" i="63" s="1"/>
  <c r="W336" i="63" s="1"/>
  <c r="W337" i="63" s="1"/>
  <c r="W338" i="63" s="1"/>
  <c r="W339" i="63" s="1"/>
  <c r="W340" i="63" s="1"/>
  <c r="W341" i="63" s="1"/>
  <c r="W342" i="63" s="1"/>
  <c r="W343" i="63" s="1"/>
  <c r="W344" i="63" s="1"/>
  <c r="W345" i="63" s="1"/>
  <c r="W346" i="63" s="1"/>
  <c r="W347" i="63" s="1"/>
  <c r="W348" i="63" s="1"/>
  <c r="W349" i="63" s="1"/>
  <c r="W350" i="63" s="1"/>
  <c r="W351" i="63" s="1"/>
  <c r="W352" i="63" s="1"/>
  <c r="W353" i="63" s="1"/>
  <c r="W354" i="63" s="1"/>
  <c r="W355" i="63" s="1"/>
  <c r="W356" i="63" s="1"/>
  <c r="W357" i="63" s="1"/>
  <c r="W358" i="63" s="1"/>
  <c r="W359" i="63" s="1"/>
  <c r="W360" i="63" s="1"/>
  <c r="W361" i="63" s="1"/>
  <c r="W362" i="63" s="1"/>
  <c r="W363" i="63" s="1"/>
  <c r="W364" i="63" s="1"/>
  <c r="W365" i="63" s="1"/>
  <c r="W366" i="63" s="1"/>
  <c r="W367" i="63" s="1"/>
  <c r="W368" i="63" s="1"/>
  <c r="W369" i="63" s="1"/>
  <c r="W370" i="63" s="1"/>
  <c r="W371" i="63" s="1"/>
  <c r="W372" i="63" s="1"/>
  <c r="W373" i="63" s="1"/>
  <c r="W374" i="63" s="1"/>
  <c r="W375" i="63" s="1"/>
  <c r="W376" i="63" s="1"/>
  <c r="W377" i="63" s="1"/>
  <c r="W378" i="63" s="1"/>
  <c r="W379" i="63" s="1"/>
  <c r="W380" i="63" s="1"/>
  <c r="W381" i="63" s="1"/>
  <c r="W382" i="63" s="1"/>
  <c r="W383" i="63" s="1"/>
  <c r="W384" i="63" s="1"/>
  <c r="W385" i="63" s="1"/>
  <c r="W386" i="63" s="1"/>
  <c r="W387" i="63" s="1"/>
  <c r="W388" i="63" s="1"/>
  <c r="W389" i="63" s="1"/>
  <c r="W390" i="63" s="1"/>
  <c r="W391" i="63" s="1"/>
  <c r="W392" i="63" s="1"/>
  <c r="W393" i="63" s="1"/>
  <c r="W394" i="63" s="1"/>
  <c r="W395" i="63" s="1"/>
  <c r="W396" i="63" s="1"/>
  <c r="W397" i="63" s="1"/>
  <c r="W398" i="63" s="1"/>
  <c r="W399" i="63" s="1"/>
  <c r="W400" i="63" s="1"/>
  <c r="W401" i="63" s="1"/>
  <c r="W402" i="63" s="1"/>
  <c r="W403" i="63" s="1"/>
  <c r="W404" i="63" s="1"/>
  <c r="W405" i="63" s="1"/>
  <c r="W406" i="63" s="1"/>
  <c r="W407" i="63" s="1"/>
  <c r="W408" i="63" s="1"/>
  <c r="W409" i="63" s="1"/>
  <c r="W410" i="63" s="1"/>
  <c r="W411" i="63" s="1"/>
  <c r="W412" i="63" s="1"/>
  <c r="W413" i="63" s="1"/>
  <c r="W414" i="63" s="1"/>
  <c r="W415" i="63" s="1"/>
  <c r="W416" i="63" s="1"/>
  <c r="W417" i="63" s="1"/>
  <c r="W418" i="63" s="1"/>
  <c r="W419" i="63" s="1"/>
  <c r="W420" i="63" s="1"/>
  <c r="W421" i="63" s="1"/>
  <c r="W422" i="63" s="1"/>
  <c r="W423" i="63" s="1"/>
  <c r="W424" i="63" s="1"/>
  <c r="W425" i="63" s="1"/>
  <c r="W426" i="63" s="1"/>
  <c r="W427" i="63" s="1"/>
  <c r="W428" i="63" s="1"/>
  <c r="W429" i="63" s="1"/>
  <c r="W430" i="63" s="1"/>
  <c r="W431" i="63" s="1"/>
  <c r="W432" i="63" s="1"/>
  <c r="W433" i="63" s="1"/>
  <c r="W434" i="63" s="1"/>
  <c r="W435" i="63" s="1"/>
  <c r="W436" i="63" s="1"/>
  <c r="W437" i="63" s="1"/>
  <c r="W438" i="63" s="1"/>
  <c r="W439" i="63" s="1"/>
  <c r="W440" i="63" s="1"/>
  <c r="W441" i="63" s="1"/>
  <c r="W442" i="63" s="1"/>
  <c r="W443" i="63" s="1"/>
  <c r="W444" i="63" s="1"/>
  <c r="W445" i="63" s="1"/>
  <c r="W446" i="63" s="1"/>
  <c r="W447" i="63" s="1"/>
  <c r="W448" i="63" s="1"/>
  <c r="W449" i="63" s="1"/>
  <c r="W450" i="63" s="1"/>
  <c r="W451" i="63" s="1"/>
  <c r="W452" i="63" s="1"/>
  <c r="W453" i="63" s="1"/>
  <c r="W454" i="63" s="1"/>
  <c r="W455" i="63" s="1"/>
  <c r="W456" i="63" s="1"/>
  <c r="W457" i="63" s="1"/>
  <c r="W458" i="63" s="1"/>
  <c r="W459" i="63" s="1"/>
  <c r="W460" i="63" s="1"/>
  <c r="W461" i="63" s="1"/>
  <c r="W462" i="63" s="1"/>
  <c r="W463" i="63" s="1"/>
  <c r="W464" i="63" s="1"/>
  <c r="W465" i="63" s="1"/>
  <c r="W466" i="63" s="1"/>
  <c r="W467" i="63" s="1"/>
  <c r="W468" i="63" s="1"/>
  <c r="W469" i="63" s="1"/>
  <c r="W470" i="63" s="1"/>
  <c r="W471" i="63" s="1"/>
  <c r="W472" i="63" s="1"/>
  <c r="W473" i="63" s="1"/>
  <c r="W474" i="63" s="1"/>
  <c r="W475" i="63" s="1"/>
  <c r="W476" i="63" s="1"/>
  <c r="W477" i="63" s="1"/>
  <c r="W478" i="63" s="1"/>
  <c r="W479" i="63" s="1"/>
  <c r="W480" i="63" s="1"/>
  <c r="W481" i="63" s="1"/>
  <c r="W482" i="63" s="1"/>
  <c r="W483" i="63" s="1"/>
  <c r="W484" i="63" s="1"/>
  <c r="W485" i="63" s="1"/>
  <c r="W486" i="63" s="1"/>
  <c r="W487" i="63" s="1"/>
  <c r="W488" i="63" s="1"/>
  <c r="W489" i="63" s="1"/>
  <c r="W490" i="63" s="1"/>
  <c r="W491" i="63" s="1"/>
  <c r="W492" i="63" s="1"/>
  <c r="W493" i="63" s="1"/>
  <c r="N479" i="63" l="1"/>
  <c r="P479" i="63"/>
  <c r="X59" i="63"/>
  <c r="X60" i="63" s="1"/>
  <c r="X61" i="63" s="1"/>
  <c r="X62" i="63" s="1"/>
  <c r="X63" i="63" s="1"/>
  <c r="X64" i="63" s="1"/>
  <c r="X65" i="63" s="1"/>
  <c r="X66" i="63" s="1"/>
  <c r="X67" i="63" s="1"/>
  <c r="X68" i="63" s="1"/>
  <c r="X69" i="63" s="1"/>
  <c r="X70" i="63" s="1"/>
  <c r="X71" i="63" s="1"/>
  <c r="X72" i="63" s="1"/>
  <c r="X73" i="63" s="1"/>
  <c r="X74" i="63" s="1"/>
  <c r="X75" i="63" s="1"/>
  <c r="X76" i="63" s="1"/>
  <c r="X77" i="63" s="1"/>
  <c r="X78" i="63" s="1"/>
  <c r="X79" i="63" s="1"/>
  <c r="X80" i="63" s="1"/>
  <c r="X81" i="63" s="1"/>
  <c r="X82" i="63" s="1"/>
  <c r="X83" i="63" s="1"/>
  <c r="X84" i="63" s="1"/>
  <c r="X85" i="63" s="1"/>
  <c r="X86" i="63" s="1"/>
  <c r="X87" i="63" s="1"/>
  <c r="X88" i="63" s="1"/>
  <c r="X89" i="63" s="1"/>
  <c r="X90" i="63" s="1"/>
  <c r="X91" i="63" s="1"/>
  <c r="X92" i="63" s="1"/>
  <c r="X93" i="63" s="1"/>
  <c r="X94" i="63" s="1"/>
  <c r="X95" i="63" s="1"/>
  <c r="X96" i="63" s="1"/>
  <c r="X97" i="63" s="1"/>
  <c r="X98" i="63" s="1"/>
  <c r="X99" i="63" s="1"/>
  <c r="X100" i="63" s="1"/>
  <c r="X101" i="63" s="1"/>
  <c r="X102" i="63" s="1"/>
  <c r="X103" i="63" s="1"/>
  <c r="X104" i="63" s="1"/>
  <c r="X105" i="63" s="1"/>
  <c r="X106" i="63" s="1"/>
  <c r="X107" i="63" s="1"/>
  <c r="X108" i="63" s="1"/>
  <c r="X109" i="63" s="1"/>
  <c r="X110" i="63" s="1"/>
  <c r="X111" i="63" s="1"/>
  <c r="X112" i="63" s="1"/>
  <c r="X113" i="63" s="1"/>
  <c r="X114" i="63" s="1"/>
  <c r="X115" i="63" s="1"/>
  <c r="X116" i="63" s="1"/>
  <c r="X117" i="63" s="1"/>
  <c r="X118" i="63" s="1"/>
  <c r="X119" i="63" s="1"/>
  <c r="X120" i="63" s="1"/>
  <c r="X121" i="63" s="1"/>
  <c r="X122" i="63" s="1"/>
  <c r="X123" i="63" s="1"/>
  <c r="X124" i="63" s="1"/>
  <c r="X125" i="63" s="1"/>
  <c r="X126" i="63" s="1"/>
  <c r="X127" i="63" s="1"/>
  <c r="X128" i="63" s="1"/>
  <c r="X129" i="63" s="1"/>
  <c r="X130" i="63" s="1"/>
  <c r="X131" i="63" s="1"/>
  <c r="X132" i="63" s="1"/>
  <c r="X133" i="63" s="1"/>
  <c r="X134" i="63" s="1"/>
  <c r="X135" i="63" s="1"/>
  <c r="X136" i="63" s="1"/>
  <c r="X137" i="63" s="1"/>
  <c r="X138" i="63" s="1"/>
  <c r="X139" i="63" s="1"/>
  <c r="X140" i="63" s="1"/>
  <c r="X141" i="63" s="1"/>
  <c r="X142" i="63" s="1"/>
  <c r="X143" i="63" s="1"/>
  <c r="X144" i="63" s="1"/>
  <c r="X145" i="63" s="1"/>
  <c r="X146" i="63" s="1"/>
  <c r="X147" i="63" s="1"/>
  <c r="X148" i="63" s="1"/>
  <c r="X149" i="63" s="1"/>
  <c r="X150" i="63" s="1"/>
  <c r="X151" i="63" s="1"/>
  <c r="X152" i="63" s="1"/>
  <c r="X153" i="63" s="1"/>
  <c r="X154" i="63" s="1"/>
  <c r="X155" i="63" s="1"/>
  <c r="X156" i="63" s="1"/>
  <c r="X157" i="63" s="1"/>
  <c r="X158" i="63" s="1"/>
  <c r="X159" i="63" s="1"/>
  <c r="X160" i="63" s="1"/>
  <c r="X161" i="63" s="1"/>
  <c r="X162" i="63" s="1"/>
  <c r="X163" i="63" s="1"/>
  <c r="X164" i="63" s="1"/>
  <c r="X165" i="63" s="1"/>
  <c r="X166" i="63" s="1"/>
  <c r="X167" i="63" s="1"/>
  <c r="X168" i="63" s="1"/>
  <c r="X169" i="63" s="1"/>
  <c r="X170" i="63" s="1"/>
  <c r="X171" i="63" s="1"/>
  <c r="X172" i="63" s="1"/>
  <c r="X173" i="63" s="1"/>
  <c r="X174" i="63" s="1"/>
  <c r="X175" i="63" s="1"/>
  <c r="X176" i="63" s="1"/>
  <c r="X177" i="63" s="1"/>
  <c r="X178" i="63" s="1"/>
  <c r="X179" i="63" s="1"/>
  <c r="X180" i="63" s="1"/>
  <c r="X181" i="63" s="1"/>
  <c r="X182" i="63" s="1"/>
  <c r="X183" i="63" s="1"/>
  <c r="X184" i="63" s="1"/>
  <c r="X185" i="63" s="1"/>
  <c r="X186" i="63" s="1"/>
  <c r="X187" i="63" s="1"/>
  <c r="X188" i="63" s="1"/>
  <c r="X189" i="63" s="1"/>
  <c r="X190" i="63" s="1"/>
  <c r="X191" i="63" s="1"/>
  <c r="X192" i="63" s="1"/>
  <c r="X193" i="63" s="1"/>
  <c r="X194" i="63" s="1"/>
  <c r="X195" i="63" s="1"/>
  <c r="X196" i="63" s="1"/>
  <c r="X197" i="63" s="1"/>
  <c r="X198" i="63" s="1"/>
  <c r="X199" i="63" s="1"/>
  <c r="X200" i="63" s="1"/>
  <c r="X201" i="63" s="1"/>
  <c r="X202" i="63" s="1"/>
  <c r="X203" i="63" s="1"/>
  <c r="X204" i="63" s="1"/>
  <c r="X205" i="63" s="1"/>
  <c r="X206" i="63" s="1"/>
  <c r="X207" i="63" s="1"/>
  <c r="X208" i="63" s="1"/>
  <c r="X209" i="63" s="1"/>
  <c r="X210" i="63" s="1"/>
  <c r="X211" i="63" s="1"/>
  <c r="X212" i="63" s="1"/>
  <c r="X213" i="63" s="1"/>
  <c r="X214" i="63" s="1"/>
  <c r="X215" i="63" s="1"/>
  <c r="X216" i="63" s="1"/>
  <c r="X217" i="63" s="1"/>
  <c r="X218" i="63" s="1"/>
  <c r="X219" i="63" s="1"/>
  <c r="X220" i="63" s="1"/>
  <c r="X221" i="63" s="1"/>
  <c r="X222" i="63" s="1"/>
  <c r="X223" i="63" s="1"/>
  <c r="X224" i="63" s="1"/>
  <c r="X225" i="63" s="1"/>
  <c r="X226" i="63" s="1"/>
  <c r="X227" i="63" s="1"/>
  <c r="X228" i="63" s="1"/>
  <c r="X229" i="63" s="1"/>
  <c r="X230" i="63" s="1"/>
  <c r="X231" i="63" s="1"/>
  <c r="X232" i="63" s="1"/>
  <c r="X233" i="63" s="1"/>
  <c r="X234" i="63" s="1"/>
  <c r="X235" i="63" s="1"/>
  <c r="X236" i="63" s="1"/>
  <c r="X237" i="63" s="1"/>
  <c r="X238" i="63" s="1"/>
  <c r="X239" i="63" s="1"/>
  <c r="X240" i="63" s="1"/>
  <c r="X241" i="63" s="1"/>
  <c r="X242" i="63" s="1"/>
  <c r="X243" i="63" s="1"/>
  <c r="X244" i="63" s="1"/>
  <c r="X245" i="63" s="1"/>
  <c r="X246" i="63" s="1"/>
  <c r="X247" i="63" s="1"/>
  <c r="X248" i="63" s="1"/>
  <c r="X249" i="63" s="1"/>
  <c r="X250" i="63" s="1"/>
  <c r="X251" i="63" s="1"/>
  <c r="X252" i="63" s="1"/>
  <c r="X253" i="63" s="1"/>
  <c r="X254" i="63" s="1"/>
  <c r="X255" i="63" s="1"/>
  <c r="X256" i="63" s="1"/>
  <c r="X257" i="63" s="1"/>
  <c r="X258" i="63" s="1"/>
  <c r="X259" i="63" s="1"/>
  <c r="X260" i="63" s="1"/>
  <c r="X261" i="63" s="1"/>
  <c r="X262" i="63" s="1"/>
  <c r="X263" i="63" s="1"/>
  <c r="X264" i="63" s="1"/>
  <c r="X265" i="63" s="1"/>
  <c r="X266" i="63" s="1"/>
  <c r="X267" i="63" s="1"/>
  <c r="X268" i="63" s="1"/>
  <c r="X269" i="63" s="1"/>
  <c r="X270" i="63" s="1"/>
  <c r="X271" i="63" s="1"/>
  <c r="X272" i="63" s="1"/>
  <c r="X273" i="63" s="1"/>
  <c r="X274" i="63" s="1"/>
  <c r="X275" i="63" s="1"/>
  <c r="X276" i="63" s="1"/>
  <c r="X277" i="63" s="1"/>
  <c r="X278" i="63" s="1"/>
  <c r="X279" i="63" s="1"/>
  <c r="X280" i="63" s="1"/>
  <c r="X281" i="63" s="1"/>
  <c r="X282" i="63" s="1"/>
  <c r="X283" i="63" s="1"/>
  <c r="X284" i="63" s="1"/>
  <c r="X285" i="63" s="1"/>
  <c r="X286" i="63" s="1"/>
  <c r="X287" i="63" s="1"/>
  <c r="X288" i="63" s="1"/>
  <c r="X289" i="63" s="1"/>
  <c r="X290" i="63" s="1"/>
  <c r="X291" i="63" s="1"/>
  <c r="X292" i="63" s="1"/>
  <c r="X293" i="63" s="1"/>
  <c r="X294" i="63" s="1"/>
  <c r="X295" i="63" s="1"/>
  <c r="X296" i="63" s="1"/>
  <c r="X297" i="63" s="1"/>
  <c r="X298" i="63" s="1"/>
  <c r="X299" i="63" s="1"/>
  <c r="X300" i="63" s="1"/>
  <c r="X301" i="63" s="1"/>
  <c r="X302" i="63" s="1"/>
  <c r="X303" i="63" s="1"/>
  <c r="X304" i="63" s="1"/>
  <c r="X305" i="63" s="1"/>
  <c r="X306" i="63" s="1"/>
  <c r="X307" i="63" s="1"/>
  <c r="X308" i="63" s="1"/>
  <c r="X309" i="63" s="1"/>
  <c r="X310" i="63" s="1"/>
  <c r="X311" i="63" s="1"/>
  <c r="X312" i="63" s="1"/>
  <c r="X313" i="63" s="1"/>
  <c r="X314" i="63" s="1"/>
  <c r="X315" i="63" s="1"/>
  <c r="X316" i="63" s="1"/>
  <c r="X317" i="63" s="1"/>
  <c r="X318" i="63" s="1"/>
  <c r="X319" i="63" s="1"/>
  <c r="X320" i="63" s="1"/>
  <c r="X321" i="63" s="1"/>
  <c r="X322" i="63" s="1"/>
  <c r="X323" i="63" s="1"/>
  <c r="X324" i="63" s="1"/>
  <c r="X325" i="63" s="1"/>
  <c r="X326" i="63" s="1"/>
  <c r="X327" i="63" s="1"/>
  <c r="X328" i="63" s="1"/>
  <c r="X329" i="63" s="1"/>
  <c r="X330" i="63" s="1"/>
  <c r="X331" i="63" s="1"/>
  <c r="X332" i="63" s="1"/>
  <c r="X333" i="63" s="1"/>
  <c r="X334" i="63" s="1"/>
  <c r="X335" i="63" s="1"/>
  <c r="X336" i="63" s="1"/>
  <c r="X337" i="63" s="1"/>
  <c r="X338" i="63" s="1"/>
  <c r="X339" i="63" s="1"/>
  <c r="X340" i="63" s="1"/>
  <c r="X341" i="63" s="1"/>
  <c r="X342" i="63" s="1"/>
  <c r="X343" i="63" s="1"/>
  <c r="X344" i="63" s="1"/>
  <c r="X345" i="63" s="1"/>
  <c r="X346" i="63" s="1"/>
  <c r="X347" i="63" s="1"/>
  <c r="X348" i="63" s="1"/>
  <c r="X349" i="63" s="1"/>
  <c r="X350" i="63" s="1"/>
  <c r="X351" i="63" s="1"/>
  <c r="X352" i="63" s="1"/>
  <c r="X353" i="63" s="1"/>
  <c r="X354" i="63" s="1"/>
  <c r="X355" i="63" s="1"/>
  <c r="X356" i="63" s="1"/>
  <c r="X357" i="63" s="1"/>
  <c r="X358" i="63" s="1"/>
  <c r="X359" i="63" s="1"/>
  <c r="X360" i="63" s="1"/>
  <c r="X361" i="63" s="1"/>
  <c r="X362" i="63" s="1"/>
  <c r="X363" i="63" s="1"/>
  <c r="X364" i="63" s="1"/>
  <c r="X365" i="63" s="1"/>
  <c r="X366" i="63" s="1"/>
  <c r="X367" i="63" s="1"/>
  <c r="X368" i="63" s="1"/>
  <c r="X369" i="63" s="1"/>
  <c r="X370" i="63" s="1"/>
  <c r="X371" i="63" s="1"/>
  <c r="X372" i="63" s="1"/>
  <c r="X373" i="63" s="1"/>
  <c r="X374" i="63" s="1"/>
  <c r="X375" i="63" s="1"/>
  <c r="X376" i="63" s="1"/>
  <c r="X377" i="63" s="1"/>
  <c r="X378" i="63" s="1"/>
  <c r="X379" i="63" s="1"/>
  <c r="X380" i="63" s="1"/>
  <c r="X381" i="63" s="1"/>
  <c r="X382" i="63" s="1"/>
  <c r="X383" i="63" s="1"/>
  <c r="X384" i="63" s="1"/>
  <c r="X385" i="63" s="1"/>
  <c r="X386" i="63" s="1"/>
  <c r="X387" i="63" s="1"/>
  <c r="X388" i="63" s="1"/>
  <c r="X389" i="63" s="1"/>
  <c r="X390" i="63" s="1"/>
  <c r="X391" i="63" s="1"/>
  <c r="X392" i="63" s="1"/>
  <c r="X393" i="63" s="1"/>
  <c r="X394" i="63" s="1"/>
  <c r="X395" i="63" s="1"/>
  <c r="X396" i="63" s="1"/>
  <c r="X397" i="63" s="1"/>
  <c r="X398" i="63" s="1"/>
  <c r="X399" i="63" s="1"/>
  <c r="X400" i="63" s="1"/>
  <c r="X401" i="63" s="1"/>
  <c r="X402" i="63" s="1"/>
  <c r="X403" i="63" s="1"/>
  <c r="X404" i="63" s="1"/>
  <c r="X405" i="63" s="1"/>
  <c r="X406" i="63" s="1"/>
  <c r="X407" i="63" s="1"/>
  <c r="X408" i="63" s="1"/>
  <c r="X409" i="63" s="1"/>
  <c r="X410" i="63" s="1"/>
  <c r="X411" i="63" s="1"/>
  <c r="X412" i="63" s="1"/>
  <c r="X413" i="63" s="1"/>
  <c r="X414" i="63" s="1"/>
  <c r="X415" i="63" s="1"/>
  <c r="X416" i="63" s="1"/>
  <c r="X417" i="63" s="1"/>
  <c r="X418" i="63" s="1"/>
  <c r="X419" i="63" s="1"/>
  <c r="X420" i="63" s="1"/>
  <c r="X421" i="63" s="1"/>
  <c r="X422" i="63" s="1"/>
  <c r="X423" i="63" s="1"/>
  <c r="X424" i="63" s="1"/>
  <c r="X425" i="63" s="1"/>
  <c r="X426" i="63" s="1"/>
  <c r="X427" i="63" s="1"/>
  <c r="X428" i="63" s="1"/>
  <c r="X429" i="63" s="1"/>
  <c r="X430" i="63" s="1"/>
  <c r="X431" i="63" s="1"/>
  <c r="X432" i="63" s="1"/>
  <c r="X433" i="63" s="1"/>
  <c r="X434" i="63" s="1"/>
  <c r="X435" i="63" s="1"/>
  <c r="X436" i="63" s="1"/>
  <c r="X437" i="63" s="1"/>
  <c r="X438" i="63" s="1"/>
  <c r="X439" i="63" s="1"/>
  <c r="X440" i="63" s="1"/>
  <c r="X441" i="63" s="1"/>
  <c r="X442" i="63" s="1"/>
  <c r="X443" i="63" s="1"/>
  <c r="X444" i="63" s="1"/>
  <c r="X445" i="63" s="1"/>
  <c r="X446" i="63" s="1"/>
  <c r="X447" i="63" s="1"/>
  <c r="X448" i="63" s="1"/>
  <c r="X449" i="63" s="1"/>
  <c r="X450" i="63" s="1"/>
  <c r="X451" i="63" s="1"/>
  <c r="X452" i="63" s="1"/>
  <c r="X453" i="63" s="1"/>
  <c r="X454" i="63" s="1"/>
  <c r="X455" i="63" s="1"/>
  <c r="X456" i="63" s="1"/>
  <c r="X457" i="63" s="1"/>
  <c r="X458" i="63" s="1"/>
  <c r="X459" i="63" s="1"/>
  <c r="X460" i="63" s="1"/>
  <c r="X461" i="63" s="1"/>
  <c r="X462" i="63" s="1"/>
  <c r="X463" i="63" s="1"/>
  <c r="X464" i="63" s="1"/>
  <c r="X465" i="63" s="1"/>
  <c r="X466" i="63" s="1"/>
  <c r="X467" i="63" s="1"/>
  <c r="X468" i="63" s="1"/>
  <c r="X469" i="63" s="1"/>
  <c r="X470" i="63" s="1"/>
  <c r="X471" i="63" s="1"/>
  <c r="X472" i="63" s="1"/>
  <c r="X473" i="63" s="1"/>
  <c r="X474" i="63" s="1"/>
  <c r="X475" i="63" s="1"/>
  <c r="X476" i="63" s="1"/>
  <c r="X477" i="63" s="1"/>
  <c r="X478" i="63" s="1"/>
  <c r="X479" i="63" s="1"/>
  <c r="X480" i="63" s="1"/>
  <c r="X481" i="63" s="1"/>
  <c r="X482" i="63" s="1"/>
  <c r="X483" i="63" s="1"/>
  <c r="X484" i="63" s="1"/>
  <c r="X485" i="63" s="1"/>
  <c r="X486" i="63" s="1"/>
  <c r="X487" i="63" s="1"/>
  <c r="X488" i="63" s="1"/>
  <c r="X489" i="63" s="1"/>
  <c r="X490" i="63" s="1"/>
  <c r="X491" i="63" s="1"/>
  <c r="X492" i="63" s="1"/>
  <c r="AE59" i="63"/>
  <c r="AF59" i="63" s="1"/>
  <c r="W494" i="63"/>
  <c r="K480" i="63" l="1"/>
  <c r="J480" i="63"/>
  <c r="Y59" i="63"/>
  <c r="Y491" i="63"/>
  <c r="X493" i="63"/>
  <c r="Y492" i="63"/>
  <c r="W495" i="63"/>
  <c r="V60" i="63"/>
  <c r="AA60" i="63" s="1"/>
  <c r="AC480" i="63" l="1"/>
  <c r="M480" i="63"/>
  <c r="W496" i="63"/>
  <c r="X494" i="63"/>
  <c r="Y493" i="63"/>
  <c r="O480" i="63" l="1"/>
  <c r="L480" i="63"/>
  <c r="I480" i="63"/>
  <c r="S480" i="63"/>
  <c r="X495" i="63"/>
  <c r="Y494" i="63"/>
  <c r="W497" i="63"/>
  <c r="N480" i="63" l="1"/>
  <c r="P480" i="63"/>
  <c r="W498" i="63"/>
  <c r="X496" i="63"/>
  <c r="Y495" i="63"/>
  <c r="J481" i="63" l="1"/>
  <c r="K481" i="63"/>
  <c r="X497" i="63"/>
  <c r="Y496" i="63"/>
  <c r="W499" i="63"/>
  <c r="AC481" i="63" l="1"/>
  <c r="M481" i="63"/>
  <c r="W500" i="63"/>
  <c r="X498" i="63"/>
  <c r="Y497" i="63"/>
  <c r="O481" i="63" l="1"/>
  <c r="L481" i="63"/>
  <c r="I481" i="63"/>
  <c r="S481" i="63"/>
  <c r="W501" i="63"/>
  <c r="X499" i="63"/>
  <c r="Y498" i="63"/>
  <c r="N481" i="63" l="1"/>
  <c r="P481" i="63"/>
  <c r="X500" i="63"/>
  <c r="Y499" i="63"/>
  <c r="W502" i="63"/>
  <c r="J482" i="63" l="1"/>
  <c r="K482" i="63"/>
  <c r="W503" i="63"/>
  <c r="X501" i="63"/>
  <c r="Y500" i="63"/>
  <c r="M482" i="63" l="1"/>
  <c r="AC482" i="63"/>
  <c r="W504" i="63"/>
  <c r="X502" i="63"/>
  <c r="Y501" i="63"/>
  <c r="I482" i="63" l="1"/>
  <c r="S482" i="63"/>
  <c r="O482" i="63"/>
  <c r="L482" i="63"/>
  <c r="W505" i="63"/>
  <c r="X503" i="63"/>
  <c r="Y502" i="63"/>
  <c r="N482" i="63" l="1"/>
  <c r="P482" i="63"/>
  <c r="X504" i="63"/>
  <c r="Y503" i="63"/>
  <c r="W506" i="63"/>
  <c r="J483" i="63" l="1"/>
  <c r="K483" i="63"/>
  <c r="W507" i="63"/>
  <c r="X505" i="63"/>
  <c r="Y504" i="63"/>
  <c r="AC483" i="63" l="1"/>
  <c r="M483" i="63"/>
  <c r="X506" i="63"/>
  <c r="Y505" i="63"/>
  <c r="W508" i="63"/>
  <c r="O483" i="63" l="1"/>
  <c r="L483" i="63"/>
  <c r="S483" i="63"/>
  <c r="I483" i="63"/>
  <c r="W509" i="63"/>
  <c r="X507" i="63"/>
  <c r="Y506" i="63"/>
  <c r="P483" i="63" l="1"/>
  <c r="N483" i="63"/>
  <c r="X508" i="63"/>
  <c r="Y507" i="63"/>
  <c r="W510" i="63"/>
  <c r="K484" i="63" l="1"/>
  <c r="J484" i="63"/>
  <c r="W511" i="63"/>
  <c r="X509" i="63"/>
  <c r="Y508" i="63"/>
  <c r="AC484" i="63" l="1"/>
  <c r="M484" i="63"/>
  <c r="X510" i="63"/>
  <c r="Y509" i="63"/>
  <c r="W512" i="63"/>
  <c r="O484" i="63" l="1"/>
  <c r="L484" i="63"/>
  <c r="I484" i="63"/>
  <c r="S484" i="63"/>
  <c r="X511" i="63"/>
  <c r="Y510" i="63"/>
  <c r="W513" i="63"/>
  <c r="N484" i="63" l="1"/>
  <c r="P484" i="63"/>
  <c r="W514" i="63"/>
  <c r="X512" i="63"/>
  <c r="Y511" i="63"/>
  <c r="J485" i="63" l="1"/>
  <c r="K485" i="63"/>
  <c r="X513" i="63"/>
  <c r="Y512" i="63"/>
  <c r="W515" i="63"/>
  <c r="M485" i="63" l="1"/>
  <c r="AC485" i="63"/>
  <c r="W516" i="63"/>
  <c r="X514" i="63"/>
  <c r="Y513" i="63"/>
  <c r="S485" i="63" l="1"/>
  <c r="I485" i="63"/>
  <c r="O485" i="63"/>
  <c r="L485" i="63"/>
  <c r="X515" i="63"/>
  <c r="Y514" i="63"/>
  <c r="W517" i="63"/>
  <c r="N485" i="63" l="1"/>
  <c r="P485" i="63"/>
  <c r="W518" i="63"/>
  <c r="X516" i="63"/>
  <c r="Y515" i="63"/>
  <c r="J486" i="63" l="1"/>
  <c r="K486" i="63"/>
  <c r="X517" i="63"/>
  <c r="Y516" i="63"/>
  <c r="W519" i="63"/>
  <c r="M486" i="63" l="1"/>
  <c r="AC486" i="63"/>
  <c r="W520" i="63"/>
  <c r="X518" i="63"/>
  <c r="Y517" i="63"/>
  <c r="I486" i="63" l="1"/>
  <c r="S486" i="63"/>
  <c r="O486" i="63"/>
  <c r="L486" i="63"/>
  <c r="X519" i="63"/>
  <c r="Y518" i="63"/>
  <c r="W521" i="63"/>
  <c r="N486" i="63" l="1"/>
  <c r="P486" i="63"/>
  <c r="W522" i="63"/>
  <c r="X520" i="63"/>
  <c r="Y519" i="63"/>
  <c r="J487" i="63" l="1"/>
  <c r="K487" i="63"/>
  <c r="W523" i="63"/>
  <c r="X521" i="63"/>
  <c r="Y520" i="63"/>
  <c r="AC487" i="63" l="1"/>
  <c r="M487" i="63"/>
  <c r="X522" i="63"/>
  <c r="Y521" i="63"/>
  <c r="W524" i="63"/>
  <c r="O487" i="63" l="1"/>
  <c r="L487" i="63"/>
  <c r="I487" i="63"/>
  <c r="S487" i="63"/>
  <c r="X523" i="63"/>
  <c r="Y522" i="63"/>
  <c r="W525" i="63"/>
  <c r="N487" i="63" l="1"/>
  <c r="P487" i="63"/>
  <c r="W526" i="63"/>
  <c r="X524" i="63"/>
  <c r="Y523" i="63"/>
  <c r="J488" i="63" l="1"/>
  <c r="K488" i="63"/>
  <c r="AB9" i="63"/>
  <c r="AA10" i="63"/>
  <c r="AA9" i="63"/>
  <c r="F15" i="1" s="1"/>
  <c r="X525" i="63"/>
  <c r="Y524" i="63"/>
  <c r="W527" i="63"/>
  <c r="M488" i="63" l="1"/>
  <c r="AC488" i="63"/>
  <c r="AI9" i="63"/>
  <c r="AI8" i="63"/>
  <c r="W528" i="63"/>
  <c r="X526" i="63"/>
  <c r="Y525" i="63"/>
  <c r="I488" i="63" l="1"/>
  <c r="S488" i="63"/>
  <c r="O488" i="63"/>
  <c r="L488" i="63"/>
  <c r="AI10" i="63"/>
  <c r="X527" i="63"/>
  <c r="Y526" i="63"/>
  <c r="W529" i="63"/>
  <c r="N488" i="63" l="1"/>
  <c r="P488" i="63"/>
  <c r="W530" i="63"/>
  <c r="X528" i="63"/>
  <c r="Y527" i="63"/>
  <c r="K489" i="63" l="1"/>
  <c r="J489" i="63"/>
  <c r="X529" i="63"/>
  <c r="Y528" i="63"/>
  <c r="W531" i="63"/>
  <c r="M489" i="63" l="1"/>
  <c r="O489" i="63" s="1"/>
  <c r="AC489" i="63"/>
  <c r="L489" i="63"/>
  <c r="X530" i="63"/>
  <c r="Y529" i="63"/>
  <c r="W532" i="63"/>
  <c r="N489" i="63" l="1"/>
  <c r="P489" i="63"/>
  <c r="I489" i="63"/>
  <c r="S489" i="63"/>
  <c r="AA11" i="63"/>
  <c r="W533" i="63"/>
  <c r="X531" i="63"/>
  <c r="Y530" i="63"/>
  <c r="J490" i="63" l="1"/>
  <c r="K490" i="63"/>
  <c r="X532" i="63"/>
  <c r="Y531" i="63"/>
  <c r="W534" i="63"/>
  <c r="AC490" i="63" l="1"/>
  <c r="M490" i="63"/>
  <c r="W535" i="63"/>
  <c r="X533" i="63"/>
  <c r="Y532" i="63"/>
  <c r="O490" i="63" l="1"/>
  <c r="L490" i="63"/>
  <c r="I490" i="63"/>
  <c r="S490" i="63"/>
  <c r="X534" i="63"/>
  <c r="Y533" i="63"/>
  <c r="W536" i="63"/>
  <c r="N490" i="63" l="1"/>
  <c r="P490" i="63"/>
  <c r="X535" i="63"/>
  <c r="Y534" i="63"/>
  <c r="W537" i="63"/>
  <c r="W538" i="63" l="1"/>
  <c r="X536" i="63"/>
  <c r="Y535" i="63"/>
  <c r="X537" i="63" l="1"/>
  <c r="Y536" i="63"/>
  <c r="W539" i="63"/>
  <c r="W540" i="63" l="1"/>
  <c r="X538" i="63"/>
  <c r="Y537" i="63"/>
  <c r="X539" i="63" l="1"/>
  <c r="Y538" i="63"/>
  <c r="W541" i="63"/>
  <c r="W542" i="63" l="1"/>
  <c r="X540" i="63"/>
  <c r="Y539" i="63"/>
  <c r="X541" i="63" l="1"/>
  <c r="Y540" i="63"/>
  <c r="W543" i="63"/>
  <c r="X542" i="63" l="1"/>
  <c r="Y541" i="63"/>
  <c r="X543" i="63" l="1"/>
  <c r="Y543" i="63" s="1"/>
  <c r="Y542" i="63"/>
  <c r="S10" i="63" l="1"/>
  <c r="U4" i="63" l="1"/>
  <c r="V4" i="63" s="1"/>
  <c r="V5" i="63" l="1"/>
  <c r="W4" i="63"/>
  <c r="W5" i="63" s="1"/>
  <c r="U5" i="63"/>
  <c r="T5" i="63" s="1"/>
  <c r="T4" i="63"/>
  <c r="AH34" i="63" l="1"/>
  <c r="AH52" i="63"/>
  <c r="AH55" i="63"/>
  <c r="AH59" i="63"/>
  <c r="AH19" i="63"/>
  <c r="AH23" i="63"/>
  <c r="AH30" i="63"/>
  <c r="AH24" i="63"/>
  <c r="AH31" i="63"/>
  <c r="AH25" i="63"/>
  <c r="AH56" i="63"/>
  <c r="AH37" i="63"/>
  <c r="AH46" i="63"/>
  <c r="AH40" i="63"/>
  <c r="AH47" i="63"/>
  <c r="AH35" i="63"/>
  <c r="AH22" i="63"/>
  <c r="AH58" i="63"/>
  <c r="AH18" i="63"/>
  <c r="AH48" i="63"/>
  <c r="AH36" i="63"/>
  <c r="AH53" i="63"/>
  <c r="AH51" i="63"/>
  <c r="AH29" i="63"/>
  <c r="AH43" i="63"/>
  <c r="AH44" i="63"/>
  <c r="AH45" i="63"/>
  <c r="AH21" i="63"/>
  <c r="AH27" i="63"/>
  <c r="AH54" i="63"/>
  <c r="AH57" i="63"/>
  <c r="AH50" i="63"/>
  <c r="AH32" i="63"/>
  <c r="AH20" i="63"/>
  <c r="AH28" i="63"/>
  <c r="AH26" i="63"/>
  <c r="U9" i="63"/>
  <c r="S9" i="63" s="1"/>
  <c r="AH39" i="63"/>
  <c r="AH42" i="63"/>
  <c r="AH16" i="63"/>
  <c r="AH33" i="63"/>
  <c r="AH17" i="63"/>
  <c r="AH38" i="63"/>
  <c r="AH49" i="63"/>
  <c r="AH41" i="63"/>
  <c r="T60" i="63" l="1"/>
  <c r="AD60" i="63" l="1"/>
  <c r="AG60" i="63"/>
  <c r="AJ60" i="63" s="1"/>
  <c r="AK60" i="63" s="1"/>
  <c r="U60" i="63"/>
  <c r="Y60" i="63" l="1"/>
  <c r="Z60" i="63"/>
  <c r="AH60" i="63" s="1"/>
  <c r="AB60" i="63"/>
  <c r="AE60" i="63" l="1"/>
  <c r="AF60" i="63" s="1"/>
  <c r="T61" i="63"/>
  <c r="R61" i="63"/>
  <c r="V61" i="63" l="1"/>
  <c r="AA61" i="63" s="1"/>
  <c r="AL61" i="63"/>
  <c r="AM61" i="63" s="1"/>
  <c r="AG61" i="63"/>
  <c r="AJ61" i="63" s="1"/>
  <c r="AK61" i="63" s="1"/>
  <c r="AD61" i="63"/>
  <c r="U61" i="63" l="1"/>
  <c r="AB61" i="63" s="1"/>
  <c r="T62" i="63" s="1"/>
  <c r="Y61" i="63" l="1"/>
  <c r="Z61" i="63"/>
  <c r="AH61" i="63" s="1"/>
  <c r="R62" i="63"/>
  <c r="V62" i="63" s="1"/>
  <c r="AE61" i="63"/>
  <c r="AF61" i="63" s="1"/>
  <c r="AG62" i="63"/>
  <c r="AJ62" i="63" s="1"/>
  <c r="AK62" i="63" s="1"/>
  <c r="AD62" i="63"/>
  <c r="AL62" i="63" l="1"/>
  <c r="AM62" i="63" s="1"/>
  <c r="AA62" i="63"/>
  <c r="U62" i="63"/>
  <c r="Z62" i="63" s="1"/>
  <c r="AH62" i="63" s="1"/>
  <c r="AB62" i="63" l="1"/>
  <c r="Y62" i="63"/>
  <c r="AE62" i="63"/>
  <c r="AF62" i="63" s="1"/>
  <c r="R63" i="63"/>
  <c r="T63" i="63"/>
  <c r="AD63" i="63" l="1"/>
  <c r="AG63" i="63"/>
  <c r="AJ63" i="63" s="1"/>
  <c r="AK63" i="63" s="1"/>
  <c r="AL63" i="63"/>
  <c r="AM63" i="63" s="1"/>
  <c r="V63" i="63"/>
  <c r="AA63" i="63" s="1"/>
  <c r="U63" i="63" l="1"/>
  <c r="Y63" i="63" l="1"/>
  <c r="Z63" i="63"/>
  <c r="AH63" i="63" s="1"/>
  <c r="AB63" i="63"/>
  <c r="AE63" i="63" l="1"/>
  <c r="AF63" i="63" s="1"/>
  <c r="R64" i="63"/>
  <c r="T64" i="63"/>
  <c r="AD64" i="63" l="1"/>
  <c r="AG64" i="63"/>
  <c r="AJ64" i="63" s="1"/>
  <c r="AK64" i="63" s="1"/>
  <c r="V64" i="63"/>
  <c r="AA64" i="63" s="1"/>
  <c r="AL64" i="63"/>
  <c r="AM64" i="63" s="1"/>
  <c r="U64" i="63" l="1"/>
  <c r="Y64" i="63" l="1"/>
  <c r="Z64" i="63"/>
  <c r="AH64" i="63" s="1"/>
  <c r="AB64" i="63"/>
  <c r="AE64" i="63" l="1"/>
  <c r="AF64" i="63" s="1"/>
  <c r="R65" i="63"/>
  <c r="T65" i="63"/>
  <c r="AD65" i="63" l="1"/>
  <c r="AG65" i="63"/>
  <c r="AJ65" i="63" s="1"/>
  <c r="AK65" i="63" s="1"/>
  <c r="V65" i="63"/>
  <c r="AA65" i="63" s="1"/>
  <c r="AL65" i="63"/>
  <c r="AM65" i="63" s="1"/>
  <c r="U65" i="63" l="1"/>
  <c r="Y65" i="63" l="1"/>
  <c r="Z65" i="63"/>
  <c r="AH65" i="63" s="1"/>
  <c r="AB65" i="63"/>
  <c r="R66" i="63" l="1"/>
  <c r="T66" i="63"/>
  <c r="AE65" i="63"/>
  <c r="AF65" i="63" s="1"/>
  <c r="AD66" i="63" l="1"/>
  <c r="AG66" i="63"/>
  <c r="AJ66" i="63" s="1"/>
  <c r="AK66" i="63" s="1"/>
  <c r="AL66" i="63"/>
  <c r="AM66" i="63" s="1"/>
  <c r="V66" i="63"/>
  <c r="AA66" i="63" s="1"/>
  <c r="U66" i="63" l="1"/>
  <c r="Z66" i="63" l="1"/>
  <c r="AH66" i="63" s="1"/>
  <c r="Y66" i="63"/>
  <c r="AB66" i="63"/>
  <c r="AE66" i="63" l="1"/>
  <c r="AF66" i="63" s="1"/>
  <c r="R67" i="63"/>
  <c r="T67" i="63"/>
  <c r="AD67" i="63" l="1"/>
  <c r="AG67" i="63"/>
  <c r="AJ67" i="63" s="1"/>
  <c r="AK67" i="63" s="1"/>
  <c r="AL67" i="63"/>
  <c r="AM67" i="63" s="1"/>
  <c r="V67" i="63"/>
  <c r="AA67" i="63" s="1"/>
  <c r="U67" i="63" l="1"/>
  <c r="Y67" i="63" l="1"/>
  <c r="Z67" i="63"/>
  <c r="AH67" i="63" s="1"/>
  <c r="AB67" i="63"/>
  <c r="AE67" i="63" l="1"/>
  <c r="AF67" i="63" s="1"/>
  <c r="R68" i="63"/>
  <c r="T68" i="63"/>
  <c r="AD68" i="63" l="1"/>
  <c r="AG68" i="63"/>
  <c r="AJ68" i="63" s="1"/>
  <c r="AK68" i="63" s="1"/>
  <c r="AL68" i="63"/>
  <c r="AM68" i="63" s="1"/>
  <c r="V68" i="63"/>
  <c r="AA68" i="63" s="1"/>
  <c r="U68" i="63" l="1"/>
  <c r="Y68" i="63" l="1"/>
  <c r="Z68" i="63"/>
  <c r="AH68" i="63" s="1"/>
  <c r="AB68" i="63"/>
  <c r="R69" i="63" l="1"/>
  <c r="AE68" i="63"/>
  <c r="AF68" i="63" s="1"/>
  <c r="T69" i="63"/>
  <c r="AD69" i="63" l="1"/>
  <c r="AG69" i="63"/>
  <c r="AJ69" i="63" s="1"/>
  <c r="AK69" i="63" s="1"/>
  <c r="AL69" i="63"/>
  <c r="AM69" i="63" s="1"/>
  <c r="V69" i="63"/>
  <c r="AA69" i="63" s="1"/>
  <c r="U69" i="63" l="1"/>
  <c r="Z69" i="63" l="1"/>
  <c r="AH69" i="63" s="1"/>
  <c r="Y69" i="63"/>
  <c r="AB69" i="63"/>
  <c r="R70" i="63" l="1"/>
  <c r="AE69" i="63"/>
  <c r="AF69" i="63" s="1"/>
  <c r="T70" i="63"/>
  <c r="AD70" i="63" l="1"/>
  <c r="AG70" i="63"/>
  <c r="AJ70" i="63" s="1"/>
  <c r="AK70" i="63" s="1"/>
  <c r="AL70" i="63"/>
  <c r="AM70" i="63" s="1"/>
  <c r="V70" i="63"/>
  <c r="AA70" i="63" s="1"/>
  <c r="U70" i="63" l="1"/>
  <c r="Z70" i="63" l="1"/>
  <c r="AH70" i="63" s="1"/>
  <c r="Y70" i="63"/>
  <c r="AB70" i="63"/>
  <c r="R71" i="63" l="1"/>
  <c r="AE70" i="63"/>
  <c r="AF70" i="63" s="1"/>
  <c r="T71" i="63"/>
  <c r="AD71" i="63" l="1"/>
  <c r="AG71" i="63"/>
  <c r="AJ71" i="63" s="1"/>
  <c r="AK71" i="63" s="1"/>
  <c r="AL71" i="63"/>
  <c r="AM71" i="63" s="1"/>
  <c r="V71" i="63"/>
  <c r="AA71" i="63" s="1"/>
  <c r="U71" i="63" l="1"/>
  <c r="Y71" i="63" l="1"/>
  <c r="Z71" i="63"/>
  <c r="AH71" i="63" s="1"/>
  <c r="AB71" i="63"/>
  <c r="R72" i="63" l="1"/>
  <c r="T72" i="63"/>
  <c r="AE71" i="63"/>
  <c r="AF71" i="63" s="1"/>
  <c r="AD72" i="63" l="1"/>
  <c r="AG72" i="63"/>
  <c r="AJ72" i="63" s="1"/>
  <c r="V72" i="63"/>
  <c r="AA72" i="63" s="1"/>
  <c r="AL72" i="63"/>
  <c r="AM72" i="63" s="1"/>
  <c r="AB7" i="63" l="1"/>
  <c r="AK72" i="63"/>
  <c r="U72" i="63"/>
  <c r="Z72" i="63" l="1"/>
  <c r="AH72" i="63" s="1"/>
  <c r="Y72" i="63"/>
  <c r="AB72" i="63"/>
  <c r="I9" i="1"/>
  <c r="H10" i="1" s="1"/>
  <c r="AB8" i="63"/>
  <c r="I56" i="1" l="1"/>
  <c r="I58" i="1" s="1"/>
  <c r="R73" i="63"/>
  <c r="T73" i="63"/>
  <c r="AE72" i="63"/>
  <c r="AF72" i="63" s="1"/>
  <c r="AD73" i="63" l="1"/>
  <c r="AG73" i="63"/>
  <c r="AJ73" i="63" s="1"/>
  <c r="AK73" i="63" s="1"/>
  <c r="V73" i="63"/>
  <c r="AA73" i="63" s="1"/>
  <c r="AL73" i="63"/>
  <c r="AM73" i="63" s="1"/>
  <c r="U73" i="63" l="1"/>
  <c r="Y73" i="63" l="1"/>
  <c r="Z73" i="63"/>
  <c r="AH73" i="63" s="1"/>
  <c r="AB73" i="63"/>
  <c r="R74" i="63" l="1"/>
  <c r="AE73" i="63"/>
  <c r="AF73" i="63" s="1"/>
  <c r="T74" i="63"/>
  <c r="AD74" i="63" l="1"/>
  <c r="AG74" i="63"/>
  <c r="AJ74" i="63" s="1"/>
  <c r="AK74" i="63" s="1"/>
  <c r="AL74" i="63"/>
  <c r="AM74" i="63" s="1"/>
  <c r="V74" i="63"/>
  <c r="AA74" i="63" s="1"/>
  <c r="U74" i="63" l="1"/>
  <c r="Y74" i="63" l="1"/>
  <c r="Z74" i="63"/>
  <c r="AH74" i="63" s="1"/>
  <c r="AB74" i="63"/>
  <c r="AE74" i="63" l="1"/>
  <c r="AF74" i="63" s="1"/>
  <c r="T75" i="63"/>
  <c r="R75" i="63"/>
  <c r="V75" i="63" l="1"/>
  <c r="AA75" i="63" s="1"/>
  <c r="AL75" i="63"/>
  <c r="AM75" i="63" s="1"/>
  <c r="AG75" i="63"/>
  <c r="AJ75" i="63" s="1"/>
  <c r="AK75" i="63" s="1"/>
  <c r="AD75" i="63"/>
  <c r="U75" i="63" l="1"/>
  <c r="Y75" i="63"/>
  <c r="Z75" i="63"/>
  <c r="AH75" i="63" s="1"/>
  <c r="AB75" i="63"/>
  <c r="AE75" i="63" l="1"/>
  <c r="AF75" i="63" s="1"/>
  <c r="R76" i="63"/>
  <c r="T76" i="63"/>
  <c r="AD76" i="63" l="1"/>
  <c r="AG76" i="63"/>
  <c r="AJ76" i="63" s="1"/>
  <c r="AK76" i="63" s="1"/>
  <c r="AL76" i="63"/>
  <c r="AM76" i="63" s="1"/>
  <c r="V76" i="63"/>
  <c r="AA76" i="63" s="1"/>
  <c r="U76" i="63" l="1"/>
  <c r="Y76" i="63" l="1"/>
  <c r="Z76" i="63"/>
  <c r="AH76" i="63" s="1"/>
  <c r="AB76" i="63"/>
  <c r="T77" i="63" l="1"/>
  <c r="AE76" i="63"/>
  <c r="AF76" i="63" s="1"/>
  <c r="R77" i="63"/>
  <c r="AL77" i="63" l="1"/>
  <c r="AM77" i="63" s="1"/>
  <c r="V77" i="63"/>
  <c r="AA77" i="63" s="1"/>
  <c r="AD77" i="63"/>
  <c r="AG77" i="63"/>
  <c r="AJ77" i="63" s="1"/>
  <c r="AK77" i="63" s="1"/>
  <c r="U77" i="63" l="1"/>
  <c r="Y77" i="63"/>
  <c r="Z77" i="63"/>
  <c r="AH77" i="63" s="1"/>
  <c r="AB77" i="63"/>
  <c r="T78" i="63" l="1"/>
  <c r="AE77" i="63"/>
  <c r="AF77" i="63" s="1"/>
  <c r="R78" i="63"/>
  <c r="AL78" i="63" l="1"/>
  <c r="AM78" i="63" s="1"/>
  <c r="V78" i="63"/>
  <c r="AA78" i="63" s="1"/>
  <c r="AD78" i="63"/>
  <c r="AG78" i="63"/>
  <c r="AJ78" i="63" s="1"/>
  <c r="AK78" i="63" s="1"/>
  <c r="U78" i="63" l="1"/>
  <c r="Y78" i="63" s="1"/>
  <c r="AB78" i="63"/>
  <c r="Z78" i="63" l="1"/>
  <c r="AH78" i="63" s="1"/>
  <c r="T79" i="63"/>
  <c r="AE78" i="63"/>
  <c r="AF78" i="63" s="1"/>
  <c r="R79" i="63"/>
  <c r="AL79" i="63" l="1"/>
  <c r="AM79" i="63" s="1"/>
  <c r="V79" i="63"/>
  <c r="AA79" i="63" s="1"/>
  <c r="AD79" i="63"/>
  <c r="AG79" i="63"/>
  <c r="AJ79" i="63" s="1"/>
  <c r="AK79" i="63" s="1"/>
  <c r="U79" i="63" l="1"/>
  <c r="Z79" i="63" l="1"/>
  <c r="AH79" i="63" s="1"/>
  <c r="Y79" i="63"/>
  <c r="AB79" i="63"/>
  <c r="R80" i="63" l="1"/>
  <c r="AE79" i="63"/>
  <c r="AF79" i="63" s="1"/>
  <c r="T80" i="63"/>
  <c r="AD80" i="63" l="1"/>
  <c r="AG80" i="63"/>
  <c r="AJ80" i="63" s="1"/>
  <c r="AK80" i="63" s="1"/>
  <c r="V80" i="63"/>
  <c r="AA80" i="63" s="1"/>
  <c r="AL80" i="63"/>
  <c r="AM80" i="63" s="1"/>
  <c r="U80" i="63" l="1"/>
  <c r="Z80" i="63" l="1"/>
  <c r="AH80" i="63" s="1"/>
  <c r="Y80" i="63"/>
  <c r="AB80" i="63"/>
  <c r="R81" i="63" l="1"/>
  <c r="AE80" i="63"/>
  <c r="AF80" i="63" s="1"/>
  <c r="T81" i="63"/>
  <c r="AG81" i="63" l="1"/>
  <c r="AJ81" i="63" s="1"/>
  <c r="AK81" i="63" s="1"/>
  <c r="AD81" i="63"/>
  <c r="V81" i="63"/>
  <c r="AA81" i="63" s="1"/>
  <c r="AL81" i="63"/>
  <c r="AM81" i="63" s="1"/>
  <c r="U81" i="63" l="1"/>
  <c r="Y81" i="63" l="1"/>
  <c r="Z81" i="63"/>
  <c r="AH81" i="63" s="1"/>
  <c r="AB81" i="63"/>
  <c r="R82" i="63" l="1"/>
  <c r="T82" i="63"/>
  <c r="AE81" i="63"/>
  <c r="AF81" i="63" s="1"/>
  <c r="AD82" i="63" l="1"/>
  <c r="AG82" i="63"/>
  <c r="AJ82" i="63" s="1"/>
  <c r="AK82" i="63" s="1"/>
  <c r="V82" i="63"/>
  <c r="AA82" i="63" s="1"/>
  <c r="AL82" i="63"/>
  <c r="AM82" i="63" s="1"/>
  <c r="U82" i="63" l="1"/>
  <c r="Y82" i="63" l="1"/>
  <c r="Z82" i="63"/>
  <c r="AH82" i="63" s="1"/>
  <c r="AB82" i="63"/>
  <c r="AE82" i="63" l="1"/>
  <c r="AF82" i="63" s="1"/>
  <c r="R83" i="63"/>
  <c r="T83" i="63"/>
  <c r="AD83" i="63" l="1"/>
  <c r="AG83" i="63"/>
  <c r="AJ83" i="63" s="1"/>
  <c r="AK83" i="63" s="1"/>
  <c r="AL83" i="63"/>
  <c r="AM83" i="63" s="1"/>
  <c r="V83" i="63"/>
  <c r="AA83" i="63" s="1"/>
  <c r="U83" i="63" l="1"/>
  <c r="Y83" i="63" l="1"/>
  <c r="Z83" i="63"/>
  <c r="AH83" i="63" s="1"/>
  <c r="AB83" i="63"/>
  <c r="AE83" i="63" l="1"/>
  <c r="AF83" i="63" s="1"/>
  <c r="R84" i="63"/>
  <c r="T84" i="63"/>
  <c r="AD84" i="63" l="1"/>
  <c r="AG84" i="63"/>
  <c r="AJ84" i="63" s="1"/>
  <c r="AK84" i="63" s="1"/>
  <c r="AL84" i="63"/>
  <c r="AM84" i="63" s="1"/>
  <c r="V84" i="63"/>
  <c r="AA84" i="63" s="1"/>
  <c r="U84" i="63" l="1"/>
  <c r="Y84" i="63" l="1"/>
  <c r="Z84" i="63"/>
  <c r="AH84" i="63" s="1"/>
  <c r="AB84" i="63"/>
  <c r="T85" i="63" l="1"/>
  <c r="AE84" i="63"/>
  <c r="AF84" i="63" s="1"/>
  <c r="R85" i="63"/>
  <c r="AL85" i="63" l="1"/>
  <c r="AM85" i="63" s="1"/>
  <c r="V85" i="63"/>
  <c r="AA85" i="63" s="1"/>
  <c r="AD85" i="63"/>
  <c r="AG85" i="63"/>
  <c r="AJ85" i="63" s="1"/>
  <c r="AK85" i="63" s="1"/>
  <c r="U85" i="63" l="1"/>
  <c r="Y85" i="63" s="1"/>
  <c r="AB85" i="63" l="1"/>
  <c r="Z85" i="63"/>
  <c r="AH85" i="63" s="1"/>
  <c r="R86" i="63"/>
  <c r="AE85" i="63"/>
  <c r="AF85" i="63" s="1"/>
  <c r="T86" i="63"/>
  <c r="AD86" i="63" l="1"/>
  <c r="AG86" i="63"/>
  <c r="AJ86" i="63" s="1"/>
  <c r="AK86" i="63" s="1"/>
  <c r="AL86" i="63"/>
  <c r="AM86" i="63" s="1"/>
  <c r="V86" i="63"/>
  <c r="AA86" i="63" s="1"/>
  <c r="U86" i="63" l="1"/>
  <c r="Z86" i="63" l="1"/>
  <c r="AH86" i="63" s="1"/>
  <c r="Y86" i="63"/>
  <c r="AB86" i="63"/>
  <c r="T87" i="63" l="1"/>
  <c r="AE86" i="63"/>
  <c r="AF86" i="63" s="1"/>
  <c r="R87" i="63"/>
  <c r="AL87" i="63" l="1"/>
  <c r="AM87" i="63" s="1"/>
  <c r="V87" i="63"/>
  <c r="AA87" i="63" s="1"/>
  <c r="AG87" i="63"/>
  <c r="AJ87" i="63" s="1"/>
  <c r="AK87" i="63" s="1"/>
  <c r="AD87" i="63"/>
  <c r="U87" i="63" l="1"/>
  <c r="Z87" i="63" l="1"/>
  <c r="AH87" i="63" s="1"/>
  <c r="Y87" i="63"/>
  <c r="AB87" i="63"/>
  <c r="AE87" i="63" l="1"/>
  <c r="AF87" i="63" s="1"/>
  <c r="R88" i="63"/>
  <c r="T88" i="63"/>
  <c r="AD88" i="63" l="1"/>
  <c r="AG88" i="63"/>
  <c r="AJ88" i="63" s="1"/>
  <c r="AK88" i="63" s="1"/>
  <c r="AL88" i="63"/>
  <c r="AM88" i="63" s="1"/>
  <c r="V88" i="63"/>
  <c r="AA88" i="63" s="1"/>
  <c r="U88" i="63" l="1"/>
  <c r="Z88" i="63" l="1"/>
  <c r="AH88" i="63" s="1"/>
  <c r="Y88" i="63"/>
  <c r="AB88" i="63"/>
  <c r="R89" i="63" l="1"/>
  <c r="T89" i="63"/>
  <c r="AE88" i="63"/>
  <c r="AF88" i="63" s="1"/>
  <c r="AD89" i="63" l="1"/>
  <c r="AG89" i="63"/>
  <c r="AJ89" i="63" s="1"/>
  <c r="AK89" i="63" s="1"/>
  <c r="V89" i="63"/>
  <c r="AA89" i="63" s="1"/>
  <c r="AL89" i="63"/>
  <c r="AM89" i="63" s="1"/>
  <c r="U89" i="63" l="1"/>
  <c r="Y89" i="63" l="1"/>
  <c r="Z89" i="63"/>
  <c r="AH89" i="63" s="1"/>
  <c r="AB89" i="63"/>
  <c r="R90" i="63" l="1"/>
  <c r="T90" i="63"/>
  <c r="AE89" i="63"/>
  <c r="AF89" i="63" s="1"/>
  <c r="AD90" i="63" l="1"/>
  <c r="AG90" i="63"/>
  <c r="AJ90" i="63" s="1"/>
  <c r="AK90" i="63" s="1"/>
  <c r="AL90" i="63"/>
  <c r="AM90" i="63" s="1"/>
  <c r="V90" i="63"/>
  <c r="AA90" i="63" s="1"/>
  <c r="U90" i="63" l="1"/>
  <c r="Y90" i="63" l="1"/>
  <c r="Z90" i="63"/>
  <c r="AH90" i="63" s="1"/>
  <c r="AB90" i="63"/>
  <c r="AE90" i="63" l="1"/>
  <c r="AF90" i="63" s="1"/>
  <c r="R91" i="63"/>
  <c r="T91" i="63"/>
  <c r="AD91" i="63" l="1"/>
  <c r="AG91" i="63"/>
  <c r="AJ91" i="63" s="1"/>
  <c r="AK91" i="63" s="1"/>
  <c r="AL91" i="63"/>
  <c r="AM91" i="63" s="1"/>
  <c r="V91" i="63"/>
  <c r="AA91" i="63" s="1"/>
  <c r="U91" i="63" l="1"/>
  <c r="Z91" i="63" l="1"/>
  <c r="AH91" i="63" s="1"/>
  <c r="Y91" i="63"/>
  <c r="AB91" i="63"/>
  <c r="AE91" i="63" l="1"/>
  <c r="AF91" i="63" s="1"/>
  <c r="R92" i="63"/>
  <c r="T92" i="63"/>
  <c r="AD92" i="63" l="1"/>
  <c r="AG92" i="63"/>
  <c r="AJ92" i="63" s="1"/>
  <c r="AK92" i="63" s="1"/>
  <c r="AL92" i="63"/>
  <c r="AM92" i="63" s="1"/>
  <c r="V92" i="63"/>
  <c r="AA92" i="63" s="1"/>
  <c r="U92" i="63" l="1"/>
  <c r="Z92" i="63" l="1"/>
  <c r="AH92" i="63" s="1"/>
  <c r="Y92" i="63"/>
  <c r="AB92" i="63"/>
  <c r="T93" i="63" l="1"/>
  <c r="AE92" i="63"/>
  <c r="AF92" i="63" s="1"/>
  <c r="R93" i="63"/>
  <c r="AL93" i="63" l="1"/>
  <c r="AM93" i="63" s="1"/>
  <c r="V93" i="63"/>
  <c r="AA93" i="63" s="1"/>
  <c r="AD93" i="63"/>
  <c r="AG93" i="63"/>
  <c r="AJ93" i="63" s="1"/>
  <c r="AK93" i="63" s="1"/>
  <c r="U93" i="63" l="1"/>
  <c r="Z93" i="63" s="1"/>
  <c r="AH93" i="63" s="1"/>
  <c r="AB93" i="63" l="1"/>
  <c r="Y93" i="63"/>
  <c r="T94" i="63"/>
  <c r="AE93" i="63"/>
  <c r="AF93" i="63" s="1"/>
  <c r="R94" i="63"/>
  <c r="AL94" i="63" l="1"/>
  <c r="AM94" i="63" s="1"/>
  <c r="V94" i="63"/>
  <c r="AA94" i="63" s="1"/>
  <c r="AD94" i="63"/>
  <c r="AG94" i="63"/>
  <c r="AJ94" i="63" s="1"/>
  <c r="AK94" i="63" s="1"/>
  <c r="U94" i="63" l="1"/>
  <c r="Z94" i="63" s="1"/>
  <c r="AH94" i="63" s="1"/>
  <c r="Y94" i="63" l="1"/>
  <c r="AB94" i="63"/>
  <c r="T95" i="63" s="1"/>
  <c r="AE94" i="63" l="1"/>
  <c r="AF94" i="63" s="1"/>
  <c r="R95" i="63"/>
  <c r="AL95" i="63" s="1"/>
  <c r="AM95" i="63" s="1"/>
  <c r="AD95" i="63"/>
  <c r="AG95" i="63"/>
  <c r="AJ95" i="63" s="1"/>
  <c r="AK95" i="63" s="1"/>
  <c r="V95" i="63" l="1"/>
  <c r="AA95" i="63" s="1"/>
  <c r="U95" i="63" l="1"/>
  <c r="Z95" i="63" s="1"/>
  <c r="AH95" i="63" s="1"/>
  <c r="Y95" i="63"/>
  <c r="AB95" i="63"/>
  <c r="R96" i="63" l="1"/>
  <c r="T96" i="63"/>
  <c r="AE95" i="63"/>
  <c r="AF95" i="63" s="1"/>
  <c r="AD96" i="63" l="1"/>
  <c r="AG96" i="63"/>
  <c r="AJ96" i="63" s="1"/>
  <c r="AK96" i="63" s="1"/>
  <c r="V96" i="63"/>
  <c r="AA96" i="63" s="1"/>
  <c r="AL96" i="63"/>
  <c r="AM96" i="63" s="1"/>
  <c r="U96" i="63" l="1"/>
  <c r="Z96" i="63" l="1"/>
  <c r="AH96" i="63" s="1"/>
  <c r="Y96" i="63"/>
  <c r="AB96" i="63"/>
  <c r="R97" i="63" l="1"/>
  <c r="T97" i="63"/>
  <c r="AE96" i="63"/>
  <c r="AF96" i="63" s="1"/>
  <c r="AD97" i="63" l="1"/>
  <c r="AG97" i="63"/>
  <c r="AJ97" i="63" s="1"/>
  <c r="AK97" i="63" s="1"/>
  <c r="V97" i="63"/>
  <c r="AA97" i="63" s="1"/>
  <c r="AL97" i="63"/>
  <c r="AM97" i="63" s="1"/>
  <c r="U97" i="63" l="1"/>
  <c r="Z97" i="63" l="1"/>
  <c r="AH97" i="63" s="1"/>
  <c r="Y97" i="63"/>
  <c r="AB97" i="63"/>
  <c r="R98" i="63" l="1"/>
  <c r="T98" i="63"/>
  <c r="AE97" i="63"/>
  <c r="AF97" i="63" s="1"/>
  <c r="AD98" i="63" l="1"/>
  <c r="AG98" i="63"/>
  <c r="AJ98" i="63" s="1"/>
  <c r="AK98" i="63" s="1"/>
  <c r="AL98" i="63"/>
  <c r="AM98" i="63" s="1"/>
  <c r="V98" i="63"/>
  <c r="AA98" i="63" s="1"/>
  <c r="U98" i="63" l="1"/>
  <c r="Y98" i="63" l="1"/>
  <c r="Z98" i="63"/>
  <c r="AH98" i="63" s="1"/>
  <c r="AB98" i="63"/>
  <c r="AE98" i="63" l="1"/>
  <c r="AF98" i="63" s="1"/>
  <c r="R99" i="63"/>
  <c r="T99" i="63"/>
  <c r="AD99" i="63" l="1"/>
  <c r="AG99" i="63"/>
  <c r="AJ99" i="63" s="1"/>
  <c r="AK99" i="63" s="1"/>
  <c r="AL99" i="63"/>
  <c r="AM99" i="63" s="1"/>
  <c r="V99" i="63"/>
  <c r="AA99" i="63" s="1"/>
  <c r="U99" i="63" l="1"/>
  <c r="Y99" i="63" l="1"/>
  <c r="Z99" i="63"/>
  <c r="AH99" i="63" s="1"/>
  <c r="AB99" i="63"/>
  <c r="AE99" i="63" l="1"/>
  <c r="AF99" i="63" s="1"/>
  <c r="R100" i="63"/>
  <c r="T100" i="63"/>
  <c r="AD100" i="63" l="1"/>
  <c r="AG100" i="63"/>
  <c r="AJ100" i="63" s="1"/>
  <c r="AK100" i="63" s="1"/>
  <c r="AL100" i="63"/>
  <c r="AM100" i="63" s="1"/>
  <c r="V100" i="63"/>
  <c r="AA100" i="63" s="1"/>
  <c r="U100" i="63" l="1"/>
  <c r="Y100" i="63" l="1"/>
  <c r="Z100" i="63"/>
  <c r="AH100" i="63" s="1"/>
  <c r="AB100" i="63"/>
  <c r="T101" i="63" l="1"/>
  <c r="AE100" i="63"/>
  <c r="AF100" i="63" s="1"/>
  <c r="R101" i="63"/>
  <c r="AL101" i="63" l="1"/>
  <c r="AM101" i="63" s="1"/>
  <c r="V101" i="63"/>
  <c r="AA101" i="63" s="1"/>
  <c r="AD101" i="63"/>
  <c r="AG101" i="63"/>
  <c r="AJ101" i="63" s="1"/>
  <c r="AK101" i="63" s="1"/>
  <c r="U101" i="63" l="1"/>
  <c r="Y101" i="63" l="1"/>
  <c r="Z101" i="63"/>
  <c r="AH101" i="63" s="1"/>
  <c r="AB101" i="63"/>
  <c r="T102" i="63" l="1"/>
  <c r="AE101" i="63"/>
  <c r="AF101" i="63" s="1"/>
  <c r="R102" i="63"/>
  <c r="V102" i="63" l="1"/>
  <c r="AA102" i="63" s="1"/>
  <c r="AL102" i="63"/>
  <c r="AM102" i="63" s="1"/>
  <c r="AD102" i="63"/>
  <c r="AG102" i="63"/>
  <c r="AJ102" i="63" s="1"/>
  <c r="AK102" i="63" s="1"/>
  <c r="U102" i="63" l="1"/>
  <c r="Y102" i="63" s="1"/>
  <c r="Z102" i="63" l="1"/>
  <c r="AH102" i="63" s="1"/>
  <c r="AB102" i="63"/>
  <c r="AE102" i="63" s="1"/>
  <c r="AF102" i="63" s="1"/>
  <c r="T103" i="63"/>
  <c r="R103" i="63"/>
  <c r="V103" i="63" l="1"/>
  <c r="AA103" i="63" s="1"/>
  <c r="AL103" i="63"/>
  <c r="AM103" i="63" s="1"/>
  <c r="AD103" i="63"/>
  <c r="AG103" i="63"/>
  <c r="AJ103" i="63" s="1"/>
  <c r="AK103" i="63" s="1"/>
  <c r="U103" i="63" l="1"/>
  <c r="Y103" i="63" s="1"/>
  <c r="Z103" i="63" l="1"/>
  <c r="AH103" i="63" s="1"/>
  <c r="AB103" i="63"/>
  <c r="R104" i="63" s="1"/>
  <c r="AE103" i="63" l="1"/>
  <c r="AF103" i="63" s="1"/>
  <c r="T104" i="63"/>
  <c r="AD104" i="63" s="1"/>
  <c r="AL104" i="63"/>
  <c r="AM104" i="63" s="1"/>
  <c r="V104" i="63"/>
  <c r="AA104" i="63" s="1"/>
  <c r="AG104" i="63" l="1"/>
  <c r="AJ104" i="63" s="1"/>
  <c r="AK104" i="63" s="1"/>
  <c r="U104" i="63"/>
  <c r="Z104" i="63" l="1"/>
  <c r="AH104" i="63" s="1"/>
  <c r="Y104" i="63"/>
  <c r="AB104" i="63"/>
  <c r="R105" i="63" l="1"/>
  <c r="T105" i="63"/>
  <c r="AE104" i="63"/>
  <c r="AF104" i="63" s="1"/>
  <c r="AD105" i="63" l="1"/>
  <c r="AG105" i="63"/>
  <c r="AJ105" i="63" s="1"/>
  <c r="AK105" i="63" s="1"/>
  <c r="V105" i="63"/>
  <c r="AA105" i="63" s="1"/>
  <c r="AL105" i="63"/>
  <c r="AM105" i="63" s="1"/>
  <c r="U105" i="63" l="1"/>
  <c r="Y105" i="63" l="1"/>
  <c r="Z105" i="63"/>
  <c r="AH105" i="63" s="1"/>
  <c r="AB105" i="63"/>
  <c r="R106" i="63" l="1"/>
  <c r="T106" i="63"/>
  <c r="AE105" i="63"/>
  <c r="AF105" i="63" s="1"/>
  <c r="AD106" i="63" l="1"/>
  <c r="AG106" i="63"/>
  <c r="AJ106" i="63" s="1"/>
  <c r="AK106" i="63" s="1"/>
  <c r="V106" i="63"/>
  <c r="AA106" i="63" s="1"/>
  <c r="AL106" i="63"/>
  <c r="AM106" i="63" s="1"/>
  <c r="U106" i="63" l="1"/>
  <c r="Z106" i="63" l="1"/>
  <c r="AH106" i="63" s="1"/>
  <c r="Y106" i="63"/>
  <c r="AB106" i="63"/>
  <c r="AE106" i="63" l="1"/>
  <c r="AF106" i="63" s="1"/>
  <c r="R107" i="63"/>
  <c r="T107" i="63"/>
  <c r="AD107" i="63" l="1"/>
  <c r="AG107" i="63"/>
  <c r="AJ107" i="63" s="1"/>
  <c r="AK107" i="63" s="1"/>
  <c r="V107" i="63"/>
  <c r="AA107" i="63" s="1"/>
  <c r="AL107" i="63"/>
  <c r="AM107" i="63" s="1"/>
  <c r="U107" i="63" l="1"/>
  <c r="Y107" i="63" l="1"/>
  <c r="Z107" i="63"/>
  <c r="AH107" i="63" s="1"/>
  <c r="AB107" i="63"/>
  <c r="R108" i="63" l="1"/>
  <c r="AE107" i="63"/>
  <c r="AF107" i="63" s="1"/>
  <c r="T108" i="63"/>
  <c r="AD108" i="63" l="1"/>
  <c r="AG108" i="63"/>
  <c r="AJ108" i="63" s="1"/>
  <c r="AK108" i="63" s="1"/>
  <c r="AL108" i="63"/>
  <c r="AM108" i="63" s="1"/>
  <c r="V108" i="63"/>
  <c r="AA108" i="63" s="1"/>
  <c r="U108" i="63" l="1"/>
  <c r="Z108" i="63" l="1"/>
  <c r="AH108" i="63" s="1"/>
  <c r="Y108" i="63"/>
  <c r="AB108" i="63"/>
  <c r="T109" i="63" l="1"/>
  <c r="AE108" i="63"/>
  <c r="AF108" i="63" s="1"/>
  <c r="R109" i="63"/>
  <c r="V109" i="63" l="1"/>
  <c r="AA109" i="63" s="1"/>
  <c r="AL109" i="63"/>
  <c r="AM109" i="63" s="1"/>
  <c r="AD109" i="63"/>
  <c r="AG109" i="63"/>
  <c r="AJ109" i="63" s="1"/>
  <c r="AK109" i="63" s="1"/>
  <c r="U109" i="63"/>
  <c r="Y109" i="63" l="1"/>
  <c r="Z109" i="63"/>
  <c r="AH109" i="63" s="1"/>
  <c r="AB109" i="63"/>
  <c r="T110" i="63" l="1"/>
  <c r="AE109" i="63"/>
  <c r="AF109" i="63" s="1"/>
  <c r="R110" i="63"/>
  <c r="V110" i="63" l="1"/>
  <c r="AA110" i="63" s="1"/>
  <c r="AL110" i="63"/>
  <c r="AM110" i="63" s="1"/>
  <c r="AD110" i="63"/>
  <c r="AG110" i="63"/>
  <c r="AJ110" i="63" s="1"/>
  <c r="AK110" i="63" s="1"/>
  <c r="U110" i="63" l="1"/>
  <c r="Z110" i="63" s="1"/>
  <c r="AH110" i="63" s="1"/>
  <c r="AB110" i="63" l="1"/>
  <c r="Y110" i="63"/>
  <c r="R111" i="63"/>
  <c r="AE110" i="63"/>
  <c r="AF110" i="63" s="1"/>
  <c r="T111" i="63"/>
  <c r="AD111" i="63" l="1"/>
  <c r="AG111" i="63"/>
  <c r="AJ111" i="63" s="1"/>
  <c r="AK111" i="63" s="1"/>
  <c r="V111" i="63"/>
  <c r="AA111" i="63" s="1"/>
  <c r="AL111" i="63"/>
  <c r="AM111" i="63" s="1"/>
  <c r="U111" i="63" l="1"/>
  <c r="Y111" i="63" l="1"/>
  <c r="Z111" i="63"/>
  <c r="AH111" i="63" s="1"/>
  <c r="AB111" i="63"/>
  <c r="R112" i="63" l="1"/>
  <c r="AE111" i="63"/>
  <c r="AF111" i="63" s="1"/>
  <c r="T112" i="63"/>
  <c r="AD112" i="63" l="1"/>
  <c r="AG112" i="63"/>
  <c r="AJ112" i="63" s="1"/>
  <c r="AK112" i="63" s="1"/>
  <c r="V112" i="63"/>
  <c r="AA112" i="63" s="1"/>
  <c r="AL112" i="63"/>
  <c r="AM112" i="63" s="1"/>
  <c r="U112" i="63" l="1"/>
  <c r="Z112" i="63" l="1"/>
  <c r="AH112" i="63" s="1"/>
  <c r="Y112" i="63"/>
  <c r="AB112" i="63"/>
  <c r="R113" i="63" l="1"/>
  <c r="AE112" i="63"/>
  <c r="AF112" i="63" s="1"/>
  <c r="T113" i="63"/>
  <c r="AG113" i="63" l="1"/>
  <c r="AJ113" i="63" s="1"/>
  <c r="AK113" i="63" s="1"/>
  <c r="AD113" i="63"/>
  <c r="AL113" i="63"/>
  <c r="AM113" i="63" s="1"/>
  <c r="V113" i="63"/>
  <c r="AA113" i="63" s="1"/>
  <c r="U113" i="63" l="1"/>
  <c r="Y113" i="63" l="1"/>
  <c r="Z113" i="63"/>
  <c r="AH113" i="63" s="1"/>
  <c r="AB113" i="63"/>
  <c r="T114" i="63" l="1"/>
  <c r="R114" i="63"/>
  <c r="AE113" i="63"/>
  <c r="AF113" i="63" s="1"/>
  <c r="AL114" i="63" l="1"/>
  <c r="AM114" i="63" s="1"/>
  <c r="V114" i="63"/>
  <c r="AA114" i="63" s="1"/>
  <c r="AG114" i="63"/>
  <c r="AJ114" i="63" s="1"/>
  <c r="AK114" i="63" s="1"/>
  <c r="AD114" i="63"/>
  <c r="U114" i="63" l="1"/>
  <c r="Z114" i="63" l="1"/>
  <c r="AH114" i="63" s="1"/>
  <c r="Y114" i="63"/>
  <c r="AB114" i="63"/>
  <c r="AE114" i="63" l="1"/>
  <c r="AF114" i="63" s="1"/>
  <c r="T115" i="63"/>
  <c r="R115" i="63"/>
  <c r="AL115" i="63" l="1"/>
  <c r="AM115" i="63" s="1"/>
  <c r="V115" i="63"/>
  <c r="AA115" i="63" s="1"/>
  <c r="AG115" i="63"/>
  <c r="AJ115" i="63" s="1"/>
  <c r="AK115" i="63" s="1"/>
  <c r="AD115" i="63"/>
  <c r="U115" i="63" l="1"/>
  <c r="Y115" i="63" s="1"/>
  <c r="AB115" i="63" l="1"/>
  <c r="AE115" i="63" s="1"/>
  <c r="AF115" i="63" s="1"/>
  <c r="Z115" i="63"/>
  <c r="AH115" i="63" s="1"/>
  <c r="T116" i="63" l="1"/>
  <c r="AD116" i="63" s="1"/>
  <c r="R116" i="63"/>
  <c r="AL116" i="63" s="1"/>
  <c r="AM116" i="63" s="1"/>
  <c r="V116" i="63" l="1"/>
  <c r="AA116" i="63" s="1"/>
  <c r="AG116" i="63"/>
  <c r="AJ116" i="63" s="1"/>
  <c r="AK116" i="63" s="1"/>
  <c r="U116" i="63" l="1"/>
  <c r="Z116" i="63"/>
  <c r="AH116" i="63" s="1"/>
  <c r="Y116" i="63"/>
  <c r="AB116" i="63"/>
  <c r="T117" i="63" l="1"/>
  <c r="AE116" i="63"/>
  <c r="AF116" i="63" s="1"/>
  <c r="R117" i="63"/>
  <c r="AL117" i="63" l="1"/>
  <c r="AM117" i="63" s="1"/>
  <c r="V117" i="63"/>
  <c r="AA117" i="63" s="1"/>
  <c r="AD117" i="63"/>
  <c r="AG117" i="63"/>
  <c r="AJ117" i="63" s="1"/>
  <c r="AK117" i="63" s="1"/>
  <c r="U117" i="63" l="1"/>
  <c r="Z117" i="63" s="1"/>
  <c r="AH117" i="63" s="1"/>
  <c r="Y117" i="63"/>
  <c r="AB117" i="63"/>
  <c r="R118" i="63" l="1"/>
  <c r="AE117" i="63"/>
  <c r="AF117" i="63" s="1"/>
  <c r="T118" i="63"/>
  <c r="AD118" i="63" l="1"/>
  <c r="AG118" i="63"/>
  <c r="AJ118" i="63" s="1"/>
  <c r="AK118" i="63" s="1"/>
  <c r="V118" i="63"/>
  <c r="AA118" i="63" s="1"/>
  <c r="AL118" i="63"/>
  <c r="AM118" i="63" s="1"/>
  <c r="U118" i="63" l="1"/>
  <c r="Z118" i="63" l="1"/>
  <c r="AH118" i="63" s="1"/>
  <c r="Y118" i="63"/>
  <c r="AB118" i="63"/>
  <c r="R119" i="63" l="1"/>
  <c r="AE118" i="63"/>
  <c r="AF118" i="63" s="1"/>
  <c r="T119" i="63"/>
  <c r="AD119" i="63" l="1"/>
  <c r="AG119" i="63"/>
  <c r="AJ119" i="63" s="1"/>
  <c r="AK119" i="63" s="1"/>
  <c r="V119" i="63"/>
  <c r="AA119" i="63" s="1"/>
  <c r="AL119" i="63"/>
  <c r="AM119" i="63" s="1"/>
  <c r="U119" i="63" l="1"/>
  <c r="Z119" i="63" l="1"/>
  <c r="AH119" i="63" s="1"/>
  <c r="Y119" i="63"/>
  <c r="AB119" i="63"/>
  <c r="R120" i="63" l="1"/>
  <c r="T120" i="63"/>
  <c r="AE119" i="63"/>
  <c r="AF119" i="63" s="1"/>
  <c r="AG120" i="63" l="1"/>
  <c r="AJ120" i="63" s="1"/>
  <c r="AK120" i="63" s="1"/>
  <c r="AI3" i="63" s="1"/>
  <c r="AD120" i="63"/>
  <c r="AL120" i="63"/>
  <c r="AM120" i="63" s="1"/>
  <c r="V120" i="63"/>
  <c r="AA120" i="63" s="1"/>
  <c r="AI5" i="63" l="1"/>
  <c r="U120" i="63"/>
  <c r="Z120" i="63" l="1"/>
  <c r="AH120" i="63" s="1"/>
  <c r="AI4" i="63" s="1"/>
  <c r="AI6" i="63" s="1"/>
  <c r="Y120" i="63"/>
  <c r="AB120" i="63"/>
  <c r="R121" i="63" l="1"/>
  <c r="AE120" i="63"/>
  <c r="AF120" i="63" s="1"/>
  <c r="T121" i="63"/>
  <c r="AB10" i="63"/>
  <c r="G13" i="1" l="1"/>
  <c r="AB11" i="63"/>
  <c r="AD121" i="63"/>
  <c r="AG121" i="63"/>
  <c r="AJ121" i="63" s="1"/>
  <c r="AK121" i="63" s="1"/>
  <c r="V121" i="63"/>
  <c r="AA121" i="63" s="1"/>
  <c r="AL121" i="63"/>
  <c r="AM121" i="63" s="1"/>
  <c r="U121" i="63" l="1"/>
  <c r="Z121" i="63" l="1"/>
  <c r="AH121" i="63" s="1"/>
  <c r="Y121" i="63"/>
  <c r="AB121" i="63"/>
  <c r="T122" i="63" l="1"/>
  <c r="AE121" i="63"/>
  <c r="AF121" i="63" s="1"/>
  <c r="R122" i="63"/>
  <c r="AL122" i="63" l="1"/>
  <c r="AM122" i="63" s="1"/>
  <c r="V122" i="63"/>
  <c r="AA122" i="63" s="1"/>
  <c r="AD122" i="63"/>
  <c r="AG122" i="63"/>
  <c r="AJ122" i="63" s="1"/>
  <c r="AK122" i="63" s="1"/>
  <c r="U122" i="63" l="1"/>
  <c r="Z122" i="63" l="1"/>
  <c r="AH122" i="63" s="1"/>
  <c r="Y122" i="63"/>
  <c r="AB122" i="63"/>
  <c r="T123" i="63" l="1"/>
  <c r="AE122" i="63"/>
  <c r="AF122" i="63" s="1"/>
  <c r="R123" i="63"/>
  <c r="V123" i="63" l="1"/>
  <c r="AA123" i="63" s="1"/>
  <c r="AL123" i="63"/>
  <c r="AM123" i="63" s="1"/>
  <c r="AD123" i="63"/>
  <c r="AG123" i="63"/>
  <c r="AJ123" i="63" s="1"/>
  <c r="AK123" i="63" s="1"/>
  <c r="U123" i="63" l="1"/>
  <c r="Z123" i="63" s="1"/>
  <c r="AH123" i="63" s="1"/>
  <c r="Y123" i="63" l="1"/>
  <c r="AB123" i="63"/>
  <c r="R124" i="63" s="1"/>
  <c r="AE123" i="63"/>
  <c r="AF123" i="63" s="1"/>
  <c r="T124" i="63" l="1"/>
  <c r="V124" i="63"/>
  <c r="AA124" i="63" s="1"/>
  <c r="AL124" i="63"/>
  <c r="AM124" i="63" s="1"/>
  <c r="AG124" i="63"/>
  <c r="AJ124" i="63" s="1"/>
  <c r="AK124" i="63" s="1"/>
  <c r="AD124" i="63"/>
  <c r="U124" i="63" l="1"/>
  <c r="Y124" i="63"/>
  <c r="Z124" i="63"/>
  <c r="AH124" i="63" s="1"/>
  <c r="AB124" i="63"/>
  <c r="R125" i="63" l="1"/>
  <c r="AE124" i="63"/>
  <c r="AF124" i="63" s="1"/>
  <c r="T125" i="63"/>
  <c r="AD125" i="63" l="1"/>
  <c r="AG125" i="63"/>
  <c r="AJ125" i="63" s="1"/>
  <c r="AK125" i="63" s="1"/>
  <c r="V125" i="63"/>
  <c r="AA125" i="63" s="1"/>
  <c r="AL125" i="63"/>
  <c r="AM125" i="63" s="1"/>
  <c r="U125" i="63" l="1"/>
  <c r="Y125" i="63" l="1"/>
  <c r="Z125" i="63"/>
  <c r="AH125" i="63" s="1"/>
  <c r="AB125" i="63"/>
  <c r="AE125" i="63" l="1"/>
  <c r="AF125" i="63" s="1"/>
  <c r="R126" i="63"/>
  <c r="T126" i="63"/>
  <c r="AG126" i="63" l="1"/>
  <c r="AJ126" i="63" s="1"/>
  <c r="AK126" i="63" s="1"/>
  <c r="AD126" i="63"/>
  <c r="AL126" i="63"/>
  <c r="AM126" i="63" s="1"/>
  <c r="V126" i="63"/>
  <c r="AA126" i="63" s="1"/>
  <c r="U126" i="63" l="1"/>
  <c r="Z126" i="63" l="1"/>
  <c r="AH126" i="63" s="1"/>
  <c r="Y126" i="63"/>
  <c r="AB126" i="63"/>
  <c r="R127" i="63" l="1"/>
  <c r="T127" i="63"/>
  <c r="AE126" i="63"/>
  <c r="AF126" i="63" s="1"/>
  <c r="AD127" i="63" l="1"/>
  <c r="AG127" i="63"/>
  <c r="AJ127" i="63" s="1"/>
  <c r="AK127" i="63" s="1"/>
  <c r="V127" i="63"/>
  <c r="AA127" i="63" s="1"/>
  <c r="AL127" i="63"/>
  <c r="AM127" i="63" s="1"/>
  <c r="U127" i="63" l="1"/>
  <c r="Z127" i="63" l="1"/>
  <c r="AH127" i="63" s="1"/>
  <c r="Y127" i="63"/>
  <c r="AB127" i="63"/>
  <c r="AE127" i="63" l="1"/>
  <c r="AF127" i="63" s="1"/>
  <c r="R128" i="63"/>
  <c r="T128" i="63"/>
  <c r="AD128" i="63" l="1"/>
  <c r="AG128" i="63"/>
  <c r="AJ128" i="63" s="1"/>
  <c r="AK128" i="63" s="1"/>
  <c r="V128" i="63"/>
  <c r="AA128" i="63" s="1"/>
  <c r="AL128" i="63"/>
  <c r="AM128" i="63" s="1"/>
  <c r="U128" i="63" l="1"/>
  <c r="Y128" i="63" l="1"/>
  <c r="Z128" i="63"/>
  <c r="AH128" i="63" s="1"/>
  <c r="AB128" i="63"/>
  <c r="R129" i="63" l="1"/>
  <c r="AE128" i="63"/>
  <c r="AF128" i="63" s="1"/>
  <c r="T129" i="63"/>
  <c r="AD129" i="63" l="1"/>
  <c r="AG129" i="63"/>
  <c r="AJ129" i="63" s="1"/>
  <c r="AK129" i="63" s="1"/>
  <c r="V129" i="63"/>
  <c r="AA129" i="63" s="1"/>
  <c r="AL129" i="63"/>
  <c r="AM129" i="63" s="1"/>
  <c r="U129" i="63" l="1"/>
  <c r="Y129" i="63" l="1"/>
  <c r="Z129" i="63"/>
  <c r="AH129" i="63" s="1"/>
  <c r="AB129" i="63"/>
  <c r="T130" i="63" l="1"/>
  <c r="AE129" i="63"/>
  <c r="AF129" i="63" s="1"/>
  <c r="R130" i="63"/>
  <c r="V130" i="63" l="1"/>
  <c r="AA130" i="63" s="1"/>
  <c r="AL130" i="63"/>
  <c r="AM130" i="63" s="1"/>
  <c r="AG130" i="63"/>
  <c r="AJ130" i="63" s="1"/>
  <c r="AK130" i="63" s="1"/>
  <c r="AD130" i="63"/>
  <c r="U130" i="63" l="1"/>
  <c r="Z130" i="63" s="1"/>
  <c r="AH130" i="63" s="1"/>
  <c r="Y130" i="63" l="1"/>
  <c r="AB130" i="63"/>
  <c r="R131" i="63" s="1"/>
  <c r="AE130" i="63" l="1"/>
  <c r="AF130" i="63" s="1"/>
  <c r="T131" i="63"/>
  <c r="AD131" i="63" s="1"/>
  <c r="V131" i="63"/>
  <c r="AA131" i="63" s="1"/>
  <c r="AL131" i="63"/>
  <c r="AM131" i="63" s="1"/>
  <c r="AG131" i="63" l="1"/>
  <c r="AJ131" i="63" s="1"/>
  <c r="AK131" i="63" s="1"/>
  <c r="U131" i="63"/>
  <c r="Z131" i="63" l="1"/>
  <c r="AH131" i="63" s="1"/>
  <c r="Y131" i="63"/>
  <c r="AB131" i="63"/>
  <c r="R132" i="63" l="1"/>
  <c r="AE131" i="63"/>
  <c r="AF131" i="63" s="1"/>
  <c r="T132" i="63"/>
  <c r="AD132" i="63" l="1"/>
  <c r="AG132" i="63"/>
  <c r="AJ132" i="63" s="1"/>
  <c r="AK132" i="63" s="1"/>
  <c r="AL132" i="63"/>
  <c r="AM132" i="63" s="1"/>
  <c r="V132" i="63"/>
  <c r="AA132" i="63" s="1"/>
  <c r="U132" i="63" l="1"/>
  <c r="Y132" i="63" l="1"/>
  <c r="Z132" i="63"/>
  <c r="AH132" i="63" s="1"/>
  <c r="AB132" i="63"/>
  <c r="R133" i="63" l="1"/>
  <c r="AE132" i="63"/>
  <c r="AF132" i="63" s="1"/>
  <c r="T133" i="63"/>
  <c r="AD133" i="63" l="1"/>
  <c r="AG133" i="63"/>
  <c r="AJ133" i="63" s="1"/>
  <c r="AK133" i="63" s="1"/>
  <c r="AL133" i="63"/>
  <c r="AM133" i="63" s="1"/>
  <c r="V133" i="63"/>
  <c r="AA133" i="63" s="1"/>
  <c r="U133" i="63" l="1"/>
  <c r="Z133" i="63" l="1"/>
  <c r="AH133" i="63" s="1"/>
  <c r="Y133" i="63"/>
  <c r="AB133" i="63"/>
  <c r="R134" i="63" l="1"/>
  <c r="AE133" i="63"/>
  <c r="AF133" i="63" s="1"/>
  <c r="T134" i="63"/>
  <c r="AG134" i="63" l="1"/>
  <c r="AJ134" i="63" s="1"/>
  <c r="AK134" i="63" s="1"/>
  <c r="AD134" i="63"/>
  <c r="V134" i="63"/>
  <c r="AA134" i="63" s="1"/>
  <c r="AL134" i="63"/>
  <c r="AM134" i="63" s="1"/>
  <c r="U134" i="63" l="1"/>
  <c r="Y134" i="63" l="1"/>
  <c r="Z134" i="63"/>
  <c r="AH134" i="63" s="1"/>
  <c r="AB134" i="63"/>
  <c r="R135" i="63" l="1"/>
  <c r="T135" i="63"/>
  <c r="AE134" i="63"/>
  <c r="AF134" i="63" s="1"/>
  <c r="AD135" i="63" l="1"/>
  <c r="AG135" i="63"/>
  <c r="AJ135" i="63" s="1"/>
  <c r="AK135" i="63" s="1"/>
  <c r="V135" i="63"/>
  <c r="AA135" i="63" s="1"/>
  <c r="AL135" i="63"/>
  <c r="AM135" i="63" s="1"/>
  <c r="U135" i="63" l="1"/>
  <c r="Y135" i="63" l="1"/>
  <c r="Z135" i="63"/>
  <c r="AH135" i="63" s="1"/>
  <c r="AB135" i="63"/>
  <c r="AE135" i="63" l="1"/>
  <c r="AF135" i="63" s="1"/>
  <c r="R136" i="63"/>
  <c r="T136" i="63"/>
  <c r="AD136" i="63" l="1"/>
  <c r="AG136" i="63"/>
  <c r="AJ136" i="63" s="1"/>
  <c r="AK136" i="63" s="1"/>
  <c r="V136" i="63"/>
  <c r="AA136" i="63" s="1"/>
  <c r="AL136" i="63"/>
  <c r="AM136" i="63" s="1"/>
  <c r="U136" i="63" l="1"/>
  <c r="Y136" i="63" l="1"/>
  <c r="Z136" i="63"/>
  <c r="AH136" i="63" s="1"/>
  <c r="AB136" i="63"/>
  <c r="R137" i="63" l="1"/>
  <c r="AE136" i="63"/>
  <c r="AF136" i="63" s="1"/>
  <c r="T137" i="63"/>
  <c r="AG137" i="63" l="1"/>
  <c r="AJ137" i="63" s="1"/>
  <c r="AK137" i="63" s="1"/>
  <c r="AD137" i="63"/>
  <c r="AL137" i="63"/>
  <c r="AM137" i="63" s="1"/>
  <c r="V137" i="63"/>
  <c r="AA137" i="63" s="1"/>
  <c r="U137" i="63" l="1"/>
  <c r="Z137" i="63" l="1"/>
  <c r="AH137" i="63" s="1"/>
  <c r="Y137" i="63"/>
  <c r="AB137" i="63"/>
  <c r="T138" i="63" l="1"/>
  <c r="R138" i="63"/>
  <c r="AE137" i="63"/>
  <c r="AF137" i="63" s="1"/>
  <c r="V138" i="63" l="1"/>
  <c r="AA138" i="63" s="1"/>
  <c r="AL138" i="63"/>
  <c r="AM138" i="63" s="1"/>
  <c r="AD138" i="63"/>
  <c r="AG138" i="63"/>
  <c r="AJ138" i="63" s="1"/>
  <c r="AK138" i="63" s="1"/>
  <c r="U138" i="63" l="1"/>
  <c r="Y138" i="63" s="1"/>
  <c r="AB138" i="63" l="1"/>
  <c r="R139" i="63" s="1"/>
  <c r="Z138" i="63"/>
  <c r="AH138" i="63" s="1"/>
  <c r="T139" i="63" l="1"/>
  <c r="AD139" i="63" s="1"/>
  <c r="AE138" i="63"/>
  <c r="AF138" i="63" s="1"/>
  <c r="AL139" i="63"/>
  <c r="AM139" i="63" s="1"/>
  <c r="V139" i="63"/>
  <c r="AA139" i="63" s="1"/>
  <c r="AG139" i="63" l="1"/>
  <c r="AJ139" i="63" s="1"/>
  <c r="AK139" i="63" s="1"/>
  <c r="U139" i="63"/>
  <c r="Y139" i="63" l="1"/>
  <c r="Z139" i="63"/>
  <c r="AH139" i="63" s="1"/>
  <c r="AB139" i="63"/>
  <c r="R140" i="63" l="1"/>
  <c r="AE139" i="63"/>
  <c r="AF139" i="63" s="1"/>
  <c r="T140" i="63"/>
  <c r="AD140" i="63" l="1"/>
  <c r="AG140" i="63"/>
  <c r="AJ140" i="63" s="1"/>
  <c r="AK140" i="63" s="1"/>
  <c r="V140" i="63"/>
  <c r="AA140" i="63" s="1"/>
  <c r="AL140" i="63"/>
  <c r="AM140" i="63" s="1"/>
  <c r="U140" i="63" l="1"/>
  <c r="Z140" i="63" l="1"/>
  <c r="AH140" i="63" s="1"/>
  <c r="Y140" i="63"/>
  <c r="AB140" i="63"/>
  <c r="R141" i="63" l="1"/>
  <c r="T141" i="63"/>
  <c r="AE140" i="63"/>
  <c r="AF140" i="63" s="1"/>
  <c r="AD141" i="63" l="1"/>
  <c r="AG141" i="63"/>
  <c r="AJ141" i="63" s="1"/>
  <c r="AK141" i="63" s="1"/>
  <c r="V141" i="63"/>
  <c r="AA141" i="63" s="1"/>
  <c r="AL141" i="63"/>
  <c r="AM141" i="63" s="1"/>
  <c r="U141" i="63" l="1"/>
  <c r="Z141" i="63" l="1"/>
  <c r="AH141" i="63" s="1"/>
  <c r="Y141" i="63"/>
  <c r="AB141" i="63"/>
  <c r="R142" i="63" l="1"/>
  <c r="T142" i="63"/>
  <c r="AE141" i="63"/>
  <c r="AF141" i="63" s="1"/>
  <c r="AD142" i="63" l="1"/>
  <c r="AG142" i="63"/>
  <c r="AJ142" i="63" s="1"/>
  <c r="AK142" i="63" s="1"/>
  <c r="AL142" i="63"/>
  <c r="AM142" i="63" s="1"/>
  <c r="V142" i="63"/>
  <c r="AA142" i="63" s="1"/>
  <c r="U142" i="63" l="1"/>
  <c r="Y142" i="63" l="1"/>
  <c r="Z142" i="63"/>
  <c r="AH142" i="63" s="1"/>
  <c r="AB142" i="63"/>
  <c r="T143" i="63" l="1"/>
  <c r="R143" i="63"/>
  <c r="AE142" i="63"/>
  <c r="AF142" i="63" s="1"/>
  <c r="AL143" i="63" l="1"/>
  <c r="AM143" i="63" s="1"/>
  <c r="V143" i="63"/>
  <c r="AA143" i="63" s="1"/>
  <c r="AG143" i="63"/>
  <c r="AJ143" i="63" s="1"/>
  <c r="AK143" i="63" s="1"/>
  <c r="AD143" i="63"/>
  <c r="U143" i="63" l="1"/>
  <c r="Y143" i="63" s="1"/>
  <c r="AB143" i="63" l="1"/>
  <c r="Z143" i="63"/>
  <c r="AH143" i="63" s="1"/>
  <c r="AE143" i="63"/>
  <c r="AF143" i="63" s="1"/>
  <c r="R144" i="63"/>
  <c r="T144" i="63"/>
  <c r="AD144" i="63" l="1"/>
  <c r="AG144" i="63"/>
  <c r="AJ144" i="63" s="1"/>
  <c r="AK144" i="63" s="1"/>
  <c r="V144" i="63"/>
  <c r="AA144" i="63" s="1"/>
  <c r="AL144" i="63"/>
  <c r="AM144" i="63" s="1"/>
  <c r="U144" i="63" l="1"/>
  <c r="Z144" i="63" l="1"/>
  <c r="AH144" i="63" s="1"/>
  <c r="Y144" i="63"/>
  <c r="AB144" i="63"/>
  <c r="R145" i="63" l="1"/>
  <c r="AE144" i="63"/>
  <c r="AF144" i="63" s="1"/>
  <c r="T145" i="63"/>
  <c r="AD145" i="63" l="1"/>
  <c r="AG145" i="63"/>
  <c r="AJ145" i="63" s="1"/>
  <c r="AK145" i="63" s="1"/>
  <c r="AL145" i="63"/>
  <c r="AM145" i="63" s="1"/>
  <c r="V145" i="63"/>
  <c r="AA145" i="63" s="1"/>
  <c r="U145" i="63" l="1"/>
  <c r="Z145" i="63" l="1"/>
  <c r="AH145" i="63" s="1"/>
  <c r="Y145" i="63"/>
  <c r="AB145" i="63"/>
  <c r="T146" i="63" l="1"/>
  <c r="AE145" i="63"/>
  <c r="AF145" i="63" s="1"/>
  <c r="R146" i="63"/>
  <c r="AL146" i="63" l="1"/>
  <c r="AM146" i="63" s="1"/>
  <c r="V146" i="63"/>
  <c r="AA146" i="63" s="1"/>
  <c r="AD146" i="63"/>
  <c r="AG146" i="63"/>
  <c r="AJ146" i="63" s="1"/>
  <c r="AK146" i="63" s="1"/>
  <c r="U146" i="63" l="1"/>
  <c r="Z146" i="63" s="1"/>
  <c r="AH146" i="63" s="1"/>
  <c r="AB146" i="63"/>
  <c r="Y146" i="63" l="1"/>
  <c r="T147" i="63"/>
  <c r="AE146" i="63"/>
  <c r="AF146" i="63" s="1"/>
  <c r="R147" i="63"/>
  <c r="AL147" i="63" l="1"/>
  <c r="AM147" i="63" s="1"/>
  <c r="V147" i="63"/>
  <c r="AA147" i="63" s="1"/>
  <c r="AD147" i="63"/>
  <c r="AG147" i="63"/>
  <c r="AJ147" i="63" s="1"/>
  <c r="AK147" i="63" s="1"/>
  <c r="U147" i="63" l="1"/>
  <c r="Z147" i="63" s="1"/>
  <c r="AH147" i="63" s="1"/>
  <c r="AB147" i="63" l="1"/>
  <c r="Y147" i="63"/>
  <c r="T148" i="63"/>
  <c r="AE147" i="63"/>
  <c r="AF147" i="63" s="1"/>
  <c r="R148" i="63"/>
  <c r="V148" i="63" l="1"/>
  <c r="AA148" i="63" s="1"/>
  <c r="AL148" i="63"/>
  <c r="AM148" i="63" s="1"/>
  <c r="AD148" i="63"/>
  <c r="AG148" i="63"/>
  <c r="AJ148" i="63" s="1"/>
  <c r="AK148" i="63" s="1"/>
  <c r="U148" i="63" l="1"/>
  <c r="Y148" i="63"/>
  <c r="Z148" i="63"/>
  <c r="AH148" i="63" s="1"/>
  <c r="AB148" i="63"/>
  <c r="R149" i="63" l="1"/>
  <c r="T149" i="63"/>
  <c r="AE148" i="63"/>
  <c r="AF148" i="63" s="1"/>
  <c r="AD149" i="63" l="1"/>
  <c r="AG149" i="63"/>
  <c r="AJ149" i="63" s="1"/>
  <c r="AK149" i="63" s="1"/>
  <c r="AL149" i="63"/>
  <c r="AM149" i="63" s="1"/>
  <c r="V149" i="63"/>
  <c r="AA149" i="63" s="1"/>
  <c r="U149" i="63" l="1"/>
  <c r="Z149" i="63" l="1"/>
  <c r="AH149" i="63" s="1"/>
  <c r="Y149" i="63"/>
  <c r="AB149" i="63"/>
  <c r="R150" i="63" l="1"/>
  <c r="AE149" i="63"/>
  <c r="AF149" i="63" s="1"/>
  <c r="T150" i="63"/>
  <c r="AG150" i="63" l="1"/>
  <c r="AJ150" i="63" s="1"/>
  <c r="AK150" i="63" s="1"/>
  <c r="AD150" i="63"/>
  <c r="V150" i="63"/>
  <c r="AA150" i="63" s="1"/>
  <c r="AL150" i="63"/>
  <c r="AM150" i="63" s="1"/>
  <c r="U150" i="63" l="1"/>
  <c r="Y150" i="63" l="1"/>
  <c r="Z150" i="63"/>
  <c r="AH150" i="63" s="1"/>
  <c r="AB150" i="63"/>
  <c r="R151" i="63" l="1"/>
  <c r="T151" i="63"/>
  <c r="AE150" i="63"/>
  <c r="AF150" i="63" s="1"/>
  <c r="AD151" i="63" l="1"/>
  <c r="AG151" i="63"/>
  <c r="AJ151" i="63" s="1"/>
  <c r="AK151" i="63" s="1"/>
  <c r="AL151" i="63"/>
  <c r="AM151" i="63" s="1"/>
  <c r="V151" i="63"/>
  <c r="AA151" i="63" s="1"/>
  <c r="U151" i="63" l="1"/>
  <c r="Z151" i="63" l="1"/>
  <c r="AH151" i="63" s="1"/>
  <c r="Y151" i="63"/>
  <c r="AB151" i="63"/>
  <c r="R152" i="63" l="1"/>
  <c r="AE151" i="63"/>
  <c r="AF151" i="63" s="1"/>
  <c r="T152" i="63"/>
  <c r="AD152" i="63" l="1"/>
  <c r="AG152" i="63"/>
  <c r="AJ152" i="63" s="1"/>
  <c r="AK152" i="63" s="1"/>
  <c r="V152" i="63"/>
  <c r="AA152" i="63" s="1"/>
  <c r="AL152" i="63"/>
  <c r="AM152" i="63" s="1"/>
  <c r="U152" i="63" l="1"/>
  <c r="Y152" i="63" l="1"/>
  <c r="Z152" i="63"/>
  <c r="AH152" i="63" s="1"/>
  <c r="AB152" i="63"/>
  <c r="R153" i="63" l="1"/>
  <c r="AE152" i="63"/>
  <c r="AF152" i="63" s="1"/>
  <c r="T153" i="63"/>
  <c r="AD153" i="63" l="1"/>
  <c r="AG153" i="63"/>
  <c r="AJ153" i="63" s="1"/>
  <c r="AK153" i="63" s="1"/>
  <c r="AL153" i="63"/>
  <c r="AM153" i="63" s="1"/>
  <c r="V153" i="63"/>
  <c r="AA153" i="63" s="1"/>
  <c r="U153" i="63" l="1"/>
  <c r="Z153" i="63" l="1"/>
  <c r="AH153" i="63" s="1"/>
  <c r="Y153" i="63"/>
  <c r="AB153" i="63"/>
  <c r="T154" i="63" l="1"/>
  <c r="AE153" i="63"/>
  <c r="AF153" i="63" s="1"/>
  <c r="R154" i="63"/>
  <c r="V154" i="63" l="1"/>
  <c r="AA154" i="63" s="1"/>
  <c r="AL154" i="63"/>
  <c r="AM154" i="63" s="1"/>
  <c r="AD154" i="63"/>
  <c r="AG154" i="63"/>
  <c r="AJ154" i="63" s="1"/>
  <c r="AK154" i="63" s="1"/>
  <c r="U154" i="63" l="1"/>
  <c r="Z154" i="63" s="1"/>
  <c r="AH154" i="63" s="1"/>
  <c r="AB154" i="63" l="1"/>
  <c r="R155" i="63" s="1"/>
  <c r="Y154" i="63"/>
  <c r="T155" i="63" l="1"/>
  <c r="AD155" i="63" s="1"/>
  <c r="AE154" i="63"/>
  <c r="AF154" i="63" s="1"/>
  <c r="AL155" i="63"/>
  <c r="AM155" i="63" s="1"/>
  <c r="V155" i="63"/>
  <c r="AA155" i="63" s="1"/>
  <c r="AG155" i="63" l="1"/>
  <c r="AJ155" i="63" s="1"/>
  <c r="AK155" i="63" s="1"/>
  <c r="U155" i="63"/>
  <c r="Z155" i="63" l="1"/>
  <c r="AH155" i="63" s="1"/>
  <c r="Y155" i="63"/>
  <c r="AB155" i="63"/>
  <c r="R156" i="63" l="1"/>
  <c r="AE155" i="63"/>
  <c r="AF155" i="63" s="1"/>
  <c r="T156" i="63"/>
  <c r="AD156" i="63" l="1"/>
  <c r="AG156" i="63"/>
  <c r="AJ156" i="63" s="1"/>
  <c r="AK156" i="63" s="1"/>
  <c r="AL156" i="63"/>
  <c r="AM156" i="63" s="1"/>
  <c r="V156" i="63"/>
  <c r="AA156" i="63" s="1"/>
  <c r="U156" i="63" l="1"/>
  <c r="Y156" i="63" l="1"/>
  <c r="Z156" i="63"/>
  <c r="AH156" i="63" s="1"/>
  <c r="AB156" i="63"/>
  <c r="R157" i="63" l="1"/>
  <c r="AE156" i="63"/>
  <c r="AF156" i="63" s="1"/>
  <c r="T157" i="63"/>
  <c r="AD157" i="63" l="1"/>
  <c r="AG157" i="63"/>
  <c r="AJ157" i="63" s="1"/>
  <c r="AK157" i="63" s="1"/>
  <c r="AL157" i="63"/>
  <c r="AM157" i="63" s="1"/>
  <c r="V157" i="63"/>
  <c r="AA157" i="63" s="1"/>
  <c r="U157" i="63" l="1"/>
  <c r="Z157" i="63" l="1"/>
  <c r="AH157" i="63" s="1"/>
  <c r="Y157" i="63"/>
  <c r="AB157" i="63"/>
  <c r="R158" i="63" l="1"/>
  <c r="AE157" i="63"/>
  <c r="AF157" i="63" s="1"/>
  <c r="T158" i="63"/>
  <c r="AG158" i="63" l="1"/>
  <c r="AJ158" i="63" s="1"/>
  <c r="AK158" i="63" s="1"/>
  <c r="AD158" i="63"/>
  <c r="AL158" i="63"/>
  <c r="AM158" i="63" s="1"/>
  <c r="V158" i="63"/>
  <c r="AA158" i="63" s="1"/>
  <c r="U158" i="63" l="1"/>
  <c r="Y158" i="63" l="1"/>
  <c r="Z158" i="63"/>
  <c r="AH158" i="63" s="1"/>
  <c r="AB158" i="63"/>
  <c r="T159" i="63" l="1"/>
  <c r="R159" i="63"/>
  <c r="AE158" i="63"/>
  <c r="AF158" i="63" s="1"/>
  <c r="AL159" i="63" l="1"/>
  <c r="AM159" i="63" s="1"/>
  <c r="V159" i="63"/>
  <c r="AA159" i="63" s="1"/>
  <c r="AG159" i="63"/>
  <c r="AJ159" i="63" s="1"/>
  <c r="AK159" i="63" s="1"/>
  <c r="AD159" i="63"/>
  <c r="U159" i="63" l="1"/>
  <c r="AB159" i="63" s="1"/>
  <c r="AE159" i="63" s="1"/>
  <c r="AF159" i="63" s="1"/>
  <c r="Z159" i="63" l="1"/>
  <c r="AH159" i="63" s="1"/>
  <c r="T160" i="63"/>
  <c r="AD160" i="63" s="1"/>
  <c r="R160" i="63"/>
  <c r="V160" i="63" s="1"/>
  <c r="AA160" i="63" s="1"/>
  <c r="Y159" i="63"/>
  <c r="AG160" i="63"/>
  <c r="AJ160" i="63" s="1"/>
  <c r="AK160" i="63" s="1"/>
  <c r="AL160" i="63"/>
  <c r="AM160" i="63" s="1"/>
  <c r="U160" i="63" l="1"/>
  <c r="Y160" i="63" l="1"/>
  <c r="Z160" i="63"/>
  <c r="AH160" i="63" s="1"/>
  <c r="AB160" i="63"/>
  <c r="AE160" i="63" l="1"/>
  <c r="AF160" i="63" s="1"/>
  <c r="R161" i="63"/>
  <c r="T161" i="63"/>
  <c r="AG161" i="63" l="1"/>
  <c r="AJ161" i="63" s="1"/>
  <c r="AK161" i="63" s="1"/>
  <c r="AD161" i="63"/>
  <c r="V161" i="63"/>
  <c r="AA161" i="63" s="1"/>
  <c r="AL161" i="63"/>
  <c r="AM161" i="63" s="1"/>
  <c r="U161" i="63" l="1"/>
  <c r="Z161" i="63" l="1"/>
  <c r="AH161" i="63" s="1"/>
  <c r="Y161" i="63"/>
  <c r="AB161" i="63"/>
  <c r="T162" i="63" l="1"/>
  <c r="R162" i="63"/>
  <c r="AE161" i="63"/>
  <c r="AF161" i="63" s="1"/>
  <c r="AL162" i="63" l="1"/>
  <c r="AM162" i="63" s="1"/>
  <c r="V162" i="63"/>
  <c r="AA162" i="63" s="1"/>
  <c r="AD162" i="63"/>
  <c r="AG162" i="63"/>
  <c r="AJ162" i="63" s="1"/>
  <c r="AK162" i="63" s="1"/>
  <c r="U162" i="63" l="1"/>
  <c r="Z162" i="63" s="1"/>
  <c r="AH162" i="63" s="1"/>
  <c r="AB162" i="63"/>
  <c r="Y162" i="63" l="1"/>
  <c r="T163" i="63"/>
  <c r="AE162" i="63"/>
  <c r="AF162" i="63" s="1"/>
  <c r="R163" i="63"/>
  <c r="V163" i="63" l="1"/>
  <c r="AA163" i="63" s="1"/>
  <c r="AL163" i="63"/>
  <c r="AM163" i="63" s="1"/>
  <c r="AD163" i="63"/>
  <c r="AG163" i="63"/>
  <c r="AJ163" i="63" s="1"/>
  <c r="AK163" i="63" s="1"/>
  <c r="U163" i="63" l="1"/>
  <c r="Y163" i="63"/>
  <c r="Z163" i="63"/>
  <c r="AH163" i="63" s="1"/>
  <c r="AB163" i="63"/>
  <c r="R164" i="63" l="1"/>
  <c r="AE163" i="63"/>
  <c r="AF163" i="63" s="1"/>
  <c r="T164" i="63"/>
  <c r="AD164" i="63" l="1"/>
  <c r="AG164" i="63"/>
  <c r="AJ164" i="63" s="1"/>
  <c r="AK164" i="63" s="1"/>
  <c r="V164" i="63"/>
  <c r="AA164" i="63" s="1"/>
  <c r="AL164" i="63"/>
  <c r="AM164" i="63" s="1"/>
  <c r="U164" i="63" l="1"/>
  <c r="Y164" i="63" l="1"/>
  <c r="Z164" i="63"/>
  <c r="AH164" i="63" s="1"/>
  <c r="AB164" i="63"/>
  <c r="R165" i="63" l="1"/>
  <c r="AE164" i="63"/>
  <c r="AF164" i="63" s="1"/>
  <c r="T165" i="63"/>
  <c r="AD165" i="63" l="1"/>
  <c r="AG165" i="63"/>
  <c r="AJ165" i="63" s="1"/>
  <c r="AK165" i="63" s="1"/>
  <c r="AL165" i="63"/>
  <c r="AM165" i="63" s="1"/>
  <c r="V165" i="63"/>
  <c r="AA165" i="63" s="1"/>
  <c r="U165" i="63" l="1"/>
  <c r="Z165" i="63" l="1"/>
  <c r="AH165" i="63" s="1"/>
  <c r="Y165" i="63"/>
  <c r="AB165" i="63"/>
  <c r="R166" i="63" l="1"/>
  <c r="T166" i="63"/>
  <c r="AE165" i="63"/>
  <c r="AF165" i="63" s="1"/>
  <c r="AD166" i="63" l="1"/>
  <c r="AG166" i="63"/>
  <c r="AJ166" i="63" s="1"/>
  <c r="AK166" i="63" s="1"/>
  <c r="AL166" i="63"/>
  <c r="AM166" i="63" s="1"/>
  <c r="V166" i="63"/>
  <c r="AA166" i="63" s="1"/>
  <c r="U166" i="63" l="1"/>
  <c r="Z166" i="63" l="1"/>
  <c r="AH166" i="63" s="1"/>
  <c r="Y166" i="63"/>
  <c r="AB166" i="63"/>
  <c r="T167" i="63" l="1"/>
  <c r="R167" i="63"/>
  <c r="AE166" i="63"/>
  <c r="AF166" i="63" s="1"/>
  <c r="V167" i="63" l="1"/>
  <c r="AA167" i="63" s="1"/>
  <c r="AL167" i="63"/>
  <c r="AM167" i="63" s="1"/>
  <c r="AG167" i="63"/>
  <c r="AJ167" i="63" s="1"/>
  <c r="AK167" i="63" s="1"/>
  <c r="U167" i="63"/>
  <c r="AD167" i="63"/>
  <c r="Y167" i="63" l="1"/>
  <c r="Z167" i="63"/>
  <c r="AH167" i="63" s="1"/>
  <c r="AB167" i="63"/>
  <c r="AE167" i="63" l="1"/>
  <c r="AF167" i="63" s="1"/>
  <c r="R168" i="63"/>
  <c r="T168" i="63"/>
  <c r="AD168" i="63" l="1"/>
  <c r="AG168" i="63"/>
  <c r="AJ168" i="63" s="1"/>
  <c r="AK168" i="63" s="1"/>
  <c r="V168" i="63"/>
  <c r="AA168" i="63" s="1"/>
  <c r="AL168" i="63"/>
  <c r="AM168" i="63" s="1"/>
  <c r="U168" i="63" l="1"/>
  <c r="Z168" i="63" l="1"/>
  <c r="AH168" i="63" s="1"/>
  <c r="Y168" i="63"/>
  <c r="AB168" i="63"/>
  <c r="R169" i="63" l="1"/>
  <c r="AE168" i="63"/>
  <c r="AF168" i="63" s="1"/>
  <c r="T169" i="63"/>
  <c r="AD169" i="63" l="1"/>
  <c r="AG169" i="63"/>
  <c r="AJ169" i="63" s="1"/>
  <c r="AK169" i="63" s="1"/>
  <c r="V169" i="63"/>
  <c r="AA169" i="63" s="1"/>
  <c r="AL169" i="63"/>
  <c r="AM169" i="63" s="1"/>
  <c r="U169" i="63" l="1"/>
  <c r="Z169" i="63" l="1"/>
  <c r="AH169" i="63" s="1"/>
  <c r="Y169" i="63"/>
  <c r="AB169" i="63"/>
  <c r="R170" i="63" l="1"/>
  <c r="AE169" i="63"/>
  <c r="AF169" i="63" s="1"/>
  <c r="T170" i="63"/>
  <c r="AD170" i="63" l="1"/>
  <c r="AG170" i="63"/>
  <c r="AJ170" i="63" s="1"/>
  <c r="AK170" i="63" s="1"/>
  <c r="AL170" i="63"/>
  <c r="AM170" i="63" s="1"/>
  <c r="V170" i="63"/>
  <c r="AA170" i="63" s="1"/>
  <c r="U170" i="63" l="1"/>
  <c r="Z170" i="63" l="1"/>
  <c r="AH170" i="63" s="1"/>
  <c r="Y170" i="63"/>
  <c r="AB170" i="63"/>
  <c r="R171" i="63" l="1"/>
  <c r="AE170" i="63"/>
  <c r="AF170" i="63" s="1"/>
  <c r="T171" i="63"/>
  <c r="AD171" i="63" l="1"/>
  <c r="AG171" i="63"/>
  <c r="AJ171" i="63" s="1"/>
  <c r="AK171" i="63" s="1"/>
  <c r="V171" i="63"/>
  <c r="AA171" i="63" s="1"/>
  <c r="AL171" i="63"/>
  <c r="AM171" i="63" s="1"/>
  <c r="U171" i="63" l="1"/>
  <c r="Y171" i="63" l="1"/>
  <c r="Z171" i="63"/>
  <c r="AH171" i="63" s="1"/>
  <c r="AB171" i="63"/>
  <c r="T172" i="63" l="1"/>
  <c r="AE171" i="63"/>
  <c r="AF171" i="63" s="1"/>
  <c r="R172" i="63"/>
  <c r="V172" i="63" l="1"/>
  <c r="AA172" i="63" s="1"/>
  <c r="AL172" i="63"/>
  <c r="AM172" i="63" s="1"/>
  <c r="AD172" i="63"/>
  <c r="AG172" i="63"/>
  <c r="AJ172" i="63" s="1"/>
  <c r="AK172" i="63" s="1"/>
  <c r="U172" i="63" l="1"/>
  <c r="Y172" i="63" s="1"/>
  <c r="Z172" i="63"/>
  <c r="AH172" i="63" s="1"/>
  <c r="AB172" i="63"/>
  <c r="R173" i="63" l="1"/>
  <c r="AE172" i="63"/>
  <c r="AF172" i="63" s="1"/>
  <c r="T173" i="63"/>
  <c r="AD173" i="63" l="1"/>
  <c r="AG173" i="63"/>
  <c r="AJ173" i="63" s="1"/>
  <c r="AK173" i="63" s="1"/>
  <c r="AL173" i="63"/>
  <c r="AM173" i="63" s="1"/>
  <c r="V173" i="63"/>
  <c r="AA173" i="63" s="1"/>
  <c r="U173" i="63" l="1"/>
  <c r="Z173" i="63" l="1"/>
  <c r="AH173" i="63" s="1"/>
  <c r="Y173" i="63"/>
  <c r="AB173" i="63"/>
  <c r="R174" i="63" l="1"/>
  <c r="T174" i="63"/>
  <c r="AE173" i="63"/>
  <c r="AF173" i="63" s="1"/>
  <c r="AD174" i="63" l="1"/>
  <c r="AG174" i="63"/>
  <c r="AJ174" i="63" s="1"/>
  <c r="AK174" i="63" s="1"/>
  <c r="V174" i="63"/>
  <c r="AA174" i="63" s="1"/>
  <c r="AL174" i="63"/>
  <c r="AM174" i="63" s="1"/>
  <c r="U174" i="63" l="1"/>
  <c r="Y174" i="63" l="1"/>
  <c r="Z174" i="63"/>
  <c r="AH174" i="63" s="1"/>
  <c r="AB174" i="63"/>
  <c r="R175" i="63" l="1"/>
  <c r="T175" i="63"/>
  <c r="AE174" i="63"/>
  <c r="AF174" i="63" s="1"/>
  <c r="AD175" i="63" l="1"/>
  <c r="AG175" i="63"/>
  <c r="AJ175" i="63" s="1"/>
  <c r="AK175" i="63" s="1"/>
  <c r="AL175" i="63"/>
  <c r="AM175" i="63" s="1"/>
  <c r="V175" i="63"/>
  <c r="AA175" i="63" s="1"/>
  <c r="U175" i="63" l="1"/>
  <c r="Z175" i="63" l="1"/>
  <c r="AH175" i="63" s="1"/>
  <c r="Y175" i="63"/>
  <c r="AB175" i="63"/>
  <c r="AE175" i="63" l="1"/>
  <c r="AF175" i="63" s="1"/>
  <c r="T176" i="63"/>
  <c r="R176" i="63"/>
  <c r="V176" i="63" l="1"/>
  <c r="AA176" i="63" s="1"/>
  <c r="AL176" i="63"/>
  <c r="AM176" i="63" s="1"/>
  <c r="AG176" i="63"/>
  <c r="AJ176" i="63" s="1"/>
  <c r="AK176" i="63" s="1"/>
  <c r="AD176" i="63"/>
  <c r="U176" i="63" l="1"/>
  <c r="Z176" i="63" s="1"/>
  <c r="AH176" i="63" s="1"/>
  <c r="AB176" i="63" l="1"/>
  <c r="R177" i="63" s="1"/>
  <c r="Y176" i="63"/>
  <c r="T177" i="63"/>
  <c r="AE176" i="63" l="1"/>
  <c r="AF176" i="63" s="1"/>
  <c r="AD177" i="63"/>
  <c r="AG177" i="63"/>
  <c r="AJ177" i="63" s="1"/>
  <c r="AK177" i="63" s="1"/>
  <c r="V177" i="63"/>
  <c r="AA177" i="63" s="1"/>
  <c r="AL177" i="63"/>
  <c r="AM177" i="63" s="1"/>
  <c r="U177" i="63" l="1"/>
  <c r="Y177" i="63" l="1"/>
  <c r="Z177" i="63"/>
  <c r="AH177" i="63" s="1"/>
  <c r="AB177" i="63"/>
  <c r="T178" i="63" l="1"/>
  <c r="AE177" i="63"/>
  <c r="AF177" i="63" s="1"/>
  <c r="R178" i="63"/>
  <c r="AL178" i="63" l="1"/>
  <c r="AM178" i="63" s="1"/>
  <c r="V178" i="63"/>
  <c r="AA178" i="63" s="1"/>
  <c r="AD178" i="63"/>
  <c r="AG178" i="63"/>
  <c r="AJ178" i="63" s="1"/>
  <c r="AK178" i="63" s="1"/>
  <c r="U178" i="63" l="1"/>
  <c r="Z178" i="63" s="1"/>
  <c r="AH178" i="63" s="1"/>
  <c r="Y178" i="63" l="1"/>
  <c r="AB178" i="63"/>
  <c r="T179" i="63" s="1"/>
  <c r="R179" i="63" l="1"/>
  <c r="AL179" i="63" s="1"/>
  <c r="AM179" i="63" s="1"/>
  <c r="AE178" i="63"/>
  <c r="AF178" i="63" s="1"/>
  <c r="AD179" i="63"/>
  <c r="AG179" i="63"/>
  <c r="AJ179" i="63" s="1"/>
  <c r="AK179" i="63" s="1"/>
  <c r="V179" i="63" l="1"/>
  <c r="AA179" i="63" s="1"/>
  <c r="U179" i="63" l="1"/>
  <c r="Z179" i="63" s="1"/>
  <c r="AH179" i="63" s="1"/>
  <c r="Y179" i="63"/>
  <c r="AB179" i="63"/>
  <c r="AE179" i="63" s="1"/>
  <c r="AF179" i="63" s="1"/>
  <c r="R180" i="63" l="1"/>
  <c r="T180" i="63"/>
  <c r="AL180" i="63"/>
  <c r="AM180" i="63" s="1"/>
  <c r="V180" i="63"/>
  <c r="AA180" i="63" s="1"/>
  <c r="AG180" i="63"/>
  <c r="AJ180" i="63" s="1"/>
  <c r="AK180" i="63" s="1"/>
  <c r="AJ3" i="63" s="1"/>
  <c r="AD180" i="63"/>
  <c r="U180" i="63" l="1"/>
  <c r="Z180" i="63" s="1"/>
  <c r="AH180" i="63" s="1"/>
  <c r="AJ4" i="63" s="1"/>
  <c r="AJ5" i="63"/>
  <c r="AB180" i="63" l="1"/>
  <c r="T181" i="63" s="1"/>
  <c r="Y180" i="63"/>
  <c r="AJ6" i="63"/>
  <c r="AE180" i="63" l="1"/>
  <c r="AF180" i="63" s="1"/>
  <c r="R181" i="63"/>
  <c r="V181" i="63" s="1"/>
  <c r="AA181" i="63" s="1"/>
  <c r="AD181" i="63"/>
  <c r="AG181" i="63"/>
  <c r="AJ181" i="63" s="1"/>
  <c r="AK181" i="63" s="1"/>
  <c r="AL181" i="63" l="1"/>
  <c r="AM181" i="63" s="1"/>
  <c r="U181" i="63"/>
  <c r="Z181" i="63" l="1"/>
  <c r="AH181" i="63" s="1"/>
  <c r="Y181" i="63"/>
  <c r="AB181" i="63"/>
  <c r="T182" i="63" l="1"/>
  <c r="AE181" i="63"/>
  <c r="AF181" i="63" s="1"/>
  <c r="R182" i="63"/>
  <c r="AL182" i="63" l="1"/>
  <c r="AM182" i="63" s="1"/>
  <c r="V182" i="63"/>
  <c r="AA182" i="63" s="1"/>
  <c r="AG182" i="63"/>
  <c r="AJ182" i="63" s="1"/>
  <c r="AK182" i="63" s="1"/>
  <c r="AD182" i="63"/>
  <c r="U182" i="63" l="1"/>
  <c r="Z182" i="63" s="1"/>
  <c r="AH182" i="63" s="1"/>
  <c r="AB182" i="63" l="1"/>
  <c r="AE182" i="63" s="1"/>
  <c r="AF182" i="63" s="1"/>
  <c r="Y182" i="63"/>
  <c r="R183" i="63"/>
  <c r="T183" i="63"/>
  <c r="AG183" i="63" l="1"/>
  <c r="AJ183" i="63" s="1"/>
  <c r="AK183" i="63" s="1"/>
  <c r="AD183" i="63"/>
  <c r="AL183" i="63"/>
  <c r="AM183" i="63" s="1"/>
  <c r="V183" i="63"/>
  <c r="AA183" i="63" s="1"/>
  <c r="U183" i="63" l="1"/>
  <c r="Z183" i="63" l="1"/>
  <c r="AH183" i="63" s="1"/>
  <c r="Y183" i="63"/>
  <c r="AB183" i="63"/>
  <c r="R184" i="63" l="1"/>
  <c r="T184" i="63"/>
  <c r="AE183" i="63"/>
  <c r="AF183" i="63" s="1"/>
  <c r="AD184" i="63" l="1"/>
  <c r="AG184" i="63"/>
  <c r="AJ184" i="63" s="1"/>
  <c r="AK184" i="63" s="1"/>
  <c r="V184" i="63"/>
  <c r="AA184" i="63" s="1"/>
  <c r="AL184" i="63"/>
  <c r="AM184" i="63" s="1"/>
  <c r="U184" i="63" l="1"/>
  <c r="Y184" i="63" l="1"/>
  <c r="Z184" i="63"/>
  <c r="AH184" i="63" s="1"/>
  <c r="AB184" i="63"/>
  <c r="T185" i="63" l="1"/>
  <c r="AE184" i="63"/>
  <c r="AF184" i="63" s="1"/>
  <c r="R185" i="63"/>
  <c r="AL185" i="63" l="1"/>
  <c r="AM185" i="63" s="1"/>
  <c r="V185" i="63"/>
  <c r="AA185" i="63" s="1"/>
  <c r="AD185" i="63"/>
  <c r="AG185" i="63"/>
  <c r="AJ185" i="63" s="1"/>
  <c r="AK185" i="63" s="1"/>
  <c r="U185" i="63" l="1"/>
  <c r="Y185" i="63" s="1"/>
  <c r="Z185" i="63"/>
  <c r="AH185" i="63" s="1"/>
  <c r="AB185" i="63"/>
  <c r="T186" i="63" l="1"/>
  <c r="AE185" i="63"/>
  <c r="AF185" i="63" s="1"/>
  <c r="R186" i="63"/>
  <c r="AL186" i="63" l="1"/>
  <c r="AM186" i="63" s="1"/>
  <c r="V186" i="63"/>
  <c r="AA186" i="63" s="1"/>
  <c r="AD186" i="63"/>
  <c r="AG186" i="63"/>
  <c r="AJ186" i="63" s="1"/>
  <c r="AK186" i="63" s="1"/>
  <c r="U186" i="63" l="1"/>
  <c r="Z186" i="63" l="1"/>
  <c r="AH186" i="63" s="1"/>
  <c r="Y186" i="63"/>
  <c r="AB186" i="63"/>
  <c r="R187" i="63" l="1"/>
  <c r="T187" i="63"/>
  <c r="AE186" i="63"/>
  <c r="AF186" i="63" s="1"/>
  <c r="AD187" i="63" l="1"/>
  <c r="AG187" i="63"/>
  <c r="AJ187" i="63" s="1"/>
  <c r="AK187" i="63" s="1"/>
  <c r="AL187" i="63"/>
  <c r="AM187" i="63" s="1"/>
  <c r="V187" i="63"/>
  <c r="AA187" i="63" s="1"/>
  <c r="U187" i="63" l="1"/>
  <c r="Z187" i="63" l="1"/>
  <c r="AH187" i="63" s="1"/>
  <c r="Y187" i="63"/>
  <c r="AB187" i="63"/>
  <c r="R188" i="63" l="1"/>
  <c r="AE187" i="63"/>
  <c r="AF187" i="63" s="1"/>
  <c r="T188" i="63"/>
  <c r="AD188" i="63" l="1"/>
  <c r="AG188" i="63"/>
  <c r="AJ188" i="63" s="1"/>
  <c r="AK188" i="63" s="1"/>
  <c r="AL188" i="63"/>
  <c r="AM188" i="63" s="1"/>
  <c r="V188" i="63"/>
  <c r="AA188" i="63" s="1"/>
  <c r="U188" i="63" l="1"/>
  <c r="Z188" i="63" l="1"/>
  <c r="AH188" i="63" s="1"/>
  <c r="Y188" i="63"/>
  <c r="AB188" i="63"/>
  <c r="R189" i="63" l="1"/>
  <c r="T189" i="63"/>
  <c r="AE188" i="63"/>
  <c r="AF188" i="63" s="1"/>
  <c r="AD189" i="63" l="1"/>
  <c r="AG189" i="63"/>
  <c r="AJ189" i="63" s="1"/>
  <c r="AK189" i="63" s="1"/>
  <c r="AL189" i="63"/>
  <c r="AM189" i="63" s="1"/>
  <c r="V189" i="63"/>
  <c r="AA189" i="63" s="1"/>
  <c r="U189" i="63" l="1"/>
  <c r="Y189" i="63" l="1"/>
  <c r="Z189" i="63"/>
  <c r="AH189" i="63" s="1"/>
  <c r="AB189" i="63"/>
  <c r="AE189" i="63" l="1"/>
  <c r="AF189" i="63" s="1"/>
  <c r="R190" i="63"/>
  <c r="T190" i="63"/>
  <c r="AD190" i="63" l="1"/>
  <c r="AG190" i="63"/>
  <c r="AJ190" i="63" s="1"/>
  <c r="AK190" i="63" s="1"/>
  <c r="V190" i="63"/>
  <c r="AA190" i="63" s="1"/>
  <c r="AL190" i="63"/>
  <c r="AM190" i="63" s="1"/>
  <c r="U190" i="63" l="1"/>
  <c r="Z190" i="63" l="1"/>
  <c r="AH190" i="63" s="1"/>
  <c r="Y190" i="63"/>
  <c r="AB190" i="63"/>
  <c r="R191" i="63" l="1"/>
  <c r="AE190" i="63"/>
  <c r="AF190" i="63" s="1"/>
  <c r="T191" i="63"/>
  <c r="AD191" i="63" l="1"/>
  <c r="AG191" i="63"/>
  <c r="AJ191" i="63" s="1"/>
  <c r="AK191" i="63" s="1"/>
  <c r="V191" i="63"/>
  <c r="AA191" i="63" s="1"/>
  <c r="AL191" i="63"/>
  <c r="AM191" i="63" s="1"/>
  <c r="U191" i="63" l="1"/>
  <c r="Y191" i="63" l="1"/>
  <c r="Z191" i="63"/>
  <c r="AH191" i="63" s="1"/>
  <c r="AB191" i="63"/>
  <c r="R192" i="63" l="1"/>
  <c r="AE191" i="63"/>
  <c r="AF191" i="63" s="1"/>
  <c r="T192" i="63"/>
  <c r="AD192" i="63" l="1"/>
  <c r="AG192" i="63"/>
  <c r="AJ192" i="63" s="1"/>
  <c r="AK192" i="63" s="1"/>
  <c r="AL192" i="63"/>
  <c r="AM192" i="63" s="1"/>
  <c r="V192" i="63"/>
  <c r="AA192" i="63" s="1"/>
  <c r="U192" i="63" l="1"/>
  <c r="Y192" i="63" l="1"/>
  <c r="Z192" i="63"/>
  <c r="AH192" i="63" s="1"/>
  <c r="AB192" i="63"/>
  <c r="T193" i="63" l="1"/>
  <c r="AE192" i="63"/>
  <c r="AF192" i="63" s="1"/>
  <c r="R193" i="63"/>
  <c r="AL193" i="63" l="1"/>
  <c r="AM193" i="63" s="1"/>
  <c r="V193" i="63"/>
  <c r="AA193" i="63" s="1"/>
  <c r="AD193" i="63"/>
  <c r="AG193" i="63"/>
  <c r="AJ193" i="63" s="1"/>
  <c r="AK193" i="63" s="1"/>
  <c r="U193" i="63" l="1"/>
  <c r="Z193" i="63" s="1"/>
  <c r="AH193" i="63" s="1"/>
  <c r="AB193" i="63" l="1"/>
  <c r="Y193" i="63"/>
  <c r="T194" i="63"/>
  <c r="AE193" i="63"/>
  <c r="AF193" i="63" s="1"/>
  <c r="R194" i="63"/>
  <c r="V194" i="63" l="1"/>
  <c r="AA194" i="63" s="1"/>
  <c r="AL194" i="63"/>
  <c r="AM194" i="63" s="1"/>
  <c r="AD194" i="63"/>
  <c r="AG194" i="63"/>
  <c r="AJ194" i="63" s="1"/>
  <c r="AK194" i="63" s="1"/>
  <c r="U194" i="63" l="1"/>
  <c r="Z194" i="63" s="1"/>
  <c r="AH194" i="63" s="1"/>
  <c r="Y194" i="63"/>
  <c r="AB194" i="63"/>
  <c r="R195" i="63" l="1"/>
  <c r="T195" i="63"/>
  <c r="AE194" i="63"/>
  <c r="AF194" i="63" s="1"/>
  <c r="AD195" i="63" l="1"/>
  <c r="AG195" i="63"/>
  <c r="AJ195" i="63" s="1"/>
  <c r="AK195" i="63" s="1"/>
  <c r="V195" i="63"/>
  <c r="AA195" i="63" s="1"/>
  <c r="AL195" i="63"/>
  <c r="AM195" i="63" s="1"/>
  <c r="U195" i="63" l="1"/>
  <c r="Z195" i="63" l="1"/>
  <c r="AH195" i="63" s="1"/>
  <c r="Y195" i="63"/>
  <c r="AB195" i="63"/>
  <c r="R196" i="63" l="1"/>
  <c r="T196" i="63"/>
  <c r="AE195" i="63"/>
  <c r="AF195" i="63" s="1"/>
  <c r="AD196" i="63" l="1"/>
  <c r="AG196" i="63"/>
  <c r="AJ196" i="63" s="1"/>
  <c r="AK196" i="63" s="1"/>
  <c r="V196" i="63"/>
  <c r="AA196" i="63" s="1"/>
  <c r="AL196" i="63"/>
  <c r="AM196" i="63" s="1"/>
  <c r="U196" i="63" l="1"/>
  <c r="Y196" i="63" l="1"/>
  <c r="Z196" i="63"/>
  <c r="AH196" i="63" s="1"/>
  <c r="AB196" i="63"/>
  <c r="T197" i="63" l="1"/>
  <c r="R197" i="63"/>
  <c r="AE196" i="63"/>
  <c r="AF196" i="63" s="1"/>
  <c r="V197" i="63" l="1"/>
  <c r="AA197" i="63" s="1"/>
  <c r="AL197" i="63"/>
  <c r="AM197" i="63" s="1"/>
  <c r="AG197" i="63"/>
  <c r="AJ197" i="63" s="1"/>
  <c r="AK197" i="63" s="1"/>
  <c r="U197" i="63"/>
  <c r="AB197" i="63" s="1"/>
  <c r="AD197" i="63"/>
  <c r="AE197" i="63" l="1"/>
  <c r="T198" i="63"/>
  <c r="R198" i="63"/>
  <c r="AF197" i="63"/>
  <c r="Y197" i="63"/>
  <c r="Z197" i="63"/>
  <c r="AH197" i="63" s="1"/>
  <c r="V198" i="63" l="1"/>
  <c r="AA198" i="63" s="1"/>
  <c r="AL198" i="63"/>
  <c r="AM198" i="63" s="1"/>
  <c r="AG198" i="63"/>
  <c r="AJ198" i="63" s="1"/>
  <c r="AK198" i="63" s="1"/>
  <c r="AD198" i="63"/>
  <c r="U198" i="63" l="1"/>
  <c r="Y198" i="63" s="1"/>
  <c r="Z198" i="63"/>
  <c r="AH198" i="63" s="1"/>
  <c r="AB198" i="63"/>
  <c r="R199" i="63" l="1"/>
  <c r="AE198" i="63"/>
  <c r="AF198" i="63" s="1"/>
  <c r="T199" i="63"/>
  <c r="AD199" i="63" l="1"/>
  <c r="AG199" i="63"/>
  <c r="AJ199" i="63" s="1"/>
  <c r="AK199" i="63" s="1"/>
  <c r="V199" i="63"/>
  <c r="AA199" i="63" s="1"/>
  <c r="AL199" i="63"/>
  <c r="AM199" i="63" s="1"/>
  <c r="U199" i="63" l="1"/>
  <c r="Z199" i="63" l="1"/>
  <c r="AH199" i="63" s="1"/>
  <c r="Y199" i="63"/>
  <c r="AB199" i="63"/>
  <c r="T200" i="63" l="1"/>
  <c r="AE199" i="63"/>
  <c r="AF199" i="63" s="1"/>
  <c r="R200" i="63"/>
  <c r="V200" i="63" l="1"/>
  <c r="AA200" i="63" s="1"/>
  <c r="AL200" i="63"/>
  <c r="AM200" i="63" s="1"/>
  <c r="AD200" i="63"/>
  <c r="U200" i="63"/>
  <c r="AG200" i="63"/>
  <c r="AJ200" i="63" s="1"/>
  <c r="AK200" i="63" s="1"/>
  <c r="Z200" i="63" l="1"/>
  <c r="AH200" i="63" s="1"/>
  <c r="Y200" i="63"/>
  <c r="AB200" i="63"/>
  <c r="R201" i="63" l="1"/>
  <c r="AE200" i="63"/>
  <c r="AF200" i="63" s="1"/>
  <c r="T201" i="63"/>
  <c r="AD201" i="63" l="1"/>
  <c r="AG201" i="63"/>
  <c r="AJ201" i="63" s="1"/>
  <c r="AK201" i="63" s="1"/>
  <c r="AL201" i="63"/>
  <c r="AM201" i="63" s="1"/>
  <c r="V201" i="63"/>
  <c r="AA201" i="63" s="1"/>
  <c r="U201" i="63" l="1"/>
  <c r="Z201" i="63" l="1"/>
  <c r="AH201" i="63" s="1"/>
  <c r="Y201" i="63"/>
  <c r="AB201" i="63"/>
  <c r="T202" i="63" l="1"/>
  <c r="AE201" i="63"/>
  <c r="AF201" i="63" s="1"/>
  <c r="R202" i="63"/>
  <c r="AL202" i="63" l="1"/>
  <c r="AM202" i="63" s="1"/>
  <c r="V202" i="63"/>
  <c r="AA202" i="63" s="1"/>
  <c r="AD202" i="63"/>
  <c r="AG202" i="63"/>
  <c r="AJ202" i="63" s="1"/>
  <c r="AK202" i="63" s="1"/>
  <c r="U202" i="63" l="1"/>
  <c r="Y202" i="63" s="1"/>
  <c r="AB202" i="63"/>
  <c r="Z202" i="63" l="1"/>
  <c r="AH202" i="63" s="1"/>
  <c r="R203" i="63"/>
  <c r="AE202" i="63"/>
  <c r="AF202" i="63" s="1"/>
  <c r="T203" i="63"/>
  <c r="AD203" i="63" l="1"/>
  <c r="AG203" i="63"/>
  <c r="AJ203" i="63" s="1"/>
  <c r="AK203" i="63" s="1"/>
  <c r="V203" i="63"/>
  <c r="AA203" i="63" s="1"/>
  <c r="AL203" i="63"/>
  <c r="AM203" i="63" s="1"/>
  <c r="U203" i="63" l="1"/>
  <c r="Z203" i="63" l="1"/>
  <c r="AH203" i="63" s="1"/>
  <c r="Y203" i="63"/>
  <c r="AB203" i="63"/>
  <c r="R204" i="63" l="1"/>
  <c r="T204" i="63"/>
  <c r="AE203" i="63"/>
  <c r="AF203" i="63" s="1"/>
  <c r="AD204" i="63" l="1"/>
  <c r="AG204" i="63"/>
  <c r="AJ204" i="63" s="1"/>
  <c r="AK204" i="63" s="1"/>
  <c r="V204" i="63"/>
  <c r="AA204" i="63" s="1"/>
  <c r="AL204" i="63"/>
  <c r="AM204" i="63" s="1"/>
  <c r="U204" i="63" l="1"/>
  <c r="Z204" i="63" l="1"/>
  <c r="AH204" i="63" s="1"/>
  <c r="Y204" i="63"/>
  <c r="AB204" i="63"/>
  <c r="R205" i="63" l="1"/>
  <c r="T205" i="63"/>
  <c r="AE204" i="63"/>
  <c r="AF204" i="63" s="1"/>
  <c r="AD205" i="63" l="1"/>
  <c r="AG205" i="63"/>
  <c r="AJ205" i="63" s="1"/>
  <c r="AK205" i="63" s="1"/>
  <c r="V205" i="63"/>
  <c r="AA205" i="63" s="1"/>
  <c r="AL205" i="63"/>
  <c r="AM205" i="63" s="1"/>
  <c r="U205" i="63" l="1"/>
  <c r="Y205" i="63" l="1"/>
  <c r="Z205" i="63"/>
  <c r="AH205" i="63" s="1"/>
  <c r="AB205" i="63"/>
  <c r="R206" i="63" l="1"/>
  <c r="T206" i="63"/>
  <c r="AE205" i="63"/>
  <c r="AF205" i="63" s="1"/>
  <c r="AD206" i="63" l="1"/>
  <c r="AG206" i="63"/>
  <c r="AJ206" i="63" s="1"/>
  <c r="AK206" i="63" s="1"/>
  <c r="AL206" i="63"/>
  <c r="AM206" i="63" s="1"/>
  <c r="V206" i="63"/>
  <c r="AA206" i="63" s="1"/>
  <c r="U206" i="63" l="1"/>
  <c r="Z206" i="63" l="1"/>
  <c r="AH206" i="63" s="1"/>
  <c r="Y206" i="63"/>
  <c r="AB206" i="63"/>
  <c r="AE206" i="63" l="1"/>
  <c r="AF206" i="63" s="1"/>
  <c r="R207" i="63"/>
  <c r="T207" i="63"/>
  <c r="AD207" i="63" l="1"/>
  <c r="AG207" i="63"/>
  <c r="AJ207" i="63" s="1"/>
  <c r="AK207" i="63" s="1"/>
  <c r="V207" i="63"/>
  <c r="AA207" i="63" s="1"/>
  <c r="AL207" i="63"/>
  <c r="AM207" i="63" s="1"/>
  <c r="U207" i="63" l="1"/>
  <c r="Z207" i="63" l="1"/>
  <c r="AH207" i="63" s="1"/>
  <c r="Y207" i="63"/>
  <c r="AB207" i="63"/>
  <c r="AE207" i="63" l="1"/>
  <c r="AF207" i="63" s="1"/>
  <c r="R208" i="63"/>
  <c r="T208" i="63"/>
  <c r="AD208" i="63" l="1"/>
  <c r="AG208" i="63"/>
  <c r="AJ208" i="63" s="1"/>
  <c r="AK208" i="63" s="1"/>
  <c r="V208" i="63"/>
  <c r="AA208" i="63" s="1"/>
  <c r="AL208" i="63"/>
  <c r="AM208" i="63" s="1"/>
  <c r="U208" i="63" l="1"/>
  <c r="Y208" i="63" l="1"/>
  <c r="Z208" i="63"/>
  <c r="AH208" i="63" s="1"/>
  <c r="AB208" i="63"/>
  <c r="T209" i="63" l="1"/>
  <c r="AE208" i="63"/>
  <c r="AF208" i="63" s="1"/>
  <c r="R209" i="63"/>
  <c r="V209" i="63" l="1"/>
  <c r="AA209" i="63" s="1"/>
  <c r="AL209" i="63"/>
  <c r="AM209" i="63" s="1"/>
  <c r="AD209" i="63"/>
  <c r="AG209" i="63"/>
  <c r="AJ209" i="63" s="1"/>
  <c r="AK209" i="63" s="1"/>
  <c r="U209" i="63" l="1"/>
  <c r="Y209" i="63"/>
  <c r="Z209" i="63"/>
  <c r="AH209" i="63" s="1"/>
  <c r="AB209" i="63"/>
  <c r="R210" i="63" l="1"/>
  <c r="AE209" i="63"/>
  <c r="AF209" i="63" s="1"/>
  <c r="T210" i="63"/>
  <c r="AD210" i="63" l="1"/>
  <c r="AG210" i="63"/>
  <c r="AJ210" i="63" s="1"/>
  <c r="AK210" i="63" s="1"/>
  <c r="AL210" i="63"/>
  <c r="AM210" i="63" s="1"/>
  <c r="V210" i="63"/>
  <c r="AA210" i="63" s="1"/>
  <c r="U210" i="63" l="1"/>
  <c r="Z210" i="63" l="1"/>
  <c r="AH210" i="63" s="1"/>
  <c r="Y210" i="63"/>
  <c r="AB210" i="63"/>
  <c r="T211" i="63" l="1"/>
  <c r="AE210" i="63"/>
  <c r="AF210" i="63" s="1"/>
  <c r="R211" i="63"/>
  <c r="V211" i="63" l="1"/>
  <c r="AA211" i="63" s="1"/>
  <c r="AL211" i="63"/>
  <c r="AM211" i="63" s="1"/>
  <c r="AD211" i="63"/>
  <c r="AG211" i="63"/>
  <c r="AJ211" i="63" s="1"/>
  <c r="AK211" i="63" s="1"/>
  <c r="U211" i="63" l="1"/>
  <c r="Y211" i="63"/>
  <c r="Z211" i="63"/>
  <c r="AH211" i="63" s="1"/>
  <c r="AB211" i="63"/>
  <c r="R212" i="63" l="1"/>
  <c r="T212" i="63"/>
  <c r="AE211" i="63"/>
  <c r="AF211" i="63" s="1"/>
  <c r="AD212" i="63" l="1"/>
  <c r="AG212" i="63"/>
  <c r="AJ212" i="63" s="1"/>
  <c r="AK212" i="63" s="1"/>
  <c r="AL212" i="63"/>
  <c r="AM212" i="63" s="1"/>
  <c r="V212" i="63"/>
  <c r="AA212" i="63" s="1"/>
  <c r="U212" i="63" l="1"/>
  <c r="Z212" i="63" l="1"/>
  <c r="AH212" i="63" s="1"/>
  <c r="Y212" i="63"/>
  <c r="AB212" i="63"/>
  <c r="R213" i="63" l="1"/>
  <c r="AE212" i="63"/>
  <c r="AF212" i="63" s="1"/>
  <c r="T213" i="63"/>
  <c r="AG213" i="63" l="1"/>
  <c r="AJ213" i="63" s="1"/>
  <c r="AK213" i="63" s="1"/>
  <c r="AD213" i="63"/>
  <c r="V213" i="63"/>
  <c r="AA213" i="63" s="1"/>
  <c r="AL213" i="63"/>
  <c r="AM213" i="63" s="1"/>
  <c r="U213" i="63" l="1"/>
  <c r="Y213" i="63" l="1"/>
  <c r="Z213" i="63"/>
  <c r="AH213" i="63" s="1"/>
  <c r="AB213" i="63"/>
  <c r="R214" i="63" l="1"/>
  <c r="T214" i="63"/>
  <c r="AE213" i="63"/>
  <c r="AF213" i="63" s="1"/>
  <c r="AD214" i="63" l="1"/>
  <c r="AG214" i="63"/>
  <c r="AJ214" i="63" s="1"/>
  <c r="AK214" i="63" s="1"/>
  <c r="V214" i="63"/>
  <c r="AA214" i="63" s="1"/>
  <c r="AL214" i="63"/>
  <c r="AM214" i="63" s="1"/>
  <c r="U214" i="63" l="1"/>
  <c r="Y214" i="63" l="1"/>
  <c r="Z214" i="63"/>
  <c r="AH214" i="63" s="1"/>
  <c r="AB214" i="63"/>
  <c r="AE214" i="63" l="1"/>
  <c r="AF214" i="63" s="1"/>
  <c r="R215" i="63"/>
  <c r="T215" i="63"/>
  <c r="AD215" i="63" l="1"/>
  <c r="AG215" i="63"/>
  <c r="AJ215" i="63" s="1"/>
  <c r="AK215" i="63" s="1"/>
  <c r="V215" i="63"/>
  <c r="AA215" i="63" s="1"/>
  <c r="AL215" i="63"/>
  <c r="AM215" i="63" s="1"/>
  <c r="U215" i="63" l="1"/>
  <c r="Z215" i="63" l="1"/>
  <c r="AH215" i="63" s="1"/>
  <c r="Y215" i="63"/>
  <c r="AB215" i="63"/>
  <c r="R216" i="63" l="1"/>
  <c r="AE215" i="63"/>
  <c r="AF215" i="63" s="1"/>
  <c r="T216" i="63"/>
  <c r="AG216" i="63" l="1"/>
  <c r="AJ216" i="63" s="1"/>
  <c r="AK216" i="63" s="1"/>
  <c r="AD216" i="63"/>
  <c r="V216" i="63"/>
  <c r="AA216" i="63" s="1"/>
  <c r="AL216" i="63"/>
  <c r="AM216" i="63" s="1"/>
  <c r="U216" i="63" l="1"/>
  <c r="Z216" i="63" l="1"/>
  <c r="AH216" i="63" s="1"/>
  <c r="Y216" i="63"/>
  <c r="AB216" i="63"/>
  <c r="R217" i="63" l="1"/>
  <c r="T217" i="63"/>
  <c r="AE216" i="63"/>
  <c r="AF216" i="63" s="1"/>
  <c r="AD217" i="63" l="1"/>
  <c r="AG217" i="63"/>
  <c r="AJ217" i="63" s="1"/>
  <c r="AK217" i="63" s="1"/>
  <c r="AL217" i="63"/>
  <c r="AM217" i="63" s="1"/>
  <c r="V217" i="63"/>
  <c r="AA217" i="63" s="1"/>
  <c r="U217" i="63" l="1"/>
  <c r="Y217" i="63" l="1"/>
  <c r="Z217" i="63"/>
  <c r="AH217" i="63" s="1"/>
  <c r="AB217" i="63"/>
  <c r="R218" i="63" l="1"/>
  <c r="AE217" i="63"/>
  <c r="AF217" i="63" s="1"/>
  <c r="T218" i="63"/>
  <c r="AD218" i="63" l="1"/>
  <c r="AG218" i="63"/>
  <c r="AJ218" i="63" s="1"/>
  <c r="AK218" i="63" s="1"/>
  <c r="AL218" i="63"/>
  <c r="AM218" i="63" s="1"/>
  <c r="V218" i="63"/>
  <c r="AA218" i="63" s="1"/>
  <c r="U218" i="63" l="1"/>
  <c r="Z218" i="63" l="1"/>
  <c r="AH218" i="63" s="1"/>
  <c r="Y218" i="63"/>
  <c r="AB218" i="63"/>
  <c r="R219" i="63" l="1"/>
  <c r="AE218" i="63"/>
  <c r="AF218" i="63" s="1"/>
  <c r="T219" i="63"/>
  <c r="AD219" i="63" l="1"/>
  <c r="AG219" i="63"/>
  <c r="AJ219" i="63" s="1"/>
  <c r="AK219" i="63" s="1"/>
  <c r="AL219" i="63"/>
  <c r="AM219" i="63" s="1"/>
  <c r="V219" i="63"/>
  <c r="AA219" i="63" s="1"/>
  <c r="U219" i="63" l="1"/>
  <c r="Y219" i="63" l="1"/>
  <c r="Z219" i="63"/>
  <c r="AH219" i="63" s="1"/>
  <c r="AB219" i="63"/>
  <c r="R220" i="63" l="1"/>
  <c r="AE219" i="63"/>
  <c r="AF219" i="63" s="1"/>
  <c r="T220" i="63"/>
  <c r="AD220" i="63" l="1"/>
  <c r="AG220" i="63"/>
  <c r="AJ220" i="63" s="1"/>
  <c r="AK220" i="63" s="1"/>
  <c r="V220" i="63"/>
  <c r="AA220" i="63" s="1"/>
  <c r="AL220" i="63"/>
  <c r="AM220" i="63" s="1"/>
  <c r="U220" i="63" l="1"/>
  <c r="Z220" i="63" l="1"/>
  <c r="AH220" i="63" s="1"/>
  <c r="Y220" i="63"/>
  <c r="AB220" i="63"/>
  <c r="R221" i="63" l="1"/>
  <c r="AE220" i="63"/>
  <c r="AF220" i="63" s="1"/>
  <c r="T221" i="63"/>
  <c r="AG221" i="63" l="1"/>
  <c r="AJ221" i="63" s="1"/>
  <c r="AK221" i="63" s="1"/>
  <c r="AD221" i="63"/>
  <c r="V221" i="63"/>
  <c r="AA221" i="63" s="1"/>
  <c r="AL221" i="63"/>
  <c r="AM221" i="63" s="1"/>
  <c r="U221" i="63" l="1"/>
  <c r="Y221" i="63" l="1"/>
  <c r="Z221" i="63"/>
  <c r="AH221" i="63" s="1"/>
  <c r="AB221" i="63"/>
  <c r="T222" i="63" l="1"/>
  <c r="R222" i="63"/>
  <c r="AE221" i="63"/>
  <c r="AF221" i="63" s="1"/>
  <c r="V222" i="63" l="1"/>
  <c r="AA222" i="63" s="1"/>
  <c r="AL222" i="63"/>
  <c r="AM222" i="63" s="1"/>
  <c r="AG222" i="63"/>
  <c r="AJ222" i="63" s="1"/>
  <c r="AK222" i="63" s="1"/>
  <c r="AD222" i="63"/>
  <c r="U222" i="63" l="1"/>
  <c r="AB222" i="63" s="1"/>
  <c r="AE222" i="63" s="1"/>
  <c r="AF222" i="63" s="1"/>
  <c r="Z222" i="63"/>
  <c r="AH222" i="63" s="1"/>
  <c r="Y222" i="63"/>
  <c r="T223" i="63" l="1"/>
  <c r="R223" i="63"/>
  <c r="AL223" i="63" s="1"/>
  <c r="AM223" i="63" s="1"/>
  <c r="AD223" i="63"/>
  <c r="AG223" i="63"/>
  <c r="AJ223" i="63" s="1"/>
  <c r="AK223" i="63" s="1"/>
  <c r="V223" i="63" l="1"/>
  <c r="AA223" i="63" s="1"/>
  <c r="U223" i="63" l="1"/>
  <c r="Y223" i="63" s="1"/>
  <c r="AB223" i="63" l="1"/>
  <c r="R224" i="63" s="1"/>
  <c r="Z223" i="63"/>
  <c r="AH223" i="63" s="1"/>
  <c r="T224" i="63"/>
  <c r="AE223" i="63" l="1"/>
  <c r="AF223" i="63" s="1"/>
  <c r="AD224" i="63"/>
  <c r="AG224" i="63"/>
  <c r="AJ224" i="63" s="1"/>
  <c r="AK224" i="63" s="1"/>
  <c r="AL224" i="63"/>
  <c r="AM224" i="63" s="1"/>
  <c r="V224" i="63"/>
  <c r="AA224" i="63" s="1"/>
  <c r="U224" i="63" l="1"/>
  <c r="Y224" i="63" l="1"/>
  <c r="Z224" i="63"/>
  <c r="AH224" i="63" s="1"/>
  <c r="AB224" i="63"/>
  <c r="R225" i="63" l="1"/>
  <c r="AE224" i="63"/>
  <c r="AF224" i="63" s="1"/>
  <c r="T225" i="63"/>
  <c r="AD225" i="63" l="1"/>
  <c r="AG225" i="63"/>
  <c r="AJ225" i="63" s="1"/>
  <c r="AK225" i="63" s="1"/>
  <c r="V225" i="63"/>
  <c r="AA225" i="63" s="1"/>
  <c r="AL225" i="63"/>
  <c r="AM225" i="63" s="1"/>
  <c r="U225" i="63" l="1"/>
  <c r="Y225" i="63" l="1"/>
  <c r="Z225" i="63"/>
  <c r="AH225" i="63" s="1"/>
  <c r="AB225" i="63"/>
  <c r="R226" i="63" l="1"/>
  <c r="AE225" i="63"/>
  <c r="AF225" i="63" s="1"/>
  <c r="T226" i="63"/>
  <c r="AD226" i="63" l="1"/>
  <c r="AG226" i="63"/>
  <c r="AJ226" i="63" s="1"/>
  <c r="AK226" i="63" s="1"/>
  <c r="V226" i="63"/>
  <c r="AA226" i="63" s="1"/>
  <c r="AL226" i="63"/>
  <c r="AM226" i="63" s="1"/>
  <c r="U226" i="63" l="1"/>
  <c r="Y226" i="63" l="1"/>
  <c r="Z226" i="63"/>
  <c r="AH226" i="63" s="1"/>
  <c r="AB226" i="63"/>
  <c r="R227" i="63" l="1"/>
  <c r="AE226" i="63"/>
  <c r="AF226" i="63" s="1"/>
  <c r="T227" i="63"/>
  <c r="AD227" i="63" l="1"/>
  <c r="AG227" i="63"/>
  <c r="AJ227" i="63" s="1"/>
  <c r="AK227" i="63" s="1"/>
  <c r="V227" i="63"/>
  <c r="AA227" i="63" s="1"/>
  <c r="AL227" i="63"/>
  <c r="AM227" i="63" s="1"/>
  <c r="U227" i="63" l="1"/>
  <c r="Z227" i="63" l="1"/>
  <c r="AH227" i="63" s="1"/>
  <c r="Y227" i="63"/>
  <c r="AB227" i="63"/>
  <c r="R228" i="63" l="1"/>
  <c r="AE227" i="63"/>
  <c r="AF227" i="63" s="1"/>
  <c r="T228" i="63"/>
  <c r="AD228" i="63" l="1"/>
  <c r="AG228" i="63"/>
  <c r="AJ228" i="63" s="1"/>
  <c r="AK228" i="63" s="1"/>
  <c r="V228" i="63"/>
  <c r="AA228" i="63" s="1"/>
  <c r="AL228" i="63"/>
  <c r="AM228" i="63" s="1"/>
  <c r="U228" i="63" l="1"/>
  <c r="Z228" i="63" l="1"/>
  <c r="AH228" i="63" s="1"/>
  <c r="Y228" i="63"/>
  <c r="AB228" i="63"/>
  <c r="R229" i="63" l="1"/>
  <c r="AE228" i="63"/>
  <c r="AF228" i="63" s="1"/>
  <c r="T229" i="63"/>
  <c r="AG229" i="63" l="1"/>
  <c r="AJ229" i="63" s="1"/>
  <c r="AK229" i="63" s="1"/>
  <c r="AD229" i="63"/>
  <c r="V229" i="63"/>
  <c r="AA229" i="63" s="1"/>
  <c r="AL229" i="63"/>
  <c r="AM229" i="63" s="1"/>
  <c r="U229" i="63" l="1"/>
  <c r="Y229" i="63" l="1"/>
  <c r="Z229" i="63"/>
  <c r="AH229" i="63" s="1"/>
  <c r="AB229" i="63"/>
  <c r="T230" i="63" l="1"/>
  <c r="R230" i="63"/>
  <c r="AE229" i="63"/>
  <c r="AF229" i="63" s="1"/>
  <c r="V230" i="63" l="1"/>
  <c r="AA230" i="63" s="1"/>
  <c r="AL230" i="63"/>
  <c r="AM230" i="63" s="1"/>
  <c r="AG230" i="63"/>
  <c r="AJ230" i="63" s="1"/>
  <c r="AK230" i="63" s="1"/>
  <c r="AD230" i="63"/>
  <c r="U230" i="63" l="1"/>
  <c r="AB230" i="63" s="1"/>
  <c r="AE230" i="63" s="1"/>
  <c r="AF230" i="63" s="1"/>
  <c r="Y230" i="63" l="1"/>
  <c r="Z230" i="63"/>
  <c r="AH230" i="63" s="1"/>
  <c r="T231" i="63"/>
  <c r="AD231" i="63" s="1"/>
  <c r="R231" i="63"/>
  <c r="V231" i="63" s="1"/>
  <c r="AA231" i="63" s="1"/>
  <c r="AL231" i="63" l="1"/>
  <c r="AM231" i="63" s="1"/>
  <c r="AG231" i="63"/>
  <c r="AJ231" i="63" s="1"/>
  <c r="AK231" i="63" s="1"/>
  <c r="U231" i="63"/>
  <c r="Z231" i="63" l="1"/>
  <c r="AH231" i="63" s="1"/>
  <c r="Y231" i="63"/>
  <c r="AB231" i="63"/>
  <c r="AE231" i="63" l="1"/>
  <c r="AF231" i="63" s="1"/>
  <c r="R232" i="63"/>
  <c r="T232" i="63"/>
  <c r="AD232" i="63" l="1"/>
  <c r="AG232" i="63"/>
  <c r="AJ232" i="63" s="1"/>
  <c r="AK232" i="63" s="1"/>
  <c r="AL232" i="63"/>
  <c r="AM232" i="63" s="1"/>
  <c r="V232" i="63"/>
  <c r="AA232" i="63" s="1"/>
  <c r="U232" i="63" l="1"/>
  <c r="Z232" i="63" l="1"/>
  <c r="AH232" i="63" s="1"/>
  <c r="Y232" i="63"/>
  <c r="AB232" i="63"/>
  <c r="T233" i="63" l="1"/>
  <c r="AE232" i="63"/>
  <c r="AF232" i="63" s="1"/>
  <c r="R233" i="63"/>
  <c r="AL233" i="63" l="1"/>
  <c r="AM233" i="63" s="1"/>
  <c r="V233" i="63"/>
  <c r="AA233" i="63" s="1"/>
  <c r="AD233" i="63"/>
  <c r="AG233" i="63"/>
  <c r="AJ233" i="63" s="1"/>
  <c r="AK233" i="63" s="1"/>
  <c r="U233" i="63" l="1"/>
  <c r="Y233" i="63" s="1"/>
  <c r="AB233" i="63" l="1"/>
  <c r="T234" i="63" s="1"/>
  <c r="Z233" i="63"/>
  <c r="AH233" i="63" s="1"/>
  <c r="AE233" i="63"/>
  <c r="AF233" i="63" s="1"/>
  <c r="R234" i="63"/>
  <c r="AL234" i="63" l="1"/>
  <c r="AM234" i="63" s="1"/>
  <c r="V234" i="63"/>
  <c r="AA234" i="63" s="1"/>
  <c r="AD234" i="63"/>
  <c r="AG234" i="63"/>
  <c r="AJ234" i="63" s="1"/>
  <c r="AK234" i="63" s="1"/>
  <c r="U234" i="63" l="1"/>
  <c r="Y234" i="63" s="1"/>
  <c r="AB234" i="63" l="1"/>
  <c r="Z234" i="63"/>
  <c r="AH234" i="63" s="1"/>
  <c r="R235" i="63"/>
  <c r="AE234" i="63"/>
  <c r="AF234" i="63" s="1"/>
  <c r="T235" i="63"/>
  <c r="AD235" i="63" l="1"/>
  <c r="AG235" i="63"/>
  <c r="AJ235" i="63" s="1"/>
  <c r="AK235" i="63" s="1"/>
  <c r="V235" i="63"/>
  <c r="AA235" i="63" s="1"/>
  <c r="AL235" i="63"/>
  <c r="AM235" i="63" s="1"/>
  <c r="U235" i="63" l="1"/>
  <c r="Z235" i="63" l="1"/>
  <c r="AH235" i="63" s="1"/>
  <c r="Y235" i="63"/>
  <c r="AB235" i="63"/>
  <c r="R236" i="63" l="1"/>
  <c r="T236" i="63"/>
  <c r="AE235" i="63"/>
  <c r="AF235" i="63" s="1"/>
  <c r="AD236" i="63" l="1"/>
  <c r="AG236" i="63"/>
  <c r="AJ236" i="63" s="1"/>
  <c r="AK236" i="63" s="1"/>
  <c r="AL236" i="63"/>
  <c r="AM236" i="63" s="1"/>
  <c r="V236" i="63"/>
  <c r="AA236" i="63" s="1"/>
  <c r="U236" i="63" l="1"/>
  <c r="Z236" i="63" l="1"/>
  <c r="AH236" i="63" s="1"/>
  <c r="Y236" i="63"/>
  <c r="AB236" i="63"/>
  <c r="R237" i="63" l="1"/>
  <c r="T237" i="63"/>
  <c r="AE236" i="63"/>
  <c r="AF236" i="63" s="1"/>
  <c r="AD237" i="63" l="1"/>
  <c r="AG237" i="63"/>
  <c r="AJ237" i="63" s="1"/>
  <c r="AK237" i="63" s="1"/>
  <c r="AL237" i="63"/>
  <c r="AM237" i="63" s="1"/>
  <c r="V237" i="63"/>
  <c r="AA237" i="63" s="1"/>
  <c r="U237" i="63" l="1"/>
  <c r="Z237" i="63" l="1"/>
  <c r="AH237" i="63" s="1"/>
  <c r="Y237" i="63"/>
  <c r="AB237" i="63"/>
  <c r="R238" i="63" l="1"/>
  <c r="T238" i="63"/>
  <c r="AE237" i="63"/>
  <c r="AF237" i="63" s="1"/>
  <c r="AD238" i="63" l="1"/>
  <c r="AG238" i="63"/>
  <c r="AJ238" i="63" s="1"/>
  <c r="AK238" i="63" s="1"/>
  <c r="AL238" i="63"/>
  <c r="AM238" i="63" s="1"/>
  <c r="V238" i="63"/>
  <c r="AA238" i="63" s="1"/>
  <c r="U238" i="63" l="1"/>
  <c r="Z238" i="63" l="1"/>
  <c r="AH238" i="63" s="1"/>
  <c r="Y238" i="63"/>
  <c r="AB238" i="63"/>
  <c r="AE238" i="63" l="1"/>
  <c r="AF238" i="63" s="1"/>
  <c r="T239" i="63"/>
  <c r="R239" i="63"/>
  <c r="V239" i="63" l="1"/>
  <c r="AA239" i="63" s="1"/>
  <c r="AL239" i="63"/>
  <c r="AM239" i="63" s="1"/>
  <c r="AG239" i="63"/>
  <c r="AJ239" i="63" s="1"/>
  <c r="AK239" i="63" s="1"/>
  <c r="U239" i="63"/>
  <c r="AD239" i="63"/>
  <c r="Y239" i="63" l="1"/>
  <c r="Z239" i="63"/>
  <c r="AH239" i="63" s="1"/>
  <c r="AB239" i="63"/>
  <c r="AE239" i="63" l="1"/>
  <c r="AF239" i="63" s="1"/>
  <c r="R240" i="63"/>
  <c r="T240" i="63"/>
  <c r="AD240" i="63" l="1"/>
  <c r="AG240" i="63"/>
  <c r="AJ240" i="63" s="1"/>
  <c r="AK240" i="63" s="1"/>
  <c r="AL240" i="63"/>
  <c r="AM240" i="63" s="1"/>
  <c r="V240" i="63"/>
  <c r="AA240" i="63" s="1"/>
  <c r="U240" i="63" l="1"/>
  <c r="Y240" i="63" l="1"/>
  <c r="Z240" i="63"/>
  <c r="AH240" i="63" s="1"/>
  <c r="AB240" i="63"/>
  <c r="T241" i="63" l="1"/>
  <c r="AE240" i="63"/>
  <c r="AF240" i="63" s="1"/>
  <c r="R241" i="63"/>
  <c r="V241" i="63" l="1"/>
  <c r="AA241" i="63" s="1"/>
  <c r="AL241" i="63"/>
  <c r="AM241" i="63" s="1"/>
  <c r="AD241" i="63"/>
  <c r="AG241" i="63"/>
  <c r="AJ241" i="63" s="1"/>
  <c r="AK241" i="63" s="1"/>
  <c r="U241" i="63" l="1"/>
  <c r="Y241" i="63" s="1"/>
  <c r="AB241" i="63"/>
  <c r="Z241" i="63" l="1"/>
  <c r="AH241" i="63" s="1"/>
  <c r="R242" i="63"/>
  <c r="AE241" i="63"/>
  <c r="AF241" i="63" s="1"/>
  <c r="T242" i="63"/>
  <c r="AD242" i="63" l="1"/>
  <c r="AG242" i="63"/>
  <c r="AJ242" i="63" s="1"/>
  <c r="AK242" i="63" s="1"/>
  <c r="AL242" i="63"/>
  <c r="AM242" i="63" s="1"/>
  <c r="V242" i="63"/>
  <c r="AA242" i="63" s="1"/>
  <c r="U242" i="63" l="1"/>
  <c r="Z242" i="63" l="1"/>
  <c r="AH242" i="63" s="1"/>
  <c r="Y242" i="63"/>
  <c r="AB242" i="63"/>
  <c r="T243" i="63" l="1"/>
  <c r="AE242" i="63"/>
  <c r="AF242" i="63" s="1"/>
  <c r="R243" i="63"/>
  <c r="AL243" i="63" l="1"/>
  <c r="AM243" i="63" s="1"/>
  <c r="V243" i="63"/>
  <c r="AA243" i="63" s="1"/>
  <c r="AD243" i="63"/>
  <c r="AG243" i="63"/>
  <c r="AJ243" i="63" s="1"/>
  <c r="AK243" i="63" s="1"/>
  <c r="U243" i="63" l="1"/>
  <c r="Y243" i="63" l="1"/>
  <c r="Z243" i="63"/>
  <c r="AH243" i="63" s="1"/>
  <c r="AB243" i="63"/>
  <c r="R244" i="63" l="1"/>
  <c r="T244" i="63"/>
  <c r="AE243" i="63"/>
  <c r="AF243" i="63" s="1"/>
  <c r="AD244" i="63" l="1"/>
  <c r="AG244" i="63"/>
  <c r="AJ244" i="63" s="1"/>
  <c r="AK244" i="63" s="1"/>
  <c r="V244" i="63"/>
  <c r="AA244" i="63" s="1"/>
  <c r="AL244" i="63"/>
  <c r="AM244" i="63" s="1"/>
  <c r="U244" i="63" l="1"/>
  <c r="Z244" i="63" l="1"/>
  <c r="AH244" i="63" s="1"/>
  <c r="Y244" i="63"/>
  <c r="AB244" i="63"/>
  <c r="AE244" i="63" l="1"/>
  <c r="AF244" i="63" s="1"/>
  <c r="R245" i="63"/>
  <c r="T245" i="63"/>
  <c r="AG245" i="63" l="1"/>
  <c r="AJ245" i="63" s="1"/>
  <c r="AK245" i="63" s="1"/>
  <c r="AD245" i="63"/>
  <c r="AL245" i="63"/>
  <c r="AM245" i="63" s="1"/>
  <c r="V245" i="63"/>
  <c r="AA245" i="63" s="1"/>
  <c r="U245" i="63" l="1"/>
  <c r="Y245" i="63" l="1"/>
  <c r="Z245" i="63"/>
  <c r="AH245" i="63" s="1"/>
  <c r="AB245" i="63"/>
  <c r="R246" i="63" l="1"/>
  <c r="T246" i="63"/>
  <c r="AE245" i="63"/>
  <c r="AF245" i="63" s="1"/>
  <c r="AD246" i="63" l="1"/>
  <c r="AG246" i="63"/>
  <c r="AJ246" i="63" s="1"/>
  <c r="AK246" i="63" s="1"/>
  <c r="AL246" i="63"/>
  <c r="AM246" i="63" s="1"/>
  <c r="V246" i="63"/>
  <c r="AA246" i="63" s="1"/>
  <c r="U246" i="63" l="1"/>
  <c r="Y246" i="63" l="1"/>
  <c r="Z246" i="63"/>
  <c r="AH246" i="63" s="1"/>
  <c r="AB246" i="63"/>
  <c r="AE246" i="63" l="1"/>
  <c r="AF246" i="63" s="1"/>
  <c r="R247" i="63"/>
  <c r="T247" i="63"/>
  <c r="AD247" i="63" l="1"/>
  <c r="AG247" i="63"/>
  <c r="AJ247" i="63" s="1"/>
  <c r="AK247" i="63" s="1"/>
  <c r="V247" i="63"/>
  <c r="AA247" i="63" s="1"/>
  <c r="AL247" i="63"/>
  <c r="AM247" i="63" s="1"/>
  <c r="U247" i="63" l="1"/>
  <c r="Y247" i="63" l="1"/>
  <c r="Z247" i="63"/>
  <c r="AH247" i="63" s="1"/>
  <c r="AB247" i="63"/>
  <c r="AE247" i="63" l="1"/>
  <c r="AF247" i="63" s="1"/>
  <c r="R248" i="63"/>
  <c r="T248" i="63"/>
  <c r="AD248" i="63" l="1"/>
  <c r="AG248" i="63"/>
  <c r="AJ248" i="63" s="1"/>
  <c r="AK248" i="63" s="1"/>
  <c r="V248" i="63"/>
  <c r="AA248" i="63" s="1"/>
  <c r="AL248" i="63"/>
  <c r="AM248" i="63" s="1"/>
  <c r="U248" i="63" l="1"/>
  <c r="Z248" i="63" l="1"/>
  <c r="AH248" i="63" s="1"/>
  <c r="Y248" i="63"/>
  <c r="AB248" i="63"/>
  <c r="R249" i="63" l="1"/>
  <c r="AE248" i="63"/>
  <c r="AF248" i="63" s="1"/>
  <c r="T249" i="63"/>
  <c r="AD249" i="63" l="1"/>
  <c r="AG249" i="63"/>
  <c r="AJ249" i="63" s="1"/>
  <c r="AK249" i="63" s="1"/>
  <c r="V249" i="63"/>
  <c r="AA249" i="63" s="1"/>
  <c r="AL249" i="63"/>
  <c r="AM249" i="63" s="1"/>
  <c r="U249" i="63" l="1"/>
  <c r="Y249" i="63" l="1"/>
  <c r="Z249" i="63"/>
  <c r="AH249" i="63" s="1"/>
  <c r="AB249" i="63"/>
  <c r="R250" i="63" l="1"/>
  <c r="AE249" i="63"/>
  <c r="AF249" i="63" s="1"/>
  <c r="T250" i="63"/>
  <c r="AD250" i="63" l="1"/>
  <c r="AG250" i="63"/>
  <c r="AJ250" i="63" s="1"/>
  <c r="AK250" i="63" s="1"/>
  <c r="AL250" i="63"/>
  <c r="AM250" i="63" s="1"/>
  <c r="V250" i="63"/>
  <c r="AA250" i="63" s="1"/>
  <c r="U250" i="63" l="1"/>
  <c r="Y250" i="63" l="1"/>
  <c r="Z250" i="63"/>
  <c r="AH250" i="63" s="1"/>
  <c r="AB250" i="63"/>
  <c r="T251" i="63" l="1"/>
  <c r="AE250" i="63"/>
  <c r="AF250" i="63" s="1"/>
  <c r="R251" i="63"/>
  <c r="AL251" i="63" l="1"/>
  <c r="AM251" i="63" s="1"/>
  <c r="V251" i="63"/>
  <c r="AA251" i="63" s="1"/>
  <c r="AD251" i="63"/>
  <c r="AG251" i="63"/>
  <c r="AJ251" i="63" s="1"/>
  <c r="AK251" i="63" s="1"/>
  <c r="U251" i="63" l="1"/>
  <c r="Y251" i="63" l="1"/>
  <c r="Z251" i="63"/>
  <c r="AH251" i="63" s="1"/>
  <c r="AB251" i="63"/>
  <c r="R252" i="63" l="1"/>
  <c r="T252" i="63"/>
  <c r="AE251" i="63"/>
  <c r="AF251" i="63" s="1"/>
  <c r="AD252" i="63" l="1"/>
  <c r="AG252" i="63"/>
  <c r="AJ252" i="63" s="1"/>
  <c r="AK252" i="63" s="1"/>
  <c r="V252" i="63"/>
  <c r="AA252" i="63" s="1"/>
  <c r="AL252" i="63"/>
  <c r="AM252" i="63" s="1"/>
  <c r="U252" i="63" l="1"/>
  <c r="Z252" i="63" l="1"/>
  <c r="AH252" i="63" s="1"/>
  <c r="Y252" i="63"/>
  <c r="AB252" i="63"/>
  <c r="R253" i="63" l="1"/>
  <c r="T253" i="63"/>
  <c r="AE252" i="63"/>
  <c r="AF252" i="63" s="1"/>
  <c r="AD253" i="63" l="1"/>
  <c r="AG253" i="63"/>
  <c r="AJ253" i="63" s="1"/>
  <c r="AK253" i="63" s="1"/>
  <c r="AL253" i="63"/>
  <c r="AM253" i="63" s="1"/>
  <c r="V253" i="63"/>
  <c r="AA253" i="63" s="1"/>
  <c r="U253" i="63" l="1"/>
  <c r="Y253" i="63" l="1"/>
  <c r="Z253" i="63"/>
  <c r="AH253" i="63" s="1"/>
  <c r="AB253" i="63"/>
  <c r="R254" i="63" l="1"/>
  <c r="T254" i="63"/>
  <c r="AE253" i="63"/>
  <c r="AF253" i="63" s="1"/>
  <c r="AD254" i="63" l="1"/>
  <c r="AG254" i="63"/>
  <c r="AJ254" i="63" s="1"/>
  <c r="AK254" i="63" s="1"/>
  <c r="V254" i="63"/>
  <c r="AA254" i="63" s="1"/>
  <c r="AL254" i="63"/>
  <c r="AM254" i="63" s="1"/>
  <c r="U254" i="63" l="1"/>
  <c r="Z254" i="63" l="1"/>
  <c r="AH254" i="63" s="1"/>
  <c r="Y254" i="63"/>
  <c r="AB254" i="63"/>
  <c r="AE254" i="63" l="1"/>
  <c r="AF254" i="63" s="1"/>
  <c r="T255" i="63"/>
  <c r="R255" i="63"/>
  <c r="V255" i="63" l="1"/>
  <c r="AA255" i="63" s="1"/>
  <c r="AL255" i="63"/>
  <c r="AM255" i="63" s="1"/>
  <c r="AG255" i="63"/>
  <c r="AJ255" i="63" s="1"/>
  <c r="AK255" i="63" s="1"/>
  <c r="AD255" i="63"/>
  <c r="U255" i="63" l="1"/>
  <c r="Y255" i="63" s="1"/>
  <c r="Z255" i="63"/>
  <c r="AH255" i="63" s="1"/>
  <c r="AB255" i="63"/>
  <c r="AE255" i="63" l="1"/>
  <c r="AF255" i="63" s="1"/>
  <c r="R256" i="63"/>
  <c r="T256" i="63"/>
  <c r="AD256" i="63" l="1"/>
  <c r="AG256" i="63"/>
  <c r="AJ256" i="63" s="1"/>
  <c r="AK256" i="63" s="1"/>
  <c r="AL256" i="63"/>
  <c r="AM256" i="63" s="1"/>
  <c r="V256" i="63"/>
  <c r="AA256" i="63" s="1"/>
  <c r="U256" i="63" l="1"/>
  <c r="Y256" i="63" l="1"/>
  <c r="Z256" i="63"/>
  <c r="AH256" i="63" s="1"/>
  <c r="AB256" i="63"/>
  <c r="T257" i="63" l="1"/>
  <c r="AE256" i="63"/>
  <c r="AF256" i="63" s="1"/>
  <c r="R257" i="63"/>
  <c r="AL257" i="63" l="1"/>
  <c r="AM257" i="63" s="1"/>
  <c r="V257" i="63"/>
  <c r="AA257" i="63" s="1"/>
  <c r="AD257" i="63"/>
  <c r="AG257" i="63"/>
  <c r="AJ257" i="63" s="1"/>
  <c r="AK257" i="63" s="1"/>
  <c r="U257" i="63" l="1"/>
  <c r="Y257" i="63" s="1"/>
  <c r="AB257" i="63" l="1"/>
  <c r="T258" i="63" s="1"/>
  <c r="Z257" i="63"/>
  <c r="AH257" i="63" s="1"/>
  <c r="AE257" i="63" l="1"/>
  <c r="AF257" i="63" s="1"/>
  <c r="R258" i="63"/>
  <c r="AL258" i="63" s="1"/>
  <c r="AM258" i="63" s="1"/>
  <c r="AD258" i="63"/>
  <c r="AG258" i="63"/>
  <c r="AJ258" i="63" s="1"/>
  <c r="AK258" i="63" s="1"/>
  <c r="V258" i="63" l="1"/>
  <c r="AA258" i="63" s="1"/>
  <c r="U258" i="63"/>
  <c r="Y258" i="63" s="1"/>
  <c r="AB258" i="63" l="1"/>
  <c r="Z258" i="63"/>
  <c r="AH258" i="63" s="1"/>
  <c r="T259" i="63"/>
  <c r="AE258" i="63"/>
  <c r="AF258" i="63" s="1"/>
  <c r="R259" i="63"/>
  <c r="V259" i="63" l="1"/>
  <c r="AA259" i="63" s="1"/>
  <c r="AL259" i="63"/>
  <c r="AM259" i="63" s="1"/>
  <c r="AD259" i="63"/>
  <c r="AG259" i="63"/>
  <c r="AJ259" i="63" s="1"/>
  <c r="AK259" i="63" s="1"/>
  <c r="U259" i="63" l="1"/>
  <c r="Z259" i="63" s="1"/>
  <c r="AH259" i="63" s="1"/>
  <c r="AB259" i="63" l="1"/>
  <c r="Y259" i="63"/>
  <c r="R260" i="63"/>
  <c r="T260" i="63"/>
  <c r="AE259" i="63"/>
  <c r="AF259" i="63" s="1"/>
  <c r="AD260" i="63" l="1"/>
  <c r="AG260" i="63"/>
  <c r="AJ260" i="63" s="1"/>
  <c r="AK260" i="63" s="1"/>
  <c r="AL260" i="63"/>
  <c r="AM260" i="63" s="1"/>
  <c r="V260" i="63"/>
  <c r="AA260" i="63" s="1"/>
  <c r="U260" i="63" l="1"/>
  <c r="Z260" i="63" l="1"/>
  <c r="AH260" i="63" s="1"/>
  <c r="Y260" i="63"/>
  <c r="AB260" i="63"/>
  <c r="R261" i="63" l="1"/>
  <c r="T261" i="63"/>
  <c r="AE260" i="63"/>
  <c r="AF260" i="63" s="1"/>
  <c r="AD261" i="63" l="1"/>
  <c r="AG261" i="63"/>
  <c r="AJ261" i="63" s="1"/>
  <c r="AK261" i="63" s="1"/>
  <c r="V261" i="63"/>
  <c r="AA261" i="63" s="1"/>
  <c r="AL261" i="63"/>
  <c r="AM261" i="63" s="1"/>
  <c r="U261" i="63" l="1"/>
  <c r="Y261" i="63" l="1"/>
  <c r="Z261" i="63"/>
  <c r="AH261" i="63" s="1"/>
  <c r="AB261" i="63"/>
  <c r="R262" i="63" l="1"/>
  <c r="T262" i="63"/>
  <c r="AE261" i="63"/>
  <c r="AF261" i="63" s="1"/>
  <c r="AD262" i="63" l="1"/>
  <c r="AG262" i="63"/>
  <c r="AJ262" i="63" s="1"/>
  <c r="AK262" i="63" s="1"/>
  <c r="V262" i="63"/>
  <c r="AA262" i="63" s="1"/>
  <c r="AL262" i="63"/>
  <c r="AM262" i="63" s="1"/>
  <c r="U262" i="63" l="1"/>
  <c r="Z262" i="63" l="1"/>
  <c r="AH262" i="63" s="1"/>
  <c r="Y262" i="63"/>
  <c r="AB262" i="63"/>
  <c r="AE262" i="63" l="1"/>
  <c r="AF262" i="63" s="1"/>
  <c r="R263" i="63"/>
  <c r="T263" i="63"/>
  <c r="AD263" i="63" l="1"/>
  <c r="AG263" i="63"/>
  <c r="AJ263" i="63" s="1"/>
  <c r="AK263" i="63" s="1"/>
  <c r="V263" i="63"/>
  <c r="AA263" i="63" s="1"/>
  <c r="AL263" i="63"/>
  <c r="AM263" i="63" s="1"/>
  <c r="U263" i="63" l="1"/>
  <c r="Z263" i="63" l="1"/>
  <c r="AH263" i="63" s="1"/>
  <c r="Y263" i="63"/>
  <c r="AB263" i="63"/>
  <c r="R264" i="63" l="1"/>
  <c r="AE263" i="63"/>
  <c r="AF263" i="63" s="1"/>
  <c r="T264" i="63"/>
  <c r="AD264" i="63" l="1"/>
  <c r="AG264" i="63"/>
  <c r="AJ264" i="63" s="1"/>
  <c r="AK264" i="63" s="1"/>
  <c r="AL264" i="63"/>
  <c r="AM264" i="63" s="1"/>
  <c r="V264" i="63"/>
  <c r="AA264" i="63" s="1"/>
  <c r="U264" i="63" l="1"/>
  <c r="Y264" i="63" l="1"/>
  <c r="Z264" i="63"/>
  <c r="AH264" i="63" s="1"/>
  <c r="AB264" i="63"/>
  <c r="R265" i="63" l="1"/>
  <c r="AE264" i="63"/>
  <c r="AF264" i="63" s="1"/>
  <c r="T265" i="63"/>
  <c r="AD265" i="63" l="1"/>
  <c r="AG265" i="63"/>
  <c r="AJ265" i="63" s="1"/>
  <c r="AK265" i="63" s="1"/>
  <c r="V265" i="63"/>
  <c r="AA265" i="63" s="1"/>
  <c r="AL265" i="63"/>
  <c r="AM265" i="63" s="1"/>
  <c r="U265" i="63" l="1"/>
  <c r="Y265" i="63" l="1"/>
  <c r="Z265" i="63"/>
  <c r="AH265" i="63" s="1"/>
  <c r="AB265" i="63"/>
  <c r="R266" i="63" l="1"/>
  <c r="AE265" i="63"/>
  <c r="AF265" i="63" s="1"/>
  <c r="T266" i="63"/>
  <c r="AD266" i="63" l="1"/>
  <c r="AG266" i="63"/>
  <c r="AJ266" i="63" s="1"/>
  <c r="AK266" i="63" s="1"/>
  <c r="V266" i="63"/>
  <c r="AA266" i="63" s="1"/>
  <c r="AL266" i="63"/>
  <c r="AM266" i="63" s="1"/>
  <c r="U266" i="63" l="1"/>
  <c r="Z266" i="63" l="1"/>
  <c r="AH266" i="63" s="1"/>
  <c r="Y266" i="63"/>
  <c r="AB266" i="63"/>
  <c r="R267" i="63" l="1"/>
  <c r="AE266" i="63"/>
  <c r="AF266" i="63" s="1"/>
  <c r="T267" i="63"/>
  <c r="AD267" i="63" l="1"/>
  <c r="AG267" i="63"/>
  <c r="AJ267" i="63" s="1"/>
  <c r="AK267" i="63" s="1"/>
  <c r="AL267" i="63"/>
  <c r="AM267" i="63" s="1"/>
  <c r="V267" i="63"/>
  <c r="AA267" i="63" s="1"/>
  <c r="U267" i="63" l="1"/>
  <c r="Y267" i="63" l="1"/>
  <c r="Z267" i="63"/>
  <c r="AH267" i="63" s="1"/>
  <c r="AB267" i="63"/>
  <c r="R268" i="63" l="1"/>
  <c r="T268" i="63"/>
  <c r="AE267" i="63"/>
  <c r="AF267" i="63" s="1"/>
  <c r="AD268" i="63" l="1"/>
  <c r="AG268" i="63"/>
  <c r="AJ268" i="63" s="1"/>
  <c r="AK268" i="63" s="1"/>
  <c r="AL268" i="63"/>
  <c r="AM268" i="63" s="1"/>
  <c r="V268" i="63"/>
  <c r="AA268" i="63" s="1"/>
  <c r="U268" i="63" l="1"/>
  <c r="Y268" i="63" l="1"/>
  <c r="Z268" i="63"/>
  <c r="AH268" i="63" s="1"/>
  <c r="AB268" i="63"/>
  <c r="AE268" i="63" l="1"/>
  <c r="AF268" i="63" s="1"/>
  <c r="R269" i="63"/>
  <c r="T269" i="63"/>
  <c r="AG269" i="63" l="1"/>
  <c r="AJ269" i="63" s="1"/>
  <c r="AK269" i="63" s="1"/>
  <c r="AD269" i="63"/>
  <c r="AL269" i="63"/>
  <c r="AM269" i="63" s="1"/>
  <c r="V269" i="63"/>
  <c r="AA269" i="63" s="1"/>
  <c r="U269" i="63" l="1"/>
  <c r="Y269" i="63" l="1"/>
  <c r="Z269" i="63"/>
  <c r="AH269" i="63" s="1"/>
  <c r="AB269" i="63"/>
  <c r="T270" i="63" l="1"/>
  <c r="R270" i="63"/>
  <c r="AE269" i="63"/>
  <c r="AF269" i="63" s="1"/>
  <c r="AL270" i="63" l="1"/>
  <c r="AM270" i="63" s="1"/>
  <c r="V270" i="63"/>
  <c r="AA270" i="63" s="1"/>
  <c r="AG270" i="63"/>
  <c r="AJ270" i="63" s="1"/>
  <c r="AK270" i="63" s="1"/>
  <c r="AD270" i="63"/>
  <c r="U270" i="63" l="1"/>
  <c r="Z270" i="63" s="1"/>
  <c r="AH270" i="63" s="1"/>
  <c r="Y270" i="63"/>
  <c r="AB270" i="63"/>
  <c r="AE270" i="63" l="1"/>
  <c r="AF270" i="63" s="1"/>
  <c r="R271" i="63"/>
  <c r="T271" i="63"/>
  <c r="AD271" i="63" l="1"/>
  <c r="AG271" i="63"/>
  <c r="AJ271" i="63" s="1"/>
  <c r="AK271" i="63" s="1"/>
  <c r="V271" i="63"/>
  <c r="AA271" i="63" s="1"/>
  <c r="AL271" i="63"/>
  <c r="AM271" i="63" s="1"/>
  <c r="U271" i="63" l="1"/>
  <c r="Z271" i="63" l="1"/>
  <c r="AH271" i="63" s="1"/>
  <c r="Y271" i="63"/>
  <c r="AB271" i="63"/>
  <c r="R272" i="63" l="1"/>
  <c r="AE271" i="63"/>
  <c r="AF271" i="63" s="1"/>
  <c r="T272" i="63"/>
  <c r="AD272" i="63" l="1"/>
  <c r="AG272" i="63"/>
  <c r="AJ272" i="63" s="1"/>
  <c r="AK272" i="63" s="1"/>
  <c r="AL272" i="63"/>
  <c r="AM272" i="63" s="1"/>
  <c r="V272" i="63"/>
  <c r="AA272" i="63" s="1"/>
  <c r="U272" i="63" l="1"/>
  <c r="Z272" i="63" l="1"/>
  <c r="AH272" i="63" s="1"/>
  <c r="Y272" i="63"/>
  <c r="AB272" i="63"/>
  <c r="T273" i="63" l="1"/>
  <c r="AE272" i="63"/>
  <c r="AF272" i="63" s="1"/>
  <c r="R273" i="63"/>
  <c r="V273" i="63" l="1"/>
  <c r="AA273" i="63" s="1"/>
  <c r="AL273" i="63"/>
  <c r="AM273" i="63" s="1"/>
  <c r="AD273" i="63"/>
  <c r="AG273" i="63"/>
  <c r="AJ273" i="63" s="1"/>
  <c r="AK273" i="63" s="1"/>
  <c r="U273" i="63"/>
  <c r="Y273" i="63" l="1"/>
  <c r="Z273" i="63"/>
  <c r="AH273" i="63" s="1"/>
  <c r="AB273" i="63"/>
  <c r="R274" i="63" l="1"/>
  <c r="AE273" i="63"/>
  <c r="AF273" i="63" s="1"/>
  <c r="T274" i="63"/>
  <c r="AD274" i="63" l="1"/>
  <c r="AG274" i="63"/>
  <c r="AJ274" i="63" s="1"/>
  <c r="AK274" i="63" s="1"/>
  <c r="AL274" i="63"/>
  <c r="AM274" i="63" s="1"/>
  <c r="V274" i="63"/>
  <c r="AA274" i="63" s="1"/>
  <c r="U274" i="63" l="1"/>
  <c r="Z274" i="63" l="1"/>
  <c r="AH274" i="63" s="1"/>
  <c r="Y274" i="63"/>
  <c r="AB274" i="63"/>
  <c r="R275" i="63" l="1"/>
  <c r="AE274" i="63"/>
  <c r="AF274" i="63" s="1"/>
  <c r="T275" i="63"/>
  <c r="AD275" i="63" l="1"/>
  <c r="AG275" i="63"/>
  <c r="AJ275" i="63" s="1"/>
  <c r="AK275" i="63" s="1"/>
  <c r="V275" i="63"/>
  <c r="AA275" i="63" s="1"/>
  <c r="AL275" i="63"/>
  <c r="AM275" i="63" s="1"/>
  <c r="U275" i="63" l="1"/>
  <c r="Y275" i="63" l="1"/>
  <c r="Z275" i="63"/>
  <c r="AH275" i="63" s="1"/>
  <c r="AB275" i="63"/>
  <c r="R276" i="63" l="1"/>
  <c r="T276" i="63"/>
  <c r="AE275" i="63"/>
  <c r="AF275" i="63" s="1"/>
  <c r="AD276" i="63" l="1"/>
  <c r="AG276" i="63"/>
  <c r="AJ276" i="63" s="1"/>
  <c r="AK276" i="63" s="1"/>
  <c r="V276" i="63"/>
  <c r="AA276" i="63" s="1"/>
  <c r="AL276" i="63"/>
  <c r="AM276" i="63" s="1"/>
  <c r="U276" i="63" l="1"/>
  <c r="Z276" i="63" l="1"/>
  <c r="AH276" i="63" s="1"/>
  <c r="Y276" i="63"/>
  <c r="AB276" i="63"/>
  <c r="R277" i="63" l="1"/>
  <c r="AE276" i="63"/>
  <c r="AF276" i="63" s="1"/>
  <c r="T277" i="63"/>
  <c r="AG277" i="63" l="1"/>
  <c r="AJ277" i="63" s="1"/>
  <c r="AK277" i="63" s="1"/>
  <c r="AD277" i="63"/>
  <c r="AL277" i="63"/>
  <c r="AM277" i="63" s="1"/>
  <c r="V277" i="63"/>
  <c r="AA277" i="63" s="1"/>
  <c r="U277" i="63" l="1"/>
  <c r="Z277" i="63" l="1"/>
  <c r="AH277" i="63" s="1"/>
  <c r="Y277" i="63"/>
  <c r="AB277" i="63"/>
  <c r="R278" i="63" l="1"/>
  <c r="T278" i="63"/>
  <c r="AE277" i="63"/>
  <c r="AF277" i="63" s="1"/>
  <c r="AD278" i="63" l="1"/>
  <c r="AG278" i="63"/>
  <c r="AJ278" i="63" s="1"/>
  <c r="AK278" i="63" s="1"/>
  <c r="V278" i="63"/>
  <c r="AA278" i="63" s="1"/>
  <c r="AL278" i="63"/>
  <c r="AM278" i="63" s="1"/>
  <c r="U278" i="63" l="1"/>
  <c r="Z278" i="63" l="1"/>
  <c r="AH278" i="63" s="1"/>
  <c r="Y278" i="63"/>
  <c r="AB278" i="63"/>
  <c r="AE278" i="63" l="1"/>
  <c r="AF278" i="63" s="1"/>
  <c r="T279" i="63"/>
  <c r="R279" i="63"/>
  <c r="V279" i="63" l="1"/>
  <c r="AA279" i="63" s="1"/>
  <c r="AL279" i="63"/>
  <c r="AM279" i="63" s="1"/>
  <c r="AG279" i="63"/>
  <c r="AJ279" i="63" s="1"/>
  <c r="AK279" i="63" s="1"/>
  <c r="AD279" i="63"/>
  <c r="U279" i="63" l="1"/>
  <c r="Z279" i="63" s="1"/>
  <c r="AH279" i="63" s="1"/>
  <c r="AB279" i="63"/>
  <c r="Y279" i="63" l="1"/>
  <c r="R280" i="63"/>
  <c r="AE279" i="63"/>
  <c r="AF279" i="63" s="1"/>
  <c r="T280" i="63"/>
  <c r="AD280" i="63" l="1"/>
  <c r="AG280" i="63"/>
  <c r="AJ280" i="63" s="1"/>
  <c r="AK280" i="63" s="1"/>
  <c r="AL280" i="63"/>
  <c r="AM280" i="63" s="1"/>
  <c r="V280" i="63"/>
  <c r="AA280" i="63" s="1"/>
  <c r="U280" i="63" l="1"/>
  <c r="Y280" i="63" l="1"/>
  <c r="Z280" i="63"/>
  <c r="AH280" i="63" s="1"/>
  <c r="AB280" i="63"/>
  <c r="T281" i="63" l="1"/>
  <c r="AE280" i="63"/>
  <c r="AF280" i="63" s="1"/>
  <c r="R281" i="63"/>
  <c r="AL281" i="63" l="1"/>
  <c r="AM281" i="63" s="1"/>
  <c r="V281" i="63"/>
  <c r="AA281" i="63" s="1"/>
  <c r="AD281" i="63"/>
  <c r="AG281" i="63"/>
  <c r="AJ281" i="63" s="1"/>
  <c r="AK281" i="63" s="1"/>
  <c r="U281" i="63" l="1"/>
  <c r="Z281" i="63" s="1"/>
  <c r="AH281" i="63" s="1"/>
  <c r="Y281" i="63"/>
  <c r="AB281" i="63"/>
  <c r="T282" i="63" l="1"/>
  <c r="AE281" i="63"/>
  <c r="AF281" i="63" s="1"/>
  <c r="R282" i="63"/>
  <c r="AL282" i="63" l="1"/>
  <c r="AM282" i="63" s="1"/>
  <c r="V282" i="63"/>
  <c r="AA282" i="63" s="1"/>
  <c r="AD282" i="63"/>
  <c r="AG282" i="63"/>
  <c r="AJ282" i="63" s="1"/>
  <c r="AK282" i="63" s="1"/>
  <c r="U282" i="63"/>
  <c r="Y282" i="63" l="1"/>
  <c r="Z282" i="63"/>
  <c r="AH282" i="63" s="1"/>
  <c r="AB282" i="63"/>
  <c r="R283" i="63" l="1"/>
  <c r="AE282" i="63"/>
  <c r="AF282" i="63" s="1"/>
  <c r="T283" i="63"/>
  <c r="AD283" i="63" l="1"/>
  <c r="AG283" i="63"/>
  <c r="AJ283" i="63" s="1"/>
  <c r="AK283" i="63" s="1"/>
  <c r="AL283" i="63"/>
  <c r="AM283" i="63" s="1"/>
  <c r="V283" i="63"/>
  <c r="AA283" i="63" s="1"/>
  <c r="U283" i="63" l="1"/>
  <c r="Y283" i="63" l="1"/>
  <c r="Z283" i="63"/>
  <c r="AH283" i="63" s="1"/>
  <c r="AB283" i="63"/>
  <c r="R284" i="63" l="1"/>
  <c r="T284" i="63"/>
  <c r="AE283" i="63"/>
  <c r="AF283" i="63" s="1"/>
  <c r="AD284" i="63" l="1"/>
  <c r="AG284" i="63"/>
  <c r="AJ284" i="63" s="1"/>
  <c r="AK284" i="63" s="1"/>
  <c r="AL284" i="63"/>
  <c r="AM284" i="63" s="1"/>
  <c r="V284" i="63"/>
  <c r="AA284" i="63" s="1"/>
  <c r="U284" i="63" l="1"/>
  <c r="Z284" i="63" l="1"/>
  <c r="AH284" i="63" s="1"/>
  <c r="Y284" i="63"/>
  <c r="AB284" i="63"/>
  <c r="R285" i="63" l="1"/>
  <c r="AE284" i="63"/>
  <c r="AF284" i="63" s="1"/>
  <c r="T285" i="63"/>
  <c r="AG285" i="63" l="1"/>
  <c r="AJ285" i="63" s="1"/>
  <c r="AK285" i="63" s="1"/>
  <c r="AD285" i="63"/>
  <c r="AL285" i="63"/>
  <c r="AM285" i="63" s="1"/>
  <c r="V285" i="63"/>
  <c r="AA285" i="63" s="1"/>
  <c r="U285" i="63" l="1"/>
  <c r="Z285" i="63" l="1"/>
  <c r="AH285" i="63" s="1"/>
  <c r="Y285" i="63"/>
  <c r="AB285" i="63"/>
  <c r="R286" i="63" l="1"/>
  <c r="T286" i="63"/>
  <c r="AE285" i="63"/>
  <c r="AF285" i="63" s="1"/>
  <c r="AD286" i="63" l="1"/>
  <c r="AG286" i="63"/>
  <c r="AJ286" i="63" s="1"/>
  <c r="AK286" i="63" s="1"/>
  <c r="AL286" i="63"/>
  <c r="AM286" i="63" s="1"/>
  <c r="V286" i="63"/>
  <c r="AA286" i="63" s="1"/>
  <c r="U286" i="63" l="1"/>
  <c r="Y286" i="63" l="1"/>
  <c r="Z286" i="63"/>
  <c r="AH286" i="63" s="1"/>
  <c r="AB286" i="63"/>
  <c r="AE286" i="63" l="1"/>
  <c r="AF286" i="63" s="1"/>
  <c r="R287" i="63"/>
  <c r="T287" i="63"/>
  <c r="AD287" i="63" l="1"/>
  <c r="AG287" i="63"/>
  <c r="AJ287" i="63" s="1"/>
  <c r="AK287" i="63" s="1"/>
  <c r="AL287" i="63"/>
  <c r="AM287" i="63" s="1"/>
  <c r="V287" i="63"/>
  <c r="AA287" i="63" s="1"/>
  <c r="U287" i="63" l="1"/>
  <c r="Z287" i="63" l="1"/>
  <c r="AH287" i="63" s="1"/>
  <c r="Y287" i="63"/>
  <c r="AB287" i="63"/>
  <c r="R288" i="63" l="1"/>
  <c r="AE287" i="63"/>
  <c r="AF287" i="63" s="1"/>
  <c r="T288" i="63"/>
  <c r="AD288" i="63" l="1"/>
  <c r="AG288" i="63"/>
  <c r="AJ288" i="63" s="1"/>
  <c r="AK288" i="63" s="1"/>
  <c r="AL288" i="63"/>
  <c r="AM288" i="63" s="1"/>
  <c r="V288" i="63"/>
  <c r="AA288" i="63" s="1"/>
  <c r="U288" i="63" l="1"/>
  <c r="Z288" i="63" l="1"/>
  <c r="AH288" i="63" s="1"/>
  <c r="Y288" i="63"/>
  <c r="AB288" i="63"/>
  <c r="AE288" i="63" l="1"/>
  <c r="AF288" i="63" s="1"/>
  <c r="T289" i="63"/>
  <c r="R289" i="63"/>
  <c r="V289" i="63" l="1"/>
  <c r="AA289" i="63" s="1"/>
  <c r="AL289" i="63"/>
  <c r="AM289" i="63" s="1"/>
  <c r="AG289" i="63"/>
  <c r="AJ289" i="63" s="1"/>
  <c r="AK289" i="63" s="1"/>
  <c r="AD289" i="63"/>
  <c r="U289" i="63" l="1"/>
  <c r="Y289" i="63" s="1"/>
  <c r="AB289" i="63"/>
  <c r="Z289" i="63" l="1"/>
  <c r="AH289" i="63" s="1"/>
  <c r="AE289" i="63"/>
  <c r="AF289" i="63" s="1"/>
  <c r="T290" i="63"/>
  <c r="R290" i="63"/>
  <c r="AL290" i="63" l="1"/>
  <c r="AM290" i="63" s="1"/>
  <c r="V290" i="63"/>
  <c r="AA290" i="63" s="1"/>
  <c r="AD290" i="63"/>
  <c r="AG290" i="63"/>
  <c r="AJ290" i="63" s="1"/>
  <c r="AK290" i="63" s="1"/>
  <c r="U290" i="63" l="1"/>
  <c r="Y290" i="63" s="1"/>
  <c r="AB290" i="63" l="1"/>
  <c r="R291" i="63" s="1"/>
  <c r="Z290" i="63"/>
  <c r="AH290" i="63" s="1"/>
  <c r="T291" i="63" l="1"/>
  <c r="AD291" i="63" s="1"/>
  <c r="AE290" i="63"/>
  <c r="AF290" i="63" s="1"/>
  <c r="AL291" i="63"/>
  <c r="AM291" i="63" s="1"/>
  <c r="V291" i="63"/>
  <c r="AA291" i="63" s="1"/>
  <c r="AG291" i="63" l="1"/>
  <c r="AJ291" i="63" s="1"/>
  <c r="AK291" i="63" s="1"/>
  <c r="U291" i="63"/>
  <c r="Z291" i="63" l="1"/>
  <c r="AH291" i="63" s="1"/>
  <c r="Y291" i="63"/>
  <c r="AB291" i="63"/>
  <c r="R292" i="63" l="1"/>
  <c r="AE291" i="63"/>
  <c r="AF291" i="63" s="1"/>
  <c r="T292" i="63"/>
  <c r="AD292" i="63" l="1"/>
  <c r="AG292" i="63"/>
  <c r="AJ292" i="63" s="1"/>
  <c r="AK292" i="63" s="1"/>
  <c r="V292" i="63"/>
  <c r="AA292" i="63" s="1"/>
  <c r="AL292" i="63"/>
  <c r="AM292" i="63" s="1"/>
  <c r="U292" i="63" l="1"/>
  <c r="Z292" i="63" l="1"/>
  <c r="AH292" i="63" s="1"/>
  <c r="Y292" i="63"/>
  <c r="AB292" i="63"/>
  <c r="T293" i="63" l="1"/>
  <c r="R293" i="63"/>
  <c r="AE292" i="63"/>
  <c r="AF292" i="63" s="1"/>
  <c r="AL293" i="63" l="1"/>
  <c r="AM293" i="63" s="1"/>
  <c r="V293" i="63"/>
  <c r="AA293" i="63" s="1"/>
  <c r="AD293" i="63"/>
  <c r="AG293" i="63"/>
  <c r="AJ293" i="63" s="1"/>
  <c r="AK293" i="63" s="1"/>
  <c r="U293" i="63" l="1"/>
  <c r="AB293" i="63" s="1"/>
  <c r="T294" i="63" s="1"/>
  <c r="Z293" i="63" l="1"/>
  <c r="AH293" i="63" s="1"/>
  <c r="Y293" i="63"/>
  <c r="AE293" i="63"/>
  <c r="AF293" i="63" s="1"/>
  <c r="R294" i="63"/>
  <c r="V294" i="63" s="1"/>
  <c r="AA294" i="63" s="1"/>
  <c r="AD294" i="63"/>
  <c r="AG294" i="63"/>
  <c r="AJ294" i="63" s="1"/>
  <c r="AK294" i="63" s="1"/>
  <c r="AL294" i="63" l="1"/>
  <c r="AM294" i="63" s="1"/>
  <c r="U294" i="63"/>
  <c r="Z294" i="63" s="1"/>
  <c r="AH294" i="63" s="1"/>
  <c r="AB294" i="63" l="1"/>
  <c r="AE294" i="63" s="1"/>
  <c r="AF294" i="63" s="1"/>
  <c r="Y294" i="63"/>
  <c r="T295" i="63" l="1"/>
  <c r="AD295" i="63" s="1"/>
  <c r="R295" i="63"/>
  <c r="V295" i="63" s="1"/>
  <c r="AA295" i="63" s="1"/>
  <c r="AL295" i="63" l="1"/>
  <c r="AM295" i="63" s="1"/>
  <c r="AG295" i="63"/>
  <c r="AJ295" i="63" s="1"/>
  <c r="AK295" i="63" s="1"/>
  <c r="U295" i="63"/>
  <c r="Z295" i="63" l="1"/>
  <c r="AH295" i="63" s="1"/>
  <c r="Y295" i="63"/>
  <c r="AB295" i="63"/>
  <c r="R296" i="63" l="1"/>
  <c r="T296" i="63"/>
  <c r="AE295" i="63"/>
  <c r="AF295" i="63" s="1"/>
  <c r="AD296" i="63" l="1"/>
  <c r="AG296" i="63"/>
  <c r="AJ296" i="63" s="1"/>
  <c r="AK296" i="63" s="1"/>
  <c r="AL296" i="63"/>
  <c r="AM296" i="63" s="1"/>
  <c r="V296" i="63"/>
  <c r="AA296" i="63" s="1"/>
  <c r="U296" i="63" l="1"/>
  <c r="Y296" i="63" l="1"/>
  <c r="Z296" i="63"/>
  <c r="AH296" i="63" s="1"/>
  <c r="AB296" i="63"/>
  <c r="AE296" i="63" l="1"/>
  <c r="AF296" i="63" s="1"/>
  <c r="T297" i="63"/>
  <c r="R297" i="63"/>
  <c r="V297" i="63" l="1"/>
  <c r="AA297" i="63" s="1"/>
  <c r="AL297" i="63"/>
  <c r="AM297" i="63" s="1"/>
  <c r="AG297" i="63"/>
  <c r="AJ297" i="63" s="1"/>
  <c r="AK297" i="63" s="1"/>
  <c r="AD297" i="63"/>
  <c r="U297" i="63" l="1"/>
  <c r="Y297" i="63" s="1"/>
  <c r="AB297" i="63" l="1"/>
  <c r="AE297" i="63" s="1"/>
  <c r="AF297" i="63" s="1"/>
  <c r="Z297" i="63"/>
  <c r="AH297" i="63" s="1"/>
  <c r="T298" i="63" l="1"/>
  <c r="AD298" i="63" s="1"/>
  <c r="R298" i="63"/>
  <c r="AL298" i="63" s="1"/>
  <c r="AM298" i="63" s="1"/>
  <c r="V298" i="63" l="1"/>
  <c r="AA298" i="63" s="1"/>
  <c r="AG298" i="63"/>
  <c r="AJ298" i="63" s="1"/>
  <c r="AK298" i="63" s="1"/>
  <c r="U298" i="63"/>
  <c r="Y298" i="63"/>
  <c r="Z298" i="63"/>
  <c r="AH298" i="63" s="1"/>
  <c r="AB298" i="63"/>
  <c r="R299" i="63" l="1"/>
  <c r="AE298" i="63"/>
  <c r="AF298" i="63" s="1"/>
  <c r="T299" i="63"/>
  <c r="AD299" i="63" l="1"/>
  <c r="AG299" i="63"/>
  <c r="AJ299" i="63" s="1"/>
  <c r="AK299" i="63" s="1"/>
  <c r="AL299" i="63"/>
  <c r="AM299" i="63" s="1"/>
  <c r="V299" i="63"/>
  <c r="AA299" i="63" s="1"/>
  <c r="U299" i="63" l="1"/>
  <c r="Y299" i="63" l="1"/>
  <c r="Z299" i="63"/>
  <c r="AH299" i="63" s="1"/>
  <c r="AB299" i="63"/>
  <c r="R300" i="63" l="1"/>
  <c r="T300" i="63"/>
  <c r="AE299" i="63"/>
  <c r="AF299" i="63" s="1"/>
  <c r="AD300" i="63" l="1"/>
  <c r="AG300" i="63"/>
  <c r="AJ300" i="63" s="1"/>
  <c r="AK300" i="63" s="1"/>
  <c r="AK3" i="63" s="1"/>
  <c r="AL300" i="63"/>
  <c r="AM300" i="63" s="1"/>
  <c r="V300" i="63"/>
  <c r="AA300" i="63" s="1"/>
  <c r="AK5" i="63" l="1"/>
  <c r="U300" i="63"/>
  <c r="Z300" i="63" l="1"/>
  <c r="AH300" i="63" s="1"/>
  <c r="Y300" i="63"/>
  <c r="AB300" i="63"/>
  <c r="AK4" i="63" l="1"/>
  <c r="AK6" i="63" s="1"/>
  <c r="T301" i="63"/>
  <c r="AE300" i="63"/>
  <c r="AF300" i="63" s="1"/>
  <c r="R301" i="63"/>
  <c r="AL301" i="63" l="1"/>
  <c r="AM301" i="63" s="1"/>
  <c r="V301" i="63"/>
  <c r="AA301" i="63" s="1"/>
  <c r="AD301" i="63"/>
  <c r="AG301" i="63"/>
  <c r="AJ301" i="63" s="1"/>
  <c r="AK301" i="63" s="1"/>
  <c r="U301" i="63" l="1"/>
  <c r="Y301" i="63" l="1"/>
  <c r="Z301" i="63"/>
  <c r="AH301" i="63" s="1"/>
  <c r="AB301" i="63"/>
  <c r="R302" i="63" l="1"/>
  <c r="T302" i="63"/>
  <c r="AE301" i="63"/>
  <c r="AF301" i="63" s="1"/>
  <c r="AD302" i="63" l="1"/>
  <c r="AG302" i="63"/>
  <c r="AJ302" i="63" s="1"/>
  <c r="AK302" i="63" s="1"/>
  <c r="V302" i="63"/>
  <c r="AA302" i="63" s="1"/>
  <c r="AL302" i="63"/>
  <c r="AM302" i="63" s="1"/>
  <c r="U302" i="63" l="1"/>
  <c r="Z302" i="63" l="1"/>
  <c r="AH302" i="63" s="1"/>
  <c r="Y302" i="63"/>
  <c r="AB302" i="63"/>
  <c r="R303" i="63" l="1"/>
  <c r="T303" i="63"/>
  <c r="AE302" i="63"/>
  <c r="AF302" i="63" s="1"/>
  <c r="AD303" i="63" l="1"/>
  <c r="AG303" i="63"/>
  <c r="AJ303" i="63" s="1"/>
  <c r="AK303" i="63" s="1"/>
  <c r="V303" i="63"/>
  <c r="AA303" i="63" s="1"/>
  <c r="AL303" i="63"/>
  <c r="AM303" i="63" s="1"/>
  <c r="U303" i="63" l="1"/>
  <c r="Z303" i="63" l="1"/>
  <c r="AH303" i="63" s="1"/>
  <c r="Y303" i="63"/>
  <c r="AB303" i="63"/>
  <c r="T304" i="63" l="1"/>
  <c r="R304" i="63"/>
  <c r="AE303" i="63"/>
  <c r="AF303" i="63" s="1"/>
  <c r="V304" i="63" l="1"/>
  <c r="AA304" i="63" s="1"/>
  <c r="AL304" i="63"/>
  <c r="AM304" i="63" s="1"/>
  <c r="AG304" i="63"/>
  <c r="AJ304" i="63" s="1"/>
  <c r="AK304" i="63" s="1"/>
  <c r="AD304" i="63"/>
  <c r="U304" i="63" l="1"/>
  <c r="AB304" i="63" s="1"/>
  <c r="AE304" i="63" s="1"/>
  <c r="AF304" i="63" s="1"/>
  <c r="Y304" i="63" l="1"/>
  <c r="R305" i="63"/>
  <c r="Z304" i="63"/>
  <c r="AH304" i="63" s="1"/>
  <c r="T305" i="63"/>
  <c r="AG305" i="63" s="1"/>
  <c r="AJ305" i="63" s="1"/>
  <c r="AK305" i="63" s="1"/>
  <c r="AL305" i="63"/>
  <c r="AM305" i="63" s="1"/>
  <c r="V305" i="63"/>
  <c r="AA305" i="63" s="1"/>
  <c r="AD305" i="63" l="1"/>
  <c r="U305" i="63"/>
  <c r="Y305" i="63" s="1"/>
  <c r="AB305" i="63" l="1"/>
  <c r="R306" i="63" s="1"/>
  <c r="Z305" i="63"/>
  <c r="AH305" i="63" s="1"/>
  <c r="AE305" i="63"/>
  <c r="AF305" i="63" s="1"/>
  <c r="T306" i="63" l="1"/>
  <c r="AD306" i="63"/>
  <c r="AG306" i="63"/>
  <c r="AJ306" i="63" s="1"/>
  <c r="AK306" i="63" s="1"/>
  <c r="AL306" i="63"/>
  <c r="AM306" i="63" s="1"/>
  <c r="V306" i="63"/>
  <c r="AA306" i="63" s="1"/>
  <c r="U306" i="63" l="1"/>
  <c r="Y306" i="63" l="1"/>
  <c r="Z306" i="63"/>
  <c r="AH306" i="63" s="1"/>
  <c r="AB306" i="63"/>
  <c r="R307" i="63" l="1"/>
  <c r="AE306" i="63"/>
  <c r="AF306" i="63" s="1"/>
  <c r="T307" i="63"/>
  <c r="AD307" i="63" l="1"/>
  <c r="AG307" i="63"/>
  <c r="AJ307" i="63" s="1"/>
  <c r="AK307" i="63" s="1"/>
  <c r="AL307" i="63"/>
  <c r="AM307" i="63" s="1"/>
  <c r="V307" i="63"/>
  <c r="AA307" i="63" s="1"/>
  <c r="U307" i="63" l="1"/>
  <c r="Y307" i="63" l="1"/>
  <c r="Z307" i="63"/>
  <c r="AH307" i="63" s="1"/>
  <c r="AB307" i="63"/>
  <c r="T308" i="63" l="1"/>
  <c r="AE307" i="63"/>
  <c r="AF307" i="63" s="1"/>
  <c r="R308" i="63"/>
  <c r="AL308" i="63" l="1"/>
  <c r="AM308" i="63" s="1"/>
  <c r="V308" i="63"/>
  <c r="AA308" i="63" s="1"/>
  <c r="AD308" i="63"/>
  <c r="AG308" i="63"/>
  <c r="AJ308" i="63" s="1"/>
  <c r="AK308" i="63" s="1"/>
  <c r="U308" i="63"/>
  <c r="Y308" i="63" l="1"/>
  <c r="Z308" i="63"/>
  <c r="AH308" i="63" s="1"/>
  <c r="AB308" i="63"/>
  <c r="T309" i="63" l="1"/>
  <c r="AE308" i="63"/>
  <c r="AF308" i="63" s="1"/>
  <c r="R309" i="63"/>
  <c r="AL309" i="63" l="1"/>
  <c r="AM309" i="63" s="1"/>
  <c r="V309" i="63"/>
  <c r="AA309" i="63" s="1"/>
  <c r="AD309" i="63"/>
  <c r="AG309" i="63"/>
  <c r="AJ309" i="63" s="1"/>
  <c r="AK309" i="63" s="1"/>
  <c r="U309" i="63" l="1"/>
  <c r="Y309" i="63" l="1"/>
  <c r="Z309" i="63"/>
  <c r="AH309" i="63" s="1"/>
  <c r="AB309" i="63"/>
  <c r="R310" i="63" l="1"/>
  <c r="AE309" i="63"/>
  <c r="AF309" i="63" s="1"/>
  <c r="T310" i="63"/>
  <c r="AD310" i="63" l="1"/>
  <c r="AG310" i="63"/>
  <c r="AJ310" i="63" s="1"/>
  <c r="AK310" i="63" s="1"/>
  <c r="AL310" i="63"/>
  <c r="AM310" i="63" s="1"/>
  <c r="V310" i="63"/>
  <c r="AA310" i="63" s="1"/>
  <c r="U310" i="63" l="1"/>
  <c r="Z310" i="63" l="1"/>
  <c r="AH310" i="63" s="1"/>
  <c r="Y310" i="63"/>
  <c r="AB310" i="63"/>
  <c r="R311" i="63" l="1"/>
  <c r="AE310" i="63"/>
  <c r="AF310" i="63" s="1"/>
  <c r="T311" i="63"/>
  <c r="AG311" i="63" l="1"/>
  <c r="AJ311" i="63" s="1"/>
  <c r="AK311" i="63" s="1"/>
  <c r="AD311" i="63"/>
  <c r="AL311" i="63"/>
  <c r="AM311" i="63" s="1"/>
  <c r="V311" i="63"/>
  <c r="AA311" i="63" s="1"/>
  <c r="U311" i="63" l="1"/>
  <c r="Y311" i="63" l="1"/>
  <c r="Z311" i="63"/>
  <c r="AH311" i="63" s="1"/>
  <c r="AB311" i="63"/>
  <c r="R312" i="63" l="1"/>
  <c r="T312" i="63"/>
  <c r="AE311" i="63"/>
  <c r="AF311" i="63" s="1"/>
  <c r="AD312" i="63" l="1"/>
  <c r="AG312" i="63"/>
  <c r="AJ312" i="63" s="1"/>
  <c r="AK312" i="63" s="1"/>
  <c r="V312" i="63"/>
  <c r="AA312" i="63" s="1"/>
  <c r="AL312" i="63"/>
  <c r="AM312" i="63" s="1"/>
  <c r="U312" i="63" l="1"/>
  <c r="Z312" i="63" l="1"/>
  <c r="AH312" i="63" s="1"/>
  <c r="Y312" i="63"/>
  <c r="AB312" i="63"/>
  <c r="AE312" i="63" l="1"/>
  <c r="AF312" i="63" s="1"/>
  <c r="T313" i="63"/>
  <c r="R313" i="63"/>
  <c r="V313" i="63" l="1"/>
  <c r="AA313" i="63" s="1"/>
  <c r="AL313" i="63"/>
  <c r="AM313" i="63" s="1"/>
  <c r="AG313" i="63"/>
  <c r="AJ313" i="63" s="1"/>
  <c r="AK313" i="63" s="1"/>
  <c r="AD313" i="63"/>
  <c r="U313" i="63" l="1"/>
  <c r="Y313" i="63" s="1"/>
  <c r="AB313" i="63" l="1"/>
  <c r="AE313" i="63" s="1"/>
  <c r="AF313" i="63" s="1"/>
  <c r="Z313" i="63"/>
  <c r="AH313" i="63" s="1"/>
  <c r="R314" i="63"/>
  <c r="T314" i="63"/>
  <c r="AD314" i="63" l="1"/>
  <c r="AG314" i="63"/>
  <c r="AJ314" i="63" s="1"/>
  <c r="AK314" i="63" s="1"/>
  <c r="AL314" i="63"/>
  <c r="AM314" i="63" s="1"/>
  <c r="V314" i="63"/>
  <c r="AA314" i="63" s="1"/>
  <c r="U314" i="63" l="1"/>
  <c r="Y314" i="63" l="1"/>
  <c r="Z314" i="63"/>
  <c r="AH314" i="63" s="1"/>
  <c r="AB314" i="63"/>
  <c r="T315" i="63" l="1"/>
  <c r="AE314" i="63"/>
  <c r="AF314" i="63" s="1"/>
  <c r="R315" i="63"/>
  <c r="V315" i="63" l="1"/>
  <c r="AA315" i="63" s="1"/>
  <c r="AL315" i="63"/>
  <c r="AM315" i="63" s="1"/>
  <c r="AD315" i="63"/>
  <c r="AG315" i="63"/>
  <c r="AJ315" i="63" s="1"/>
  <c r="AK315" i="63" s="1"/>
  <c r="U315" i="63" l="1"/>
  <c r="Y315" i="63" s="1"/>
  <c r="Z315" i="63" l="1"/>
  <c r="AH315" i="63" s="1"/>
  <c r="AB315" i="63"/>
  <c r="R316" i="63" s="1"/>
  <c r="T316" i="63" l="1"/>
  <c r="AE315" i="63"/>
  <c r="AF315" i="63" s="1"/>
  <c r="AD316" i="63"/>
  <c r="AG316" i="63"/>
  <c r="AJ316" i="63" s="1"/>
  <c r="AK316" i="63" s="1"/>
  <c r="AL316" i="63"/>
  <c r="AM316" i="63" s="1"/>
  <c r="V316" i="63"/>
  <c r="AA316" i="63" s="1"/>
  <c r="U316" i="63" l="1"/>
  <c r="Z316" i="63" l="1"/>
  <c r="AH316" i="63" s="1"/>
  <c r="Y316" i="63"/>
  <c r="AB316" i="63"/>
  <c r="R317" i="63" l="1"/>
  <c r="AE316" i="63"/>
  <c r="AF316" i="63" s="1"/>
  <c r="T317" i="63"/>
  <c r="AD317" i="63" l="1"/>
  <c r="AG317" i="63"/>
  <c r="AJ317" i="63" s="1"/>
  <c r="AK317" i="63" s="1"/>
  <c r="AL317" i="63"/>
  <c r="AM317" i="63" s="1"/>
  <c r="V317" i="63"/>
  <c r="AA317" i="63" s="1"/>
  <c r="U317" i="63" l="1"/>
  <c r="Z317" i="63" l="1"/>
  <c r="AH317" i="63" s="1"/>
  <c r="Y317" i="63"/>
  <c r="AB317" i="63"/>
  <c r="R318" i="63" l="1"/>
  <c r="T318" i="63"/>
  <c r="AE317" i="63"/>
  <c r="AF317" i="63" s="1"/>
  <c r="AD318" i="63" l="1"/>
  <c r="AG318" i="63"/>
  <c r="AJ318" i="63" s="1"/>
  <c r="AK318" i="63" s="1"/>
  <c r="V318" i="63"/>
  <c r="AA318" i="63" s="1"/>
  <c r="AL318" i="63"/>
  <c r="AM318" i="63" s="1"/>
  <c r="U318" i="63" l="1"/>
  <c r="Z318" i="63" l="1"/>
  <c r="AH318" i="63" s="1"/>
  <c r="Y318" i="63"/>
  <c r="AB318" i="63"/>
  <c r="R319" i="63" l="1"/>
  <c r="T319" i="63"/>
  <c r="AE318" i="63"/>
  <c r="AF318" i="63" s="1"/>
  <c r="AD319" i="63" l="1"/>
  <c r="AG319" i="63"/>
  <c r="AJ319" i="63" s="1"/>
  <c r="AK319" i="63" s="1"/>
  <c r="V319" i="63"/>
  <c r="AA319" i="63" s="1"/>
  <c r="AL319" i="63"/>
  <c r="AM319" i="63" s="1"/>
  <c r="U319" i="63" l="1"/>
  <c r="Y319" i="63" l="1"/>
  <c r="Z319" i="63"/>
  <c r="AH319" i="63" s="1"/>
  <c r="AB319" i="63"/>
  <c r="R320" i="63" l="1"/>
  <c r="T320" i="63"/>
  <c r="AE319" i="63"/>
  <c r="AF319" i="63" s="1"/>
  <c r="AD320" i="63" l="1"/>
  <c r="AG320" i="63"/>
  <c r="AJ320" i="63" s="1"/>
  <c r="AK320" i="63" s="1"/>
  <c r="V320" i="63"/>
  <c r="AA320" i="63" s="1"/>
  <c r="AL320" i="63"/>
  <c r="AM320" i="63" s="1"/>
  <c r="U320" i="63" l="1"/>
  <c r="Y320" i="63" l="1"/>
  <c r="Z320" i="63"/>
  <c r="AH320" i="63" s="1"/>
  <c r="AB320" i="63"/>
  <c r="AE320" i="63" l="1"/>
  <c r="AF320" i="63" s="1"/>
  <c r="T321" i="63"/>
  <c r="R321" i="63"/>
  <c r="V321" i="63" l="1"/>
  <c r="AA321" i="63" s="1"/>
  <c r="AL321" i="63"/>
  <c r="AM321" i="63" s="1"/>
  <c r="AG321" i="63"/>
  <c r="AJ321" i="63" s="1"/>
  <c r="AK321" i="63" s="1"/>
  <c r="AD321" i="63"/>
  <c r="U321" i="63" l="1"/>
  <c r="Y321" i="63"/>
  <c r="Z321" i="63"/>
  <c r="AH321" i="63" s="1"/>
  <c r="AB321" i="63"/>
  <c r="AE321" i="63" l="1"/>
  <c r="AF321" i="63" s="1"/>
  <c r="R322" i="63"/>
  <c r="T322" i="63"/>
  <c r="AD322" i="63" l="1"/>
  <c r="AG322" i="63"/>
  <c r="AJ322" i="63" s="1"/>
  <c r="AK322" i="63" s="1"/>
  <c r="V322" i="63"/>
  <c r="AA322" i="63" s="1"/>
  <c r="AL322" i="63"/>
  <c r="AM322" i="63" s="1"/>
  <c r="U322" i="63" l="1"/>
  <c r="Z322" i="63" l="1"/>
  <c r="AH322" i="63" s="1"/>
  <c r="Y322" i="63"/>
  <c r="AB322" i="63"/>
  <c r="R323" i="63" l="1"/>
  <c r="AE322" i="63"/>
  <c r="AF322" i="63" s="1"/>
  <c r="T323" i="63"/>
  <c r="AD323" i="63" l="1"/>
  <c r="AG323" i="63"/>
  <c r="AJ323" i="63" s="1"/>
  <c r="AK323" i="63" s="1"/>
  <c r="V323" i="63"/>
  <c r="AA323" i="63" s="1"/>
  <c r="AL323" i="63"/>
  <c r="AM323" i="63" s="1"/>
  <c r="U323" i="63" l="1"/>
  <c r="Y323" i="63" l="1"/>
  <c r="Z323" i="63"/>
  <c r="AH323" i="63" s="1"/>
  <c r="AB323" i="63"/>
  <c r="T324" i="63" l="1"/>
  <c r="AE323" i="63"/>
  <c r="AF323" i="63" s="1"/>
  <c r="R324" i="63"/>
  <c r="V324" i="63" l="1"/>
  <c r="AA324" i="63" s="1"/>
  <c r="AL324" i="63"/>
  <c r="AM324" i="63" s="1"/>
  <c r="AD324" i="63"/>
  <c r="AG324" i="63"/>
  <c r="AJ324" i="63" s="1"/>
  <c r="AK324" i="63" s="1"/>
  <c r="U324" i="63" l="1"/>
  <c r="Y324" i="63" s="1"/>
  <c r="AB324" i="63"/>
  <c r="Z324" i="63" l="1"/>
  <c r="AH324" i="63" s="1"/>
  <c r="R325" i="63"/>
  <c r="AE324" i="63"/>
  <c r="AF324" i="63" s="1"/>
  <c r="T325" i="63"/>
  <c r="AD325" i="63" l="1"/>
  <c r="AG325" i="63"/>
  <c r="AJ325" i="63" s="1"/>
  <c r="AK325" i="63" s="1"/>
  <c r="V325" i="63"/>
  <c r="AA325" i="63" s="1"/>
  <c r="AL325" i="63"/>
  <c r="AM325" i="63" s="1"/>
  <c r="U325" i="63" l="1"/>
  <c r="Y325" i="63" l="1"/>
  <c r="Z325" i="63"/>
  <c r="AH325" i="63" s="1"/>
  <c r="AB325" i="63"/>
  <c r="R326" i="63" l="1"/>
  <c r="T326" i="63"/>
  <c r="AE325" i="63"/>
  <c r="AF325" i="63" s="1"/>
  <c r="AD326" i="63" l="1"/>
  <c r="AG326" i="63"/>
  <c r="AJ326" i="63" s="1"/>
  <c r="AK326" i="63" s="1"/>
  <c r="AL326" i="63"/>
  <c r="AM326" i="63" s="1"/>
  <c r="V326" i="63"/>
  <c r="AA326" i="63" s="1"/>
  <c r="U326" i="63" l="1"/>
  <c r="Z326" i="63" l="1"/>
  <c r="AH326" i="63" s="1"/>
  <c r="Y326" i="63"/>
  <c r="AB326" i="63"/>
  <c r="R327" i="63" l="1"/>
  <c r="AE326" i="63"/>
  <c r="AF326" i="63" s="1"/>
  <c r="T327" i="63"/>
  <c r="AG327" i="63" l="1"/>
  <c r="AJ327" i="63" s="1"/>
  <c r="AK327" i="63" s="1"/>
  <c r="AD327" i="63"/>
  <c r="AL327" i="63"/>
  <c r="AM327" i="63" s="1"/>
  <c r="V327" i="63"/>
  <c r="AA327" i="63" s="1"/>
  <c r="U327" i="63" l="1"/>
  <c r="Z327" i="63" l="1"/>
  <c r="AH327" i="63" s="1"/>
  <c r="Y327" i="63"/>
  <c r="AB327" i="63"/>
  <c r="R328" i="63" l="1"/>
  <c r="T328" i="63"/>
  <c r="AE327" i="63"/>
  <c r="AF327" i="63" s="1"/>
  <c r="AD328" i="63" l="1"/>
  <c r="AG328" i="63"/>
  <c r="AJ328" i="63" s="1"/>
  <c r="AK328" i="63" s="1"/>
  <c r="V328" i="63"/>
  <c r="AA328" i="63" s="1"/>
  <c r="AL328" i="63"/>
  <c r="AM328" i="63" s="1"/>
  <c r="U328" i="63" l="1"/>
  <c r="Y328" i="63" l="1"/>
  <c r="Z328" i="63"/>
  <c r="AH328" i="63" s="1"/>
  <c r="AB328" i="63"/>
  <c r="AE328" i="63" l="1"/>
  <c r="AF328" i="63" s="1"/>
  <c r="T329" i="63"/>
  <c r="R329" i="63"/>
  <c r="AL329" i="63" l="1"/>
  <c r="AM329" i="63" s="1"/>
  <c r="V329" i="63"/>
  <c r="AA329" i="63" s="1"/>
  <c r="AG329" i="63"/>
  <c r="AJ329" i="63" s="1"/>
  <c r="AK329" i="63" s="1"/>
  <c r="AD329" i="63"/>
  <c r="U329" i="63" l="1"/>
  <c r="Z329" i="63"/>
  <c r="AH329" i="63" s="1"/>
  <c r="Y329" i="63"/>
  <c r="AB329" i="63"/>
  <c r="AE329" i="63" l="1"/>
  <c r="AF329" i="63" s="1"/>
  <c r="R330" i="63"/>
  <c r="T330" i="63"/>
  <c r="AD330" i="63" l="1"/>
  <c r="AG330" i="63"/>
  <c r="AJ330" i="63" s="1"/>
  <c r="AK330" i="63" s="1"/>
  <c r="AL330" i="63"/>
  <c r="AM330" i="63" s="1"/>
  <c r="V330" i="63"/>
  <c r="AA330" i="63" s="1"/>
  <c r="U330" i="63" l="1"/>
  <c r="Y330" i="63" l="1"/>
  <c r="Z330" i="63"/>
  <c r="AH330" i="63" s="1"/>
  <c r="AB330" i="63"/>
  <c r="T331" i="63" l="1"/>
  <c r="AE330" i="63"/>
  <c r="AF330" i="63" s="1"/>
  <c r="R331" i="63"/>
  <c r="AL331" i="63" l="1"/>
  <c r="AM331" i="63" s="1"/>
  <c r="V331" i="63"/>
  <c r="AA331" i="63" s="1"/>
  <c r="AD331" i="63"/>
  <c r="AG331" i="63"/>
  <c r="AJ331" i="63" s="1"/>
  <c r="AK331" i="63" s="1"/>
  <c r="U331" i="63" l="1"/>
  <c r="Y331" i="63"/>
  <c r="Z331" i="63"/>
  <c r="AH331" i="63" s="1"/>
  <c r="AB331" i="63"/>
  <c r="R332" i="63" l="1"/>
  <c r="AE331" i="63"/>
  <c r="AF331" i="63" s="1"/>
  <c r="T332" i="63"/>
  <c r="AD332" i="63" l="1"/>
  <c r="AG332" i="63"/>
  <c r="AJ332" i="63" s="1"/>
  <c r="AK332" i="63" s="1"/>
  <c r="AL332" i="63"/>
  <c r="AM332" i="63" s="1"/>
  <c r="V332" i="63"/>
  <c r="AA332" i="63" s="1"/>
  <c r="U332" i="63" l="1"/>
  <c r="Y332" i="63" l="1"/>
  <c r="Z332" i="63"/>
  <c r="AH332" i="63" s="1"/>
  <c r="AB332" i="63"/>
  <c r="R333" i="63" l="1"/>
  <c r="AE332" i="63"/>
  <c r="AF332" i="63" s="1"/>
  <c r="T333" i="63"/>
  <c r="AD333" i="63" l="1"/>
  <c r="AG333" i="63"/>
  <c r="AJ333" i="63" s="1"/>
  <c r="AK333" i="63" s="1"/>
  <c r="AL333" i="63"/>
  <c r="AM333" i="63" s="1"/>
  <c r="V333" i="63"/>
  <c r="AA333" i="63" s="1"/>
  <c r="U333" i="63" l="1"/>
  <c r="Z333" i="63" l="1"/>
  <c r="AH333" i="63" s="1"/>
  <c r="Y333" i="63"/>
  <c r="AB333" i="63"/>
  <c r="R334" i="63" l="1"/>
  <c r="T334" i="63"/>
  <c r="AE333" i="63"/>
  <c r="AF333" i="63" s="1"/>
  <c r="AD334" i="63" l="1"/>
  <c r="AG334" i="63"/>
  <c r="AJ334" i="63" s="1"/>
  <c r="AK334" i="63" s="1"/>
  <c r="V334" i="63"/>
  <c r="AA334" i="63" s="1"/>
  <c r="AL334" i="63"/>
  <c r="AM334" i="63" s="1"/>
  <c r="U334" i="63" l="1"/>
  <c r="Z334" i="63" l="1"/>
  <c r="AH334" i="63" s="1"/>
  <c r="Y334" i="63"/>
  <c r="AB334" i="63"/>
  <c r="R335" i="63" l="1"/>
  <c r="AE334" i="63"/>
  <c r="AF334" i="63" s="1"/>
  <c r="T335" i="63"/>
  <c r="AG335" i="63" l="1"/>
  <c r="AJ335" i="63" s="1"/>
  <c r="AK335" i="63" s="1"/>
  <c r="AD335" i="63"/>
  <c r="V335" i="63"/>
  <c r="AA335" i="63" s="1"/>
  <c r="AL335" i="63"/>
  <c r="AM335" i="63" s="1"/>
  <c r="U335" i="63" l="1"/>
  <c r="Z335" i="63" l="1"/>
  <c r="AH335" i="63" s="1"/>
  <c r="Y335" i="63"/>
  <c r="AB335" i="63"/>
  <c r="R336" i="63" l="1"/>
  <c r="T336" i="63"/>
  <c r="AE335" i="63"/>
  <c r="AF335" i="63" s="1"/>
  <c r="AD336" i="63" l="1"/>
  <c r="AG336" i="63"/>
  <c r="AJ336" i="63" s="1"/>
  <c r="AK336" i="63" s="1"/>
  <c r="V336" i="63"/>
  <c r="AA336" i="63" s="1"/>
  <c r="AL336" i="63"/>
  <c r="AM336" i="63" s="1"/>
  <c r="U336" i="63" l="1"/>
  <c r="Y336" i="63" l="1"/>
  <c r="Z336" i="63"/>
  <c r="AH336" i="63" s="1"/>
  <c r="AB336" i="63"/>
  <c r="AE336" i="63" l="1"/>
  <c r="AF336" i="63" s="1"/>
  <c r="R337" i="63"/>
  <c r="T337" i="63"/>
  <c r="AD337" i="63" l="1"/>
  <c r="AG337" i="63"/>
  <c r="AJ337" i="63" s="1"/>
  <c r="AK337" i="63" s="1"/>
  <c r="AL337" i="63"/>
  <c r="AM337" i="63" s="1"/>
  <c r="V337" i="63"/>
  <c r="AA337" i="63" s="1"/>
  <c r="U337" i="63" l="1"/>
  <c r="Z337" i="63" l="1"/>
  <c r="AH337" i="63" s="1"/>
  <c r="Y337" i="63"/>
  <c r="AB337" i="63"/>
  <c r="R338" i="63" l="1"/>
  <c r="AE337" i="63"/>
  <c r="AF337" i="63" s="1"/>
  <c r="T338" i="63"/>
  <c r="AD338" i="63" l="1"/>
  <c r="AG338" i="63"/>
  <c r="AJ338" i="63" s="1"/>
  <c r="AK338" i="63" s="1"/>
  <c r="AL338" i="63"/>
  <c r="AM338" i="63" s="1"/>
  <c r="V338" i="63"/>
  <c r="AA338" i="63" s="1"/>
  <c r="U338" i="63" l="1"/>
  <c r="Y338" i="63" l="1"/>
  <c r="Z338" i="63"/>
  <c r="AH338" i="63" s="1"/>
  <c r="AB338" i="63"/>
  <c r="R339" i="63" l="1"/>
  <c r="AE338" i="63"/>
  <c r="AF338" i="63" s="1"/>
  <c r="T339" i="63"/>
  <c r="AD339" i="63" l="1"/>
  <c r="AG339" i="63"/>
  <c r="AJ339" i="63" s="1"/>
  <c r="AK339" i="63" s="1"/>
  <c r="AL339" i="63"/>
  <c r="AM339" i="63" s="1"/>
  <c r="V339" i="63"/>
  <c r="AA339" i="63" s="1"/>
  <c r="U339" i="63" l="1"/>
  <c r="Z339" i="63" l="1"/>
  <c r="AH339" i="63" s="1"/>
  <c r="Y339" i="63"/>
  <c r="AB339" i="63"/>
  <c r="R340" i="63" l="1"/>
  <c r="AE339" i="63"/>
  <c r="AF339" i="63" s="1"/>
  <c r="T340" i="63"/>
  <c r="AD340" i="63" l="1"/>
  <c r="AG340" i="63"/>
  <c r="AJ340" i="63" s="1"/>
  <c r="AK340" i="63" s="1"/>
  <c r="V340" i="63"/>
  <c r="AA340" i="63" s="1"/>
  <c r="AL340" i="63"/>
  <c r="AM340" i="63" s="1"/>
  <c r="U340" i="63" l="1"/>
  <c r="Z340" i="63" l="1"/>
  <c r="AH340" i="63" s="1"/>
  <c r="Y340" i="63"/>
  <c r="AB340" i="63"/>
  <c r="R341" i="63" l="1"/>
  <c r="AE340" i="63"/>
  <c r="AF340" i="63" s="1"/>
  <c r="T341" i="63"/>
  <c r="AD341" i="63" l="1"/>
  <c r="AG341" i="63"/>
  <c r="AJ341" i="63" s="1"/>
  <c r="AK341" i="63" s="1"/>
  <c r="V341" i="63"/>
  <c r="AA341" i="63" s="1"/>
  <c r="AL341" i="63"/>
  <c r="AM341" i="63" s="1"/>
  <c r="U341" i="63" l="1"/>
  <c r="Z341" i="63" l="1"/>
  <c r="AH341" i="63" s="1"/>
  <c r="Y341" i="63"/>
  <c r="AB341" i="63"/>
  <c r="R342" i="63" l="1"/>
  <c r="AE341" i="63"/>
  <c r="AF341" i="63" s="1"/>
  <c r="T342" i="63"/>
  <c r="AD342" i="63" l="1"/>
  <c r="AG342" i="63"/>
  <c r="AJ342" i="63" s="1"/>
  <c r="AK342" i="63" s="1"/>
  <c r="AL342" i="63"/>
  <c r="AM342" i="63" s="1"/>
  <c r="V342" i="63"/>
  <c r="AA342" i="63" s="1"/>
  <c r="U342" i="63" l="1"/>
  <c r="Z342" i="63" l="1"/>
  <c r="AH342" i="63" s="1"/>
  <c r="Y342" i="63"/>
  <c r="AB342" i="63"/>
  <c r="R343" i="63" l="1"/>
  <c r="T343" i="63"/>
  <c r="AE342" i="63"/>
  <c r="AF342" i="63" s="1"/>
  <c r="AD343" i="63" l="1"/>
  <c r="AG343" i="63"/>
  <c r="AJ343" i="63" s="1"/>
  <c r="AK343" i="63" s="1"/>
  <c r="AL343" i="63"/>
  <c r="AM343" i="63" s="1"/>
  <c r="V343" i="63"/>
  <c r="AA343" i="63" s="1"/>
  <c r="U343" i="63" l="1"/>
  <c r="Z343" i="63" l="1"/>
  <c r="AH343" i="63" s="1"/>
  <c r="Y343" i="63"/>
  <c r="AB343" i="63"/>
  <c r="R344" i="63" l="1"/>
  <c r="T344" i="63"/>
  <c r="AE343" i="63"/>
  <c r="AF343" i="63" s="1"/>
  <c r="AD344" i="63" l="1"/>
  <c r="AG344" i="63"/>
  <c r="AJ344" i="63" s="1"/>
  <c r="AK344" i="63" s="1"/>
  <c r="AL344" i="63"/>
  <c r="AM344" i="63" s="1"/>
  <c r="V344" i="63"/>
  <c r="AA344" i="63" s="1"/>
  <c r="U344" i="63" l="1"/>
  <c r="Y344" i="63" l="1"/>
  <c r="Z344" i="63"/>
  <c r="AH344" i="63" s="1"/>
  <c r="AB344" i="63"/>
  <c r="AE344" i="63" l="1"/>
  <c r="AF344" i="63" s="1"/>
  <c r="R345" i="63"/>
  <c r="T345" i="63"/>
  <c r="AD345" i="63" l="1"/>
  <c r="AG345" i="63"/>
  <c r="AJ345" i="63" s="1"/>
  <c r="AK345" i="63" s="1"/>
  <c r="AL345" i="63"/>
  <c r="AM345" i="63" s="1"/>
  <c r="V345" i="63"/>
  <c r="AA345" i="63" s="1"/>
  <c r="U345" i="63" l="1"/>
  <c r="Z345" i="63" l="1"/>
  <c r="AH345" i="63" s="1"/>
  <c r="Y345" i="63"/>
  <c r="AB345" i="63"/>
  <c r="AE345" i="63" l="1"/>
  <c r="AF345" i="63" s="1"/>
  <c r="R346" i="63"/>
  <c r="T346" i="63"/>
  <c r="AD346" i="63" l="1"/>
  <c r="AG346" i="63"/>
  <c r="AJ346" i="63" s="1"/>
  <c r="AK346" i="63" s="1"/>
  <c r="AL346" i="63"/>
  <c r="AM346" i="63" s="1"/>
  <c r="V346" i="63"/>
  <c r="AA346" i="63" s="1"/>
  <c r="U346" i="63" l="1"/>
  <c r="Y346" i="63" l="1"/>
  <c r="Z346" i="63"/>
  <c r="AH346" i="63" s="1"/>
  <c r="AB346" i="63"/>
  <c r="T347" i="63" l="1"/>
  <c r="AE346" i="63"/>
  <c r="AF346" i="63" s="1"/>
  <c r="R347" i="63"/>
  <c r="V347" i="63" l="1"/>
  <c r="AA347" i="63" s="1"/>
  <c r="AL347" i="63"/>
  <c r="AM347" i="63" s="1"/>
  <c r="AG347" i="63"/>
  <c r="AJ347" i="63" s="1"/>
  <c r="AK347" i="63" s="1"/>
  <c r="AD347" i="63"/>
  <c r="U347" i="63" l="1"/>
  <c r="AB347" i="63" s="1"/>
  <c r="R348" i="63"/>
  <c r="T348" i="63"/>
  <c r="AE347" i="63"/>
  <c r="AF347" i="63" s="1"/>
  <c r="Y347" i="63"/>
  <c r="Z347" i="63"/>
  <c r="AH347" i="63" s="1"/>
  <c r="AD348" i="63" l="1"/>
  <c r="AG348" i="63"/>
  <c r="AJ348" i="63" s="1"/>
  <c r="AK348" i="63" s="1"/>
  <c r="AL348" i="63"/>
  <c r="AM348" i="63" s="1"/>
  <c r="V348" i="63"/>
  <c r="AA348" i="63" s="1"/>
  <c r="U348" i="63" l="1"/>
  <c r="Z348" i="63" l="1"/>
  <c r="AH348" i="63" s="1"/>
  <c r="Y348" i="63"/>
  <c r="AB348" i="63"/>
  <c r="T349" i="63" l="1"/>
  <c r="AE348" i="63"/>
  <c r="AF348" i="63" s="1"/>
  <c r="R349" i="63"/>
  <c r="V349" i="63" l="1"/>
  <c r="AA349" i="63" s="1"/>
  <c r="AL349" i="63"/>
  <c r="AM349" i="63" s="1"/>
  <c r="AD349" i="63"/>
  <c r="AG349" i="63"/>
  <c r="AJ349" i="63" s="1"/>
  <c r="AK349" i="63" s="1"/>
  <c r="U349" i="63" l="1"/>
  <c r="Y349" i="63" s="1"/>
  <c r="AB349" i="63"/>
  <c r="Z349" i="63" l="1"/>
  <c r="AH349" i="63" s="1"/>
  <c r="R350" i="63"/>
  <c r="T350" i="63"/>
  <c r="AE349" i="63"/>
  <c r="AF349" i="63" s="1"/>
  <c r="AD350" i="63" l="1"/>
  <c r="AG350" i="63"/>
  <c r="AJ350" i="63" s="1"/>
  <c r="AK350" i="63" s="1"/>
  <c r="AL350" i="63"/>
  <c r="AM350" i="63" s="1"/>
  <c r="V350" i="63"/>
  <c r="AA350" i="63" s="1"/>
  <c r="U350" i="63" l="1"/>
  <c r="Z350" i="63" l="1"/>
  <c r="AH350" i="63" s="1"/>
  <c r="Y350" i="63"/>
  <c r="AB350" i="63"/>
  <c r="R351" i="63" l="1"/>
  <c r="T351" i="63"/>
  <c r="AE350" i="63"/>
  <c r="AF350" i="63" s="1"/>
  <c r="AD351" i="63" l="1"/>
  <c r="AG351" i="63"/>
  <c r="AJ351" i="63" s="1"/>
  <c r="AK351" i="63" s="1"/>
  <c r="V351" i="63"/>
  <c r="AA351" i="63" s="1"/>
  <c r="AL351" i="63"/>
  <c r="AM351" i="63" s="1"/>
  <c r="U351" i="63" l="1"/>
  <c r="Y351" i="63" l="1"/>
  <c r="Z351" i="63"/>
  <c r="AH351" i="63" s="1"/>
  <c r="AB351" i="63"/>
  <c r="R352" i="63" l="1"/>
  <c r="T352" i="63"/>
  <c r="AE351" i="63"/>
  <c r="AF351" i="63" s="1"/>
  <c r="AD352" i="63" l="1"/>
  <c r="AG352" i="63"/>
  <c r="AJ352" i="63" s="1"/>
  <c r="AK352" i="63" s="1"/>
  <c r="V352" i="63"/>
  <c r="AA352" i="63" s="1"/>
  <c r="AL352" i="63"/>
  <c r="AM352" i="63" s="1"/>
  <c r="U352" i="63" l="1"/>
  <c r="Y352" i="63" l="1"/>
  <c r="Z352" i="63"/>
  <c r="AH352" i="63" s="1"/>
  <c r="AB352" i="63"/>
  <c r="AE352" i="63" l="1"/>
  <c r="AF352" i="63" s="1"/>
  <c r="T353" i="63"/>
  <c r="R353" i="63"/>
  <c r="AL353" i="63" l="1"/>
  <c r="AM353" i="63" s="1"/>
  <c r="V353" i="63"/>
  <c r="AA353" i="63" s="1"/>
  <c r="AG353" i="63"/>
  <c r="AJ353" i="63" s="1"/>
  <c r="AK353" i="63" s="1"/>
  <c r="AD353" i="63"/>
  <c r="U353" i="63" l="1"/>
  <c r="Z353" i="63" s="1"/>
  <c r="AH353" i="63" s="1"/>
  <c r="AB353" i="63"/>
  <c r="Y353" i="63" l="1"/>
  <c r="AE353" i="63"/>
  <c r="AF353" i="63" s="1"/>
  <c r="R354" i="63"/>
  <c r="T354" i="63"/>
  <c r="AD354" i="63" l="1"/>
  <c r="AG354" i="63"/>
  <c r="AJ354" i="63" s="1"/>
  <c r="AK354" i="63" s="1"/>
  <c r="V354" i="63"/>
  <c r="AA354" i="63" s="1"/>
  <c r="AL354" i="63"/>
  <c r="AM354" i="63" s="1"/>
  <c r="U354" i="63" l="1"/>
  <c r="Y354" i="63" l="1"/>
  <c r="Z354" i="63"/>
  <c r="AH354" i="63" s="1"/>
  <c r="AB354" i="63"/>
  <c r="T355" i="63" l="1"/>
  <c r="AE354" i="63"/>
  <c r="AF354" i="63" s="1"/>
  <c r="R355" i="63"/>
  <c r="V355" i="63" l="1"/>
  <c r="AA355" i="63" s="1"/>
  <c r="AL355" i="63"/>
  <c r="AM355" i="63" s="1"/>
  <c r="AD355" i="63"/>
  <c r="AG355" i="63"/>
  <c r="AJ355" i="63" s="1"/>
  <c r="AK355" i="63" s="1"/>
  <c r="U355" i="63" l="1"/>
  <c r="Z355" i="63"/>
  <c r="AH355" i="63" s="1"/>
  <c r="Y355" i="63"/>
  <c r="AB355" i="63"/>
  <c r="T356" i="63" l="1"/>
  <c r="AE355" i="63"/>
  <c r="AF355" i="63" s="1"/>
  <c r="R356" i="63"/>
  <c r="V356" i="63" l="1"/>
  <c r="AA356" i="63" s="1"/>
  <c r="AL356" i="63"/>
  <c r="AM356" i="63" s="1"/>
  <c r="AD356" i="63"/>
  <c r="AG356" i="63"/>
  <c r="AJ356" i="63" s="1"/>
  <c r="AK356" i="63" s="1"/>
  <c r="U356" i="63" l="1"/>
  <c r="Y356" i="63"/>
  <c r="Z356" i="63"/>
  <c r="AH356" i="63" s="1"/>
  <c r="AB356" i="63"/>
  <c r="R357" i="63" l="1"/>
  <c r="AE356" i="63"/>
  <c r="AF356" i="63" s="1"/>
  <c r="T357" i="63"/>
  <c r="AD357" i="63" l="1"/>
  <c r="AG357" i="63"/>
  <c r="AJ357" i="63" s="1"/>
  <c r="AK357" i="63" s="1"/>
  <c r="V357" i="63"/>
  <c r="AA357" i="63" s="1"/>
  <c r="AL357" i="63"/>
  <c r="AM357" i="63" s="1"/>
  <c r="U357" i="63" l="1"/>
  <c r="Z357" i="63" l="1"/>
  <c r="AH357" i="63" s="1"/>
  <c r="Y357" i="63"/>
  <c r="AB357" i="63"/>
  <c r="T358" i="63" l="1"/>
  <c r="AE357" i="63"/>
  <c r="AF357" i="63" s="1"/>
  <c r="R358" i="63"/>
  <c r="AL358" i="63" l="1"/>
  <c r="AM358" i="63" s="1"/>
  <c r="V358" i="63"/>
  <c r="AA358" i="63" s="1"/>
  <c r="AD358" i="63"/>
  <c r="AG358" i="63"/>
  <c r="AJ358" i="63" s="1"/>
  <c r="AK358" i="63" s="1"/>
  <c r="U358" i="63"/>
  <c r="Y358" i="63" l="1"/>
  <c r="Z358" i="63"/>
  <c r="AH358" i="63" s="1"/>
  <c r="AB358" i="63"/>
  <c r="AE358" i="63" l="1"/>
  <c r="AF358" i="63" s="1"/>
  <c r="R359" i="63"/>
  <c r="T359" i="63"/>
  <c r="AD359" i="63" l="1"/>
  <c r="AG359" i="63"/>
  <c r="AJ359" i="63" s="1"/>
  <c r="AK359" i="63" s="1"/>
  <c r="V359" i="63"/>
  <c r="AA359" i="63" s="1"/>
  <c r="AL359" i="63"/>
  <c r="AM359" i="63" s="1"/>
  <c r="U359" i="63" l="1"/>
  <c r="Y359" i="63" l="1"/>
  <c r="Z359" i="63"/>
  <c r="AH359" i="63" s="1"/>
  <c r="AB359" i="63"/>
  <c r="R360" i="63" l="1"/>
  <c r="T360" i="63"/>
  <c r="AE359" i="63"/>
  <c r="AF359" i="63" s="1"/>
  <c r="AD360" i="63" l="1"/>
  <c r="AG360" i="63"/>
  <c r="AJ360" i="63" s="1"/>
  <c r="AK360" i="63" s="1"/>
  <c r="AL360" i="63"/>
  <c r="AM360" i="63" s="1"/>
  <c r="V360" i="63"/>
  <c r="AA360" i="63" s="1"/>
  <c r="U360" i="63" l="1"/>
  <c r="Z360" i="63" l="1"/>
  <c r="AH360" i="63" s="1"/>
  <c r="Y360" i="63"/>
  <c r="AB360" i="63"/>
  <c r="R361" i="63" l="1"/>
  <c r="T361" i="63"/>
  <c r="AE360" i="63"/>
  <c r="AF360" i="63" s="1"/>
  <c r="AD361" i="63" l="1"/>
  <c r="AG361" i="63"/>
  <c r="AJ361" i="63" s="1"/>
  <c r="AK361" i="63" s="1"/>
  <c r="AL361" i="63"/>
  <c r="AM361" i="63" s="1"/>
  <c r="V361" i="63"/>
  <c r="AA361" i="63" s="1"/>
  <c r="U361" i="63" l="1"/>
  <c r="Y361" i="63" l="1"/>
  <c r="Z361" i="63"/>
  <c r="AH361" i="63" s="1"/>
  <c r="AB361" i="63"/>
  <c r="T362" i="63" l="1"/>
  <c r="AE361" i="63"/>
  <c r="AF361" i="63" s="1"/>
  <c r="R362" i="63"/>
  <c r="V362" i="63" l="1"/>
  <c r="AA362" i="63" s="1"/>
  <c r="AL362" i="63"/>
  <c r="AM362" i="63" s="1"/>
  <c r="AG362" i="63"/>
  <c r="AJ362" i="63" s="1"/>
  <c r="AK362" i="63" s="1"/>
  <c r="AD362" i="63"/>
  <c r="U362" i="63" l="1"/>
  <c r="Y362" i="63" s="1"/>
  <c r="AB362" i="63" l="1"/>
  <c r="AE362" i="63" s="1"/>
  <c r="AF362" i="63" s="1"/>
  <c r="Z362" i="63"/>
  <c r="AH362" i="63" s="1"/>
  <c r="T363" i="63"/>
  <c r="R363" i="63"/>
  <c r="AL363" i="63" l="1"/>
  <c r="AM363" i="63" s="1"/>
  <c r="V363" i="63"/>
  <c r="AA363" i="63" s="1"/>
  <c r="AD363" i="63"/>
  <c r="AG363" i="63"/>
  <c r="AJ363" i="63" s="1"/>
  <c r="AK363" i="63" s="1"/>
  <c r="U363" i="63" l="1"/>
  <c r="Y363" i="63" l="1"/>
  <c r="Z363" i="63"/>
  <c r="AH363" i="63" s="1"/>
  <c r="AB363" i="63"/>
  <c r="R364" i="63" l="1"/>
  <c r="AE363" i="63"/>
  <c r="AF363" i="63" s="1"/>
  <c r="T364" i="63"/>
  <c r="AD364" i="63" l="1"/>
  <c r="AG364" i="63"/>
  <c r="AJ364" i="63" s="1"/>
  <c r="AK364" i="63" s="1"/>
  <c r="V364" i="63"/>
  <c r="AA364" i="63" s="1"/>
  <c r="AL364" i="63"/>
  <c r="AM364" i="63" s="1"/>
  <c r="U364" i="63" l="1"/>
  <c r="Z364" i="63" l="1"/>
  <c r="AH364" i="63" s="1"/>
  <c r="Y364" i="63"/>
  <c r="AB364" i="63"/>
  <c r="R365" i="63" l="1"/>
  <c r="T365" i="63"/>
  <c r="AE364" i="63"/>
  <c r="AF364" i="63" s="1"/>
  <c r="AD365" i="63" l="1"/>
  <c r="AG365" i="63"/>
  <c r="AJ365" i="63" s="1"/>
  <c r="AK365" i="63" s="1"/>
  <c r="AL365" i="63"/>
  <c r="AM365" i="63" s="1"/>
  <c r="V365" i="63"/>
  <c r="AA365" i="63" s="1"/>
  <c r="U365" i="63" l="1"/>
  <c r="Y365" i="63" l="1"/>
  <c r="Z365" i="63"/>
  <c r="AH365" i="63" s="1"/>
  <c r="AB365" i="63"/>
  <c r="T366" i="63" l="1"/>
  <c r="R366" i="63"/>
  <c r="AE365" i="63"/>
  <c r="AF365" i="63" s="1"/>
  <c r="V366" i="63" l="1"/>
  <c r="AA366" i="63" s="1"/>
  <c r="AL366" i="63"/>
  <c r="AM366" i="63" s="1"/>
  <c r="AD366" i="63"/>
  <c r="AG366" i="63"/>
  <c r="AJ366" i="63" s="1"/>
  <c r="AK366" i="63" s="1"/>
  <c r="U366" i="63" l="1"/>
  <c r="Z366" i="63" s="1"/>
  <c r="AH366" i="63" s="1"/>
  <c r="AB366" i="63"/>
  <c r="Y366" i="63" l="1"/>
  <c r="AE366" i="63"/>
  <c r="AF366" i="63" s="1"/>
  <c r="T367" i="63"/>
  <c r="R367" i="63"/>
  <c r="V367" i="63" l="1"/>
  <c r="AA367" i="63" s="1"/>
  <c r="AL367" i="63"/>
  <c r="AM367" i="63" s="1"/>
  <c r="AG367" i="63"/>
  <c r="AJ367" i="63" s="1"/>
  <c r="AK367" i="63" s="1"/>
  <c r="AD367" i="63"/>
  <c r="U367" i="63" l="1"/>
  <c r="Y367" i="63" s="1"/>
  <c r="AB367" i="63"/>
  <c r="Z367" i="63" l="1"/>
  <c r="AH367" i="63" s="1"/>
  <c r="R368" i="63"/>
  <c r="AE367" i="63"/>
  <c r="AF367" i="63" s="1"/>
  <c r="T368" i="63"/>
  <c r="AD368" i="63" l="1"/>
  <c r="AG368" i="63"/>
  <c r="AJ368" i="63" s="1"/>
  <c r="AK368" i="63" s="1"/>
  <c r="AL368" i="63"/>
  <c r="AM368" i="63" s="1"/>
  <c r="V368" i="63"/>
  <c r="AA368" i="63" s="1"/>
  <c r="U368" i="63" l="1"/>
  <c r="Z368" i="63" l="1"/>
  <c r="AH368" i="63" s="1"/>
  <c r="Y368" i="63"/>
  <c r="AB368" i="63"/>
  <c r="R369" i="63" l="1"/>
  <c r="AE368" i="63"/>
  <c r="AF368" i="63" s="1"/>
  <c r="T369" i="63"/>
  <c r="AG369" i="63" l="1"/>
  <c r="AJ369" i="63" s="1"/>
  <c r="AK369" i="63" s="1"/>
  <c r="AD369" i="63"/>
  <c r="V369" i="63"/>
  <c r="AA369" i="63" s="1"/>
  <c r="AL369" i="63"/>
  <c r="AM369" i="63" s="1"/>
  <c r="U369" i="63" l="1"/>
  <c r="Y369" i="63" l="1"/>
  <c r="Z369" i="63"/>
  <c r="AH369" i="63" s="1"/>
  <c r="AB369" i="63"/>
  <c r="T370" i="63" l="1"/>
  <c r="AE369" i="63"/>
  <c r="AF369" i="63" s="1"/>
  <c r="R370" i="63"/>
  <c r="AL370" i="63" l="1"/>
  <c r="AM370" i="63" s="1"/>
  <c r="V370" i="63"/>
  <c r="AA370" i="63" s="1"/>
  <c r="AD370" i="63"/>
  <c r="AG370" i="63"/>
  <c r="AJ370" i="63" s="1"/>
  <c r="AK370" i="63" s="1"/>
  <c r="U370" i="63" l="1"/>
  <c r="Y370" i="63" s="1"/>
  <c r="AB370" i="63"/>
  <c r="Z370" i="63" l="1"/>
  <c r="AH370" i="63" s="1"/>
  <c r="AE370" i="63"/>
  <c r="AF370" i="63" s="1"/>
  <c r="T371" i="63"/>
  <c r="R371" i="63"/>
  <c r="AL371" i="63" l="1"/>
  <c r="AM371" i="63" s="1"/>
  <c r="V371" i="63"/>
  <c r="AA371" i="63" s="1"/>
  <c r="AD371" i="63"/>
  <c r="AG371" i="63"/>
  <c r="AJ371" i="63" s="1"/>
  <c r="AK371" i="63" s="1"/>
  <c r="U371" i="63" l="1"/>
  <c r="Y371" i="63" l="1"/>
  <c r="Z371" i="63"/>
  <c r="AH371" i="63" s="1"/>
  <c r="AB371" i="63"/>
  <c r="R372" i="63" l="1"/>
  <c r="AE371" i="63"/>
  <c r="AF371" i="63" s="1"/>
  <c r="T372" i="63"/>
  <c r="AD372" i="63" l="1"/>
  <c r="AG372" i="63"/>
  <c r="AJ372" i="63" s="1"/>
  <c r="AK372" i="63" s="1"/>
  <c r="AL372" i="63"/>
  <c r="AM372" i="63" s="1"/>
  <c r="V372" i="63"/>
  <c r="AA372" i="63" s="1"/>
  <c r="U372" i="63" l="1"/>
  <c r="Z372" i="63" l="1"/>
  <c r="AH372" i="63" s="1"/>
  <c r="Y372" i="63"/>
  <c r="AB372" i="63"/>
  <c r="T373" i="63" l="1"/>
  <c r="R373" i="63"/>
  <c r="AE372" i="63"/>
  <c r="AF372" i="63" s="1"/>
  <c r="V373" i="63" l="1"/>
  <c r="AA373" i="63" s="1"/>
  <c r="AL373" i="63"/>
  <c r="AM373" i="63" s="1"/>
  <c r="AD373" i="63"/>
  <c r="AG373" i="63"/>
  <c r="AJ373" i="63" s="1"/>
  <c r="AK373" i="63" s="1"/>
  <c r="U373" i="63"/>
  <c r="Y373" i="63" l="1"/>
  <c r="Z373" i="63"/>
  <c r="AH373" i="63" s="1"/>
  <c r="AB373" i="63"/>
  <c r="T374" i="63" l="1"/>
  <c r="R374" i="63"/>
  <c r="AE373" i="63"/>
  <c r="AF373" i="63" s="1"/>
  <c r="V374" i="63" l="1"/>
  <c r="AA374" i="63" s="1"/>
  <c r="AL374" i="63"/>
  <c r="AM374" i="63" s="1"/>
  <c r="AD374" i="63"/>
  <c r="AG374" i="63"/>
  <c r="AJ374" i="63" s="1"/>
  <c r="AK374" i="63" s="1"/>
  <c r="U374" i="63" l="1"/>
  <c r="Z374" i="63"/>
  <c r="AH374" i="63" s="1"/>
  <c r="Y374" i="63"/>
  <c r="AB374" i="63"/>
  <c r="AE374" i="63" l="1"/>
  <c r="AF374" i="63" s="1"/>
  <c r="R375" i="63"/>
  <c r="T375" i="63"/>
  <c r="AD375" i="63" l="1"/>
  <c r="AG375" i="63"/>
  <c r="AJ375" i="63" s="1"/>
  <c r="AK375" i="63" s="1"/>
  <c r="AL375" i="63"/>
  <c r="AM375" i="63" s="1"/>
  <c r="V375" i="63"/>
  <c r="AA375" i="63" s="1"/>
  <c r="U375" i="63" l="1"/>
  <c r="Z375" i="63" l="1"/>
  <c r="AH375" i="63" s="1"/>
  <c r="Y375" i="63"/>
  <c r="AB375" i="63"/>
  <c r="R376" i="63" l="1"/>
  <c r="AE375" i="63"/>
  <c r="AF375" i="63" s="1"/>
  <c r="T376" i="63"/>
  <c r="AD376" i="63" l="1"/>
  <c r="AG376" i="63"/>
  <c r="AJ376" i="63" s="1"/>
  <c r="AK376" i="63" s="1"/>
  <c r="AL376" i="63"/>
  <c r="AM376" i="63" s="1"/>
  <c r="V376" i="63"/>
  <c r="AA376" i="63" s="1"/>
  <c r="U376" i="63" l="1"/>
  <c r="Y376" i="63" l="1"/>
  <c r="Z376" i="63"/>
  <c r="AH376" i="63" s="1"/>
  <c r="AB376" i="63"/>
  <c r="R377" i="63" l="1"/>
  <c r="AE376" i="63"/>
  <c r="AF376" i="63" s="1"/>
  <c r="T377" i="63"/>
  <c r="AG377" i="63" l="1"/>
  <c r="AJ377" i="63" s="1"/>
  <c r="AK377" i="63" s="1"/>
  <c r="AD377" i="63"/>
  <c r="AL377" i="63"/>
  <c r="AM377" i="63" s="1"/>
  <c r="V377" i="63"/>
  <c r="AA377" i="63" s="1"/>
  <c r="U377" i="63" l="1"/>
  <c r="Z377" i="63" l="1"/>
  <c r="AH377" i="63" s="1"/>
  <c r="Y377" i="63"/>
  <c r="AB377" i="63"/>
  <c r="T378" i="63" l="1"/>
  <c r="AE377" i="63"/>
  <c r="AF377" i="63" s="1"/>
  <c r="R378" i="63"/>
  <c r="AL378" i="63" l="1"/>
  <c r="AM378" i="63" s="1"/>
  <c r="V378" i="63"/>
  <c r="AA378" i="63" s="1"/>
  <c r="AD378" i="63"/>
  <c r="AG378" i="63"/>
  <c r="AJ378" i="63" s="1"/>
  <c r="AK378" i="63" s="1"/>
  <c r="U378" i="63" l="1"/>
  <c r="Y378" i="63" s="1"/>
  <c r="AB378" i="63"/>
  <c r="Z378" i="63" l="1"/>
  <c r="AH378" i="63" s="1"/>
  <c r="AE378" i="63"/>
  <c r="AF378" i="63" s="1"/>
  <c r="T379" i="63"/>
  <c r="R379" i="63"/>
  <c r="AL379" i="63" l="1"/>
  <c r="AM379" i="63" s="1"/>
  <c r="V379" i="63"/>
  <c r="AA379" i="63" s="1"/>
  <c r="AD379" i="63"/>
  <c r="AG379" i="63"/>
  <c r="AJ379" i="63" s="1"/>
  <c r="AK379" i="63" s="1"/>
  <c r="U379" i="63" l="1"/>
  <c r="Y379" i="63" l="1"/>
  <c r="Z379" i="63"/>
  <c r="AH379" i="63" s="1"/>
  <c r="AB379" i="63"/>
  <c r="R380" i="63" l="1"/>
  <c r="AE379" i="63"/>
  <c r="AF379" i="63" s="1"/>
  <c r="T380" i="63"/>
  <c r="AD380" i="63" l="1"/>
  <c r="AG380" i="63"/>
  <c r="AJ380" i="63" s="1"/>
  <c r="AK380" i="63" s="1"/>
  <c r="AL380" i="63"/>
  <c r="AM380" i="63" s="1"/>
  <c r="V380" i="63"/>
  <c r="AA380" i="63" s="1"/>
  <c r="U380" i="63" l="1"/>
  <c r="Z380" i="63" l="1"/>
  <c r="AH380" i="63" s="1"/>
  <c r="Y380" i="63"/>
  <c r="AB380" i="63"/>
  <c r="T381" i="63" l="1"/>
  <c r="R381" i="63"/>
  <c r="AE380" i="63"/>
  <c r="AF380" i="63" s="1"/>
  <c r="AL381" i="63" l="1"/>
  <c r="AM381" i="63" s="1"/>
  <c r="V381" i="63"/>
  <c r="AA381" i="63" s="1"/>
  <c r="AG381" i="63"/>
  <c r="AJ381" i="63" s="1"/>
  <c r="AK381" i="63" s="1"/>
  <c r="AD381" i="63"/>
  <c r="U381" i="63" l="1"/>
  <c r="Y381" i="63" s="1"/>
  <c r="Z381" i="63"/>
  <c r="AH381" i="63" s="1"/>
  <c r="AB381" i="63"/>
  <c r="T382" i="63" l="1"/>
  <c r="R382" i="63"/>
  <c r="AE381" i="63"/>
  <c r="AF381" i="63" s="1"/>
  <c r="AL382" i="63" l="1"/>
  <c r="AM382" i="63" s="1"/>
  <c r="V382" i="63"/>
  <c r="AA382" i="63" s="1"/>
  <c r="AD382" i="63"/>
  <c r="AG382" i="63"/>
  <c r="AJ382" i="63" s="1"/>
  <c r="AK382" i="63" s="1"/>
  <c r="U382" i="63" l="1"/>
  <c r="Z382" i="63" s="1"/>
  <c r="AH382" i="63" s="1"/>
  <c r="Y382" i="63"/>
  <c r="AB382" i="63"/>
  <c r="R383" i="63" l="1"/>
  <c r="AE382" i="63"/>
  <c r="AF382" i="63" s="1"/>
  <c r="T383" i="63"/>
  <c r="AD383" i="63" l="1"/>
  <c r="AG383" i="63"/>
  <c r="AJ383" i="63" s="1"/>
  <c r="AK383" i="63" s="1"/>
  <c r="V383" i="63"/>
  <c r="AA383" i="63" s="1"/>
  <c r="AL383" i="63"/>
  <c r="AM383" i="63" s="1"/>
  <c r="U383" i="63" l="1"/>
  <c r="Y383" i="63" l="1"/>
  <c r="Z383" i="63"/>
  <c r="AH383" i="63" s="1"/>
  <c r="AB383" i="63"/>
  <c r="R384" i="63" l="1"/>
  <c r="T384" i="63"/>
  <c r="AE383" i="63"/>
  <c r="AF383" i="63" s="1"/>
  <c r="AD384" i="63" l="1"/>
  <c r="AG384" i="63"/>
  <c r="AJ384" i="63" s="1"/>
  <c r="AK384" i="63" s="1"/>
  <c r="V384" i="63"/>
  <c r="AA384" i="63" s="1"/>
  <c r="AL384" i="63"/>
  <c r="AM384" i="63" s="1"/>
  <c r="U384" i="63" l="1"/>
  <c r="Z384" i="63" l="1"/>
  <c r="AH384" i="63" s="1"/>
  <c r="Y384" i="63"/>
  <c r="AB384" i="63"/>
  <c r="R385" i="63" l="1"/>
  <c r="T385" i="63"/>
  <c r="AE384" i="63"/>
  <c r="AF384" i="63" s="1"/>
  <c r="AD385" i="63" l="1"/>
  <c r="AG385" i="63"/>
  <c r="AJ385" i="63" s="1"/>
  <c r="AK385" i="63" s="1"/>
  <c r="V385" i="63"/>
  <c r="AA385" i="63" s="1"/>
  <c r="AL385" i="63"/>
  <c r="AM385" i="63" s="1"/>
  <c r="U385" i="63" l="1"/>
  <c r="Z385" i="63" l="1"/>
  <c r="AH385" i="63" s="1"/>
  <c r="Y385" i="63"/>
  <c r="AB385" i="63"/>
  <c r="T386" i="63" l="1"/>
  <c r="R386" i="63"/>
  <c r="AE385" i="63"/>
  <c r="AF385" i="63" s="1"/>
  <c r="V386" i="63" l="1"/>
  <c r="AA386" i="63" s="1"/>
  <c r="AL386" i="63"/>
  <c r="AM386" i="63" s="1"/>
  <c r="AG386" i="63"/>
  <c r="AJ386" i="63" s="1"/>
  <c r="AK386" i="63" s="1"/>
  <c r="U386" i="63"/>
  <c r="AB386" i="63" s="1"/>
  <c r="AD386" i="63"/>
  <c r="AE386" i="63" l="1"/>
  <c r="R387" i="63"/>
  <c r="T387" i="63"/>
  <c r="AF386" i="63"/>
  <c r="Y386" i="63"/>
  <c r="Z386" i="63"/>
  <c r="AH386" i="63" s="1"/>
  <c r="AD387" i="63" l="1"/>
  <c r="AG387" i="63"/>
  <c r="AJ387" i="63" s="1"/>
  <c r="AK387" i="63" s="1"/>
  <c r="AL387" i="63"/>
  <c r="AM387" i="63" s="1"/>
  <c r="V387" i="63"/>
  <c r="AA387" i="63" s="1"/>
  <c r="U387" i="63" l="1"/>
  <c r="Z387" i="63" l="1"/>
  <c r="AH387" i="63" s="1"/>
  <c r="Y387" i="63"/>
  <c r="AB387" i="63"/>
  <c r="R388" i="63" l="1"/>
  <c r="AE387" i="63"/>
  <c r="AF387" i="63" s="1"/>
  <c r="T388" i="63"/>
  <c r="AD388" i="63" l="1"/>
  <c r="AG388" i="63"/>
  <c r="AJ388" i="63" s="1"/>
  <c r="AK388" i="63" s="1"/>
  <c r="AL388" i="63"/>
  <c r="AM388" i="63" s="1"/>
  <c r="V388" i="63"/>
  <c r="AA388" i="63" s="1"/>
  <c r="U388" i="63" l="1"/>
  <c r="Y388" i="63" l="1"/>
  <c r="Z388" i="63"/>
  <c r="AH388" i="63" s="1"/>
  <c r="AB388" i="63"/>
  <c r="T389" i="63" l="1"/>
  <c r="R389" i="63"/>
  <c r="AE388" i="63"/>
  <c r="AF388" i="63" s="1"/>
  <c r="V389" i="63" l="1"/>
  <c r="AA389" i="63" s="1"/>
  <c r="AL389" i="63"/>
  <c r="AM389" i="63" s="1"/>
  <c r="AG389" i="63"/>
  <c r="AJ389" i="63" s="1"/>
  <c r="AK389" i="63" s="1"/>
  <c r="AD389" i="63"/>
  <c r="U389" i="63" l="1"/>
  <c r="AB389" i="63" s="1"/>
  <c r="T390" i="63" s="1"/>
  <c r="R390" i="63"/>
  <c r="Y389" i="63"/>
  <c r="Z389" i="63"/>
  <c r="AH389" i="63" s="1"/>
  <c r="AE389" i="63" l="1"/>
  <c r="AF389" i="63" s="1"/>
  <c r="V390" i="63"/>
  <c r="AA390" i="63" s="1"/>
  <c r="AL390" i="63"/>
  <c r="AM390" i="63" s="1"/>
  <c r="AD390" i="63"/>
  <c r="AG390" i="63"/>
  <c r="AJ390" i="63" s="1"/>
  <c r="AK390" i="63" s="1"/>
  <c r="U390" i="63" l="1"/>
  <c r="Z390" i="63" s="1"/>
  <c r="AH390" i="63" s="1"/>
  <c r="Y390" i="63" l="1"/>
  <c r="AB390" i="63"/>
  <c r="AE390" i="63" s="1"/>
  <c r="AF390" i="63" s="1"/>
  <c r="T391" i="63"/>
  <c r="R391" i="63" l="1"/>
  <c r="AD391" i="63"/>
  <c r="AG391" i="63"/>
  <c r="AJ391" i="63" s="1"/>
  <c r="AK391" i="63" s="1"/>
  <c r="AL391" i="63"/>
  <c r="AM391" i="63" s="1"/>
  <c r="V391" i="63"/>
  <c r="AA391" i="63" s="1"/>
  <c r="U391" i="63" l="1"/>
  <c r="Y391" i="63" l="1"/>
  <c r="Z391" i="63"/>
  <c r="AH391" i="63" s="1"/>
  <c r="AB391" i="63"/>
  <c r="R392" i="63" l="1"/>
  <c r="AE391" i="63"/>
  <c r="AF391" i="63" s="1"/>
  <c r="T392" i="63"/>
  <c r="AD392" i="63" l="1"/>
  <c r="AG392" i="63"/>
  <c r="AJ392" i="63" s="1"/>
  <c r="AK392" i="63" s="1"/>
  <c r="V392" i="63"/>
  <c r="AA392" i="63" s="1"/>
  <c r="AL392" i="63"/>
  <c r="AM392" i="63" s="1"/>
  <c r="U392" i="63" l="1"/>
  <c r="Y392" i="63" l="1"/>
  <c r="Z392" i="63"/>
  <c r="AH392" i="63" s="1"/>
  <c r="AB392" i="63"/>
  <c r="R393" i="63" l="1"/>
  <c r="AE392" i="63"/>
  <c r="AF392" i="63" s="1"/>
  <c r="T393" i="63"/>
  <c r="AG393" i="63" l="1"/>
  <c r="AJ393" i="63" s="1"/>
  <c r="AK393" i="63" s="1"/>
  <c r="AD393" i="63"/>
  <c r="V393" i="63"/>
  <c r="AA393" i="63" s="1"/>
  <c r="AL393" i="63"/>
  <c r="AM393" i="63" s="1"/>
  <c r="U393" i="63" l="1"/>
  <c r="Z393" i="63" l="1"/>
  <c r="AH393" i="63" s="1"/>
  <c r="Y393" i="63"/>
  <c r="AB393" i="63"/>
  <c r="T394" i="63" l="1"/>
  <c r="R394" i="63"/>
  <c r="AE393" i="63"/>
  <c r="AF393" i="63" s="1"/>
  <c r="V394" i="63" l="1"/>
  <c r="AA394" i="63" s="1"/>
  <c r="AL394" i="63"/>
  <c r="AM394" i="63" s="1"/>
  <c r="AG394" i="63"/>
  <c r="AJ394" i="63" s="1"/>
  <c r="AK394" i="63" s="1"/>
  <c r="AD394" i="63"/>
  <c r="U394" i="63" l="1"/>
  <c r="Y394" i="63" s="1"/>
  <c r="AB394" i="63" l="1"/>
  <c r="AE394" i="63" s="1"/>
  <c r="AF394" i="63" s="1"/>
  <c r="Z394" i="63"/>
  <c r="AH394" i="63" s="1"/>
  <c r="R395" i="63"/>
  <c r="T395" i="63"/>
  <c r="AD395" i="63" l="1"/>
  <c r="AG395" i="63"/>
  <c r="AJ395" i="63" s="1"/>
  <c r="AK395" i="63" s="1"/>
  <c r="AL395" i="63"/>
  <c r="AM395" i="63" s="1"/>
  <c r="V395" i="63"/>
  <c r="AA395" i="63" s="1"/>
  <c r="U395" i="63" l="1"/>
  <c r="Z395" i="63" l="1"/>
  <c r="AH395" i="63" s="1"/>
  <c r="Y395" i="63"/>
  <c r="AB395" i="63"/>
  <c r="R396" i="63" l="1"/>
  <c r="AE395" i="63"/>
  <c r="AF395" i="63" s="1"/>
  <c r="T396" i="63"/>
  <c r="AD396" i="63" l="1"/>
  <c r="AG396" i="63"/>
  <c r="AJ396" i="63" s="1"/>
  <c r="AK396" i="63" s="1"/>
  <c r="V396" i="63"/>
  <c r="AA396" i="63" s="1"/>
  <c r="AL396" i="63"/>
  <c r="AM396" i="63" s="1"/>
  <c r="U396" i="63" l="1"/>
  <c r="Y396" i="63" l="1"/>
  <c r="Z396" i="63"/>
  <c r="AH396" i="63" s="1"/>
  <c r="AB396" i="63"/>
  <c r="T397" i="63" l="1"/>
  <c r="R397" i="63"/>
  <c r="AE396" i="63"/>
  <c r="AF396" i="63" s="1"/>
  <c r="V397" i="63" l="1"/>
  <c r="AA397" i="63" s="1"/>
  <c r="AL397" i="63"/>
  <c r="AM397" i="63" s="1"/>
  <c r="AD397" i="63"/>
  <c r="AG397" i="63"/>
  <c r="AJ397" i="63" s="1"/>
  <c r="AK397" i="63" s="1"/>
  <c r="U397" i="63"/>
  <c r="Y397" i="63" l="1"/>
  <c r="Z397" i="63"/>
  <c r="AH397" i="63" s="1"/>
  <c r="AB397" i="63"/>
  <c r="AE397" i="63" l="1"/>
  <c r="AF397" i="63" s="1"/>
  <c r="T398" i="63"/>
  <c r="R398" i="63"/>
  <c r="AL398" i="63" l="1"/>
  <c r="AM398" i="63" s="1"/>
  <c r="V398" i="63"/>
  <c r="AA398" i="63" s="1"/>
  <c r="AG398" i="63"/>
  <c r="AJ398" i="63" s="1"/>
  <c r="AK398" i="63" s="1"/>
  <c r="U398" i="63"/>
  <c r="AD398" i="63"/>
  <c r="Z398" i="63" l="1"/>
  <c r="AH398" i="63" s="1"/>
  <c r="Y398" i="63"/>
  <c r="AB398" i="63"/>
  <c r="AE398" i="63" l="1"/>
  <c r="AF398" i="63" s="1"/>
  <c r="R399" i="63"/>
  <c r="T399" i="63"/>
  <c r="AD399" i="63" l="1"/>
  <c r="AG399" i="63"/>
  <c r="AJ399" i="63" s="1"/>
  <c r="AK399" i="63" s="1"/>
  <c r="V399" i="63"/>
  <c r="AA399" i="63" s="1"/>
  <c r="AL399" i="63"/>
  <c r="AM399" i="63" s="1"/>
  <c r="U399" i="63" l="1"/>
  <c r="Y399" i="63" l="1"/>
  <c r="Z399" i="63"/>
  <c r="AH399" i="63" s="1"/>
  <c r="AB399" i="63"/>
  <c r="R400" i="63" l="1"/>
  <c r="T400" i="63"/>
  <c r="AE399" i="63"/>
  <c r="AF399" i="63" s="1"/>
  <c r="AD400" i="63" l="1"/>
  <c r="AG400" i="63"/>
  <c r="AJ400" i="63" s="1"/>
  <c r="AK400" i="63" s="1"/>
  <c r="V400" i="63"/>
  <c r="AA400" i="63" s="1"/>
  <c r="AL400" i="63"/>
  <c r="AM400" i="63" s="1"/>
  <c r="U400" i="63" l="1"/>
  <c r="Y400" i="63" l="1"/>
  <c r="Z400" i="63"/>
  <c r="AH400" i="63" s="1"/>
  <c r="AB400" i="63"/>
  <c r="R401" i="63" l="1"/>
  <c r="T401" i="63"/>
  <c r="AE400" i="63"/>
  <c r="AF400" i="63" s="1"/>
  <c r="AD401" i="63" l="1"/>
  <c r="AG401" i="63"/>
  <c r="AJ401" i="63" s="1"/>
  <c r="AK401" i="63" s="1"/>
  <c r="AL401" i="63"/>
  <c r="AM401" i="63" s="1"/>
  <c r="V401" i="63"/>
  <c r="AA401" i="63" s="1"/>
  <c r="U401" i="63" l="1"/>
  <c r="Y401" i="63" l="1"/>
  <c r="Z401" i="63"/>
  <c r="AH401" i="63" s="1"/>
  <c r="AB401" i="63"/>
  <c r="T402" i="63" l="1"/>
  <c r="AE401" i="63"/>
  <c r="AF401" i="63" s="1"/>
  <c r="R402" i="63"/>
  <c r="AL402" i="63" l="1"/>
  <c r="AM402" i="63" s="1"/>
  <c r="V402" i="63"/>
  <c r="AA402" i="63" s="1"/>
  <c r="AD402" i="63"/>
  <c r="AG402" i="63"/>
  <c r="AJ402" i="63" s="1"/>
  <c r="AK402" i="63" s="1"/>
  <c r="U402" i="63" l="1"/>
  <c r="Y402" i="63" s="1"/>
  <c r="Z402" i="63" l="1"/>
  <c r="AH402" i="63" s="1"/>
  <c r="AB402" i="63"/>
  <c r="AE402" i="63" s="1"/>
  <c r="AF402" i="63" s="1"/>
  <c r="R403" i="63"/>
  <c r="T403" i="63" l="1"/>
  <c r="AD403" i="63" s="1"/>
  <c r="AL403" i="63"/>
  <c r="AM403" i="63" s="1"/>
  <c r="V403" i="63"/>
  <c r="AA403" i="63" s="1"/>
  <c r="AG403" i="63" l="1"/>
  <c r="AJ403" i="63" s="1"/>
  <c r="AK403" i="63" s="1"/>
  <c r="U403" i="63"/>
  <c r="Z403" i="63" l="1"/>
  <c r="AH403" i="63" s="1"/>
  <c r="Y403" i="63"/>
  <c r="AB403" i="63"/>
  <c r="AE403" i="63" l="1"/>
  <c r="AF403" i="63" s="1"/>
  <c r="R404" i="63"/>
  <c r="T404" i="63"/>
  <c r="AD404" i="63" l="1"/>
  <c r="AG404" i="63"/>
  <c r="AJ404" i="63" s="1"/>
  <c r="AK404" i="63" s="1"/>
  <c r="V404" i="63"/>
  <c r="AA404" i="63" s="1"/>
  <c r="AL404" i="63"/>
  <c r="AM404" i="63" s="1"/>
  <c r="U404" i="63" l="1"/>
  <c r="Z404" i="63" l="1"/>
  <c r="AH404" i="63" s="1"/>
  <c r="Y404" i="63"/>
  <c r="AB404" i="63"/>
  <c r="R405" i="63" l="1"/>
  <c r="T405" i="63"/>
  <c r="AE404" i="63"/>
  <c r="AF404" i="63" s="1"/>
  <c r="AD405" i="63" l="1"/>
  <c r="AG405" i="63"/>
  <c r="AJ405" i="63" s="1"/>
  <c r="AK405" i="63" s="1"/>
  <c r="V405" i="63"/>
  <c r="AA405" i="63" s="1"/>
  <c r="AL405" i="63"/>
  <c r="AM405" i="63" s="1"/>
  <c r="U405" i="63" l="1"/>
  <c r="Y405" i="63" l="1"/>
  <c r="Z405" i="63"/>
  <c r="AH405" i="63" s="1"/>
  <c r="AB405" i="63"/>
  <c r="AE405" i="63" l="1"/>
  <c r="AF405" i="63" s="1"/>
  <c r="T406" i="63"/>
  <c r="R406" i="63"/>
  <c r="AL406" i="63" l="1"/>
  <c r="AM406" i="63" s="1"/>
  <c r="V406" i="63"/>
  <c r="AA406" i="63" s="1"/>
  <c r="AG406" i="63"/>
  <c r="AJ406" i="63" s="1"/>
  <c r="AK406" i="63" s="1"/>
  <c r="AD406" i="63"/>
  <c r="U406" i="63" l="1"/>
  <c r="Y406" i="63" s="1"/>
  <c r="Z406" i="63" l="1"/>
  <c r="AH406" i="63" s="1"/>
  <c r="AB406" i="63"/>
  <c r="R407" i="63" s="1"/>
  <c r="T407" i="63"/>
  <c r="AE406" i="63" l="1"/>
  <c r="AF406" i="63" s="1"/>
  <c r="AD407" i="63"/>
  <c r="AG407" i="63"/>
  <c r="AJ407" i="63" s="1"/>
  <c r="AK407" i="63" s="1"/>
  <c r="AL407" i="63"/>
  <c r="AM407" i="63" s="1"/>
  <c r="V407" i="63"/>
  <c r="AA407" i="63" s="1"/>
  <c r="U407" i="63" l="1"/>
  <c r="Z407" i="63" l="1"/>
  <c r="AH407" i="63" s="1"/>
  <c r="Y407" i="63"/>
  <c r="AB407" i="63"/>
  <c r="R408" i="63" l="1"/>
  <c r="T408" i="63"/>
  <c r="AE407" i="63"/>
  <c r="AF407" i="63" s="1"/>
  <c r="AD408" i="63" l="1"/>
  <c r="AG408" i="63"/>
  <c r="AJ408" i="63" s="1"/>
  <c r="AK408" i="63" s="1"/>
  <c r="AL3" i="63" s="1"/>
  <c r="AL408" i="63"/>
  <c r="AM408" i="63" s="1"/>
  <c r="V408" i="63"/>
  <c r="AA408" i="63" s="1"/>
  <c r="U408" i="63" l="1"/>
  <c r="Z408" i="63" l="1"/>
  <c r="AH408" i="63" s="1"/>
  <c r="Y408" i="63"/>
  <c r="AB408" i="63"/>
  <c r="R409" i="63" l="1"/>
  <c r="AE408" i="63"/>
  <c r="AF408" i="63" s="1"/>
  <c r="T409" i="63"/>
  <c r="AD409" i="63" l="1"/>
  <c r="AG409" i="63"/>
  <c r="AJ409" i="63" s="1"/>
  <c r="AK409" i="63" s="1"/>
  <c r="AL409" i="63"/>
  <c r="AM409" i="63" s="1"/>
  <c r="V409" i="63"/>
  <c r="AA409" i="63" s="1"/>
  <c r="U409" i="63" l="1"/>
  <c r="Z409" i="63" l="1"/>
  <c r="AH409" i="63" s="1"/>
  <c r="Y409" i="63"/>
  <c r="AB409" i="63"/>
  <c r="R410" i="63" l="1"/>
  <c r="T410" i="63"/>
  <c r="AE409" i="63"/>
  <c r="AF409" i="63" s="1"/>
  <c r="AD410" i="63" l="1"/>
  <c r="AG410" i="63"/>
  <c r="AJ410" i="63" s="1"/>
  <c r="AK410" i="63" s="1"/>
  <c r="V410" i="63"/>
  <c r="AA410" i="63" s="1"/>
  <c r="AL410" i="63"/>
  <c r="AM410" i="63" s="1"/>
  <c r="U410" i="63" l="1"/>
  <c r="Z410" i="63" l="1"/>
  <c r="AH410" i="63" s="1"/>
  <c r="Y410" i="63"/>
  <c r="AB410" i="63"/>
  <c r="R411" i="63" l="1"/>
  <c r="T411" i="63"/>
  <c r="AE410" i="63"/>
  <c r="AF410" i="63" s="1"/>
  <c r="AD411" i="63" l="1"/>
  <c r="AG411" i="63"/>
  <c r="AJ411" i="63" s="1"/>
  <c r="AK411" i="63" s="1"/>
  <c r="V411" i="63"/>
  <c r="AA411" i="63" s="1"/>
  <c r="AL411" i="63"/>
  <c r="AM411" i="63" s="1"/>
  <c r="U411" i="63" l="1"/>
  <c r="Y411" i="63" l="1"/>
  <c r="Z411" i="63"/>
  <c r="AH411" i="63" s="1"/>
  <c r="AB411" i="63"/>
  <c r="R412" i="63" l="1"/>
  <c r="AE411" i="63"/>
  <c r="AF411" i="63" s="1"/>
  <c r="T412" i="63"/>
  <c r="AD412" i="63" l="1"/>
  <c r="AG412" i="63"/>
  <c r="AJ412" i="63" s="1"/>
  <c r="AK412" i="63" s="1"/>
  <c r="V412" i="63"/>
  <c r="AA412" i="63" s="1"/>
  <c r="AL412" i="63"/>
  <c r="AM412" i="63" s="1"/>
  <c r="U412" i="63" l="1"/>
  <c r="Y412" i="63" l="1"/>
  <c r="Z412" i="63"/>
  <c r="AH412" i="63" s="1"/>
  <c r="AB412" i="63"/>
  <c r="AE412" i="63" l="1"/>
  <c r="AF412" i="63" s="1"/>
  <c r="T413" i="63"/>
  <c r="R413" i="63"/>
  <c r="AL413" i="63" l="1"/>
  <c r="AM413" i="63" s="1"/>
  <c r="V413" i="63"/>
  <c r="AA413" i="63" s="1"/>
  <c r="AG413" i="63"/>
  <c r="AJ413" i="63" s="1"/>
  <c r="AK413" i="63" s="1"/>
  <c r="AD413" i="63"/>
  <c r="U413" i="63" l="1"/>
  <c r="Y413" i="63" s="1"/>
  <c r="AB413" i="63"/>
  <c r="Z413" i="63" l="1"/>
  <c r="AH413" i="63" s="1"/>
  <c r="R414" i="63"/>
  <c r="AE413" i="63"/>
  <c r="AF413" i="63" s="1"/>
  <c r="T414" i="63"/>
  <c r="AD414" i="63" l="1"/>
  <c r="AG414" i="63"/>
  <c r="AJ414" i="63" s="1"/>
  <c r="AK414" i="63" s="1"/>
  <c r="V414" i="63"/>
  <c r="AA414" i="63" s="1"/>
  <c r="AL414" i="63"/>
  <c r="AM414" i="63" s="1"/>
  <c r="U414" i="63" l="1"/>
  <c r="Z414" i="63" l="1"/>
  <c r="AH414" i="63" s="1"/>
  <c r="Y414" i="63"/>
  <c r="AB414" i="63"/>
  <c r="R415" i="63" l="1"/>
  <c r="AE414" i="63"/>
  <c r="AF414" i="63" s="1"/>
  <c r="T415" i="63"/>
  <c r="AD415" i="63" l="1"/>
  <c r="AG415" i="63"/>
  <c r="AJ415" i="63" s="1"/>
  <c r="AK415" i="63" s="1"/>
  <c r="V415" i="63"/>
  <c r="AA415" i="63" s="1"/>
  <c r="AL415" i="63"/>
  <c r="AM415" i="63" s="1"/>
  <c r="U415" i="63" l="1"/>
  <c r="Z415" i="63" l="1"/>
  <c r="AH415" i="63" s="1"/>
  <c r="Y415" i="63"/>
  <c r="AB415" i="63"/>
  <c r="T416" i="63" l="1"/>
  <c r="AE415" i="63"/>
  <c r="AF415" i="63" s="1"/>
  <c r="R416" i="63"/>
  <c r="AL416" i="63" l="1"/>
  <c r="AM416" i="63" s="1"/>
  <c r="V416" i="63"/>
  <c r="AA416" i="63" s="1"/>
  <c r="AD416" i="63"/>
  <c r="AG416" i="63"/>
  <c r="AJ416" i="63" s="1"/>
  <c r="AK416" i="63" s="1"/>
  <c r="U416" i="63"/>
  <c r="Z416" i="63" l="1"/>
  <c r="AH416" i="63" s="1"/>
  <c r="Y416" i="63"/>
  <c r="AB416" i="63"/>
  <c r="R417" i="63" l="1"/>
  <c r="AE416" i="63"/>
  <c r="AF416" i="63" s="1"/>
  <c r="T417" i="63"/>
  <c r="AD417" i="63" l="1"/>
  <c r="AG417" i="63"/>
  <c r="AJ417" i="63" s="1"/>
  <c r="AK417" i="63" s="1"/>
  <c r="AL417" i="63"/>
  <c r="AM417" i="63" s="1"/>
  <c r="V417" i="63"/>
  <c r="AA417" i="63" s="1"/>
  <c r="U417" i="63" l="1"/>
  <c r="Z417" i="63" l="1"/>
  <c r="AH417" i="63" s="1"/>
  <c r="Y417" i="63"/>
  <c r="AB417" i="63"/>
  <c r="R418" i="63" l="1"/>
  <c r="AE417" i="63"/>
  <c r="AF417" i="63" s="1"/>
  <c r="T418" i="63"/>
  <c r="AD418" i="63" l="1"/>
  <c r="AG418" i="63"/>
  <c r="AJ418" i="63" s="1"/>
  <c r="AK418" i="63" s="1"/>
  <c r="V418" i="63"/>
  <c r="AA418" i="63" s="1"/>
  <c r="AL418" i="63"/>
  <c r="AM418" i="63" s="1"/>
  <c r="U418" i="63" l="1"/>
  <c r="Y418" i="63" l="1"/>
  <c r="Z418" i="63"/>
  <c r="AH418" i="63" s="1"/>
  <c r="AB418" i="63"/>
  <c r="R419" i="63" l="1"/>
  <c r="AE418" i="63"/>
  <c r="AF418" i="63" s="1"/>
  <c r="T419" i="63"/>
  <c r="AD419" i="63" l="1"/>
  <c r="AG419" i="63"/>
  <c r="AJ419" i="63" s="1"/>
  <c r="AK419" i="63" s="1"/>
  <c r="V419" i="63"/>
  <c r="AA419" i="63" s="1"/>
  <c r="AL419" i="63"/>
  <c r="AM419" i="63" s="1"/>
  <c r="U419" i="63" l="1"/>
  <c r="Z419" i="63" l="1"/>
  <c r="AH419" i="63" s="1"/>
  <c r="Y419" i="63"/>
  <c r="AB419" i="63"/>
  <c r="R420" i="63" l="1"/>
  <c r="AE419" i="63"/>
  <c r="AF419" i="63" s="1"/>
  <c r="T420" i="63"/>
  <c r="AD420" i="63" l="1"/>
  <c r="AG420" i="63"/>
  <c r="AJ420" i="63" s="1"/>
  <c r="AK420" i="63" s="1"/>
  <c r="AL420" i="63"/>
  <c r="AM420" i="63" s="1"/>
  <c r="V420" i="63"/>
  <c r="AA420" i="63" s="1"/>
  <c r="AL5" i="63" l="1"/>
  <c r="U420" i="63"/>
  <c r="Y420" i="63" l="1"/>
  <c r="Z420" i="63"/>
  <c r="AH420" i="63" s="1"/>
  <c r="AL4" i="63" s="1"/>
  <c r="AL6" i="63" s="1"/>
  <c r="AB420" i="63"/>
  <c r="R421" i="63" l="1"/>
  <c r="T421" i="63"/>
  <c r="AE420" i="63"/>
  <c r="AF420" i="63" s="1"/>
  <c r="AD421" i="63" l="1"/>
  <c r="AG421" i="63"/>
  <c r="AJ421" i="63" s="1"/>
  <c r="AK421" i="63" s="1"/>
  <c r="V421" i="63"/>
  <c r="AA421" i="63" s="1"/>
  <c r="AL421" i="63"/>
  <c r="AM421" i="63" s="1"/>
  <c r="U421" i="63" l="1"/>
  <c r="Y421" i="63" l="1"/>
  <c r="Z421" i="63"/>
  <c r="AH421" i="63" s="1"/>
  <c r="AB421" i="63"/>
  <c r="T422" i="63" l="1"/>
  <c r="R422" i="63"/>
  <c r="AE421" i="63"/>
  <c r="AF421" i="63" s="1"/>
  <c r="AL422" i="63" l="1"/>
  <c r="AM422" i="63" s="1"/>
  <c r="V422" i="63"/>
  <c r="AA422" i="63" s="1"/>
  <c r="AD422" i="63"/>
  <c r="AG422" i="63"/>
  <c r="AJ422" i="63" s="1"/>
  <c r="AK422" i="63" s="1"/>
  <c r="U422" i="63" l="1"/>
  <c r="Y422" i="63" s="1"/>
  <c r="Z422" i="63" l="1"/>
  <c r="AH422" i="63" s="1"/>
  <c r="AB422" i="63"/>
  <c r="R423" i="63" s="1"/>
  <c r="T423" i="63"/>
  <c r="AE422" i="63" l="1"/>
  <c r="AF422" i="63" s="1"/>
  <c r="AG423" i="63"/>
  <c r="AJ423" i="63" s="1"/>
  <c r="AK423" i="63" s="1"/>
  <c r="AD423" i="63"/>
  <c r="AL423" i="63"/>
  <c r="AM423" i="63" s="1"/>
  <c r="V423" i="63"/>
  <c r="AA423" i="63" s="1"/>
  <c r="U423" i="63" l="1"/>
  <c r="Z423" i="63" l="1"/>
  <c r="AH423" i="63" s="1"/>
  <c r="Y423" i="63"/>
  <c r="AB423" i="63"/>
  <c r="T424" i="63" l="1"/>
  <c r="R424" i="63"/>
  <c r="AE423" i="63"/>
  <c r="AF423" i="63" s="1"/>
  <c r="AL424" i="63" l="1"/>
  <c r="AM424" i="63" s="1"/>
  <c r="V424" i="63"/>
  <c r="AA424" i="63" s="1"/>
  <c r="AD424" i="63"/>
  <c r="AG424" i="63"/>
  <c r="AJ424" i="63" s="1"/>
  <c r="AK424" i="63" s="1"/>
  <c r="U424" i="63" l="1"/>
  <c r="Y424" i="63" s="1"/>
  <c r="Z424" i="63"/>
  <c r="AH424" i="63" s="1"/>
  <c r="AB424" i="63"/>
  <c r="R425" i="63" l="1"/>
  <c r="AE424" i="63"/>
  <c r="AF424" i="63" s="1"/>
  <c r="T425" i="63"/>
  <c r="AD425" i="63" l="1"/>
  <c r="AG425" i="63"/>
  <c r="AJ425" i="63" s="1"/>
  <c r="AK425" i="63" s="1"/>
  <c r="V425" i="63"/>
  <c r="AA425" i="63" s="1"/>
  <c r="AL425" i="63"/>
  <c r="AM425" i="63" s="1"/>
  <c r="U425" i="63" l="1"/>
  <c r="Y425" i="63" l="1"/>
  <c r="Z425" i="63"/>
  <c r="AH425" i="63" s="1"/>
  <c r="AB425" i="63"/>
  <c r="R426" i="63" l="1"/>
  <c r="T426" i="63"/>
  <c r="AE425" i="63"/>
  <c r="AF425" i="63" s="1"/>
  <c r="AD426" i="63" l="1"/>
  <c r="AG426" i="63"/>
  <c r="AJ426" i="63" s="1"/>
  <c r="AK426" i="63" s="1"/>
  <c r="V426" i="63"/>
  <c r="AA426" i="63" s="1"/>
  <c r="AL426" i="63"/>
  <c r="AM426" i="63" s="1"/>
  <c r="U426" i="63" l="1"/>
  <c r="Z426" i="63" l="1"/>
  <c r="AH426" i="63" s="1"/>
  <c r="Y426" i="63"/>
  <c r="AB426" i="63"/>
  <c r="T427" i="63" l="1"/>
  <c r="AE426" i="63"/>
  <c r="AF426" i="63" s="1"/>
  <c r="R427" i="63"/>
  <c r="AL427" i="63" l="1"/>
  <c r="AM427" i="63" s="1"/>
  <c r="V427" i="63"/>
  <c r="AA427" i="63" s="1"/>
  <c r="AD427" i="63"/>
  <c r="AG427" i="63"/>
  <c r="AJ427" i="63" s="1"/>
  <c r="AK427" i="63" s="1"/>
  <c r="U427" i="63" l="1"/>
  <c r="Z427" i="63" s="1"/>
  <c r="AH427" i="63" s="1"/>
  <c r="Y427" i="63"/>
  <c r="AB427" i="63"/>
  <c r="T428" i="63" l="1"/>
  <c r="AE427" i="63"/>
  <c r="AF427" i="63" s="1"/>
  <c r="R428" i="63"/>
  <c r="V428" i="63" l="1"/>
  <c r="AA428" i="63" s="1"/>
  <c r="AL428" i="63"/>
  <c r="AM428" i="63" s="1"/>
  <c r="AD428" i="63"/>
  <c r="AG428" i="63"/>
  <c r="AJ428" i="63" s="1"/>
  <c r="AK428" i="63" s="1"/>
  <c r="U428" i="63" l="1"/>
  <c r="Z428" i="63" s="1"/>
  <c r="AH428" i="63" s="1"/>
  <c r="AB428" i="63"/>
  <c r="Y428" i="63" l="1"/>
  <c r="T429" i="63"/>
  <c r="R429" i="63"/>
  <c r="AE428" i="63"/>
  <c r="AF428" i="63" s="1"/>
  <c r="AL429" i="63" l="1"/>
  <c r="AM429" i="63" s="1"/>
  <c r="V429" i="63"/>
  <c r="AA429" i="63" s="1"/>
  <c r="AG429" i="63"/>
  <c r="AJ429" i="63" s="1"/>
  <c r="AK429" i="63" s="1"/>
  <c r="AD429" i="63"/>
  <c r="U429" i="63" l="1"/>
  <c r="Y429" i="63" s="1"/>
  <c r="Z429" i="63" l="1"/>
  <c r="AH429" i="63" s="1"/>
  <c r="AB429" i="63"/>
  <c r="R430" i="63" s="1"/>
  <c r="T430" i="63" l="1"/>
  <c r="AD430" i="63" s="1"/>
  <c r="AE429" i="63"/>
  <c r="AF429" i="63" s="1"/>
  <c r="AL430" i="63"/>
  <c r="AM430" i="63" s="1"/>
  <c r="V430" i="63"/>
  <c r="AA430" i="63" s="1"/>
  <c r="AG430" i="63" l="1"/>
  <c r="AJ430" i="63" s="1"/>
  <c r="AK430" i="63" s="1"/>
  <c r="U430" i="63"/>
  <c r="Z430" i="63" l="1"/>
  <c r="AH430" i="63" s="1"/>
  <c r="Y430" i="63"/>
  <c r="AB430" i="63"/>
  <c r="R431" i="63" l="1"/>
  <c r="AE430" i="63"/>
  <c r="AF430" i="63" s="1"/>
  <c r="T431" i="63"/>
  <c r="AG431" i="63" l="1"/>
  <c r="AJ431" i="63" s="1"/>
  <c r="AK431" i="63" s="1"/>
  <c r="AD431" i="63"/>
  <c r="AL431" i="63"/>
  <c r="AM431" i="63" s="1"/>
  <c r="V431" i="63"/>
  <c r="AA431" i="63" s="1"/>
  <c r="U431" i="63" l="1"/>
  <c r="Z431" i="63" l="1"/>
  <c r="AH431" i="63" s="1"/>
  <c r="Y431" i="63"/>
  <c r="AB431" i="63"/>
  <c r="T432" i="63" l="1"/>
  <c r="R432" i="63"/>
  <c r="AE431" i="63"/>
  <c r="AF431" i="63" s="1"/>
  <c r="V432" i="63" l="1"/>
  <c r="AA432" i="63" s="1"/>
  <c r="AL432" i="63"/>
  <c r="AM432" i="63" s="1"/>
  <c r="AD432" i="63"/>
  <c r="AG432" i="63"/>
  <c r="AJ432" i="63" s="1"/>
  <c r="AK432" i="63" s="1"/>
  <c r="U432" i="63"/>
  <c r="Z432" i="63" l="1"/>
  <c r="AH432" i="63" s="1"/>
  <c r="Y432" i="63"/>
  <c r="AB432" i="63"/>
  <c r="T433" i="63" l="1"/>
  <c r="AE432" i="63"/>
  <c r="AF432" i="63" s="1"/>
  <c r="R433" i="63"/>
  <c r="V433" i="63" l="1"/>
  <c r="AA433" i="63" s="1"/>
  <c r="AL433" i="63"/>
  <c r="AM433" i="63" s="1"/>
  <c r="AD433" i="63"/>
  <c r="AG433" i="63"/>
  <c r="AJ433" i="63" s="1"/>
  <c r="AK433" i="63" s="1"/>
  <c r="U433" i="63" l="1"/>
  <c r="Y433" i="63"/>
  <c r="Z433" i="63"/>
  <c r="AH433" i="63" s="1"/>
  <c r="AB433" i="63"/>
  <c r="T434" i="63" l="1"/>
  <c r="R434" i="63"/>
  <c r="AE433" i="63"/>
  <c r="AF433" i="63" s="1"/>
  <c r="AL434" i="63" l="1"/>
  <c r="AM434" i="63" s="1"/>
  <c r="V434" i="63"/>
  <c r="AA434" i="63" s="1"/>
  <c r="AG434" i="63"/>
  <c r="AJ434" i="63" s="1"/>
  <c r="AK434" i="63" s="1"/>
  <c r="AD434" i="63"/>
  <c r="U434" i="63" l="1"/>
  <c r="Y434" i="63"/>
  <c r="Z434" i="63"/>
  <c r="AH434" i="63" s="1"/>
  <c r="AB434" i="63"/>
  <c r="R435" i="63" l="1"/>
  <c r="AE434" i="63"/>
  <c r="AF434" i="63" s="1"/>
  <c r="T435" i="63"/>
  <c r="AD435" i="63" l="1"/>
  <c r="AG435" i="63"/>
  <c r="AJ435" i="63" s="1"/>
  <c r="AK435" i="63" s="1"/>
  <c r="V435" i="63"/>
  <c r="AA435" i="63" s="1"/>
  <c r="AL435" i="63"/>
  <c r="AM435" i="63" s="1"/>
  <c r="U435" i="63" l="1"/>
  <c r="Y435" i="63" l="1"/>
  <c r="Z435" i="63"/>
  <c r="AH435" i="63" s="1"/>
  <c r="AB435" i="63"/>
  <c r="T436" i="63" l="1"/>
  <c r="AE435" i="63"/>
  <c r="AF435" i="63" s="1"/>
  <c r="R436" i="63"/>
  <c r="V436" i="63" l="1"/>
  <c r="AA436" i="63" s="1"/>
  <c r="AL436" i="63"/>
  <c r="AM436" i="63" s="1"/>
  <c r="AD436" i="63"/>
  <c r="AG436" i="63"/>
  <c r="AJ436" i="63" s="1"/>
  <c r="AK436" i="63" s="1"/>
  <c r="U436" i="63" l="1"/>
  <c r="Y436" i="63" s="1"/>
  <c r="Z436" i="63"/>
  <c r="AH436" i="63" s="1"/>
  <c r="AB436" i="63"/>
  <c r="T437" i="63" l="1"/>
  <c r="R437" i="63"/>
  <c r="AE436" i="63"/>
  <c r="AF436" i="63" s="1"/>
  <c r="V437" i="63" l="1"/>
  <c r="AA437" i="63" s="1"/>
  <c r="AL437" i="63"/>
  <c r="AM437" i="63" s="1"/>
  <c r="AG437" i="63"/>
  <c r="AJ437" i="63" s="1"/>
  <c r="AK437" i="63" s="1"/>
  <c r="AD437" i="63"/>
  <c r="U437" i="63" l="1"/>
  <c r="Y437" i="63"/>
  <c r="Z437" i="63"/>
  <c r="AH437" i="63" s="1"/>
  <c r="AB437" i="63"/>
  <c r="T438" i="63" l="1"/>
  <c r="R438" i="63"/>
  <c r="AE437" i="63"/>
  <c r="AF437" i="63" s="1"/>
  <c r="V438" i="63" l="1"/>
  <c r="AA438" i="63" s="1"/>
  <c r="AL438" i="63"/>
  <c r="AM438" i="63" s="1"/>
  <c r="AD438" i="63"/>
  <c r="AG438" i="63"/>
  <c r="AJ438" i="63" s="1"/>
  <c r="AK438" i="63" s="1"/>
  <c r="U438" i="63" l="1"/>
  <c r="AB438" i="63" s="1"/>
  <c r="T439" i="63" s="1"/>
  <c r="R439" i="63"/>
  <c r="Y438" i="63"/>
  <c r="Z438" i="63"/>
  <c r="AH438" i="63" s="1"/>
  <c r="AE438" i="63" l="1"/>
  <c r="AF438" i="63" s="1"/>
  <c r="AL439" i="63"/>
  <c r="AM439" i="63" s="1"/>
  <c r="V439" i="63"/>
  <c r="AA439" i="63" s="1"/>
  <c r="AG439" i="63"/>
  <c r="AJ439" i="63" s="1"/>
  <c r="AK439" i="63" s="1"/>
  <c r="AD439" i="63"/>
  <c r="U439" i="63" l="1"/>
  <c r="Z439" i="63" s="1"/>
  <c r="AH439" i="63" s="1"/>
  <c r="Y439" i="63" l="1"/>
  <c r="AB439" i="63"/>
  <c r="R440" i="63"/>
  <c r="T440" i="63"/>
  <c r="AE439" i="63"/>
  <c r="AF439" i="63" s="1"/>
  <c r="AD440" i="63" l="1"/>
  <c r="AG440" i="63"/>
  <c r="AJ440" i="63" s="1"/>
  <c r="AK440" i="63" s="1"/>
  <c r="V440" i="63"/>
  <c r="AA440" i="63" s="1"/>
  <c r="AL440" i="63"/>
  <c r="AM440" i="63" s="1"/>
  <c r="U440" i="63" l="1"/>
  <c r="Y440" i="63" l="1"/>
  <c r="Z440" i="63"/>
  <c r="AH440" i="63" s="1"/>
  <c r="AB440" i="63"/>
  <c r="T441" i="63" l="1"/>
  <c r="AE440" i="63"/>
  <c r="AF440" i="63" s="1"/>
  <c r="R441" i="63"/>
  <c r="V441" i="63" l="1"/>
  <c r="AA441" i="63" s="1"/>
  <c r="AL441" i="63"/>
  <c r="AM441" i="63" s="1"/>
  <c r="AD441" i="63"/>
  <c r="AG441" i="63"/>
  <c r="AJ441" i="63" s="1"/>
  <c r="AK441" i="63" s="1"/>
  <c r="U441" i="63" l="1"/>
  <c r="Z441" i="63" s="1"/>
  <c r="AH441" i="63" s="1"/>
  <c r="Y441" i="63"/>
  <c r="AB441" i="63" l="1"/>
  <c r="T442" i="63" s="1"/>
  <c r="R442" i="63"/>
  <c r="AE441" i="63"/>
  <c r="AF441" i="63" s="1"/>
  <c r="AD442" i="63" l="1"/>
  <c r="AG442" i="63"/>
  <c r="AJ442" i="63" s="1"/>
  <c r="AK442" i="63" s="1"/>
  <c r="V442" i="63"/>
  <c r="AA442" i="63" s="1"/>
  <c r="AL442" i="63"/>
  <c r="AM442" i="63" s="1"/>
  <c r="U442" i="63" l="1"/>
  <c r="Z442" i="63" l="1"/>
  <c r="AH442" i="63" s="1"/>
  <c r="Y442" i="63"/>
  <c r="AB442" i="63"/>
  <c r="R443" i="63" l="1"/>
  <c r="AE442" i="63"/>
  <c r="AF442" i="63" s="1"/>
  <c r="T443" i="63"/>
  <c r="AD443" i="63" l="1"/>
  <c r="AG443" i="63"/>
  <c r="AJ443" i="63" s="1"/>
  <c r="AK443" i="63" s="1"/>
  <c r="V443" i="63"/>
  <c r="AA443" i="63" s="1"/>
  <c r="AL443" i="63"/>
  <c r="AM443" i="63" s="1"/>
  <c r="U443" i="63" l="1"/>
  <c r="Z443" i="63" l="1"/>
  <c r="AH443" i="63" s="1"/>
  <c r="Y443" i="63"/>
  <c r="AB443" i="63"/>
  <c r="R444" i="63" l="1"/>
  <c r="AE443" i="63"/>
  <c r="AF443" i="63" s="1"/>
  <c r="T444" i="63"/>
  <c r="AD444" i="63" l="1"/>
  <c r="AG444" i="63"/>
  <c r="AJ444" i="63" s="1"/>
  <c r="AK444" i="63" s="1"/>
  <c r="V444" i="63"/>
  <c r="AA444" i="63" s="1"/>
  <c r="AL444" i="63"/>
  <c r="AM444" i="63" s="1"/>
  <c r="U444" i="63" l="1"/>
  <c r="Y444" i="63" l="1"/>
  <c r="Z444" i="63"/>
  <c r="AH444" i="63" s="1"/>
  <c r="AB444" i="63"/>
  <c r="R445" i="63" l="1"/>
  <c r="T445" i="63"/>
  <c r="AE444" i="63"/>
  <c r="AF444" i="63" s="1"/>
  <c r="AD445" i="63" l="1"/>
  <c r="AG445" i="63"/>
  <c r="AJ445" i="63" s="1"/>
  <c r="AK445" i="63" s="1"/>
  <c r="AL445" i="63"/>
  <c r="AM445" i="63" s="1"/>
  <c r="V445" i="63"/>
  <c r="AA445" i="63" s="1"/>
  <c r="U445" i="63" l="1"/>
  <c r="Y445" i="63" l="1"/>
  <c r="Z445" i="63"/>
  <c r="AH445" i="63" s="1"/>
  <c r="AB445" i="63"/>
  <c r="R446" i="63" l="1"/>
  <c r="AE445" i="63"/>
  <c r="AF445" i="63" s="1"/>
  <c r="T446" i="63"/>
  <c r="AD446" i="63" l="1"/>
  <c r="AG446" i="63"/>
  <c r="AJ446" i="63" s="1"/>
  <c r="AK446" i="63" s="1"/>
  <c r="AL446" i="63"/>
  <c r="AM446" i="63" s="1"/>
  <c r="V446" i="63"/>
  <c r="AA446" i="63" s="1"/>
  <c r="U446" i="63" l="1"/>
  <c r="Z446" i="63" l="1"/>
  <c r="AH446" i="63" s="1"/>
  <c r="Y446" i="63"/>
  <c r="AB446" i="63"/>
  <c r="R447" i="63" l="1"/>
  <c r="AE446" i="63"/>
  <c r="AF446" i="63" s="1"/>
  <c r="T447" i="63"/>
  <c r="AG447" i="63" l="1"/>
  <c r="AJ447" i="63" s="1"/>
  <c r="AK447" i="63" s="1"/>
  <c r="AD447" i="63"/>
  <c r="V447" i="63"/>
  <c r="AA447" i="63" s="1"/>
  <c r="AL447" i="63"/>
  <c r="AM447" i="63" s="1"/>
  <c r="U447" i="63" l="1"/>
  <c r="Y447" i="63" l="1"/>
  <c r="Z447" i="63"/>
  <c r="AH447" i="63" s="1"/>
  <c r="AB447" i="63"/>
  <c r="R448" i="63" l="1"/>
  <c r="T448" i="63"/>
  <c r="AE447" i="63"/>
  <c r="AF447" i="63" s="1"/>
  <c r="AD448" i="63" l="1"/>
  <c r="AG448" i="63"/>
  <c r="AJ448" i="63" s="1"/>
  <c r="AK448" i="63" s="1"/>
  <c r="V448" i="63"/>
  <c r="AA448" i="63" s="1"/>
  <c r="AL448" i="63"/>
  <c r="AM448" i="63" s="1"/>
  <c r="U448" i="63" l="1"/>
  <c r="Z448" i="63" l="1"/>
  <c r="AH448" i="63" s="1"/>
  <c r="Y448" i="63"/>
  <c r="AB448" i="63"/>
  <c r="T449" i="63" l="1"/>
  <c r="AE448" i="63"/>
  <c r="AF448" i="63" s="1"/>
  <c r="R449" i="63"/>
  <c r="AL449" i="63" l="1"/>
  <c r="AM449" i="63" s="1"/>
  <c r="V449" i="63"/>
  <c r="AA449" i="63" s="1"/>
  <c r="AD449" i="63"/>
  <c r="AG449" i="63"/>
  <c r="AJ449" i="63" s="1"/>
  <c r="AK449" i="63" s="1"/>
  <c r="U449" i="63" l="1"/>
  <c r="Z449" i="63" s="1"/>
  <c r="AH449" i="63" s="1"/>
  <c r="AB449" i="63" l="1"/>
  <c r="Y449" i="63"/>
  <c r="R450" i="63"/>
  <c r="T450" i="63"/>
  <c r="AE449" i="63"/>
  <c r="AF449" i="63" s="1"/>
  <c r="AD450" i="63" l="1"/>
  <c r="AG450" i="63"/>
  <c r="AJ450" i="63" s="1"/>
  <c r="AK450" i="63" s="1"/>
  <c r="AL450" i="63"/>
  <c r="AM450" i="63" s="1"/>
  <c r="V450" i="63"/>
  <c r="AA450" i="63" s="1"/>
  <c r="U450" i="63" l="1"/>
  <c r="Z450" i="63" l="1"/>
  <c r="AH450" i="63" s="1"/>
  <c r="Y450" i="63"/>
  <c r="AB450" i="63"/>
  <c r="R451" i="63" l="1"/>
  <c r="AE450" i="63"/>
  <c r="AF450" i="63" s="1"/>
  <c r="T451" i="63"/>
  <c r="AD451" i="63" l="1"/>
  <c r="AG451" i="63"/>
  <c r="AJ451" i="63" s="1"/>
  <c r="AK451" i="63" s="1"/>
  <c r="AL451" i="63"/>
  <c r="AM451" i="63" s="1"/>
  <c r="V451" i="63"/>
  <c r="AA451" i="63" s="1"/>
  <c r="U451" i="63" l="1"/>
  <c r="Y451" i="63" l="1"/>
  <c r="Z451" i="63"/>
  <c r="AH451" i="63" s="1"/>
  <c r="AB451" i="63"/>
  <c r="R452" i="63" l="1"/>
  <c r="AE451" i="63"/>
  <c r="AF451" i="63" s="1"/>
  <c r="T452" i="63"/>
  <c r="AD452" i="63" l="1"/>
  <c r="AG452" i="63"/>
  <c r="AJ452" i="63" s="1"/>
  <c r="AK452" i="63" s="1"/>
  <c r="AL452" i="63"/>
  <c r="AM452" i="63" s="1"/>
  <c r="V452" i="63"/>
  <c r="AA452" i="63" s="1"/>
  <c r="U452" i="63" l="1"/>
  <c r="Z452" i="63" l="1"/>
  <c r="AH452" i="63" s="1"/>
  <c r="Y452" i="63"/>
  <c r="AB452" i="63"/>
  <c r="T453" i="63" l="1"/>
  <c r="R453" i="63"/>
  <c r="AE452" i="63"/>
  <c r="AF452" i="63" s="1"/>
  <c r="V453" i="63" l="1"/>
  <c r="AA453" i="63" s="1"/>
  <c r="AL453" i="63"/>
  <c r="AM453" i="63" s="1"/>
  <c r="AG453" i="63"/>
  <c r="AJ453" i="63" s="1"/>
  <c r="AK453" i="63" s="1"/>
  <c r="AD453" i="63"/>
  <c r="U453" i="63" l="1"/>
  <c r="Y453" i="63" s="1"/>
  <c r="AB453" i="63"/>
  <c r="Z453" i="63" l="1"/>
  <c r="AH453" i="63" s="1"/>
  <c r="R454" i="63"/>
  <c r="AE453" i="63"/>
  <c r="AF453" i="63" s="1"/>
  <c r="T454" i="63"/>
  <c r="AD454" i="63" l="1"/>
  <c r="AG454" i="63"/>
  <c r="AJ454" i="63" s="1"/>
  <c r="AK454" i="63" s="1"/>
  <c r="V454" i="63"/>
  <c r="AA454" i="63" s="1"/>
  <c r="AL454" i="63"/>
  <c r="AM454" i="63" s="1"/>
  <c r="U454" i="63" l="1"/>
  <c r="Y454" i="63" l="1"/>
  <c r="Z454" i="63"/>
  <c r="AH454" i="63" s="1"/>
  <c r="AB454" i="63"/>
  <c r="R455" i="63" l="1"/>
  <c r="AE454" i="63"/>
  <c r="AF454" i="63" s="1"/>
  <c r="T455" i="63"/>
  <c r="AG455" i="63" l="1"/>
  <c r="AJ455" i="63" s="1"/>
  <c r="AK455" i="63" s="1"/>
  <c r="AD455" i="63"/>
  <c r="V455" i="63"/>
  <c r="AA455" i="63" s="1"/>
  <c r="AL455" i="63"/>
  <c r="AM455" i="63" s="1"/>
  <c r="U455" i="63" l="1"/>
  <c r="Z455" i="63" l="1"/>
  <c r="AH455" i="63" s="1"/>
  <c r="Y455" i="63"/>
  <c r="AB455" i="63"/>
  <c r="R456" i="63" l="1"/>
  <c r="T456" i="63"/>
  <c r="AE455" i="63"/>
  <c r="AF455" i="63" s="1"/>
  <c r="AD456" i="63" l="1"/>
  <c r="AG456" i="63"/>
  <c r="AJ456" i="63" s="1"/>
  <c r="AK456" i="63" s="1"/>
  <c r="V456" i="63"/>
  <c r="AA456" i="63" s="1"/>
  <c r="AL456" i="63"/>
  <c r="AM456" i="63" s="1"/>
  <c r="U456" i="63" l="1"/>
  <c r="Y456" i="63" l="1"/>
  <c r="Z456" i="63"/>
  <c r="AH456" i="63" s="1"/>
  <c r="AB456" i="63"/>
  <c r="T457" i="63" l="1"/>
  <c r="AE456" i="63"/>
  <c r="AF456" i="63" s="1"/>
  <c r="R457" i="63"/>
  <c r="AL457" i="63" l="1"/>
  <c r="AM457" i="63" s="1"/>
  <c r="V457" i="63"/>
  <c r="AA457" i="63" s="1"/>
  <c r="AD457" i="63"/>
  <c r="AG457" i="63"/>
  <c r="AJ457" i="63" s="1"/>
  <c r="AK457" i="63" s="1"/>
  <c r="U457" i="63" l="1"/>
  <c r="Z457" i="63" s="1"/>
  <c r="AH457" i="63" s="1"/>
  <c r="AB457" i="63" l="1"/>
  <c r="Y457" i="63"/>
  <c r="R458" i="63"/>
  <c r="T458" i="63"/>
  <c r="AE457" i="63"/>
  <c r="AF457" i="63" s="1"/>
  <c r="AD458" i="63" l="1"/>
  <c r="AG458" i="63"/>
  <c r="AJ458" i="63" s="1"/>
  <c r="AK458" i="63" s="1"/>
  <c r="AL458" i="63"/>
  <c r="AM458" i="63" s="1"/>
  <c r="V458" i="63"/>
  <c r="AA458" i="63" s="1"/>
  <c r="U458" i="63" l="1"/>
  <c r="Z458" i="63" l="1"/>
  <c r="AH458" i="63" s="1"/>
  <c r="Y458" i="63"/>
  <c r="AB458" i="63"/>
  <c r="T459" i="63" l="1"/>
  <c r="AE458" i="63"/>
  <c r="AF458" i="63" s="1"/>
  <c r="R459" i="63"/>
  <c r="AL459" i="63" l="1"/>
  <c r="AM459" i="63" s="1"/>
  <c r="V459" i="63"/>
  <c r="AA459" i="63" s="1"/>
  <c r="AD459" i="63"/>
  <c r="AG459" i="63"/>
  <c r="AJ459" i="63" s="1"/>
  <c r="AK459" i="63" s="1"/>
  <c r="U459" i="63" l="1"/>
  <c r="Z459" i="63" s="1"/>
  <c r="AH459" i="63" s="1"/>
  <c r="AB459" i="63" l="1"/>
  <c r="Y459" i="63"/>
  <c r="R460" i="63"/>
  <c r="AE459" i="63"/>
  <c r="AF459" i="63" s="1"/>
  <c r="T460" i="63"/>
  <c r="AD460" i="63" l="1"/>
  <c r="AG460" i="63"/>
  <c r="AJ460" i="63" s="1"/>
  <c r="AK460" i="63" s="1"/>
  <c r="AL460" i="63"/>
  <c r="AM460" i="63" s="1"/>
  <c r="V460" i="63"/>
  <c r="AA460" i="63" s="1"/>
  <c r="U460" i="63" l="1"/>
  <c r="Y460" i="63" l="1"/>
  <c r="Z460" i="63"/>
  <c r="AH460" i="63" s="1"/>
  <c r="AB460" i="63"/>
  <c r="T461" i="63" l="1"/>
  <c r="R461" i="63"/>
  <c r="AE460" i="63"/>
  <c r="AF460" i="63" s="1"/>
  <c r="AL461" i="63" l="1"/>
  <c r="AM461" i="63" s="1"/>
  <c r="V461" i="63"/>
  <c r="AA461" i="63" s="1"/>
  <c r="AG461" i="63"/>
  <c r="AJ461" i="63" s="1"/>
  <c r="AK461" i="63" s="1"/>
  <c r="AD461" i="63"/>
  <c r="U461" i="63" l="1"/>
  <c r="Y461" i="63" s="1"/>
  <c r="AB461" i="63" l="1"/>
  <c r="AE461" i="63" s="1"/>
  <c r="AF461" i="63" s="1"/>
  <c r="Z461" i="63"/>
  <c r="AH461" i="63" s="1"/>
  <c r="T462" i="63" l="1"/>
  <c r="AG462" i="63" s="1"/>
  <c r="AJ462" i="63" s="1"/>
  <c r="AK462" i="63" s="1"/>
  <c r="R462" i="63"/>
  <c r="AL462" i="63" s="1"/>
  <c r="AM462" i="63" s="1"/>
  <c r="V462" i="63" l="1"/>
  <c r="AA462" i="63" s="1"/>
  <c r="AD462" i="63"/>
  <c r="U462" i="63"/>
  <c r="Y462" i="63" s="1"/>
  <c r="Z462" i="63"/>
  <c r="AH462" i="63" s="1"/>
  <c r="AB462" i="63"/>
  <c r="R463" i="63" l="1"/>
  <c r="AE462" i="63"/>
  <c r="AF462" i="63" s="1"/>
  <c r="T463" i="63"/>
  <c r="AG463" i="63" l="1"/>
  <c r="AJ463" i="63" s="1"/>
  <c r="AK463" i="63" s="1"/>
  <c r="AD463" i="63"/>
  <c r="V463" i="63"/>
  <c r="AA463" i="63" s="1"/>
  <c r="AL463" i="63"/>
  <c r="AM463" i="63" s="1"/>
  <c r="U463" i="63" l="1"/>
  <c r="Y463" i="63" l="1"/>
  <c r="Z463" i="63"/>
  <c r="AH463" i="63" s="1"/>
  <c r="AB463" i="63"/>
  <c r="R464" i="63" l="1"/>
  <c r="T464" i="63"/>
  <c r="AE463" i="63"/>
  <c r="AF463" i="63" s="1"/>
  <c r="AD464" i="63" l="1"/>
  <c r="AG464" i="63"/>
  <c r="AJ464" i="63" s="1"/>
  <c r="AK464" i="63" s="1"/>
  <c r="AL464" i="63"/>
  <c r="AM464" i="63" s="1"/>
  <c r="V464" i="63"/>
  <c r="AA464" i="63" s="1"/>
  <c r="U464" i="63" l="1"/>
  <c r="Z464" i="63" l="1"/>
  <c r="AH464" i="63" s="1"/>
  <c r="Y464" i="63"/>
  <c r="AB464" i="63"/>
  <c r="R465" i="63" l="1"/>
  <c r="AE464" i="63"/>
  <c r="AF464" i="63" s="1"/>
  <c r="T465" i="63"/>
  <c r="AD465" i="63" l="1"/>
  <c r="AG465" i="63"/>
  <c r="AJ465" i="63" s="1"/>
  <c r="AK465" i="63" s="1"/>
  <c r="V465" i="63"/>
  <c r="AA465" i="63" s="1"/>
  <c r="AL465" i="63"/>
  <c r="AM465" i="63" s="1"/>
  <c r="U465" i="63" l="1"/>
  <c r="Y465" i="63" l="1"/>
  <c r="Z465" i="63"/>
  <c r="AH465" i="63" s="1"/>
  <c r="AB465" i="63"/>
  <c r="T466" i="63" l="1"/>
  <c r="R466" i="63"/>
  <c r="AE465" i="63"/>
  <c r="AF465" i="63" s="1"/>
  <c r="V466" i="63" l="1"/>
  <c r="AA466" i="63" s="1"/>
  <c r="AL466" i="63"/>
  <c r="AM466" i="63" s="1"/>
  <c r="AG466" i="63"/>
  <c r="AJ466" i="63" s="1"/>
  <c r="AK466" i="63" s="1"/>
  <c r="AD466" i="63"/>
  <c r="U466" i="63" l="1"/>
  <c r="Y466" i="63" s="1"/>
  <c r="AB466" i="63"/>
  <c r="Z466" i="63" l="1"/>
  <c r="AH466" i="63" s="1"/>
  <c r="R467" i="63"/>
  <c r="AE466" i="63"/>
  <c r="AF466" i="63" s="1"/>
  <c r="T467" i="63"/>
  <c r="AD467" i="63" l="1"/>
  <c r="AG467" i="63"/>
  <c r="AJ467" i="63" s="1"/>
  <c r="AK467" i="63" s="1"/>
  <c r="AL467" i="63"/>
  <c r="AM467" i="63" s="1"/>
  <c r="V467" i="63"/>
  <c r="AA467" i="63" s="1"/>
  <c r="U467" i="63" l="1"/>
  <c r="Z467" i="63" l="1"/>
  <c r="AH467" i="63" s="1"/>
  <c r="Y467" i="63"/>
  <c r="AB467" i="63"/>
  <c r="R468" i="63" l="1"/>
  <c r="AE467" i="63"/>
  <c r="AF467" i="63" s="1"/>
  <c r="T468" i="63"/>
  <c r="AD468" i="63" l="1"/>
  <c r="AG468" i="63"/>
  <c r="AJ468" i="63" s="1"/>
  <c r="AK468" i="63" s="1"/>
  <c r="AL468" i="63"/>
  <c r="AM468" i="63" s="1"/>
  <c r="V468" i="63"/>
  <c r="AA468" i="63" s="1"/>
  <c r="U468" i="63" l="1"/>
  <c r="Z468" i="63" l="1"/>
  <c r="AH468" i="63" s="1"/>
  <c r="Y468" i="63"/>
  <c r="AB468" i="63"/>
  <c r="T469" i="63" l="1"/>
  <c r="R469" i="63"/>
  <c r="AE468" i="63"/>
  <c r="AF468" i="63" s="1"/>
  <c r="V469" i="63" l="1"/>
  <c r="AA469" i="63" s="1"/>
  <c r="AL469" i="63"/>
  <c r="AM469" i="63" s="1"/>
  <c r="AG469" i="63"/>
  <c r="AJ469" i="63" s="1"/>
  <c r="AK469" i="63" s="1"/>
  <c r="AD469" i="63"/>
  <c r="U469" i="63" l="1"/>
  <c r="Y469" i="63" s="1"/>
  <c r="AB469" i="63"/>
  <c r="Z469" i="63" l="1"/>
  <c r="AH469" i="63" s="1"/>
  <c r="T470" i="63"/>
  <c r="AE469" i="63"/>
  <c r="AF469" i="63" s="1"/>
  <c r="R470" i="63"/>
  <c r="V470" i="63" l="1"/>
  <c r="AA470" i="63" s="1"/>
  <c r="AL470" i="63"/>
  <c r="AM470" i="63" s="1"/>
  <c r="AD470" i="63"/>
  <c r="AG470" i="63"/>
  <c r="AJ470" i="63" s="1"/>
  <c r="AK470" i="63" s="1"/>
  <c r="U470" i="63" l="1"/>
  <c r="Y470" i="63" s="1"/>
  <c r="AB470" i="63" l="1"/>
  <c r="R471" i="63" s="1"/>
  <c r="Z470" i="63"/>
  <c r="AH470" i="63" s="1"/>
  <c r="AE470" i="63"/>
  <c r="AF470" i="63" s="1"/>
  <c r="T471" i="63"/>
  <c r="AG471" i="63" l="1"/>
  <c r="AJ471" i="63" s="1"/>
  <c r="AK471" i="63" s="1"/>
  <c r="AD471" i="63"/>
  <c r="AL471" i="63"/>
  <c r="AM471" i="63" s="1"/>
  <c r="V471" i="63"/>
  <c r="AA471" i="63" s="1"/>
  <c r="U471" i="63" l="1"/>
  <c r="Z471" i="63" l="1"/>
  <c r="AH471" i="63" s="1"/>
  <c r="Y471" i="63"/>
  <c r="AB471" i="63"/>
  <c r="T472" i="63" l="1"/>
  <c r="R472" i="63"/>
  <c r="AE471" i="63"/>
  <c r="AF471" i="63" s="1"/>
  <c r="AL472" i="63" l="1"/>
  <c r="AM472" i="63" s="1"/>
  <c r="V472" i="63"/>
  <c r="AA472" i="63" s="1"/>
  <c r="AD472" i="63"/>
  <c r="AG472" i="63"/>
  <c r="AJ472" i="63" s="1"/>
  <c r="AK472" i="63" s="1"/>
  <c r="U472" i="63" l="1"/>
  <c r="Y472" i="63" s="1"/>
  <c r="Z472" i="63"/>
  <c r="AH472" i="63" s="1"/>
  <c r="AB472" i="63"/>
  <c r="R473" i="63" l="1"/>
  <c r="AE472" i="63"/>
  <c r="AF472" i="63" s="1"/>
  <c r="T473" i="63"/>
  <c r="AD473" i="63" l="1"/>
  <c r="AG473" i="63"/>
  <c r="AJ473" i="63" s="1"/>
  <c r="AK473" i="63" s="1"/>
  <c r="AL473" i="63"/>
  <c r="AM473" i="63" s="1"/>
  <c r="V473" i="63"/>
  <c r="AA473" i="63" s="1"/>
  <c r="U473" i="63" l="1"/>
  <c r="Y473" i="63" l="1"/>
  <c r="Z473" i="63"/>
  <c r="AH473" i="63" s="1"/>
  <c r="AB473" i="63"/>
  <c r="R474" i="63" l="1"/>
  <c r="T474" i="63"/>
  <c r="AE473" i="63"/>
  <c r="AF473" i="63" s="1"/>
  <c r="AD474" i="63" l="1"/>
  <c r="AG474" i="63"/>
  <c r="AJ474" i="63" s="1"/>
  <c r="AK474" i="63" s="1"/>
  <c r="V474" i="63"/>
  <c r="AA474" i="63" s="1"/>
  <c r="AL474" i="63"/>
  <c r="AM474" i="63" s="1"/>
  <c r="U474" i="63" l="1"/>
  <c r="Y474" i="63" l="1"/>
  <c r="Z474" i="63"/>
  <c r="AH474" i="63" s="1"/>
  <c r="AB474" i="63"/>
  <c r="T475" i="63" l="1"/>
  <c r="AE474" i="63"/>
  <c r="AF474" i="63" s="1"/>
  <c r="R475" i="63"/>
  <c r="V475" i="63" l="1"/>
  <c r="AA475" i="63" s="1"/>
  <c r="AL475" i="63"/>
  <c r="AM475" i="63" s="1"/>
  <c r="AD475" i="63"/>
  <c r="AG475" i="63"/>
  <c r="AJ475" i="63" s="1"/>
  <c r="AK475" i="63" s="1"/>
  <c r="U475" i="63" l="1"/>
  <c r="Z475" i="63" s="1"/>
  <c r="AH475" i="63" s="1"/>
  <c r="Y475" i="63"/>
  <c r="AB475" i="63"/>
  <c r="R476" i="63" l="1"/>
  <c r="AE475" i="63"/>
  <c r="AF475" i="63" s="1"/>
  <c r="T476" i="63"/>
  <c r="AD476" i="63" l="1"/>
  <c r="AG476" i="63"/>
  <c r="AJ476" i="63" s="1"/>
  <c r="AK476" i="63" s="1"/>
  <c r="AL476" i="63"/>
  <c r="AM476" i="63" s="1"/>
  <c r="V476" i="63"/>
  <c r="AA476" i="63" s="1"/>
  <c r="U476" i="63" l="1"/>
  <c r="Y476" i="63" l="1"/>
  <c r="Z476" i="63"/>
  <c r="AH476" i="63" s="1"/>
  <c r="AB476" i="63"/>
  <c r="T477" i="63" l="1"/>
  <c r="R477" i="63"/>
  <c r="AE476" i="63"/>
  <c r="AF476" i="63" s="1"/>
  <c r="AL477" i="63" l="1"/>
  <c r="AM477" i="63" s="1"/>
  <c r="V477" i="63"/>
  <c r="AA477" i="63" s="1"/>
  <c r="AG477" i="63"/>
  <c r="AJ477" i="63" s="1"/>
  <c r="AK477" i="63" s="1"/>
  <c r="AD477" i="63"/>
  <c r="U477" i="63" l="1"/>
  <c r="Z477" i="63" s="1"/>
  <c r="AH477" i="63" s="1"/>
  <c r="AB477" i="63" l="1"/>
  <c r="Y477" i="63"/>
  <c r="T478" i="63"/>
  <c r="AE477" i="63"/>
  <c r="AF477" i="63" s="1"/>
  <c r="R478" i="63"/>
  <c r="V478" i="63" l="1"/>
  <c r="AA478" i="63" s="1"/>
  <c r="AL478" i="63"/>
  <c r="AM478" i="63" s="1"/>
  <c r="AD478" i="63"/>
  <c r="AG478" i="63"/>
  <c r="AJ478" i="63" s="1"/>
  <c r="AK478" i="63" s="1"/>
  <c r="U478" i="63" l="1"/>
  <c r="Y478" i="63" s="1"/>
  <c r="AB478" i="63" l="1"/>
  <c r="R479" i="63" s="1"/>
  <c r="Z478" i="63"/>
  <c r="AH478" i="63" s="1"/>
  <c r="T479" i="63" l="1"/>
  <c r="AE478" i="63"/>
  <c r="AF478" i="63" s="1"/>
  <c r="AG479" i="63"/>
  <c r="AJ479" i="63" s="1"/>
  <c r="AK479" i="63" s="1"/>
  <c r="AD479" i="63"/>
  <c r="AL479" i="63"/>
  <c r="AM479" i="63" s="1"/>
  <c r="V479" i="63"/>
  <c r="AA479" i="63" s="1"/>
  <c r="U479" i="63" l="1"/>
  <c r="Z479" i="63" l="1"/>
  <c r="AH479" i="63" s="1"/>
  <c r="Y479" i="63"/>
  <c r="AB479" i="63"/>
  <c r="T480" i="63" l="1"/>
  <c r="R480" i="63"/>
  <c r="AE479" i="63"/>
  <c r="AF479" i="63" s="1"/>
  <c r="AL480" i="63" l="1"/>
  <c r="AM480" i="63" s="1"/>
  <c r="V480" i="63"/>
  <c r="AA480" i="63" s="1"/>
  <c r="AD480" i="63"/>
  <c r="AG480" i="63"/>
  <c r="AJ480" i="63" s="1"/>
  <c r="AK480" i="63" s="1"/>
  <c r="U480" i="63" l="1"/>
  <c r="Z480" i="63" s="1"/>
  <c r="AH480" i="63" s="1"/>
  <c r="AB480" i="63"/>
  <c r="Y480" i="63" l="1"/>
  <c r="T481" i="63"/>
  <c r="AE480" i="63"/>
  <c r="AF480" i="63" s="1"/>
  <c r="R481" i="63"/>
  <c r="AL481" i="63" l="1"/>
  <c r="AM481" i="63" s="1"/>
  <c r="V481" i="63"/>
  <c r="AA481" i="63" s="1"/>
  <c r="AD481" i="63"/>
  <c r="AG481" i="63"/>
  <c r="AJ481" i="63" s="1"/>
  <c r="AK481" i="63" s="1"/>
  <c r="U481" i="63" l="1"/>
  <c r="Z481" i="63" s="1"/>
  <c r="AH481" i="63" s="1"/>
  <c r="Y481" i="63"/>
  <c r="AB481" i="63"/>
  <c r="R482" i="63" l="1"/>
  <c r="T482" i="63"/>
  <c r="AE481" i="63"/>
  <c r="AF481" i="63" s="1"/>
  <c r="AD482" i="63" l="1"/>
  <c r="AG482" i="63"/>
  <c r="AJ482" i="63" s="1"/>
  <c r="AK482" i="63" s="1"/>
  <c r="V482" i="63"/>
  <c r="AA482" i="63" s="1"/>
  <c r="AL482" i="63"/>
  <c r="AM482" i="63" s="1"/>
  <c r="U482" i="63" l="1"/>
  <c r="Y482" i="63" l="1"/>
  <c r="Z482" i="63"/>
  <c r="AH482" i="63" s="1"/>
  <c r="AB482" i="63"/>
  <c r="T483" i="63" l="1"/>
  <c r="AE482" i="63"/>
  <c r="AF482" i="63" s="1"/>
  <c r="R483" i="63"/>
  <c r="AL483" i="63" l="1"/>
  <c r="AM483" i="63" s="1"/>
  <c r="V483" i="63"/>
  <c r="AA483" i="63" s="1"/>
  <c r="AD483" i="63"/>
  <c r="AG483" i="63"/>
  <c r="AJ483" i="63" s="1"/>
  <c r="AK483" i="63" s="1"/>
  <c r="U483" i="63" l="1"/>
  <c r="Y483" i="63"/>
  <c r="Z483" i="63"/>
  <c r="AH483" i="63" s="1"/>
  <c r="AB483" i="63"/>
  <c r="T484" i="63" l="1"/>
  <c r="AE483" i="63"/>
  <c r="AF483" i="63" s="1"/>
  <c r="R484" i="63"/>
  <c r="AL484" i="63" l="1"/>
  <c r="AM484" i="63" s="1"/>
  <c r="V484" i="63"/>
  <c r="AA484" i="63" s="1"/>
  <c r="AD484" i="63"/>
  <c r="AG484" i="63"/>
  <c r="AJ484" i="63" s="1"/>
  <c r="AK484" i="63" s="1"/>
  <c r="U484" i="63" l="1"/>
  <c r="Z484" i="63" s="1"/>
  <c r="AH484" i="63" s="1"/>
  <c r="AB484" i="63"/>
  <c r="Y484" i="63" l="1"/>
  <c r="R485" i="63"/>
  <c r="T485" i="63"/>
  <c r="AE484" i="63"/>
  <c r="AF484" i="63" s="1"/>
  <c r="AD485" i="63" l="1"/>
  <c r="AG485" i="63"/>
  <c r="AJ485" i="63" s="1"/>
  <c r="AK485" i="63" s="1"/>
  <c r="AL485" i="63"/>
  <c r="AM485" i="63" s="1"/>
  <c r="V485" i="63"/>
  <c r="AA485" i="63" s="1"/>
  <c r="U485" i="63" l="1"/>
  <c r="Y485" i="63" l="1"/>
  <c r="Z485" i="63"/>
  <c r="AH485" i="63" s="1"/>
  <c r="AB485" i="63"/>
  <c r="T486" i="63" l="1"/>
  <c r="AE485" i="63"/>
  <c r="AF485" i="63" s="1"/>
  <c r="R486" i="63"/>
  <c r="AL486" i="63" l="1"/>
  <c r="AM486" i="63" s="1"/>
  <c r="V486" i="63"/>
  <c r="AA486" i="63" s="1"/>
  <c r="AD486" i="63"/>
  <c r="AG486" i="63"/>
  <c r="AJ486" i="63" s="1"/>
  <c r="AK486" i="63" s="1"/>
  <c r="U486" i="63" l="1"/>
  <c r="Y486" i="63" s="1"/>
  <c r="Z486" i="63"/>
  <c r="AH486" i="63" s="1"/>
  <c r="AB486" i="63"/>
  <c r="R487" i="63" l="1"/>
  <c r="AE486" i="63"/>
  <c r="AF486" i="63" s="1"/>
  <c r="T487" i="63"/>
  <c r="AG487" i="63" l="1"/>
  <c r="AJ487" i="63" s="1"/>
  <c r="AK487" i="63" s="1"/>
  <c r="AD487" i="63"/>
  <c r="AL487" i="63"/>
  <c r="AM487" i="63" s="1"/>
  <c r="V487" i="63"/>
  <c r="AA487" i="63" s="1"/>
  <c r="U487" i="63" l="1"/>
  <c r="Z487" i="63" l="1"/>
  <c r="AH487" i="63" s="1"/>
  <c r="Y487" i="63"/>
  <c r="AB487" i="63"/>
  <c r="T488" i="63" l="1"/>
  <c r="R488" i="63"/>
  <c r="AE487" i="63"/>
  <c r="AF487" i="63" s="1"/>
  <c r="V488" i="63" l="1"/>
  <c r="AA488" i="63" s="1"/>
  <c r="AL488" i="63"/>
  <c r="AM488" i="63" s="1"/>
  <c r="AD488" i="63"/>
  <c r="AG488" i="63"/>
  <c r="AJ488" i="63" s="1"/>
  <c r="AK488" i="63" s="1"/>
  <c r="U488" i="63" l="1"/>
  <c r="Z488" i="63" s="1"/>
  <c r="AH488" i="63" s="1"/>
  <c r="Y488" i="63" l="1"/>
  <c r="AB488" i="63"/>
  <c r="AE488" i="63" s="1"/>
  <c r="AF488" i="63" s="1"/>
  <c r="T489" i="63" l="1"/>
  <c r="AD489" i="63" s="1"/>
  <c r="R489" i="63"/>
  <c r="AL489" i="63" s="1"/>
  <c r="AM489" i="63" s="1"/>
  <c r="V489" i="63" l="1"/>
  <c r="AA489" i="63" s="1"/>
  <c r="AG489" i="63"/>
  <c r="AJ489" i="63" s="1"/>
  <c r="AK489" i="63" s="1"/>
  <c r="U489" i="63" l="1"/>
  <c r="Z489" i="63" l="1"/>
  <c r="AH489" i="63" s="1"/>
  <c r="Y489" i="63"/>
  <c r="AB489" i="63"/>
  <c r="T490" i="63" l="1"/>
  <c r="R490" i="63"/>
  <c r="AE489" i="63"/>
  <c r="AF489" i="63" s="1"/>
  <c r="AL490" i="63" l="1"/>
  <c r="AM490" i="63" s="1"/>
  <c r="V490" i="63"/>
  <c r="AD490" i="63"/>
  <c r="AD491" i="63" s="1"/>
  <c r="AF491" i="63" s="1"/>
  <c r="AG490" i="63"/>
  <c r="AJ490" i="63" s="1"/>
  <c r="AK490" i="63" s="1"/>
  <c r="AH490" i="63"/>
  <c r="AD492" i="63"/>
  <c r="AA490" i="63" l="1"/>
  <c r="AA491" i="63" s="1"/>
  <c r="AA492" i="63" s="1"/>
  <c r="AA493" i="63" s="1"/>
  <c r="AA494" i="63" s="1"/>
  <c r="AA495" i="63" s="1"/>
  <c r="AA496" i="63" s="1"/>
  <c r="AA497" i="63" s="1"/>
  <c r="AA498" i="63" s="1"/>
  <c r="AA499" i="63" s="1"/>
  <c r="AA500" i="63" s="1"/>
  <c r="AA501" i="63" s="1"/>
  <c r="AA502" i="63" s="1"/>
  <c r="AA503" i="63" s="1"/>
  <c r="AA504" i="63" s="1"/>
  <c r="AA505" i="63" s="1"/>
  <c r="AA506" i="63" s="1"/>
  <c r="AA507" i="63" s="1"/>
  <c r="AA508" i="63" s="1"/>
  <c r="AA509" i="63" s="1"/>
  <c r="AA510" i="63" s="1"/>
  <c r="AA511" i="63" s="1"/>
  <c r="AA512" i="63" s="1"/>
  <c r="AA513" i="63" s="1"/>
  <c r="AA514" i="63" s="1"/>
  <c r="AA515" i="63" s="1"/>
  <c r="AA516" i="63" s="1"/>
  <c r="AA517" i="63" s="1"/>
  <c r="AA518" i="63" s="1"/>
  <c r="AA519" i="63" s="1"/>
  <c r="AA520" i="63" s="1"/>
  <c r="AA521" i="63" s="1"/>
  <c r="AA522" i="63" s="1"/>
  <c r="AA523" i="63" s="1"/>
  <c r="AA524" i="63" s="1"/>
  <c r="AA525" i="63" s="1"/>
  <c r="AA526" i="63" s="1"/>
  <c r="AA527" i="63" s="1"/>
  <c r="AA528" i="63" s="1"/>
  <c r="AA529" i="63" s="1"/>
  <c r="AA530" i="63" s="1"/>
  <c r="AA531" i="63" s="1"/>
  <c r="AA532" i="63" s="1"/>
  <c r="AA533" i="63" s="1"/>
  <c r="AA534" i="63" s="1"/>
  <c r="AA535" i="63" s="1"/>
  <c r="AA536" i="63" s="1"/>
  <c r="AA537" i="63" s="1"/>
  <c r="AA538" i="63" s="1"/>
  <c r="AA539" i="63" s="1"/>
  <c r="AA540" i="63" s="1"/>
  <c r="AA541" i="63" s="1"/>
  <c r="AA542" i="63" s="1"/>
  <c r="AA543" i="63" s="1"/>
  <c r="U490" i="63"/>
  <c r="AF492" i="63"/>
  <c r="AD493" i="63"/>
  <c r="Y490" i="63" l="1"/>
  <c r="AB490" i="63"/>
  <c r="AE490" i="63" s="1"/>
  <c r="AF490" i="63" s="1"/>
  <c r="Z490" i="63"/>
  <c r="Z491" i="63" s="1"/>
  <c r="Z492" i="63" s="1"/>
  <c r="Z493" i="63" s="1"/>
  <c r="Z494" i="63" s="1"/>
  <c r="Z495" i="63" s="1"/>
  <c r="Z496" i="63" s="1"/>
  <c r="Z497" i="63" s="1"/>
  <c r="Z498" i="63" s="1"/>
  <c r="Z499" i="63" s="1"/>
  <c r="Z500" i="63" s="1"/>
  <c r="Z501" i="63" s="1"/>
  <c r="Z502" i="63" s="1"/>
  <c r="Z503" i="63" s="1"/>
  <c r="Z504" i="63" s="1"/>
  <c r="Z505" i="63" s="1"/>
  <c r="Z506" i="63" s="1"/>
  <c r="Z507" i="63" s="1"/>
  <c r="Z508" i="63" s="1"/>
  <c r="Z509" i="63" s="1"/>
  <c r="Z510" i="63" s="1"/>
  <c r="Z511" i="63" s="1"/>
  <c r="Z512" i="63" s="1"/>
  <c r="Z513" i="63" s="1"/>
  <c r="Z514" i="63" s="1"/>
  <c r="Z515" i="63" s="1"/>
  <c r="Z516" i="63" s="1"/>
  <c r="Z517" i="63" s="1"/>
  <c r="Z518" i="63" s="1"/>
  <c r="Z519" i="63" s="1"/>
  <c r="Z520" i="63" s="1"/>
  <c r="Z521" i="63" s="1"/>
  <c r="Z522" i="63" s="1"/>
  <c r="Z523" i="63" s="1"/>
  <c r="Z524" i="63" s="1"/>
  <c r="Z525" i="63" s="1"/>
  <c r="Z526" i="63" s="1"/>
  <c r="Z527" i="63" s="1"/>
  <c r="Z528" i="63" s="1"/>
  <c r="Z529" i="63" s="1"/>
  <c r="Z530" i="63" s="1"/>
  <c r="Z531" i="63" s="1"/>
  <c r="Z532" i="63" s="1"/>
  <c r="Z533" i="63" s="1"/>
  <c r="Z534" i="63" s="1"/>
  <c r="Z535" i="63" s="1"/>
  <c r="Z536" i="63" s="1"/>
  <c r="Z537" i="63" s="1"/>
  <c r="Z538" i="63" s="1"/>
  <c r="Z539" i="63" s="1"/>
  <c r="Z540" i="63" s="1"/>
  <c r="Z541" i="63" s="1"/>
  <c r="Z542" i="63" s="1"/>
  <c r="Z543" i="63" s="1"/>
  <c r="AD494" i="63"/>
  <c r="AF493" i="63"/>
  <c r="AD495" i="63" l="1"/>
  <c r="AF494" i="63"/>
  <c r="AD496" i="63" l="1"/>
  <c r="AF495" i="63"/>
  <c r="AF496" i="63" l="1"/>
  <c r="AD497" i="63"/>
  <c r="AD498" i="63" l="1"/>
  <c r="AF497" i="63"/>
  <c r="AD499" i="63" l="1"/>
  <c r="AF498" i="63"/>
  <c r="AD500" i="63" l="1"/>
  <c r="AF499" i="63"/>
  <c r="AF500" i="63" l="1"/>
  <c r="AD501" i="63"/>
  <c r="AD502" i="63" l="1"/>
  <c r="AF501" i="63"/>
  <c r="AD503" i="63" l="1"/>
  <c r="AF502" i="63"/>
  <c r="AD504" i="63" l="1"/>
  <c r="AF503" i="63"/>
  <c r="AF504" i="63" l="1"/>
  <c r="AD505" i="63"/>
  <c r="AD506" i="63" l="1"/>
  <c r="AF505" i="63"/>
  <c r="AD507" i="63" l="1"/>
  <c r="AF506" i="63"/>
  <c r="AD508" i="63" l="1"/>
  <c r="AF507" i="63"/>
  <c r="AF508" i="63" l="1"/>
  <c r="AD509" i="63"/>
  <c r="AD510" i="63" l="1"/>
  <c r="AF509" i="63"/>
  <c r="AD511" i="63" l="1"/>
  <c r="AF510" i="63"/>
  <c r="AD512" i="63" l="1"/>
  <c r="AF511" i="63"/>
  <c r="AF512" i="63" l="1"/>
  <c r="AD513" i="63"/>
  <c r="AD514" i="63" l="1"/>
  <c r="AF513" i="63"/>
  <c r="AD515" i="63" l="1"/>
  <c r="AF514" i="63"/>
  <c r="AD516" i="63" l="1"/>
  <c r="AF515" i="63"/>
  <c r="AF516" i="63" l="1"/>
  <c r="AD517" i="63"/>
  <c r="AD518" i="63" l="1"/>
  <c r="AF517" i="63"/>
  <c r="AD519" i="63" l="1"/>
  <c r="AF518" i="63"/>
  <c r="AD520" i="63" l="1"/>
  <c r="AF519" i="63"/>
  <c r="AF520" i="63" l="1"/>
  <c r="AD521" i="63"/>
  <c r="AD522" i="63" l="1"/>
  <c r="AF521" i="63"/>
  <c r="AD523" i="63" l="1"/>
  <c r="AF522" i="63"/>
  <c r="AD524" i="63" l="1"/>
  <c r="AF523" i="63"/>
  <c r="AF524" i="63" l="1"/>
  <c r="AD525" i="63"/>
  <c r="AD526" i="63" l="1"/>
  <c r="AF525" i="63"/>
  <c r="AD527" i="63" l="1"/>
  <c r="AF526" i="63"/>
  <c r="AD528" i="63" l="1"/>
  <c r="AF527" i="63"/>
  <c r="AF528" i="63" l="1"/>
  <c r="AD529" i="63"/>
  <c r="AD530" i="63" l="1"/>
  <c r="AF529" i="63"/>
  <c r="AD531" i="63" l="1"/>
  <c r="AF530" i="63"/>
  <c r="AD532" i="63" l="1"/>
  <c r="AF531" i="63"/>
  <c r="AF532" i="63" l="1"/>
  <c r="AD533" i="63"/>
  <c r="AD534" i="63" l="1"/>
  <c r="AF533" i="63"/>
  <c r="AD535" i="63" l="1"/>
  <c r="AF534" i="63"/>
  <c r="AD536" i="63" l="1"/>
  <c r="AF535" i="63"/>
  <c r="AF536" i="63" l="1"/>
  <c r="AD537" i="63"/>
  <c r="AD538" i="63" l="1"/>
  <c r="AF537" i="63"/>
  <c r="AD539" i="63" l="1"/>
  <c r="AF538" i="63"/>
  <c r="AD540" i="63" l="1"/>
  <c r="AF539" i="63"/>
  <c r="AF540" i="63" l="1"/>
  <c r="AD541" i="63"/>
  <c r="AD542" i="63" l="1"/>
  <c r="AF541" i="63"/>
  <c r="AD543" i="63" l="1"/>
  <c r="AF543" i="63" s="1"/>
  <c r="AF542" i="63"/>
  <c r="F45" i="1"/>
  <c r="F56" i="1" s="1"/>
  <c r="G57" i="1" l="1"/>
  <c r="I59" i="1" s="1"/>
  <c r="J59" i="1" s="1"/>
  <c r="K50" i="1"/>
  <c r="F55" i="1"/>
  <c r="J78" i="1" l="1"/>
  <c r="J77" i="1"/>
  <c r="K59" i="1"/>
  <c r="J81" i="1"/>
  <c r="K81" i="1" s="1"/>
  <c r="J80" i="1"/>
  <c r="L80" i="1" s="1"/>
  <c r="J79" i="1"/>
  <c r="E39" i="33"/>
  <c r="E15" i="33"/>
  <c r="E16" i="33" s="1"/>
  <c r="E52" i="33"/>
  <c r="E25" i="33"/>
  <c r="I78" i="1"/>
  <c r="I81" i="1"/>
  <c r="I79" i="1"/>
  <c r="I80" i="1"/>
  <c r="I77" i="1"/>
  <c r="L79" i="1" l="1"/>
  <c r="K79" i="1"/>
  <c r="L77" i="1"/>
  <c r="K77" i="1"/>
  <c r="L78" i="1"/>
  <c r="K78" i="1"/>
  <c r="L81" i="1"/>
  <c r="J60" i="1"/>
  <c r="K60" i="1" s="1"/>
  <c r="J83" i="1"/>
  <c r="I82" i="1"/>
  <c r="I83" i="1" s="1"/>
  <c r="K82" i="1"/>
  <c r="K83" i="1" l="1"/>
  <c r="L82" i="1"/>
  <c r="L83" i="1" s="1"/>
  <c r="J62" i="1"/>
  <c r="K61" i="1" l="1"/>
  <c r="K62" i="1" s="1"/>
  <c r="Q13" i="1" l="1"/>
  <c r="Q14" i="1"/>
  <c r="K63" i="1"/>
  <c r="O59" i="1" s="1"/>
  <c r="D61" i="1" l="1"/>
  <c r="G37" i="33"/>
  <c r="G24" i="33"/>
  <c r="C50" i="33"/>
  <c r="E26" i="33" l="1"/>
  <c r="E27" i="33"/>
  <c r="E50" i="33"/>
  <c r="G50" i="33"/>
  <c r="E40" i="33"/>
  <c r="E41" i="33"/>
  <c r="E53" i="33" l="1"/>
  <c r="F50" i="33"/>
  <c r="E54" i="33" s="1"/>
  <c r="I42" i="33" l="1"/>
  <c r="J4" i="4" l="1"/>
  <c r="K4" i="4" s="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1F0A0654-634D-4496-8C8E-E3ADA2F5A820}" keepAlive="1" name="ModelConnection_ProposalToGnatt  2" description="Data Model" type="5" refreshedVersion="8" minRefreshableVersion="5" saveData="1">
    <dbPr connection="Data Model Connection" command="Recap" commandType="3"/>
    <extLst>
      <ext xmlns:x15="http://schemas.microsoft.com/office/spreadsheetml/2010/11/main" uri="{DE250136-89BD-433C-8126-D09CA5730AF9}">
        <x15:connection id="" model="1"/>
      </ext>
    </extLst>
  </connection>
  <connection id="2" xr16:uid="{9CE3BD07-4204-4A89-B980-781728C03F60}" keepAlive="1" name="Query - AddRecapItems" description="Connection to the 'AddRecapItems' query in the workbook." type="5" refreshedVersion="8" saveData="1">
    <dbPr connection="Provider=Microsoft.Mashup.OleDb.1;Data Source=$Workbook$;Location=AddRecapItems;Extended Properties=&quot;&quot;" command="SELECT * FROM [AddRecapItems]"/>
  </connection>
  <connection id="3" xr16:uid="{16F7B74B-0DBB-4BF1-A7DE-5698B13845F2}" keepAlive="1" name="Query - FromProposal" description="Connection to the 'FromProposal' query in the workbook." type="5" refreshedVersion="8" saveData="1">
    <dbPr connection="Provider=Microsoft.Mashup.OleDb.1;Data Source=$Workbook$;Location=FromProposal;Extended Properties=&quot;&quot;" command="SELECT * FROM [FromProposal]"/>
  </connection>
  <connection id="4" xr16:uid="{8DE257EE-DAEB-4596-BC1E-28526168BD2E}" keepAlive="1" name="Query - Proposal" description="Connection to the 'Proposal' query in the workbook." type="5" refreshedVersion="7" saveData="1">
    <dbPr connection="Provider=Microsoft.Mashup.OleDb.1;Data Source=$Workbook$;Location=Proposal;Extended Properties=&quot;&quot;" command="SELECT * FROM [Proposal]"/>
  </connection>
  <connection id="5" xr16:uid="{99B8A5AE-B634-4F62-9A3D-26C4E9127160}" keepAlive="1" name="Query - ProposalToGnatt" description="Connection to the 'ProposalToGnatt' query in the workbook." type="5" refreshedVersion="8" saveData="1">
    <dbPr connection="Provider=Microsoft.Mashup.OleDb.1;Data Source=$Workbook$;Location=ProposalToGnatt;Extended Properties=&quot;&quot;" command="SELECT * FROM [ProposalToGnatt]"/>
  </connection>
  <connection id="6" xr16:uid="{FC3CC159-A41D-4D47-845A-02051125B9BD}" name="Query - Recap" description="Connection to the 'Recap' query in the workbook." type="100" refreshedVersion="8" minRefreshableVersion="5" refreshOnLoad="1" saveData="1">
    <extLst>
      <ext xmlns:x15="http://schemas.microsoft.com/office/spreadsheetml/2010/11/main" uri="{DE250136-89BD-433C-8126-D09CA5730AF9}">
        <x15:connection id="8f48fbee-059d-4cfe-afbc-2c3538e6ad8c"/>
      </ext>
    </extLst>
  </connection>
  <connection id="7" xr16:uid="{EBD6D1CA-4DB2-439C-B567-C7BEB25F0F4E}" keepAlive="1" name="ThisWorkbookDataModel" description="Data Model" type="5" refreshedVersion="8"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<sst xmlns="http://schemas.openxmlformats.org/spreadsheetml/2006/main" count="2278" uniqueCount="1089">
  <si>
    <t>Monthly Cash Flow</t>
  </si>
  <si>
    <t>Hearing Date:</t>
  </si>
  <si>
    <t>Use Template Estimate</t>
  </si>
  <si>
    <t>Yes</t>
  </si>
  <si>
    <t>Income</t>
  </si>
  <si>
    <t>Immediate</t>
  </si>
  <si>
    <t>Upon Sale</t>
  </si>
  <si>
    <t>CMA:</t>
  </si>
  <si>
    <t>Finalized:</t>
  </si>
  <si>
    <t>% Above/Below Market Sale:</t>
  </si>
  <si>
    <t>Zillow:</t>
  </si>
  <si>
    <t>Sale Price:</t>
  </si>
  <si>
    <t>Anuual Growth:</t>
  </si>
  <si>
    <t>NonRefundable Deposit:</t>
  </si>
  <si>
    <t>Sq Footage</t>
  </si>
  <si>
    <t>Net Income:</t>
  </si>
  <si>
    <t>Expenses</t>
  </si>
  <si>
    <t>Reinstatment Cost 1st:</t>
  </si>
  <si>
    <t>&lt;-- Approx Pay-Down</t>
  </si>
  <si>
    <t>If the Subject To Value is finalized, zero-out the Pay-Down savings</t>
  </si>
  <si>
    <t>Subject To 1st:Truist</t>
  </si>
  <si>
    <t>Subject To 2st:Notes</t>
  </si>
  <si>
    <t>Liens - IRS &amp; HOA</t>
  </si>
  <si>
    <t>Partners Share %</t>
  </si>
  <si>
    <t>or Seller Payout:</t>
  </si>
  <si>
    <t>Yellow cells can be edited</t>
  </si>
  <si>
    <t>HOA Fees(Catch Up)</t>
  </si>
  <si>
    <t>Do not edit Green cells. They are highlighted only to show profit</t>
  </si>
  <si>
    <t>Mortgage Payment:</t>
  </si>
  <si>
    <t>Property Insurance</t>
  </si>
  <si>
    <t>HOA Fees (monthly)</t>
  </si>
  <si>
    <t>Electric</t>
  </si>
  <si>
    <t>water</t>
  </si>
  <si>
    <t>Carrying Cost</t>
  </si>
  <si>
    <t>Purchase  Cost</t>
  </si>
  <si>
    <t>Private Lender  Rate:</t>
  </si>
  <si>
    <t>75%ARV-Debt:</t>
  </si>
  <si>
    <t>Out of Pocket</t>
  </si>
  <si>
    <t>Rehab:</t>
  </si>
  <si>
    <t>Marketing:</t>
  </si>
  <si>
    <t>PL Balance +Interest</t>
  </si>
  <si>
    <t xml:space="preserve">Seller Realtor's Flat Fee </t>
  </si>
  <si>
    <t>Seller Realtor's Fee Percent:</t>
  </si>
  <si>
    <t>Buyers Realtors Fee Percent:</t>
  </si>
  <si>
    <t>Number of Rent Payments :</t>
  </si>
  <si>
    <t>Buyer  Assistance</t>
  </si>
  <si>
    <t>Buying Closing Cost:</t>
  </si>
  <si>
    <t>Selling Closing Cost:</t>
  </si>
  <si>
    <t>Net Expenses:</t>
  </si>
  <si>
    <t>Immediate Profit:</t>
  </si>
  <si>
    <t>Long Term Profit:</t>
  </si>
  <si>
    <t>Partners Profit Share</t>
  </si>
  <si>
    <t>Our Profit Share</t>
  </si>
  <si>
    <t>Cash Flow Profit for Months:</t>
  </si>
  <si>
    <t>Capital Gains Tax</t>
  </si>
  <si>
    <t>Capital Gains</t>
  </si>
  <si>
    <t>Chartiable Contribution:</t>
  </si>
  <si>
    <t>Rehab Cost Detail</t>
  </si>
  <si>
    <t>Gnatt Chart</t>
  </si>
  <si>
    <t>Murphy %:</t>
  </si>
  <si>
    <t>Murphy will be Zeroed-Out whe project is finalized</t>
  </si>
  <si>
    <t>Murphy's Cut:</t>
  </si>
  <si>
    <t>Rehab Summary:</t>
  </si>
  <si>
    <t>Buying Closing Cost</t>
  </si>
  <si>
    <t>Settlement  Fee to Attorney:</t>
  </si>
  <si>
    <t>Probate  Attorney</t>
  </si>
  <si>
    <t>Seller Doc Prep</t>
  </si>
  <si>
    <t>Wire Fee</t>
  </si>
  <si>
    <t>Deed Package:</t>
  </si>
  <si>
    <t>Indemnety:</t>
  </si>
  <si>
    <t>Ttitle Search:</t>
  </si>
  <si>
    <t>Cancelation Fee:</t>
  </si>
  <si>
    <t>Overnight Express Fees:</t>
  </si>
  <si>
    <t>Title Insurance:</t>
  </si>
  <si>
    <t>Affadavits:</t>
  </si>
  <si>
    <t>Notice to Creditors Ad</t>
  </si>
  <si>
    <t>Recording Fee Deed:</t>
  </si>
  <si>
    <t>Excise Tax</t>
  </si>
  <si>
    <t xml:space="preserve">LLC Manager Fee </t>
  </si>
  <si>
    <t>This value is carried up to cell C36,                        Labeled Buying Closing Cost</t>
  </si>
  <si>
    <t>Selling Closing Cost</t>
  </si>
  <si>
    <t>Seller concesson:</t>
  </si>
  <si>
    <t>Home Warrenty:</t>
  </si>
  <si>
    <t>Transfer Taxes - Wake County</t>
  </si>
  <si>
    <t>Revenue Stamps</t>
  </si>
  <si>
    <t>This value is carried up to cell C37,                        Labeled Selling Closing Cost</t>
  </si>
  <si>
    <t>Multiple Offer Generator</t>
  </si>
  <si>
    <t>Buyers Copy</t>
  </si>
  <si>
    <t>Seller 1:</t>
  </si>
  <si>
    <t>Seller 2:</t>
  </si>
  <si>
    <t>email:</t>
  </si>
  <si>
    <t>Phone #:</t>
  </si>
  <si>
    <t>Offer 1</t>
  </si>
  <si>
    <t xml:space="preserve">Traditional, All Cash </t>
  </si>
  <si>
    <t>This is an all cash payment, at closing with no other allowances considered. Seller pays all Mortgages, liens, HOA expenses out of closings proceedings.</t>
  </si>
  <si>
    <t>Seller's Equity</t>
  </si>
  <si>
    <t>Sales Price</t>
  </si>
  <si>
    <t>ARV</t>
  </si>
  <si>
    <t>Debt</t>
  </si>
  <si>
    <t>BYH's Profit</t>
  </si>
  <si>
    <t>BYH Out of Pocket:</t>
  </si>
  <si>
    <t>BYH Profit/Out of Pocket:</t>
  </si>
  <si>
    <t>X</t>
  </si>
  <si>
    <t>Buy Your Home's % of Profit:</t>
  </si>
  <si>
    <t>less than Opt 2</t>
  </si>
  <si>
    <t>Offer 2</t>
  </si>
  <si>
    <t>Cash plus Assumption of Mortgage</t>
  </si>
  <si>
    <t>*This is the default values from the Profit Sheet.</t>
  </si>
  <si>
    <t>Cash payment in conjunction with taking the existing mortgage subject to:</t>
  </si>
  <si>
    <t>After reinstating existing loans and HOA fees</t>
  </si>
  <si>
    <t>Seller's Total Value</t>
  </si>
  <si>
    <t>Cash</t>
  </si>
  <si>
    <t>&lt;- The default value form profit sheet</t>
  </si>
  <si>
    <t>x</t>
  </si>
  <si>
    <t>Offer 3</t>
  </si>
  <si>
    <t>Cash plus Promissory Note</t>
  </si>
  <si>
    <t xml:space="preserve"> - this is the one to stear seller to:</t>
  </si>
  <si>
    <t>Note is a simple interest note for:</t>
  </si>
  <si>
    <t>Months</t>
  </si>
  <si>
    <t>(Based on Current Valuation)</t>
  </si>
  <si>
    <t>Value added to Note:</t>
  </si>
  <si>
    <t xml:space="preserve">Cash </t>
  </si>
  <si>
    <t>Note</t>
  </si>
  <si>
    <t>Interest Earned</t>
  </si>
  <si>
    <t>Interest Rate</t>
  </si>
  <si>
    <t>Offer 4</t>
  </si>
  <si>
    <t>Cash plus Beneficial Interest in Trust</t>
  </si>
  <si>
    <t>Profit split is a split of the profits upon the eventual sale of the pproperty.</t>
  </si>
  <si>
    <t>Profits will be calculated after deducting all expenses incurred from the sales price</t>
  </si>
  <si>
    <t>(Based on Future Valuation)</t>
  </si>
  <si>
    <t>Trust Future Profit</t>
  </si>
  <si>
    <t>Seller's Profit Sharing Percent</t>
  </si>
  <si>
    <t>Seller's Profit Share</t>
  </si>
  <si>
    <t>Sellers Share Profit</t>
  </si>
  <si>
    <t>*This precentage is not set in Profit sheet. It is for proposal only.</t>
  </si>
  <si>
    <t>Personalize Note</t>
  </si>
  <si>
    <t>{alt}{enter] = carrage return</t>
  </si>
  <si>
    <t>Foreclosure Leads</t>
  </si>
  <si>
    <t>(919) 899-4954</t>
  </si>
  <si>
    <t>Liberty Leads</t>
  </si>
  <si>
    <t>(919) 899-2104</t>
  </si>
  <si>
    <t>Notes</t>
  </si>
  <si>
    <t>3021 Pearces Rd</t>
  </si>
  <si>
    <t>6004  Sandy Run</t>
  </si>
  <si>
    <t>2608 Alton</t>
  </si>
  <si>
    <t>202 Avery</t>
  </si>
  <si>
    <t>1900 Red Quartz</t>
  </si>
  <si>
    <t>120 Keith</t>
  </si>
  <si>
    <t>3007 Eric</t>
  </si>
  <si>
    <t>2153 Haig Point</t>
  </si>
  <si>
    <t>178 Patricia</t>
  </si>
  <si>
    <t>1201 Hazelnut</t>
  </si>
  <si>
    <t>1223 Roffler</t>
  </si>
  <si>
    <t>2025 Metacomet</t>
  </si>
  <si>
    <t xml:space="preserve">5619 Marthonna </t>
  </si>
  <si>
    <t xml:space="preserve"> </t>
  </si>
  <si>
    <t>Total CMA:</t>
  </si>
  <si>
    <t>Total Purchase Cost:</t>
  </si>
  <si>
    <t>Total Rehab Expense:</t>
  </si>
  <si>
    <t>Total Expected Profit:</t>
  </si>
  <si>
    <t>Total Chartable Contribution:</t>
  </si>
  <si>
    <t>Average CMA:</t>
  </si>
  <si>
    <t>Average Purchase Cost:</t>
  </si>
  <si>
    <t>Average Rehab Expense:</t>
  </si>
  <si>
    <t>Completed for Sell Your Home</t>
  </si>
  <si>
    <t>Average Profit:</t>
  </si>
  <si>
    <t>Completed for Buy Your Home</t>
  </si>
  <si>
    <t>Vendor</t>
  </si>
  <si>
    <t>Phone Number</t>
  </si>
  <si>
    <t>Contact</t>
  </si>
  <si>
    <t>Acct/Policy</t>
  </si>
  <si>
    <t>Email</t>
  </si>
  <si>
    <t>Purpose</t>
  </si>
  <si>
    <t>Sellers</t>
  </si>
  <si>
    <t>Mortgage</t>
  </si>
  <si>
    <t>NREIG</t>
  </si>
  <si>
    <t>770 734 1523</t>
  </si>
  <si>
    <t>Subject</t>
  </si>
  <si>
    <t>Sent</t>
  </si>
  <si>
    <t>Size</t>
  </si>
  <si>
    <t>Categories</t>
  </si>
  <si>
    <t>5008 Larchmont Dr - Loan 9015 2144 11-5998</t>
  </si>
  <si>
    <t>478 KB</t>
  </si>
  <si>
    <t>Insurance National Real Estate Insurance Group LLC</t>
  </si>
  <si>
    <t xml:space="preserve">Rani Walker </t>
  </si>
  <si>
    <t>678  329 0123</t>
  </si>
  <si>
    <t>RWalker@insurancehub.com</t>
  </si>
  <si>
    <t>Customer Care Specialist</t>
  </si>
  <si>
    <t xml:space="preserve">InsuranceHub Leavitt Agency   </t>
  </si>
  <si>
    <t>Phone/SMS/Fax: 678.329.0123 |  insurancehub.com</t>
  </si>
  <si>
    <r>
      <t>Becki Miron</t>
    </r>
    <r>
      <rPr>
        <b/>
        <sz val="9"/>
        <color rgb="FFEA6E0D"/>
        <rFont val="Arial"/>
        <family val="2"/>
      </rPr>
      <t xml:space="preserve"> </t>
    </r>
  </si>
  <si>
    <t>678.685.3277</t>
  </si>
  <si>
    <t>BMiron@insurancehub.com</t>
  </si>
  <si>
    <t>Account Manager</t>
  </si>
  <si>
    <t>Phone/SMS/Fax: 678.685.3277 | insurancehub.com</t>
  </si>
  <si>
    <t>Preassigned Rows Cordination of Glasgow with Contrtactors</t>
  </si>
  <si>
    <t>Pasted rows from Builder's Trend Proposal</t>
  </si>
  <si>
    <t>Notes: Only add rows to the bottom of the table</t>
  </si>
  <si>
    <r>
      <rPr>
        <sz val="12"/>
        <rFont val="Arial"/>
        <family val="2"/>
      </rPr>
      <t>Cost Code</t>
    </r>
  </si>
  <si>
    <r>
      <rPr>
        <sz val="12"/>
        <rFont val="Arial"/>
        <family val="2"/>
      </rPr>
      <t>Title</t>
    </r>
  </si>
  <si>
    <r>
      <rPr>
        <sz val="12"/>
        <rFont val="Arial"/>
        <family val="2"/>
      </rPr>
      <t>Description</t>
    </r>
  </si>
  <si>
    <t>Qty</t>
  </si>
  <si>
    <t>Unit Price</t>
  </si>
  <si>
    <t>Deposit</t>
  </si>
  <si>
    <t>Initial Deposit to Start Job</t>
  </si>
  <si>
    <t>Draw</t>
  </si>
  <si>
    <t xml:space="preserve">Draw 1 </t>
  </si>
  <si>
    <t>Draw 1</t>
  </si>
  <si>
    <t>Draw 2</t>
  </si>
  <si>
    <t>Sell</t>
  </si>
  <si>
    <t>List with MLS</t>
  </si>
  <si>
    <t>HVAC</t>
  </si>
  <si>
    <t>Cordinate Sub</t>
  </si>
  <si>
    <t>Floor Coverings</t>
  </si>
  <si>
    <t>Supervision</t>
  </si>
  <si>
    <t>Termite Treatment</t>
  </si>
  <si>
    <t>Cabinets &amp; Vanities</t>
  </si>
  <si>
    <t>Countertops</t>
  </si>
  <si>
    <t>Paint</t>
  </si>
  <si>
    <t>These Cells are updated from the Proposal tab and are protected here.</t>
  </si>
  <si>
    <t>These cells are updated here and carried over to the Gnatt Chart</t>
  </si>
  <si>
    <t>Contracted Task</t>
  </si>
  <si>
    <t>Payment</t>
  </si>
  <si>
    <t>Change Order</t>
  </si>
  <si>
    <t>Not Used</t>
  </si>
  <si>
    <t>Post Contract</t>
  </si>
  <si>
    <t>Party</t>
  </si>
  <si>
    <t>Item</t>
  </si>
  <si>
    <t>Cost Code</t>
  </si>
  <si>
    <t>Title</t>
  </si>
  <si>
    <t>Description</t>
  </si>
  <si>
    <t>Price</t>
  </si>
  <si>
    <t>Done</t>
  </si>
  <si>
    <t>Group Order</t>
  </si>
  <si>
    <t>Start Date</t>
  </si>
  <si>
    <t>Days</t>
  </si>
  <si>
    <t>Paid</t>
  </si>
  <si>
    <t>Expense</t>
  </si>
  <si>
    <t>Due</t>
  </si>
  <si>
    <t>ToDo</t>
  </si>
  <si>
    <t>Project Start Date:</t>
  </si>
  <si>
    <t>Company  Paid  Materials Total:</t>
  </si>
  <si>
    <t>Contractors Total:</t>
  </si>
  <si>
    <t>Milestone Marker:</t>
  </si>
  <si>
    <t>Cells H5 through BK5 contain the day number of the month for the Month represented in the cell block above each date cell and are auto calculated.
Do not modify these cells.
Dates leading up to Today are shaded.</t>
  </si>
  <si>
    <t>Milestone Marker 2:</t>
  </si>
  <si>
    <t>Grand Total</t>
  </si>
  <si>
    <t>Assigned</t>
  </si>
  <si>
    <t>Item #</t>
  </si>
  <si>
    <t>Cleanup (from Demo &amp; Trash Haul Tab)</t>
  </si>
  <si>
    <t>Appliances (from Appliances Tab)</t>
  </si>
  <si>
    <t>Plubing Fixtures</t>
  </si>
  <si>
    <t>Windows &amp; Doors</t>
  </si>
  <si>
    <t>Cabinets  (from Cabinets Tab)</t>
  </si>
  <si>
    <t>Paint  (from Paint Tab)</t>
  </si>
  <si>
    <t>Flooring</t>
  </si>
  <si>
    <t>Electrical fixtures  (from Misc Tab)</t>
  </si>
  <si>
    <t>Exterior Tab</t>
  </si>
  <si>
    <t>Landscaping Tab</t>
  </si>
  <si>
    <t>HVAC Contractor</t>
  </si>
  <si>
    <t>Landscape</t>
  </si>
  <si>
    <t>Mabrey Roofing</t>
  </si>
  <si>
    <t>Roof Contractor</t>
  </si>
  <si>
    <t>Scrolling Increment:</t>
  </si>
  <si>
    <t>Love Services</t>
  </si>
  <si>
    <t>HVAC Contractor - Package Heat Pump</t>
  </si>
  <si>
    <t>HVAC Contractor - Duct Work</t>
  </si>
  <si>
    <t/>
  </si>
  <si>
    <t>Only undone Gnatt Chart Items are in this list</t>
  </si>
  <si>
    <t xml:space="preserve">Edit these Entries. Must manually add a matching Item # </t>
  </si>
  <si>
    <t>Do not edit contents here - Edit in Orange, Recap Table</t>
  </si>
  <si>
    <t>Do not edit contents here - Edit on Proposal Update Tab</t>
  </si>
  <si>
    <t>Recap Table - Add Recap Items here</t>
  </si>
  <si>
    <t>Order</t>
  </si>
  <si>
    <t>Comment</t>
  </si>
  <si>
    <t>Date</t>
  </si>
  <si>
    <t>Tax</t>
  </si>
  <si>
    <t>Misc Cost</t>
  </si>
  <si>
    <t>AdvancesReduce Seller Pauout</t>
  </si>
  <si>
    <t>Sellers Payout</t>
  </si>
  <si>
    <t>Sellers Payoff</t>
  </si>
  <si>
    <t>Seller Incentive/Day:</t>
  </si>
  <si>
    <t>Seller Vacate Days Early:</t>
  </si>
  <si>
    <t>Total Cost</t>
  </si>
  <si>
    <t>Total Owed:</t>
  </si>
  <si>
    <t>Misc</t>
  </si>
  <si>
    <t>Item Name</t>
  </si>
  <si>
    <t>Quanity</t>
  </si>
  <si>
    <t>Cost/Unit</t>
  </si>
  <si>
    <t>Sub-Total</t>
  </si>
  <si>
    <t>Total</t>
  </si>
  <si>
    <t xml:space="preserve">Living Room Ceiling Fan </t>
  </si>
  <si>
    <t>Bedroom Ceiling Fan</t>
  </si>
  <si>
    <t>Ceiling Fan Pole</t>
  </si>
  <si>
    <t>Kitchen Light Fixture</t>
  </si>
  <si>
    <t>Dining Room Light Fixture</t>
  </si>
  <si>
    <t>Over Kitchen Sink Light Fixture</t>
  </si>
  <si>
    <t>Hall Light Fixture</t>
  </si>
  <si>
    <t>Hall Bath Light Fixture</t>
  </si>
  <si>
    <t>Master Bath Light Fixture</t>
  </si>
  <si>
    <t>1/2 Bath Light Fixture</t>
  </si>
  <si>
    <t>Bedroom Light Fixture</t>
  </si>
  <si>
    <t>Laundry Light Fixture</t>
  </si>
  <si>
    <t>Closet Light Fixture</t>
  </si>
  <si>
    <t>Exterior Light Fixture</t>
  </si>
  <si>
    <t>Exterior  Motion Light Fixture</t>
  </si>
  <si>
    <t>Bulbs</t>
  </si>
  <si>
    <t>Kitchen Sink Faucet</t>
  </si>
  <si>
    <t>Bathroom Sink Faucet</t>
  </si>
  <si>
    <t>Toilet</t>
  </si>
  <si>
    <t>Shower Head</t>
  </si>
  <si>
    <t>Shower Handle</t>
  </si>
  <si>
    <t>Tub Faucet</t>
  </si>
  <si>
    <t>Shower Kit</t>
  </si>
  <si>
    <t xml:space="preserve">Tub  </t>
  </si>
  <si>
    <t>Washing Machine Outlet</t>
  </si>
  <si>
    <t>Dryer Vent</t>
  </si>
  <si>
    <t>Kitchen Disposal</t>
  </si>
  <si>
    <t>Hall Bath Vanity</t>
  </si>
  <si>
    <t>1/2 Bath Vanity</t>
  </si>
  <si>
    <t>Master Bath Vanity</t>
  </si>
  <si>
    <t>Bath Sink Top</t>
  </si>
  <si>
    <t>Mirror</t>
  </si>
  <si>
    <t>Shower door</t>
  </si>
  <si>
    <t xml:space="preserve">Beveled Edge Rectangle Mirror </t>
  </si>
  <si>
    <t>Amazon Oval Bathroom Mirror</t>
  </si>
  <si>
    <t>Hall Bath Mirror</t>
  </si>
  <si>
    <t>Vender</t>
  </si>
  <si>
    <t>Per Event</t>
  </si>
  <si>
    <t>Iterations</t>
  </si>
  <si>
    <t>Charge</t>
  </si>
  <si>
    <t>Sub Total</t>
  </si>
  <si>
    <t>Meridian</t>
  </si>
  <si>
    <t>15 yard Haul swap</t>
  </si>
  <si>
    <t>C&amp;D Disp</t>
  </si>
  <si>
    <t>Fuel Surcharge</t>
  </si>
  <si>
    <t>Dest Fee</t>
  </si>
  <si>
    <t>Admin Fee</t>
  </si>
  <si>
    <t>Environmental Fee</t>
  </si>
  <si>
    <t>Inv 1</t>
  </si>
  <si>
    <t>inv 2</t>
  </si>
  <si>
    <t>Gigi'sBuld Removal</t>
  </si>
  <si>
    <t>Appliances</t>
  </si>
  <si>
    <t>ITEM</t>
  </si>
  <si>
    <t>HD Microwave White</t>
  </si>
  <si>
    <t>FB Marketplace Ref</t>
  </si>
  <si>
    <t>HD Dishwasher</t>
  </si>
  <si>
    <t>Sub-total for Lowes</t>
  </si>
  <si>
    <t>Dishwasher Hose</t>
  </si>
  <si>
    <t>Lowes Dishwasher</t>
  </si>
  <si>
    <t>Lowes Range cord</t>
  </si>
  <si>
    <t>Kitchen Sink</t>
  </si>
  <si>
    <t>Kitchen faucet</t>
  </si>
  <si>
    <t>Lowes Microwave</t>
  </si>
  <si>
    <t>Total for Appliances:</t>
  </si>
  <si>
    <t>Plumbing</t>
  </si>
  <si>
    <t>Lowes Bath Accessory Kit</t>
  </si>
  <si>
    <t>Lowes Shower Head</t>
  </si>
  <si>
    <t>toilets</t>
  </si>
  <si>
    <t xml:space="preserve">Garbage Disposal </t>
  </si>
  <si>
    <t>Resurface tubs</t>
  </si>
  <si>
    <t>Kitchen Faucet</t>
  </si>
  <si>
    <t>Doors &amp; Windows</t>
  </si>
  <si>
    <t>36" Exterior (R) Out Swing</t>
  </si>
  <si>
    <t>36" Exterior (L) Out Swing</t>
  </si>
  <si>
    <t>36" Exterior (L) In Swing</t>
  </si>
  <si>
    <t>32" Exterior (R) Out Swing</t>
  </si>
  <si>
    <t>32" Exterior (L)  Out Swing</t>
  </si>
  <si>
    <t>32" Exterior (L)  In Swing</t>
  </si>
  <si>
    <t>30" Interior (R)</t>
  </si>
  <si>
    <t>30" Interior (L)</t>
  </si>
  <si>
    <t>28" Interior (R)</t>
  </si>
  <si>
    <t>28" Interior (L)</t>
  </si>
  <si>
    <t>24" Interior (R)</t>
  </si>
  <si>
    <t>24" Interior (L)</t>
  </si>
  <si>
    <t>Windows 32"x62" Project 640493559</t>
  </si>
  <si>
    <t xml:space="preserve">Windows 59"x4446.562" Project </t>
  </si>
  <si>
    <t>Int Dummy knobs</t>
  </si>
  <si>
    <t>Lowes Front door kw powerbolt</t>
  </si>
  <si>
    <t>Lowes Front door kw door handle</t>
  </si>
  <si>
    <t>HD Ext Deadbolt combo</t>
  </si>
  <si>
    <t>Laundry room Fr Doors</t>
  </si>
  <si>
    <t>HD154372</t>
  </si>
  <si>
    <t>Closet door knob</t>
  </si>
  <si>
    <t>HD883767</t>
  </si>
  <si>
    <t>Door Stop 5 pack</t>
  </si>
  <si>
    <t>Untry Door Handle</t>
  </si>
  <si>
    <t>Keypad Deadbolt</t>
  </si>
  <si>
    <t>Exterior Door Handle and lock kit</t>
  </si>
  <si>
    <t>Cabinets</t>
  </si>
  <si>
    <t>B21R</t>
  </si>
  <si>
    <t>24" Arcadia Cab Master</t>
  </si>
  <si>
    <t>SCR36</t>
  </si>
  <si>
    <t>36 sink base</t>
  </si>
  <si>
    <t>B24R</t>
  </si>
  <si>
    <t>Panel</t>
  </si>
  <si>
    <t>PePR335</t>
  </si>
  <si>
    <t>Sink Base</t>
  </si>
  <si>
    <t>SB36B</t>
  </si>
  <si>
    <t>Base Cab</t>
  </si>
  <si>
    <t>B12R</t>
  </si>
  <si>
    <t>Wall Cab</t>
  </si>
  <si>
    <t>W1230R</t>
  </si>
  <si>
    <t>W2730B</t>
  </si>
  <si>
    <t>W2430B</t>
  </si>
  <si>
    <t>Diag Corner</t>
  </si>
  <si>
    <t>DC2430R</t>
  </si>
  <si>
    <t>W3014B</t>
  </si>
  <si>
    <t>Toe Kicks</t>
  </si>
  <si>
    <t>Filler F331</t>
  </si>
  <si>
    <t>Installation</t>
  </si>
  <si>
    <t>Cabinet Tops</t>
  </si>
  <si>
    <t>surface 1</t>
  </si>
  <si>
    <t>surface 2</t>
  </si>
  <si>
    <t>surface 3</t>
  </si>
  <si>
    <t>Cabinet Hardware</t>
  </si>
  <si>
    <t>Vanities - Sun HS Warehouse</t>
  </si>
  <si>
    <t>Satin Nick cabinet knob</t>
  </si>
  <si>
    <t>Arched 3" Drawer pull</t>
  </si>
  <si>
    <t>Lowes 10 pk Matte Black Knob</t>
  </si>
  <si>
    <t>HD Satin Nickel Knobs</t>
  </si>
  <si>
    <t>Sq Ft</t>
  </si>
  <si>
    <t>Interior Wall Paint</t>
  </si>
  <si>
    <t>6509-48698</t>
  </si>
  <si>
    <t>5 gal Lowes Kilz</t>
  </si>
  <si>
    <t>HD White Int/ext white paint</t>
  </si>
  <si>
    <t>HD 5 gal Wh Flat Int ceiling</t>
  </si>
  <si>
    <t>Valspar</t>
  </si>
  <si>
    <t>L1028086</t>
  </si>
  <si>
    <t>SW 5 gal D17W151 Cashmere LL Extra</t>
  </si>
  <si>
    <t>6504-06788</t>
  </si>
  <si>
    <t>SW 5galover White</t>
  </si>
  <si>
    <t>Deck Stain</t>
  </si>
  <si>
    <t xml:space="preserve">L Valspar Semi trans deck stain </t>
  </si>
  <si>
    <t>Lowes 1028086</t>
  </si>
  <si>
    <t xml:space="preserve">L Valspar solid porch stain </t>
  </si>
  <si>
    <t>Lowes 1028091</t>
  </si>
  <si>
    <t>Lowes Sub Total for Paint</t>
  </si>
  <si>
    <t>Painter</t>
  </si>
  <si>
    <t>Inside</t>
  </si>
  <si>
    <t>Back Porch</t>
  </si>
  <si>
    <t>Floor</t>
  </si>
  <si>
    <t>LVP Floor Installation</t>
  </si>
  <si>
    <t>LVP Floor RediCarpet #1</t>
  </si>
  <si>
    <t>LVP Floor</t>
  </si>
  <si>
    <t xml:space="preserve">Item </t>
  </si>
  <si>
    <t>New unit</t>
  </si>
  <si>
    <t>True Service HVAC</t>
  </si>
  <si>
    <t>A/C registers</t>
  </si>
  <si>
    <t>Lowes 66848</t>
  </si>
  <si>
    <t>A/C Return Vent</t>
  </si>
  <si>
    <t>Lowes 20x25   753897</t>
  </si>
  <si>
    <t>AC Filter</t>
  </si>
  <si>
    <t>Lowes 20x20 259930</t>
  </si>
  <si>
    <t>Grill</t>
  </si>
  <si>
    <t>L65185</t>
  </si>
  <si>
    <t>HVAC Service</t>
  </si>
  <si>
    <t>Electrical</t>
  </si>
  <si>
    <t>Floor registers</t>
  </si>
  <si>
    <t>Hall Light</t>
  </si>
  <si>
    <t>HD385544</t>
  </si>
  <si>
    <t>Flood Light Bulbs</t>
  </si>
  <si>
    <t>HD1006248217</t>
  </si>
  <si>
    <t>Wall protectors</t>
  </si>
  <si>
    <t>HD316307</t>
  </si>
  <si>
    <t>9 volt batteries for smoke detectors 6 pack</t>
  </si>
  <si>
    <t>Flush Kitchen Light</t>
  </si>
  <si>
    <t>Ceiling Fan</t>
  </si>
  <si>
    <t>Cost/sf</t>
  </si>
  <si>
    <t>Square Feet</t>
  </si>
  <si>
    <t>cost/unit</t>
  </si>
  <si>
    <t>SubTotal</t>
  </si>
  <si>
    <t>Liesure Time Zoysia-pallet</t>
  </si>
  <si>
    <t>Liesure Time Zoysia-roll</t>
  </si>
  <si>
    <t>Delivery Fee</t>
  </si>
  <si>
    <t>Fence</t>
  </si>
  <si>
    <t>organic humis</t>
  </si>
  <si>
    <t>mulch</t>
  </si>
  <si>
    <t>Mulch Labor:</t>
  </si>
  <si>
    <t>Straighten landscape stones</t>
  </si>
  <si>
    <t>Mow Grass</t>
  </si>
  <si>
    <t>remove debries</t>
  </si>
  <si>
    <t>Cost/item</t>
  </si>
  <si>
    <t>Hourly Rate:</t>
  </si>
  <si>
    <t>Lowes Mailbox</t>
  </si>
  <si>
    <t>Mailbox post HD106052</t>
  </si>
  <si>
    <t>Mailbox HD 046462011291</t>
  </si>
  <si>
    <t>Crawl Plumbing</t>
  </si>
  <si>
    <t>Deck rebuild</t>
  </si>
  <si>
    <t>Drop cloths</t>
  </si>
  <si>
    <t>Weatherproof flat cover 852944007702</t>
  </si>
  <si>
    <t>Doorbell 058219105177</t>
  </si>
  <si>
    <t>Fence Picket 090489133771</t>
  </si>
  <si>
    <t>mortgagee clause</t>
  </si>
  <si>
    <t>n/a</t>
  </si>
  <si>
    <t>164 Churchill Dr</t>
  </si>
  <si>
    <t>Properties Completed in 2020</t>
  </si>
  <si>
    <t>Mortgage Payment paid after Reinstatement</t>
  </si>
  <si>
    <t>Insurance Payments</t>
  </si>
  <si>
    <t>payment</t>
  </si>
  <si>
    <t>Notary</t>
  </si>
  <si>
    <t>Death Certificates</t>
  </si>
  <si>
    <t>Legal</t>
  </si>
  <si>
    <t>Total shows up on Gnatt Chart</t>
  </si>
  <si>
    <t>Days Invested</t>
  </si>
  <si>
    <t>End Date</t>
  </si>
  <si>
    <t>Investment Amount</t>
  </si>
  <si>
    <t>Disbursment</t>
  </si>
  <si>
    <t>Investors</t>
  </si>
  <si>
    <t>Operating Expense:</t>
  </si>
  <si>
    <t>919-244-7355</t>
  </si>
  <si>
    <t>Elder Ramirez velazquez &lt;eldervelazquez@icloud.com&gt;</t>
  </si>
  <si>
    <t>Tim Fleming</t>
  </si>
  <si>
    <t>919-819-6201</t>
  </si>
  <si>
    <t>Donald - clean out</t>
  </si>
  <si>
    <t>919-210-9205</t>
  </si>
  <si>
    <t>Top Notch Garage Door - Mike</t>
  </si>
  <si>
    <t>919-255-8588</t>
  </si>
  <si>
    <t>216 Chestnut St Cary NC 27511</t>
  </si>
  <si>
    <t>Elder Flooring LLC</t>
  </si>
  <si>
    <t>Maid To Shine</t>
  </si>
  <si>
    <t>919-275-2006</t>
  </si>
  <si>
    <t>Ashley Lane  ashley@maidtoshinenc.com</t>
  </si>
  <si>
    <t xml:space="preserve">Tim Flemming </t>
  </si>
  <si>
    <t>Coordinate with painter</t>
  </si>
  <si>
    <t>Coordinate with Floor refinishing</t>
  </si>
  <si>
    <t>Coordinate with Carpet  Installer</t>
  </si>
  <si>
    <t>Coordinate with Counter Top Instalation</t>
  </si>
  <si>
    <t>Cordinate with Vendor</t>
  </si>
  <si>
    <t>Coordinate with initial Cleanup</t>
  </si>
  <si>
    <t>Refinish Floor (Elder)</t>
  </si>
  <si>
    <t>Carpet</t>
  </si>
  <si>
    <t>Smoke/CO2 Detector</t>
  </si>
  <si>
    <t>HD47871096619</t>
  </si>
  <si>
    <t>Smoke Detector</t>
  </si>
  <si>
    <t>HD047871096633</t>
  </si>
  <si>
    <t>HD047871062638</t>
  </si>
  <si>
    <t>Dryer Vent Cap HD060672310234</t>
  </si>
  <si>
    <t>HD 14x25 F7 2pk</t>
  </si>
  <si>
    <t>A/C filters</t>
  </si>
  <si>
    <t xml:space="preserve">HD 20x25 FPR </t>
  </si>
  <si>
    <t>Exterior Motion Light</t>
  </si>
  <si>
    <t>HD 860002741444</t>
  </si>
  <si>
    <t>Exterior Motion Lights Lg</t>
  </si>
  <si>
    <t>44" Ceiling Fan</t>
  </si>
  <si>
    <t>HD 851725005555</t>
  </si>
  <si>
    <t>52" Ceiling Fan</t>
  </si>
  <si>
    <t>HD 082392911225</t>
  </si>
  <si>
    <t>Bath Vanity Light</t>
  </si>
  <si>
    <t>Master Bath Exhaust Fan</t>
  </si>
  <si>
    <t>HD 6970814330027</t>
  </si>
  <si>
    <t>Plank Hollow Door 28x80</t>
  </si>
  <si>
    <t>Araceli Salazar - cleaning</t>
  </si>
  <si>
    <t>500 Country Ln Clayton NC 27520</t>
  </si>
  <si>
    <t>919-423-7661</t>
  </si>
  <si>
    <t xml:space="preserve">Cleaning Pre Painting </t>
  </si>
  <si>
    <t>GrV Works Tree Pruning</t>
  </si>
  <si>
    <t>GrV Works Seed</t>
  </si>
  <si>
    <t xml:space="preserve">Trust </t>
  </si>
  <si>
    <t>Deed Recording</t>
  </si>
  <si>
    <t>eRcording</t>
  </si>
  <si>
    <t>SW 5 gal A27W600 Premium ceiling white</t>
  </si>
  <si>
    <t>6501-93169</t>
  </si>
  <si>
    <t>SW 1 gal A27W600 Premium ceiling white</t>
  </si>
  <si>
    <t>ProBlock Interior Oil-Based Primer(5 Gal)</t>
  </si>
  <si>
    <t>6501-33390</t>
  </si>
  <si>
    <t>SW Proclassic Interior Acrylic Enamal Extra White( 5 gal)</t>
  </si>
  <si>
    <t>6510-16867</t>
  </si>
  <si>
    <t>Ceiling</t>
  </si>
  <si>
    <t>Primer</t>
  </si>
  <si>
    <t>Trim</t>
  </si>
  <si>
    <t>6512-01634</t>
  </si>
  <si>
    <t>Color</t>
  </si>
  <si>
    <t>sw7554 Steamed Milk</t>
  </si>
  <si>
    <t>SW Latitude Exterior Acrylic Latex ( 1 gal)</t>
  </si>
  <si>
    <t>Emerald Urethane Trim Enamel( 1 gal)</t>
  </si>
  <si>
    <t>Deck</t>
  </si>
  <si>
    <t>Exterior Paint</t>
  </si>
  <si>
    <t>HD883351891448</t>
  </si>
  <si>
    <t>HD47871099924</t>
  </si>
  <si>
    <t>Plank Hollow Door 32x80</t>
  </si>
  <si>
    <t>Drywall</t>
  </si>
  <si>
    <t>HD34137</t>
  </si>
  <si>
    <t>Refrigerator  Removal</t>
  </si>
  <si>
    <t xml:space="preserve">Araceli Salazar </t>
  </si>
  <si>
    <t>Back Yard cleanup</t>
  </si>
  <si>
    <t>dumpster tip</t>
  </si>
  <si>
    <t>HD DW Parts Kit</t>
  </si>
  <si>
    <t>HD Range</t>
  </si>
  <si>
    <t>HD Range Cord</t>
  </si>
  <si>
    <t>HD Delivery</t>
  </si>
  <si>
    <t>Register</t>
  </si>
  <si>
    <t>Estimate from Boris</t>
  </si>
  <si>
    <t>Screen Medics Solor Screen</t>
  </si>
  <si>
    <t>Kwikset Deadbolt</t>
  </si>
  <si>
    <t>Kwikset keyed</t>
  </si>
  <si>
    <t>400AO-15S</t>
  </si>
  <si>
    <t>488AO-15</t>
  </si>
  <si>
    <t>660--15S.DS</t>
  </si>
  <si>
    <t>Annualized  Return on Investment</t>
  </si>
  <si>
    <t>recording Fee</t>
  </si>
  <si>
    <t>Exterior repair</t>
  </si>
  <si>
    <t>This value is carried up to cell C31,                         Labeled Rehab</t>
  </si>
  <si>
    <t>city water</t>
  </si>
  <si>
    <t>Studio 1</t>
  </si>
  <si>
    <t>Average Daily:</t>
  </si>
  <si>
    <t>Income:</t>
  </si>
  <si>
    <t>Studio 3</t>
  </si>
  <si>
    <t>Studio 2</t>
  </si>
  <si>
    <t>Occupancy:</t>
  </si>
  <si>
    <t>Lodging Tax</t>
  </si>
  <si>
    <t>Couch</t>
  </si>
  <si>
    <t>(furnishing Tab)</t>
  </si>
  <si>
    <t>other</t>
  </si>
  <si>
    <t>Annual Fees</t>
  </si>
  <si>
    <t>STR Expense</t>
  </si>
  <si>
    <t>Management Fees</t>
  </si>
  <si>
    <t>Profit Upon Sale</t>
  </si>
  <si>
    <t>Total:</t>
  </si>
  <si>
    <t>Rehab Amortization:</t>
  </si>
  <si>
    <t>Months Carried:</t>
  </si>
  <si>
    <t>washer</t>
  </si>
  <si>
    <t>dryer</t>
  </si>
  <si>
    <t>Studio 4</t>
  </si>
  <si>
    <t>1343 Old Buckhorn Rd</t>
  </si>
  <si>
    <t>HOA</t>
  </si>
  <si>
    <t>Private Money</t>
  </si>
  <si>
    <t>Properties Completed in 2023</t>
  </si>
  <si>
    <t>Properties Completed in 2024</t>
  </si>
  <si>
    <t>20yd Delivery</t>
  </si>
  <si>
    <t>Payments:</t>
  </si>
  <si>
    <t>Interest Rate:</t>
  </si>
  <si>
    <t>Loan Amount:</t>
  </si>
  <si>
    <t>Years(months)</t>
  </si>
  <si>
    <t>Period</t>
  </si>
  <si>
    <t>Principal</t>
  </si>
  <si>
    <t>Buying Subject To:</t>
  </si>
  <si>
    <t>PMI</t>
  </si>
  <si>
    <t>Cash Flow</t>
  </si>
  <si>
    <t>Annual Property Appriciation:</t>
  </si>
  <si>
    <t>Sale Amount:</t>
  </si>
  <si>
    <t>Down Payment:</t>
  </si>
  <si>
    <t>Total  Cumulative Cash Flow:</t>
  </si>
  <si>
    <t>Total  Cumulative Appriciation:</t>
  </si>
  <si>
    <t>Total  Maximum Value:</t>
  </si>
  <si>
    <t>Year 5</t>
  </si>
  <si>
    <t>Year 10</t>
  </si>
  <si>
    <t>Year 20</t>
  </si>
  <si>
    <t>Year 29</t>
  </si>
  <si>
    <t>:Interest only</t>
  </si>
  <si>
    <t>Seller PN - Due on Sale:</t>
  </si>
  <si>
    <t>Refinance Loan to Value:</t>
  </si>
  <si>
    <t>Refinance Rate/Years:</t>
  </si>
  <si>
    <t>Refinance Date:</t>
  </si>
  <si>
    <t>Redirected Profit:</t>
  </si>
  <si>
    <t>Investor Totals</t>
  </si>
  <si>
    <t>Total Investment:</t>
  </si>
  <si>
    <t>Purchase Cost:</t>
  </si>
  <si>
    <t>Reinstatment Cost 2nd:</t>
  </si>
  <si>
    <t>Total  Cumulative Principal</t>
  </si>
  <si>
    <t>Year</t>
  </si>
  <si>
    <t xml:space="preserve"> Monthly Cash Flow:</t>
  </si>
  <si>
    <t>:Refinance</t>
  </si>
  <si>
    <t>1st  Loan Balance(5 years)</t>
  </si>
  <si>
    <t>2nd  Loan Balance(5 years)</t>
  </si>
  <si>
    <t>Sell with Owner Financing:</t>
  </si>
  <si>
    <t>Appriciation:</t>
  </si>
  <si>
    <t>Total Profit:</t>
  </si>
  <si>
    <t>Template values</t>
  </si>
  <si>
    <t>Range(HD estimate)</t>
  </si>
  <si>
    <t>Sub-total for Template</t>
  </si>
  <si>
    <t>Template</t>
  </si>
  <si>
    <t>Dishwasher</t>
  </si>
  <si>
    <t>Range</t>
  </si>
  <si>
    <t xml:space="preserve"> Microwave </t>
  </si>
  <si>
    <t>Bath Accessory Kit</t>
  </si>
  <si>
    <t>Bath Faucets</t>
  </si>
  <si>
    <t xml:space="preserve">Cost for Template </t>
  </si>
  <si>
    <t>Total for paint</t>
  </si>
  <si>
    <t>Exterior</t>
  </si>
  <si>
    <t>Buy Box</t>
  </si>
  <si>
    <t>Min Profit/ARV Ratio:</t>
  </si>
  <si>
    <t>Min Profit:</t>
  </si>
  <si>
    <t>Min CMA</t>
  </si>
  <si>
    <t>Max CMA</t>
  </si>
  <si>
    <t>Total Cash before Rehab:</t>
  </si>
  <si>
    <t>Max Cash to Aquire:</t>
  </si>
  <si>
    <t>Flip, Hold or Slow Flip</t>
  </si>
  <si>
    <t>Interest only:</t>
  </si>
  <si>
    <t>Refinance:</t>
  </si>
  <si>
    <t>Property Taxes</t>
  </si>
  <si>
    <t>Points added to Financing:</t>
  </si>
  <si>
    <t>Profit  for Required  5 year Note:</t>
  </si>
  <si>
    <t>Above ARV:</t>
  </si>
  <si>
    <t>Trueheart</t>
  </si>
  <si>
    <t>Paid in Escrow</t>
  </si>
  <si>
    <t>County</t>
  </si>
  <si>
    <t>Binder Deposit:</t>
  </si>
  <si>
    <t>Property Tax Bill:</t>
  </si>
  <si>
    <t>Tax Escrow:</t>
  </si>
  <si>
    <t>Property Insurance:</t>
  </si>
  <si>
    <t>HOA:</t>
  </si>
  <si>
    <t>Address</t>
  </si>
  <si>
    <t>Monthly Payment</t>
  </si>
  <si>
    <t>City-State</t>
  </si>
  <si>
    <t>Trust</t>
  </si>
  <si>
    <t>Trust Date</t>
  </si>
  <si>
    <t>Manger</t>
  </si>
  <si>
    <t>Base Int Rate</t>
  </si>
  <si>
    <t>Thomas</t>
  </si>
  <si>
    <t>Shorb</t>
  </si>
  <si>
    <t>Wes Browning</t>
  </si>
  <si>
    <t>Doc Year</t>
  </si>
  <si>
    <t>Your Home, LLC</t>
  </si>
  <si>
    <t>Principal&amp;Interst:</t>
  </si>
  <si>
    <t>TermYears</t>
  </si>
  <si>
    <t>TermMonths</t>
  </si>
  <si>
    <t>Adverse Conditions</t>
  </si>
  <si>
    <t>Legal Description</t>
  </si>
  <si>
    <t>Sellers Residence1</t>
  </si>
  <si>
    <t>Sellers Residence2</t>
  </si>
  <si>
    <t>Profit  on Int(5 Year):</t>
  </si>
  <si>
    <t>Cumulative</t>
  </si>
  <si>
    <t>Prin</t>
  </si>
  <si>
    <t>Int</t>
  </si>
  <si>
    <t>Int Rate</t>
  </si>
  <si>
    <t>Monthly</t>
  </si>
  <si>
    <t>Cumul</t>
  </si>
  <si>
    <t>Bal</t>
  </si>
  <si>
    <t>Value</t>
  </si>
  <si>
    <t>Princ</t>
  </si>
  <si>
    <t xml:space="preserve">Total </t>
  </si>
  <si>
    <t>Taxes</t>
  </si>
  <si>
    <t>Beg</t>
  </si>
  <si>
    <t>Ending</t>
  </si>
  <si>
    <t>Ins</t>
  </si>
  <si>
    <t>End</t>
  </si>
  <si>
    <t>Appriciation</t>
  </si>
  <si>
    <t xml:space="preserve">Payment </t>
  </si>
  <si>
    <t>Mortgage Delta</t>
  </si>
  <si>
    <t>Principal&amp;Interst2:</t>
  </si>
  <si>
    <t>Monthly Payment2</t>
  </si>
  <si>
    <t>Monthly Payment1</t>
  </si>
  <si>
    <t>Term1</t>
  </si>
  <si>
    <t>Term2</t>
  </si>
  <si>
    <t>TermMonths2</t>
  </si>
  <si>
    <t>TermMonths1</t>
  </si>
  <si>
    <t>Loan Start2</t>
  </si>
  <si>
    <t>Loan End2</t>
  </si>
  <si>
    <t>Loan Start1</t>
  </si>
  <si>
    <t>Loan End1</t>
  </si>
  <si>
    <t>2nd Mort</t>
  </si>
  <si>
    <t>1st Mort</t>
  </si>
  <si>
    <t xml:space="preserve">2nd Mort Delta </t>
  </si>
  <si>
    <t>Trust Address:</t>
  </si>
  <si>
    <t>Property Parcel ID</t>
  </si>
  <si>
    <t>Interest rate2</t>
  </si>
  <si>
    <t>Interest rate1</t>
  </si>
  <si>
    <t>Gross Profit:</t>
  </si>
  <si>
    <t>Property Tax Bill</t>
  </si>
  <si>
    <t>Principal&amp;Interst</t>
  </si>
  <si>
    <t>Tax Escrow</t>
  </si>
  <si>
    <t xml:space="preserve"> Cash Flow(60 months);</t>
  </si>
  <si>
    <t>Subject To: Loan Int(5 years)</t>
  </si>
  <si>
    <t>Fixed Seller Loan Int(5 years)</t>
  </si>
  <si>
    <t>Additional Sales Amount  Based on expected Apriciation</t>
  </si>
  <si>
    <t>Financing with Reduced Rate &amp; Increased Purchase Price</t>
  </si>
  <si>
    <t>Purchase Date?</t>
  </si>
  <si>
    <t>Subject To: Monthly</t>
  </si>
  <si>
    <t xml:space="preserve">Wrap Loan </t>
  </si>
  <si>
    <t>Down Payment %:</t>
  </si>
  <si>
    <t>Buying-Buyer</t>
  </si>
  <si>
    <t>Buying-Seller-All</t>
  </si>
  <si>
    <t>Buying-Seller1</t>
  </si>
  <si>
    <t>Buying-Seller2</t>
  </si>
  <si>
    <t>Heir</t>
  </si>
  <si>
    <t>Selling-Buyer</t>
  </si>
  <si>
    <t>Buying-Seller-SS1</t>
  </si>
  <si>
    <t>Buying-Seller-ss2</t>
  </si>
  <si>
    <t>Heir SS</t>
  </si>
  <si>
    <t>LoanNo</t>
  </si>
  <si>
    <t>Selling -Seller</t>
  </si>
  <si>
    <t>Buying Down Payment</t>
  </si>
  <si>
    <t>Selling Down Payment:</t>
  </si>
  <si>
    <t>Subject To Reinstatement</t>
  </si>
  <si>
    <t>Buying Purchase Price:</t>
  </si>
  <si>
    <t>Buying Lender:</t>
  </si>
  <si>
    <t>Selling Purchase Price</t>
  </si>
  <si>
    <t>Buying Subject To</t>
  </si>
  <si>
    <t>Doc Month</t>
  </si>
  <si>
    <t>Brief Legal Description</t>
  </si>
  <si>
    <t>Additional Conditions1</t>
  </si>
  <si>
    <t>Buying Rent</t>
  </si>
  <si>
    <t>Lease Year End</t>
  </si>
  <si>
    <t>Trustee</t>
  </si>
  <si>
    <t>Rent Adjustments</t>
  </si>
  <si>
    <t>Grantor Aquired</t>
  </si>
  <si>
    <t>Grantor Book</t>
  </si>
  <si>
    <t>Grantor Page</t>
  </si>
  <si>
    <t>Grantor  Township</t>
  </si>
  <si>
    <t>Trustee Address1</t>
  </si>
  <si>
    <t>Trustee Address2</t>
  </si>
  <si>
    <t>Principal Sum</t>
  </si>
  <si>
    <t>Installment Months</t>
  </si>
  <si>
    <t>Note Indicator</t>
  </si>
  <si>
    <t>Selling Fields:</t>
  </si>
  <si>
    <t>Heritage Management LLC</t>
  </si>
  <si>
    <t>Selling Purchase Price:</t>
  </si>
  <si>
    <t>Buying Fields</t>
  </si>
  <si>
    <t>Buying Down Payment:</t>
  </si>
  <si>
    <t>Coastal Federal Credit Union</t>
  </si>
  <si>
    <t>Purchaser is excluding from the purchase price the debt owed by the Seller, witnessed by the Deed of Trust dated on 3/18/2019 in the amount of $21,815.89.</t>
  </si>
  <si>
    <t>Lease Fields:</t>
  </si>
  <si>
    <t>Lease  Year End</t>
  </si>
  <si>
    <t xml:space="preserve">The rent, for the first 12 months, will be compensated by a Promissory Note given from Lessor to the Leasee. See Exhibit "C" </t>
  </si>
  <si>
    <t>Property Fields</t>
  </si>
  <si>
    <t>LEE</t>
  </si>
  <si>
    <t>Deed Fields</t>
  </si>
  <si>
    <t xml:space="preserve">Lot 79 Carthage Colonies, phase 3A </t>
  </si>
  <si>
    <t>Lot 79 Carthage Colonies, phase 3A as shown on final plat for Carthage Colonies phase 3A Plat cabnet 19 slide 46C " a clustered Subdivision" by Braken &amp; Associates of Sandford NC. Recorded in Plat Cabnet 10 Slide 54H of Lee County Public Record</t>
  </si>
  <si>
    <t>Beazer Home Group</t>
  </si>
  <si>
    <t>00992</t>
  </si>
  <si>
    <t>0383</t>
  </si>
  <si>
    <t>Grantor  Township:</t>
  </si>
  <si>
    <t>Trust Info</t>
  </si>
  <si>
    <t>Investment Services LLC</t>
  </si>
  <si>
    <t>Trustee Address1:</t>
  </si>
  <si>
    <t>1309 Coffeen Avenue, STE 1200</t>
  </si>
  <si>
    <t>Trustee Address2:</t>
  </si>
  <si>
    <t>Sheridan, Wyoming 82801</t>
  </si>
  <si>
    <t>The Tunnard Real Estate Trust on 612 Britton Ct dated March, 5 2025</t>
  </si>
  <si>
    <t>March, 5</t>
  </si>
  <si>
    <t>Doc Month:</t>
  </si>
  <si>
    <t>Note Fields</t>
  </si>
  <si>
    <t>Principal Sum:</t>
  </si>
  <si>
    <t>Rent Payment</t>
  </si>
  <si>
    <t>Rent Adjustment</t>
  </si>
  <si>
    <t>Note Indicator , paragraph 2b</t>
  </si>
  <si>
    <t>Stephn Jarrett</t>
  </si>
  <si>
    <t>(919) 673-3592</t>
  </si>
  <si>
    <t>SS#: 235-02-8231</t>
  </si>
  <si>
    <t>Specialized Loan Servicing</t>
  </si>
  <si>
    <t>800 315 4757</t>
  </si>
  <si>
    <t>1028061093</t>
  </si>
  <si>
    <t>Payoff.Request@SLS.net</t>
  </si>
  <si>
    <t>ShellPoint(new servicer)</t>
  </si>
  <si>
    <t>myaccount.shellpointmtg.com. </t>
  </si>
  <si>
    <t>User:Wes@BYHLLC.com PW:w3638B0@</t>
  </si>
  <si>
    <t>Hutchenson</t>
  </si>
  <si>
    <t>Lisa Norris</t>
  </si>
  <si>
    <t>amount</t>
  </si>
  <si>
    <t>ben</t>
  </si>
  <si>
    <t>acct</t>
  </si>
  <si>
    <t>Routing#</t>
  </si>
  <si>
    <t>Name</t>
  </si>
  <si>
    <t>Garner, NC 27529</t>
  </si>
  <si>
    <t>Wake</t>
  </si>
  <si>
    <t>Adam Banter</t>
  </si>
  <si>
    <t>2 story fully Replace Siding - Materials</t>
  </si>
  <si>
    <t xml:space="preserve">Rent Paid </t>
  </si>
  <si>
    <t>Cashmere ES Extra</t>
  </si>
  <si>
    <t>SW6385 Dover White</t>
  </si>
  <si>
    <t>6513-00980</t>
  </si>
  <si>
    <t>No</t>
  </si>
  <si>
    <t>Inv#</t>
  </si>
  <si>
    <t>1791-4</t>
  </si>
  <si>
    <t>2400-1</t>
  </si>
  <si>
    <t>Product</t>
  </si>
  <si>
    <t>D19W151</t>
  </si>
  <si>
    <t>Sales #</t>
  </si>
  <si>
    <t>Premium Ceil Wh</t>
  </si>
  <si>
    <t>A27W600</t>
  </si>
  <si>
    <t>6512-93177</t>
  </si>
  <si>
    <t>6512-93159</t>
  </si>
  <si>
    <t>QD Stn Blkg Prmr</t>
  </si>
  <si>
    <t>B51W28670</t>
  </si>
  <si>
    <t>6513-92755</t>
  </si>
  <si>
    <t>0992-6</t>
  </si>
  <si>
    <t>Door Jam new garage door</t>
  </si>
  <si>
    <t>Front door closers</t>
  </si>
  <si>
    <t>Install new closers (we provide)</t>
  </si>
  <si>
    <t>Replace ceiling A/C vents</t>
  </si>
  <si>
    <t>ceiling A/C vents</t>
  </si>
  <si>
    <t>ceilings fans</t>
  </si>
  <si>
    <t>Replace living room, all bedrooms</t>
  </si>
  <si>
    <t>Light Fixtures</t>
  </si>
  <si>
    <t>microwave</t>
  </si>
  <si>
    <t>Replace 1, digital dead bolt, Front door handle, two deadbolts, two locked handles</t>
  </si>
  <si>
    <t>exterior Locks</t>
  </si>
  <si>
    <t>interior door knobs</t>
  </si>
  <si>
    <t>Replace all on upstairs, 1 downstairs</t>
  </si>
  <si>
    <t>window treatments</t>
  </si>
  <si>
    <t>remove all, except for dinette &amp; kitchen</t>
  </si>
  <si>
    <t>window screens</t>
  </si>
  <si>
    <t>remove all</t>
  </si>
  <si>
    <t>Exterior Light Fixtures</t>
  </si>
  <si>
    <t>House #s</t>
  </si>
  <si>
    <t>Replace - black "1343"</t>
  </si>
  <si>
    <t>toilet</t>
  </si>
  <si>
    <t>upstairs baths</t>
  </si>
  <si>
    <t>vanity</t>
  </si>
  <si>
    <t>Install new 35" vanity in upstairs hall bath</t>
  </si>
  <si>
    <t>Install single in hall bath, 2 in master bath, 1 in 1/2 bath</t>
  </si>
  <si>
    <t>mirrors</t>
  </si>
  <si>
    <t>exhaust fans</t>
  </si>
  <si>
    <t>sink faucets</t>
  </si>
  <si>
    <t>2-master bath, 1-hall bath</t>
  </si>
  <si>
    <t>Bath accessories</t>
  </si>
  <si>
    <t>subfloor</t>
  </si>
  <si>
    <t>Repair sub-floor in master Bath</t>
  </si>
  <si>
    <t>electrical Outlets</t>
  </si>
  <si>
    <t>replace in master bedroom</t>
  </si>
  <si>
    <t>shelves</t>
  </si>
  <si>
    <t>switch/outlet covers</t>
  </si>
  <si>
    <t>Replace all with white</t>
  </si>
  <si>
    <t>Service Call</t>
  </si>
  <si>
    <t>Amazon</t>
  </si>
  <si>
    <t>Dining Room Light</t>
  </si>
  <si>
    <t>Vanity Hall Bath</t>
  </si>
  <si>
    <t>Living Room Ceiling Fan, Light</t>
  </si>
  <si>
    <t>L1058359</t>
  </si>
  <si>
    <t>L1362368</t>
  </si>
  <si>
    <t>10 x 4 ceiling registers</t>
  </si>
  <si>
    <t>L69501</t>
  </si>
  <si>
    <t>12 x 4 ceiling registers</t>
  </si>
  <si>
    <t>L69687</t>
  </si>
  <si>
    <t>Cove Satin Nickel Int Bed/Bath privacy knobs</t>
  </si>
  <si>
    <t>L810309</t>
  </si>
  <si>
    <t>Vinyl Siding replacement</t>
  </si>
  <si>
    <t>Vinyl Siding replacement (additonal Work)</t>
  </si>
  <si>
    <t>Barnes Restoration Inc</t>
  </si>
  <si>
    <t>Basurto Construcition</t>
  </si>
  <si>
    <t>Roof  replacement</t>
  </si>
  <si>
    <t>Amazon House Numbers</t>
  </si>
  <si>
    <t>Replace Kitchen, dining room, 1/2 bath,  1 vanity- upstairs hall bath, 2 vanity-Master bath</t>
  </si>
  <si>
    <t>1- Upstairs hall bath, 1-Master bath w/ light</t>
  </si>
  <si>
    <t>install slimline- over stove (we provide)</t>
  </si>
  <si>
    <t>Install new</t>
  </si>
  <si>
    <t>CO2/Smoke sensors</t>
  </si>
  <si>
    <t>Replace all, front &amp; rear, we will evaluate leaving the ones in back</t>
  </si>
  <si>
    <t>Replace in Master Bath, hall bath</t>
  </si>
  <si>
    <t>All-master bath 1 set, all-Hall bath upstairs</t>
  </si>
  <si>
    <t>Repair sub-floor in upstairs Hall Bath</t>
  </si>
  <si>
    <t>Cover master shower plumbing access</t>
  </si>
  <si>
    <t>Repair master closet, we get hardware, we will mark placement</t>
  </si>
  <si>
    <t>replace plumbing access in master closet</t>
  </si>
  <si>
    <t>Master closet</t>
  </si>
  <si>
    <t>add knobs for bi-fold doors</t>
  </si>
  <si>
    <t>Shave front door to fit</t>
  </si>
  <si>
    <t>Shave garage/kitchen door to fit</t>
  </si>
  <si>
    <t>doors</t>
  </si>
  <si>
    <t>install mirrowed closet doors for back bedroom</t>
  </si>
  <si>
    <t>install mirrowed closet doors for Master closet</t>
  </si>
  <si>
    <t>all countertops need to be caulked</t>
  </si>
  <si>
    <t>countertops</t>
  </si>
  <si>
    <t>leak under sink in half bath</t>
  </si>
  <si>
    <t>plumbing</t>
  </si>
  <si>
    <t>stairs</t>
  </si>
  <si>
    <t>Stair Rail needs to be installed</t>
  </si>
  <si>
    <t>Replace vanity and linen closet hardware in master and upstairs hall - after painting</t>
  </si>
  <si>
    <t>door stop in master toilet room.</t>
  </si>
  <si>
    <t>replace door hinges in master toilet room</t>
  </si>
  <si>
    <t>fans</t>
  </si>
  <si>
    <t>make light and fans controlable from swithces</t>
  </si>
  <si>
    <t>Add a new light fixture for laundry room</t>
  </si>
  <si>
    <t>Greenview Works</t>
  </si>
  <si>
    <t>Debris</t>
  </si>
  <si>
    <t>Replace Tub Spout in Master Bath</t>
  </si>
  <si>
    <t>Move and add box for Master bath light fixtures</t>
  </si>
  <si>
    <t>Purchased</t>
  </si>
  <si>
    <t>1 CO2/smoke detector</t>
  </si>
  <si>
    <t>Broan-Nutone light-exhast fan</t>
  </si>
  <si>
    <t>exhaust fan</t>
  </si>
  <si>
    <t>seat livingroom ceailing speaker propertly</t>
  </si>
  <si>
    <t>install new sink drain - master closet, right side</t>
  </si>
  <si>
    <t>new hinges on bonus room door</t>
  </si>
  <si>
    <t>Soap shelve in master bath</t>
  </si>
  <si>
    <t>walls</t>
  </si>
  <si>
    <t>additional switch covers</t>
  </si>
  <si>
    <t>There are two more vents ready</t>
  </si>
  <si>
    <t>Payment for work done as of 9-22-25</t>
  </si>
  <si>
    <t>Painter forwindows,s shurters, doors and garage</t>
  </si>
  <si>
    <t>Painter , interior</t>
  </si>
  <si>
    <t>K39W1751</t>
  </si>
  <si>
    <t>2-8432</t>
  </si>
  <si>
    <t>Garage</t>
  </si>
  <si>
    <t>Northern Tool -Ramps</t>
  </si>
  <si>
    <t>3909-0</t>
  </si>
  <si>
    <t>Sherwin Williams - tape, rollers, brush, etc</t>
  </si>
  <si>
    <t>United Rental - Grinder</t>
  </si>
  <si>
    <t>36" bifold</t>
  </si>
  <si>
    <t>SCCM Cleaning</t>
  </si>
  <si>
    <t xml:space="preserve">Cleaning  </t>
  </si>
  <si>
    <t>Help Epoxy Floor- 5 hours</t>
  </si>
  <si>
    <t>Draw 2 for work done and priced as of 10-15-25</t>
  </si>
  <si>
    <t>Stonecoate Flooring Epoxy Midcoat</t>
  </si>
  <si>
    <t>Stonecoate Moisture Seal Epxy Primer</t>
  </si>
  <si>
    <t>Marbles White  Mica powder (Snow Pearl)</t>
  </si>
  <si>
    <t>Marbles White  Mica powder (Cream White)</t>
  </si>
  <si>
    <t>Resin Mixer Paddles</t>
  </si>
  <si>
    <t>Mixing Cups(12 Pack</t>
  </si>
  <si>
    <t>Alumilite Lique Color Dye</t>
  </si>
  <si>
    <t>16 inch Squeegee</t>
  </si>
  <si>
    <t>Polycolor Mica Powder - Diamond Dust</t>
  </si>
  <si>
    <t>Gunite Soiked Shoes</t>
  </si>
  <si>
    <t>Stonecoate Flooring Epoxy non-skid additive</t>
  </si>
  <si>
    <t>Kwickset</t>
  </si>
  <si>
    <t>Kwikset Combo</t>
  </si>
  <si>
    <t>Downrod for fan</t>
  </si>
  <si>
    <t>Wire shelves - 6'*12"</t>
  </si>
  <si>
    <t>PVC plug  for  access to drain</t>
  </si>
  <si>
    <t>Electrical receptical</t>
  </si>
  <si>
    <t>Ceiling Fans</t>
  </si>
  <si>
    <t>Smoke Detector- 6 pack</t>
  </si>
  <si>
    <t>panel light- 1' * 4'</t>
  </si>
  <si>
    <t>light bulbs - 4 pack</t>
  </si>
  <si>
    <t>light bulbs - 3 pack</t>
  </si>
  <si>
    <t>staircase handrail brackets</t>
  </si>
  <si>
    <t>Lowes Tube light bulb</t>
  </si>
  <si>
    <t>door stop</t>
  </si>
  <si>
    <t>2633655 also  on 9/17</t>
  </si>
  <si>
    <t>14 x 4 ceiling registers</t>
  </si>
  <si>
    <t>toilet seat</t>
  </si>
  <si>
    <t>wireshelves brackets - 2 pack</t>
  </si>
  <si>
    <t>light switch</t>
  </si>
  <si>
    <t>light bulb - 8 pack</t>
  </si>
  <si>
    <t>light bulb - 3 pack</t>
  </si>
  <si>
    <t>panel light- 18" * 18"</t>
  </si>
  <si>
    <t>alcohol</t>
  </si>
  <si>
    <t>5 gal bucket</t>
  </si>
  <si>
    <t>mixing bottle</t>
  </si>
  <si>
    <t>spray bottle</t>
  </si>
  <si>
    <t>Surface Experts - Tub paint - 2 baths</t>
  </si>
  <si>
    <t>Amazon mirror</t>
  </si>
  <si>
    <t>towel rd</t>
  </si>
  <si>
    <t>5795-1</t>
  </si>
  <si>
    <t>alcohol, rags gloves</t>
  </si>
  <si>
    <t>3909-8</t>
  </si>
  <si>
    <t>Emerald UTE GL HHW</t>
  </si>
  <si>
    <t>5428-9</t>
  </si>
  <si>
    <t>Attic</t>
  </si>
  <si>
    <t>2.3 Unclog or repair venting systems for laundry</t>
  </si>
  <si>
    <t>Venting Systems</t>
  </si>
  <si>
    <t>3.0 Will repaint ceiling @ Stains from old leaks</t>
  </si>
  <si>
    <t>Ceilings</t>
  </si>
  <si>
    <t>3.3.1 Screw atic doors closed</t>
  </si>
  <si>
    <t>3.3.2 Adjust master door closet</t>
  </si>
  <si>
    <t>3.4.b Trim doors to fit in laundry and 1/2 bath</t>
  </si>
  <si>
    <t>3.5 Trim bedroom doors so the don't rub carpet</t>
  </si>
  <si>
    <t>4.1 Fix active leeks in 1/2 bath and master bath</t>
  </si>
  <si>
    <t>4.1.2 Clear tub drain</t>
  </si>
  <si>
    <t>4.2.3 Fix tub spout diverter</t>
  </si>
  <si>
    <t>4.2.4 Seal around tub both spouts</t>
  </si>
  <si>
    <t>4.5.2 Plumber needs to replace input fiiting on water heater</t>
  </si>
  <si>
    <t>5.4.2 Fix closet light</t>
  </si>
  <si>
    <t>6.8 Replace attic HVAC filter</t>
  </si>
  <si>
    <t>Install radon remdiation system</t>
  </si>
  <si>
    <t>radon  system</t>
  </si>
  <si>
    <t>electical</t>
  </si>
  <si>
    <t>plumber</t>
  </si>
  <si>
    <t>water system</t>
  </si>
  <si>
    <t>Plumber</t>
  </si>
  <si>
    <t>3.4 Fix middle, front bedroom door jam trim</t>
  </si>
  <si>
    <t>5.3.1 Replace mismatched circuit breakers</t>
  </si>
  <si>
    <t>5.4.1 tighten electrical recpticals</t>
  </si>
  <si>
    <t>5.3.2 Encase electrical wire in conduit</t>
  </si>
  <si>
    <t>5.5. Will put GFCI outlets by range and laundry</t>
  </si>
  <si>
    <t>7.0 Add a toe kick to dish washer</t>
  </si>
  <si>
    <t>7.4 Food disposal needs wire connection</t>
  </si>
  <si>
    <t>8.3 Fill with fire resistant foam</t>
  </si>
  <si>
    <t>8.4  Fill with fire resistant foam</t>
  </si>
  <si>
    <t>cabinets</t>
  </si>
  <si>
    <t xml:space="preserve">electrical </t>
  </si>
  <si>
    <t>electrical</t>
  </si>
  <si>
    <t>Inspection Report</t>
  </si>
  <si>
    <t>Tims Labor on 11/04/25</t>
  </si>
  <si>
    <t>Wire Fee:</t>
  </si>
  <si>
    <t>Post Inspection</t>
  </si>
  <si>
    <t>Walmart-etc for garage</t>
  </si>
  <si>
    <t>2.0 Will replace missing insulation in Attic-Lowes 11/3</t>
  </si>
  <si>
    <t>1.11 Will fill cavity with cement- Lowes 10/29</t>
  </si>
  <si>
    <t>Walmart- 2 5 gal buckets</t>
  </si>
  <si>
    <t>Natural Gas</t>
  </si>
  <si>
    <t>weight</t>
  </si>
  <si>
    <t>%  of Profit based on investment</t>
  </si>
  <si>
    <t>Profit</t>
  </si>
  <si>
    <t>Profit Weighted (time)</t>
  </si>
  <si>
    <t>Total Debt:</t>
  </si>
  <si>
    <t>Canceled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</si>
</sst>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6">
    <numFmt numFmtId="6" formatCode="&quot;$&quot;#,##0_);[Red]\(&quot;$&quot;#,##0\)"/>
    <numFmt numFmtId="8" formatCode="&quot;$&quot;#,##0.00_);[Red]\(&quot;$&quot;#,##0.00\)"/>
    <numFmt numFmtId="43" formatCode="_(* #,##0.00_);_(* \(#,##0.00\);_(* &quot;-&quot;??_);_(@_)"/>
    <numFmt numFmtId="164" formatCode="&quot;$&quot;#,##0"/>
    <numFmt numFmtId="165" formatCode="0.0%"/>
    <numFmt numFmtId="166" formatCode="&quot;$&quot;#,##0.00"/>
    <numFmt numFmtId="167" formatCode="m/d/yy;@"/>
    <numFmt numFmtId="168" formatCode="d"/>
    <numFmt numFmtId="169" formatCode="m/d;@"/>
    <numFmt numFmtId="170" formatCode="mm/dd/yy;@"/>
    <numFmt numFmtId="171" formatCode="0.000%"/>
    <numFmt numFmtId="172" formatCode="yyyy\-mm\-dd;@"/>
    <numFmt numFmtId="173" formatCode="[$-409]mmm\-yy;@"/>
    <numFmt numFmtId="175" formatCode="0.000"/>
    <numFmt numFmtId="176" formatCode="[$-409]mmmm\ d\,\ yyyy;@"/>
    <numFmt numFmtId="177" formatCode="#,##0.0000"/>
  </numFmts>
  <fonts count="55" x14ac:knownFonts="1">
    <font>
      <sz val="11"/>
      <color theme="1"/>
      <name val="Calibri"/>
      <family val="2"/>
      <scheme val="minor"/>
    </font>
    <font>
      <b/>
      <sz val="11"/>
      <color theme="1"/>
      <name val="Calibri"/>
      <family val="2"/>
      <scheme val="minor"/>
    </font>
    <font>
      <u/>
      <sz val="11"/>
      <color theme="10"/>
      <name val="Calibri"/>
      <family val="2"/>
      <scheme val="minor"/>
    </font>
    <font>
      <sz val="11"/>
      <color theme="1"/>
      <name val="Calibri"/>
      <family val="2"/>
      <scheme val="minor"/>
    </font>
    <font>
      <sz val="11"/>
      <name val="Calibri"/>
      <family val="2"/>
      <scheme val="minor"/>
    </font>
    <font>
      <sz val="11"/>
      <color rgb="FF000000"/>
      <name val="Calibri"/>
      <family val="2"/>
      <scheme val="minor"/>
    </font>
    <font>
      <sz val="11"/>
      <color theme="1"/>
      <name val="Arial"/>
      <family val="2"/>
    </font>
    <font>
      <b/>
      <sz val="13"/>
      <color theme="3"/>
      <name val="Calibri"/>
      <family val="2"/>
      <scheme val="minor"/>
    </font>
    <font>
      <b/>
      <sz val="11"/>
      <color theme="3"/>
      <name val="Calibri"/>
      <family val="2"/>
      <scheme val="minor"/>
    </font>
    <font>
      <sz val="11"/>
      <color theme="0"/>
      <name val="Calibri"/>
      <family val="2"/>
      <scheme val="minor"/>
    </font>
    <font>
      <sz val="11"/>
      <color theme="8" tint="-0.499984740745262"/>
      <name val="Calibri"/>
      <family val="2"/>
      <scheme val="minor"/>
    </font>
    <font>
      <sz val="11"/>
      <color rgb="FF006100"/>
      <name val="Calibri"/>
      <family val="2"/>
      <scheme val="minor"/>
    </font>
    <font>
      <sz val="11"/>
      <color rgb="FF9C5700"/>
      <name val="Calibri"/>
      <family val="2"/>
      <scheme val="minor"/>
    </font>
    <font>
      <b/>
      <sz val="11"/>
      <name val="Calibri"/>
      <family val="2"/>
      <scheme val="minor"/>
    </font>
    <font>
      <b/>
      <sz val="11"/>
      <color rgb="FF373A3C"/>
      <name val="Open Sans"/>
      <family val="2"/>
    </font>
    <font>
      <sz val="10"/>
      <color theme="1"/>
      <name val="Calibri"/>
      <family val="2"/>
      <scheme val="minor"/>
    </font>
    <font>
      <b/>
      <sz val="10"/>
      <color theme="1"/>
      <name val="Calibri"/>
      <family val="2"/>
      <scheme val="minor"/>
    </font>
    <font>
      <sz val="11"/>
      <color rgb="FF9C0006"/>
      <name val="Calibri"/>
      <family val="2"/>
      <scheme val="minor"/>
    </font>
    <font>
      <b/>
      <sz val="11"/>
      <color theme="0"/>
      <name val="Calibri"/>
      <family val="2"/>
      <scheme val="minor"/>
    </font>
    <font>
      <b/>
      <sz val="11"/>
      <color rgb="FF00B0F0"/>
      <name val="Calibri"/>
      <family val="2"/>
      <scheme val="minor"/>
    </font>
    <font>
      <b/>
      <sz val="16"/>
      <name val="Calibri"/>
      <family val="2"/>
      <scheme val="minor"/>
    </font>
    <font>
      <sz val="10"/>
      <color theme="1"/>
      <name val="Arial"/>
      <family val="2"/>
    </font>
    <font>
      <sz val="11"/>
      <color theme="1"/>
      <name val="Times New Roman"/>
      <family val="1"/>
    </font>
    <font>
      <b/>
      <sz val="11"/>
      <color theme="1"/>
      <name val="Times New Roman"/>
      <family val="1"/>
    </font>
    <font>
      <sz val="12"/>
      <name val="Arial"/>
      <family val="2"/>
    </font>
    <font>
      <b/>
      <sz val="10"/>
      <color theme="3"/>
      <name val="Calibri"/>
      <family val="2"/>
      <scheme val="minor"/>
    </font>
    <font>
      <sz val="8"/>
      <name val="Calibri"/>
      <family val="2"/>
      <scheme val="minor"/>
    </font>
    <font>
      <sz val="16"/>
      <color theme="0"/>
      <name val="Calibri"/>
      <family val="2"/>
      <scheme val="minor"/>
    </font>
    <font>
      <b/>
      <sz val="12"/>
      <name val="Arial"/>
      <family val="2"/>
    </font>
    <font>
      <b/>
      <sz val="14"/>
      <name val="Calibri"/>
      <family val="2"/>
      <scheme val="minor"/>
    </font>
    <font>
      <b/>
      <sz val="14"/>
      <color theme="1"/>
      <name val="Calibri"/>
      <family val="2"/>
      <scheme val="minor"/>
    </font>
    <font>
      <b/>
      <sz val="16"/>
      <color theme="1"/>
      <name val="Calibri"/>
      <family val="2"/>
      <scheme val="minor"/>
    </font>
    <font>
      <b/>
      <sz val="14"/>
      <color theme="3"/>
      <name val="Calibri"/>
      <family val="2"/>
      <scheme val="minor"/>
    </font>
    <font>
      <sz val="14"/>
      <color theme="1"/>
      <name val="Calibri"/>
      <family val="2"/>
      <scheme val="minor"/>
    </font>
    <font>
      <sz val="10"/>
      <name val="Calibri"/>
      <family val="2"/>
      <scheme val="minor"/>
    </font>
    <font>
      <sz val="10"/>
      <color rgb="FF000000"/>
      <name val="Calibri"/>
      <family val="2"/>
      <scheme val="minor"/>
    </font>
    <font>
      <b/>
      <sz val="10"/>
      <color rgb="FFEA6E0D"/>
      <name val="Arial"/>
      <family val="2"/>
    </font>
    <font>
      <b/>
      <sz val="9"/>
      <color rgb="FF00457D"/>
      <name val="Arial"/>
      <family val="2"/>
    </font>
    <font>
      <sz val="9"/>
      <color rgb="FF00457D"/>
      <name val="Arial"/>
      <family val="2"/>
    </font>
    <font>
      <b/>
      <sz val="10"/>
      <name val="Calibri"/>
      <family val="2"/>
      <scheme val="minor"/>
    </font>
    <font>
      <b/>
      <sz val="10"/>
      <color rgb="FF000000"/>
      <name val="Calibri"/>
      <family val="2"/>
      <scheme val="minor"/>
    </font>
    <font>
      <b/>
      <sz val="9"/>
      <color rgb="FFEA6E0D"/>
      <name val="Arial"/>
      <family val="2"/>
    </font>
    <font>
      <b/>
      <sz val="11"/>
      <color rgb="FF373A3C"/>
      <name val="Calibri"/>
      <family val="2"/>
      <scheme val="minor"/>
    </font>
    <font>
      <sz val="10"/>
      <name val="Arial"/>
      <family val="2"/>
    </font>
    <font>
      <sz val="11"/>
      <color theme="10"/>
      <name val="Calibri"/>
      <family val="2"/>
      <scheme val="minor"/>
    </font>
    <font>
      <sz val="11"/>
      <color rgb="FFFF0000"/>
      <name val="Calibri"/>
      <family val="2"/>
      <scheme val="minor"/>
    </font>
    <font>
      <sz val="12"/>
      <name val="Arial"/>
      <family val="2"/>
    </font>
    <font>
      <b/>
      <sz val="9"/>
      <color rgb="FF333333"/>
      <name val="Segoe UI"/>
      <family val="2"/>
    </font>
    <font>
      <sz val="12"/>
      <color theme="1"/>
      <name val="Times New Roman"/>
      <family val="1"/>
    </font>
    <font>
      <sz val="9"/>
      <color theme="1"/>
      <name val="Times New Roman"/>
      <family val="1"/>
    </font>
    <font>
      <sz val="12"/>
      <name val="Arial"/>
      <family val="2"/>
    </font>
    <font>
      <sz val="12"/>
      <name val="Arial"/>
      <family val="2"/>
    </font>
    <font>
      <sz val="12"/>
      <name val="Arial"/>
      <family val="2"/>
    </font>
    <font>
      <b/>
      <sz val="9"/>
      <color theme="1"/>
      <name val="Calibri"/>
      <family val="2"/>
      <scheme val="minor"/>
    </font>
    <font>
      <sz val="9"/>
      <color theme="1"/>
      <name val="Calibri"/>
      <family val="2"/>
      <scheme val="minor"/>
    </font>
  </fonts>
  <fills count="28">
    <fill>
      <patternFill patternType="none"/>
    </fill>
    <fill>
      <patternFill patternType="gray125"/>
    </fill>
    <fill>
      <patternFill patternType="solid">
        <fgColor rgb="FFFFFF00"/>
        <bgColor indexed="64"/>
      </patternFill>
    </fill>
    <fill>
      <patternFill patternType="solid">
        <fgColor rgb="FF92D050"/>
        <bgColor indexed="64"/>
      </patternFill>
    </fill>
    <fill>
      <patternFill patternType="solid">
        <fgColor rgb="FFFFFF00"/>
        <bgColor rgb="FF000000"/>
      </patternFill>
    </fill>
    <fill>
      <patternFill patternType="solid">
        <fgColor theme="1" tint="0.34998626667073579"/>
        <bgColor indexed="64"/>
      </patternFill>
    </fill>
    <fill>
      <patternFill patternType="solid">
        <fgColor rgb="FFC6EFCE"/>
      </patternFill>
    </fill>
    <fill>
      <patternFill patternType="solid">
        <fgColor rgb="FFFFEB9C"/>
      </patternFill>
    </fill>
    <fill>
      <patternFill patternType="solid">
        <fgColor theme="4"/>
      </patternFill>
    </fill>
    <fill>
      <patternFill patternType="solid">
        <fgColor theme="0"/>
        <bgColor indexed="64"/>
      </patternFill>
    </fill>
    <fill>
      <patternFill patternType="solid">
        <fgColor rgb="FFFFC7CE"/>
      </patternFill>
    </fill>
    <fill>
      <patternFill patternType="solid">
        <fgColor rgb="FF00B0F0"/>
        <bgColor indexed="64"/>
      </patternFill>
    </fill>
    <fill>
      <patternFill patternType="solid">
        <fgColor theme="7" tint="0.39997558519241921"/>
        <bgColor indexed="64"/>
      </patternFill>
    </fill>
    <fill>
      <patternFill patternType="solid">
        <fgColor theme="7" tint="0.79998168889431442"/>
        <bgColor theme="7" tint="0.79998168889431442"/>
      </patternFill>
    </fill>
    <fill>
      <patternFill patternType="solid">
        <fgColor theme="5"/>
        <bgColor indexed="64"/>
      </patternFill>
    </fill>
    <fill>
      <patternFill patternType="solid">
        <fgColor rgb="FFFFFF00"/>
        <bgColor theme="7" tint="0.79998168889431442"/>
      </patternFill>
    </fill>
    <fill>
      <patternFill patternType="solid">
        <fgColor rgb="FFFFFFFF"/>
        <bgColor indexed="64"/>
      </patternFill>
    </fill>
    <fill>
      <patternFill patternType="solid">
        <fgColor theme="7"/>
        <bgColor indexed="64"/>
      </patternFill>
    </fill>
    <fill>
      <patternFill patternType="solid">
        <fgColor rgb="FFFFC000"/>
        <bgColor indexed="64"/>
      </patternFill>
    </fill>
    <fill>
      <patternFill patternType="solid">
        <fgColor theme="0"/>
        <bgColor rgb="FF000000"/>
      </patternFill>
    </fill>
    <fill>
      <patternFill patternType="solid">
        <fgColor theme="5" tint="0.79998168889431442"/>
        <bgColor indexed="64"/>
      </patternFill>
    </fill>
    <fill>
      <patternFill patternType="solid">
        <fgColor theme="4" tint="0.39997558519241921"/>
        <bgColor indexed="64"/>
      </patternFill>
    </fill>
    <fill>
      <patternFill patternType="solid">
        <fgColor theme="7" tint="-0.249977111117893"/>
        <bgColor indexed="64"/>
      </patternFill>
    </fill>
    <fill>
      <patternFill patternType="solid">
        <fgColor theme="4" tint="0.79998168889431442"/>
        <bgColor indexed="64"/>
      </patternFill>
    </fill>
    <fill>
      <patternFill patternType="solid">
        <fgColor theme="7" tint="0.79998168889431442"/>
        <bgColor indexed="64"/>
      </patternFill>
    </fill>
    <fill>
      <patternFill patternType="solid">
        <fgColor theme="3" tint="0.79998168889431442"/>
        <bgColor indexed="64"/>
      </patternFill>
    </fill>
    <fill>
      <patternFill patternType="solid">
        <fgColor theme="2"/>
        <bgColor indexed="64"/>
      </patternFill>
    </fill>
    <fill>
      <patternFill patternType="solid">
        <fgColor rgb="FFFFC000"/>
        <bgColor rgb="FF000000"/>
      </patternFill>
    </fill>
  </fills>
  <borders count="65">
    <border>
      <left/>
      <right/>
      <top/>
      <bottom/>
      <diagonal/>
    </border>
    <border>
      <left/>
      <right/>
      <top/>
      <bottom style="medium">
        <color auto="1"/>
      </bottom>
      <diagonal/>
    </border>
    <border>
      <left style="medium">
        <color auto="1"/>
      </left>
      <right/>
      <top style="medium">
        <color auto="1"/>
      </top>
      <bottom/>
      <diagonal/>
    </border>
    <border>
      <left/>
      <right style="medium">
        <color auto="1"/>
      </right>
      <top style="medium">
        <color auto="1"/>
      </top>
      <bottom/>
      <diagonal/>
    </border>
    <border>
      <left style="medium">
        <color auto="1"/>
      </left>
      <right/>
      <top/>
      <bottom/>
      <diagonal/>
    </border>
    <border>
      <left/>
      <right style="medium">
        <color auto="1"/>
      </right>
      <top/>
      <bottom/>
      <diagonal/>
    </border>
    <border>
      <left style="medium">
        <color auto="1"/>
      </left>
      <right/>
      <top/>
      <bottom style="medium">
        <color auto="1"/>
      </bottom>
      <diagonal/>
    </border>
    <border>
      <left/>
      <right style="medium">
        <color auto="1"/>
      </right>
      <top/>
      <bottom style="medium">
        <color auto="1"/>
      </bottom>
      <diagonal/>
    </border>
    <border>
      <left/>
      <right style="dashed">
        <color auto="1"/>
      </right>
      <top/>
      <bottom/>
      <diagonal/>
    </border>
    <border>
      <left/>
      <right/>
      <top style="medium">
        <color auto="1"/>
      </top>
      <bottom/>
      <diagonal/>
    </border>
    <border>
      <left/>
      <right/>
      <top/>
      <bottom style="thin">
        <color auto="1"/>
      </bottom>
      <diagonal/>
    </border>
    <border>
      <left style="dashed">
        <color auto="1"/>
      </left>
      <right/>
      <top style="medium">
        <color auto="1"/>
      </top>
      <bottom/>
      <diagonal/>
    </border>
    <border>
      <left/>
      <right style="dashed">
        <color auto="1"/>
      </right>
      <top style="medium">
        <color auto="1"/>
      </top>
      <bottom/>
      <diagonal/>
    </border>
    <border>
      <left/>
      <right/>
      <top style="double">
        <color auto="1"/>
      </top>
      <bottom/>
      <diagonal/>
    </border>
    <border>
      <left/>
      <right/>
      <top style="thin">
        <color auto="1"/>
      </top>
      <bottom style="medium">
        <color auto="1"/>
      </bottom>
      <diagonal/>
    </border>
    <border>
      <left style="hair">
        <color auto="1"/>
      </left>
      <right/>
      <top/>
      <bottom/>
      <diagonal/>
    </border>
    <border>
      <left/>
      <right/>
      <top/>
      <bottom style="thick">
        <color theme="4" tint="0.499984740745262"/>
      </bottom>
      <diagonal/>
    </border>
    <border>
      <left/>
      <right/>
      <top/>
      <bottom style="medium">
        <color theme="4" tint="0.39997558519241921"/>
      </bottom>
      <diagonal/>
    </border>
    <border>
      <left/>
      <right style="thin">
        <color theme="8" tint="0.79998168889431442"/>
      </right>
      <top style="medium">
        <color theme="8"/>
      </top>
      <bottom/>
      <diagonal/>
    </border>
    <border>
      <left style="thin">
        <color theme="6" tint="0.39997558519241921"/>
      </left>
      <right style="thin">
        <color theme="6" tint="0.39997558519241921"/>
      </right>
      <top style="thin">
        <color theme="6" tint="0.39997558519241921"/>
      </top>
      <bottom style="thin">
        <color theme="6" tint="0.39997558519241921"/>
      </bottom>
      <diagonal/>
    </border>
    <border>
      <left/>
      <right/>
      <top/>
      <bottom style="thick">
        <color indexed="55"/>
      </bottom>
      <diagonal/>
    </border>
    <border>
      <left style="thick">
        <color auto="1"/>
      </left>
      <right/>
      <top style="thick">
        <color auto="1"/>
      </top>
      <bottom/>
      <diagonal/>
    </border>
    <border>
      <left/>
      <right/>
      <top style="thick">
        <color auto="1"/>
      </top>
      <bottom/>
      <diagonal/>
    </border>
    <border>
      <left/>
      <right style="thick">
        <color auto="1"/>
      </right>
      <top style="thick">
        <color auto="1"/>
      </top>
      <bottom/>
      <diagonal/>
    </border>
    <border>
      <left style="thick">
        <color auto="1"/>
      </left>
      <right/>
      <top/>
      <bottom style="thick">
        <color auto="1"/>
      </bottom>
      <diagonal/>
    </border>
    <border>
      <left/>
      <right/>
      <top/>
      <bottom style="thick">
        <color auto="1"/>
      </bottom>
      <diagonal/>
    </border>
    <border>
      <left/>
      <right style="thick">
        <color auto="1"/>
      </right>
      <top/>
      <bottom style="thick">
        <color auto="1"/>
      </bottom>
      <diagonal/>
    </border>
    <border>
      <left style="thick">
        <color auto="1"/>
      </left>
      <right/>
      <top/>
      <bottom/>
      <diagonal/>
    </border>
    <border>
      <left/>
      <right style="thick">
        <color auto="1"/>
      </right>
      <top/>
      <bottom/>
      <diagonal/>
    </border>
    <border>
      <left style="medium">
        <color auto="1"/>
      </left>
      <right style="medium">
        <color auto="1"/>
      </right>
      <top style="medium">
        <color auto="1"/>
      </top>
      <bottom style="medium">
        <color auto="1"/>
      </bottom>
      <diagonal/>
    </border>
    <border>
      <left/>
      <right/>
      <top style="medium">
        <color auto="1"/>
      </top>
      <bottom style="thin">
        <color indexed="64"/>
      </bottom>
      <diagonal/>
    </border>
    <border>
      <left/>
      <right style="medium">
        <color auto="1"/>
      </right>
      <top style="medium">
        <color auto="1"/>
      </top>
      <bottom style="thin">
        <color auto="1"/>
      </bottom>
      <diagonal/>
    </border>
    <border>
      <left style="medium">
        <color auto="1"/>
      </left>
      <right/>
      <top/>
      <bottom style="thick">
        <color auto="1"/>
      </bottom>
      <diagonal/>
    </border>
    <border>
      <left/>
      <right style="medium">
        <color auto="1"/>
      </right>
      <top/>
      <bottom style="thick">
        <color auto="1"/>
      </bottom>
      <diagonal/>
    </border>
    <border>
      <left style="medium">
        <color auto="1"/>
      </left>
      <right style="medium">
        <color auto="1"/>
      </right>
      <top/>
      <bottom style="medium">
        <color auto="1"/>
      </bottom>
      <diagonal/>
    </border>
    <border>
      <left style="medium">
        <color auto="1"/>
      </left>
      <right/>
      <top style="medium">
        <color auto="1"/>
      </top>
      <bottom style="medium">
        <color auto="1"/>
      </bottom>
      <diagonal/>
    </border>
    <border>
      <left/>
      <right style="medium">
        <color auto="1"/>
      </right>
      <top style="medium">
        <color auto="1"/>
      </top>
      <bottom style="medium">
        <color auto="1"/>
      </bottom>
      <diagonal/>
    </border>
    <border>
      <left/>
      <right/>
      <top style="medium">
        <color auto="1"/>
      </top>
      <bottom style="medium">
        <color auto="1"/>
      </bottom>
      <diagonal/>
    </border>
    <border>
      <left style="medium">
        <color auto="1"/>
      </left>
      <right style="medium">
        <color auto="1"/>
      </right>
      <top/>
      <bottom/>
      <diagonal/>
    </border>
    <border>
      <left style="medium">
        <color auto="1"/>
      </left>
      <right style="medium">
        <color auto="1"/>
      </right>
      <top style="medium">
        <color auto="1"/>
      </top>
      <bottom/>
      <diagonal/>
    </border>
    <border>
      <left style="medium">
        <color auto="1"/>
      </left>
      <right style="thin">
        <color auto="1"/>
      </right>
      <top style="medium">
        <color auto="1"/>
      </top>
      <bottom style="thin">
        <color auto="1"/>
      </bottom>
      <diagonal/>
    </border>
    <border>
      <left style="medium">
        <color auto="1"/>
      </left>
      <right/>
      <top style="thin">
        <color auto="1"/>
      </top>
      <bottom style="medium">
        <color auto="1"/>
      </bottom>
      <diagonal/>
    </border>
    <border>
      <left/>
      <right style="medium">
        <color auto="1"/>
      </right>
      <top style="thin">
        <color auto="1"/>
      </top>
      <bottom style="medium">
        <color auto="1"/>
      </bottom>
      <diagonal/>
    </border>
    <border>
      <left/>
      <right style="medium">
        <color auto="1"/>
      </right>
      <top style="medium">
        <color auto="1"/>
      </top>
      <bottom style="double">
        <color auto="1"/>
      </bottom>
      <diagonal/>
    </border>
    <border>
      <left style="dashed">
        <color auto="1"/>
      </left>
      <right style="medium">
        <color auto="1"/>
      </right>
      <top style="medium">
        <color auto="1"/>
      </top>
      <bottom/>
      <diagonal/>
    </border>
    <border>
      <left style="dashed">
        <color auto="1"/>
      </left>
      <right style="medium">
        <color auto="1"/>
      </right>
      <top/>
      <bottom/>
      <diagonal/>
    </border>
    <border>
      <left style="dashed">
        <color auto="1"/>
      </left>
      <right style="medium">
        <color auto="1"/>
      </right>
      <top/>
      <bottom style="medium">
        <color auto="1"/>
      </bottom>
      <diagonal/>
    </border>
    <border>
      <left style="thin">
        <color auto="1"/>
      </left>
      <right style="thin">
        <color auto="1"/>
      </right>
      <top style="thin">
        <color auto="1"/>
      </top>
      <bottom style="thin">
        <color auto="1"/>
      </bottom>
      <diagonal/>
    </border>
    <border>
      <left/>
      <right style="medium">
        <color auto="1"/>
      </right>
      <top style="thin">
        <color auto="1"/>
      </top>
      <bottom style="thin">
        <color indexed="64"/>
      </bottom>
      <diagonal/>
    </border>
    <border>
      <left style="medium">
        <color auto="1"/>
      </left>
      <right/>
      <top style="medium">
        <color auto="1"/>
      </top>
      <bottom style="thin">
        <color auto="1"/>
      </bottom>
      <diagonal/>
    </border>
    <border>
      <left style="medium">
        <color auto="1"/>
      </left>
      <right/>
      <top style="thin">
        <color auto="1"/>
      </top>
      <bottom style="thin">
        <color auto="1"/>
      </bottom>
      <diagonal/>
    </border>
    <border>
      <left/>
      <right/>
      <top style="thin">
        <color auto="1"/>
      </top>
      <bottom style="thin">
        <color auto="1"/>
      </bottom>
      <diagonal/>
    </border>
    <border>
      <left style="thin">
        <color auto="1"/>
      </left>
      <right/>
      <top style="thin">
        <color auto="1"/>
      </top>
      <bottom style="thin">
        <color auto="1"/>
      </bottom>
      <diagonal/>
    </border>
    <border>
      <left/>
      <right style="thin">
        <color auto="1"/>
      </right>
      <top style="thin">
        <color auto="1"/>
      </top>
      <bottom style="thin">
        <color auto="1"/>
      </bottom>
      <diagonal/>
    </border>
    <border>
      <left style="thick">
        <color auto="1"/>
      </left>
      <right/>
      <top style="thick">
        <color auto="1"/>
      </top>
      <bottom style="thick">
        <color auto="1"/>
      </bottom>
      <diagonal/>
    </border>
    <border>
      <left/>
      <right style="thick">
        <color auto="1"/>
      </right>
      <top style="thick">
        <color auto="1"/>
      </top>
      <bottom style="thick">
        <color auto="1"/>
      </bottom>
      <diagonal/>
    </border>
    <border>
      <left style="thick">
        <color auto="1"/>
      </left>
      <right style="thick">
        <color auto="1"/>
      </right>
      <top style="thick">
        <color auto="1"/>
      </top>
      <bottom style="thick">
        <color auto="1"/>
      </bottom>
      <diagonal/>
    </border>
    <border>
      <left style="thick">
        <color auto="1"/>
      </left>
      <right/>
      <top style="medium">
        <color auto="1"/>
      </top>
      <bottom/>
      <diagonal/>
    </border>
    <border>
      <left style="thin">
        <color auto="1"/>
      </left>
      <right style="thin">
        <color auto="1"/>
      </right>
      <top style="thin">
        <color auto="1"/>
      </top>
      <bottom style="medium">
        <color indexed="64"/>
      </bottom>
      <diagonal/>
    </border>
    <border>
      <left style="thin">
        <color auto="1"/>
      </left>
      <right style="medium">
        <color auto="1"/>
      </right>
      <top style="medium">
        <color auto="1"/>
      </top>
      <bottom style="thin">
        <color auto="1"/>
      </bottom>
      <diagonal/>
    </border>
    <border>
      <left style="thin">
        <color auto="1"/>
      </left>
      <right style="medium">
        <color auto="1"/>
      </right>
      <top style="thin">
        <color auto="1"/>
      </top>
      <bottom style="thin">
        <color auto="1"/>
      </bottom>
      <diagonal/>
    </border>
    <border>
      <left style="thin">
        <color auto="1"/>
      </left>
      <right/>
      <top/>
      <bottom style="thin">
        <color auto="1"/>
      </bottom>
      <diagonal/>
    </border>
    <border>
      <left style="dashed">
        <color auto="1"/>
      </left>
      <right/>
      <top/>
      <bottom/>
      <diagonal/>
    </border>
    <border>
      <left style="medium">
        <color indexed="64"/>
      </left>
      <right style="medium">
        <color indexed="64"/>
      </right>
      <top style="medium">
        <color indexed="64"/>
      </top>
      <bottom style="thin">
        <color auto="1"/>
      </bottom>
      <diagonal/>
    </border>
    <border>
      <left style="medium">
        <color indexed="64"/>
      </left>
      <right style="medium">
        <color indexed="64"/>
      </right>
      <top style="thin">
        <color auto="1"/>
      </top>
      <bottom style="medium">
        <color indexed="64"/>
      </bottom>
      <diagonal/>
    </border>
  </borders>
  <cellStyleXfs count="15">
    <xf numFmtId="0" fontId="0" fillId="0" borderId="0"/>
    <xf numFmtId="0" fontId="2" fillId="0" borderId="0" applyNumberFormat="0" applyFill="0" applyBorder="0" applyAlignment="0" applyProtection="0"/>
    <xf numFmtId="0" fontId="7" fillId="0" borderId="16" applyNumberFormat="0" applyFill="0" applyAlignment="0" applyProtection="0"/>
    <xf numFmtId="0" fontId="8" fillId="0" borderId="17" applyNumberFormat="0" applyFill="0" applyAlignment="0" applyProtection="0"/>
    <xf numFmtId="0" fontId="8" fillId="0" borderId="0" applyNumberFormat="0" applyFill="0" applyBorder="0" applyAlignment="0" applyProtection="0"/>
    <xf numFmtId="0" fontId="9" fillId="0" borderId="0"/>
    <xf numFmtId="14" fontId="10" fillId="0" borderId="0" applyFill="0" applyBorder="0">
      <alignment horizontal="center" vertical="center"/>
    </xf>
    <xf numFmtId="0" fontId="11" fillId="6" borderId="0" applyNumberFormat="0" applyBorder="0" applyAlignment="0" applyProtection="0"/>
    <xf numFmtId="0" fontId="12" fillId="7" borderId="0" applyNumberFormat="0" applyBorder="0" applyAlignment="0" applyProtection="0"/>
    <xf numFmtId="14" fontId="11" fillId="6" borderId="0" applyBorder="0" applyAlignment="0" applyProtection="0"/>
    <xf numFmtId="0" fontId="12" fillId="7" borderId="0" applyBorder="0" applyAlignment="0" applyProtection="0"/>
    <xf numFmtId="0" fontId="9" fillId="8" borderId="0" applyBorder="0" applyAlignment="0" applyProtection="0"/>
    <xf numFmtId="0" fontId="17" fillId="10" borderId="0" applyNumberFormat="0" applyBorder="0" applyAlignment="0" applyProtection="0"/>
    <xf numFmtId="43" fontId="3" fillId="0" borderId="0" applyFont="0" applyFill="0" applyBorder="0" applyAlignment="0" applyProtection="0"/>
    <xf numFmtId="0" fontId="43" fillId="0" borderId="0"/>
  </cellStyleXfs>
  <cellXfs count="914">
    <xf numFmtId="0" fontId="0" fillId="0" borderId="0" xfId="0"/>
    <xf numFmtId="164" fontId="0" fillId="0" borderId="0" xfId="0" applyNumberFormat="1"/>
    <xf numFmtId="0" fontId="0" fillId="0" borderId="0" xfId="0" applyAlignment="1">
      <alignment horizontal="right"/>
    </xf>
    <xf numFmtId="0" fontId="1" fillId="0" borderId="0" xfId="0" applyFont="1" applyAlignment="1">
      <alignment horizontal="center"/>
    </xf>
    <xf numFmtId="164" fontId="1" fillId="0" borderId="0" xfId="0" applyNumberFormat="1" applyFont="1"/>
    <xf numFmtId="166" fontId="0" fillId="0" borderId="0" xfId="0" applyNumberFormat="1"/>
    <xf numFmtId="164" fontId="1" fillId="0" borderId="0" xfId="0" applyNumberFormat="1" applyFont="1" applyAlignment="1">
      <alignment horizontal="center"/>
    </xf>
    <xf numFmtId="164" fontId="1" fillId="0" borderId="0" xfId="0" applyNumberFormat="1" applyFont="1" applyAlignment="1">
      <alignment horizontal="center" wrapText="1"/>
    </xf>
    <xf numFmtId="166" fontId="1" fillId="0" borderId="0" xfId="0" applyNumberFormat="1" applyFont="1" applyAlignment="1">
      <alignment horizontal="center"/>
    </xf>
    <xf numFmtId="164" fontId="1" fillId="0" borderId="0" xfId="0" applyNumberFormat="1" applyFont="1" applyAlignment="1">
      <alignment horizontal="right"/>
    </xf>
    <xf numFmtId="166" fontId="1" fillId="0" borderId="0" xfId="0" applyNumberFormat="1" applyFont="1"/>
    <xf numFmtId="1" fontId="0" fillId="0" borderId="0" xfId="0" applyNumberFormat="1"/>
    <xf numFmtId="14" fontId="0" fillId="0" borderId="0" xfId="0" applyNumberFormat="1"/>
    <xf numFmtId="4" fontId="1" fillId="0" borderId="0" xfId="0" applyNumberFormat="1" applyFont="1" applyAlignment="1">
      <alignment horizontal="center"/>
    </xf>
    <xf numFmtId="4" fontId="0" fillId="0" borderId="0" xfId="0" applyNumberFormat="1"/>
    <xf numFmtId="0" fontId="1" fillId="0" borderId="0" xfId="0" applyFont="1"/>
    <xf numFmtId="2" fontId="1" fillId="0" borderId="0" xfId="0" applyNumberFormat="1" applyFont="1" applyAlignment="1">
      <alignment horizontal="center"/>
    </xf>
    <xf numFmtId="2" fontId="1" fillId="0" borderId="0" xfId="0" applyNumberFormat="1" applyFont="1" applyAlignment="1">
      <alignment horizontal="right"/>
    </xf>
    <xf numFmtId="2" fontId="0" fillId="0" borderId="0" xfId="0" applyNumberFormat="1" applyAlignment="1">
      <alignment horizontal="right"/>
    </xf>
    <xf numFmtId="0" fontId="2" fillId="0" borderId="0" xfId="1"/>
    <xf numFmtId="3" fontId="0" fillId="0" borderId="10" xfId="0" applyNumberFormat="1" applyBorder="1"/>
    <xf numFmtId="4" fontId="0" fillId="0" borderId="1" xfId="0" applyNumberFormat="1" applyBorder="1"/>
    <xf numFmtId="0" fontId="0" fillId="0" borderId="0" xfId="0" applyAlignment="1">
      <alignment horizontal="center"/>
    </xf>
    <xf numFmtId="0" fontId="0" fillId="0" borderId="1" xfId="0" applyBorder="1"/>
    <xf numFmtId="0" fontId="1" fillId="0" borderId="1" xfId="0" applyFont="1" applyBorder="1"/>
    <xf numFmtId="0" fontId="0" fillId="0" borderId="0" xfId="0" applyAlignment="1">
      <alignment horizontal="left"/>
    </xf>
    <xf numFmtId="2" fontId="0" fillId="0" borderId="0" xfId="0" applyNumberFormat="1"/>
    <xf numFmtId="0" fontId="2" fillId="0" borderId="0" xfId="1" applyAlignment="1">
      <alignment horizontal="left"/>
    </xf>
    <xf numFmtId="0" fontId="0" fillId="2" borderId="0" xfId="0" applyFill="1" applyAlignment="1">
      <alignment horizontal="left"/>
    </xf>
    <xf numFmtId="164" fontId="0" fillId="0" borderId="1" xfId="0" applyNumberFormat="1" applyBorder="1"/>
    <xf numFmtId="0" fontId="1" fillId="0" borderId="0" xfId="0" applyFont="1" applyAlignment="1">
      <alignment horizontal="right"/>
    </xf>
    <xf numFmtId="0" fontId="1" fillId="0" borderId="1" xfId="0" applyFont="1" applyBorder="1" applyAlignment="1">
      <alignment horizontal="center"/>
    </xf>
    <xf numFmtId="0" fontId="1" fillId="0" borderId="0" xfId="0" applyFont="1" applyAlignment="1">
      <alignment horizontal="left"/>
    </xf>
    <xf numFmtId="0" fontId="6" fillId="0" borderId="0" xfId="0" applyFont="1"/>
    <xf numFmtId="0" fontId="4" fillId="0" borderId="0" xfId="0" applyFont="1" applyAlignment="1">
      <alignment horizontal="center" vertical="center"/>
    </xf>
    <xf numFmtId="0" fontId="0" fillId="0" borderId="0" xfId="0" applyAlignment="1">
      <alignment horizontal="right" vertical="center"/>
    </xf>
    <xf numFmtId="0" fontId="0" fillId="0" borderId="19" xfId="0" applyBorder="1" applyAlignment="1">
      <alignment horizontal="center" vertical="center"/>
    </xf>
    <xf numFmtId="10" fontId="1" fillId="0" borderId="0" xfId="0" applyNumberFormat="1" applyFont="1"/>
    <xf numFmtId="0" fontId="15" fillId="0" borderId="0" xfId="0" applyFont="1"/>
    <xf numFmtId="0" fontId="15" fillId="0" borderId="0" xfId="0" applyFont="1" applyAlignment="1">
      <alignment horizontal="right"/>
    </xf>
    <xf numFmtId="0" fontId="16" fillId="0" borderId="0" xfId="0" applyFont="1" applyAlignment="1">
      <alignment horizontal="right"/>
    </xf>
    <xf numFmtId="0" fontId="0" fillId="0" borderId="0" xfId="0" applyAlignment="1">
      <alignment vertical="center"/>
    </xf>
    <xf numFmtId="2" fontId="19" fillId="0" borderId="0" xfId="12" applyNumberFormat="1" applyFont="1" applyFill="1" applyAlignment="1">
      <alignment horizontal="center" vertical="center"/>
    </xf>
    <xf numFmtId="43" fontId="9" fillId="11" borderId="0" xfId="13" applyFont="1" applyFill="1" applyAlignment="1">
      <alignment horizontal="right" vertical="center"/>
    </xf>
    <xf numFmtId="0" fontId="21" fillId="0" borderId="0" xfId="0" applyFont="1" applyAlignment="1">
      <alignment horizontal="right"/>
    </xf>
    <xf numFmtId="0" fontId="22" fillId="0" borderId="0" xfId="0" applyFont="1" applyAlignment="1">
      <alignment horizontal="right"/>
    </xf>
    <xf numFmtId="0" fontId="5" fillId="0" borderId="0" xfId="0" applyFont="1" applyAlignment="1">
      <alignment horizontal="right"/>
    </xf>
    <xf numFmtId="49" fontId="23" fillId="0" borderId="0" xfId="0" applyNumberFormat="1" applyFont="1" applyAlignment="1">
      <alignment horizontal="right"/>
    </xf>
    <xf numFmtId="0" fontId="24" fillId="0" borderId="20" xfId="0" applyFont="1" applyBorder="1" applyAlignment="1">
      <alignment horizontal="center" vertical="top"/>
    </xf>
    <xf numFmtId="0" fontId="0" fillId="0" borderId="0" xfId="0" applyAlignment="1">
      <alignment horizontal="center" vertical="top"/>
    </xf>
    <xf numFmtId="9" fontId="0" fillId="0" borderId="0" xfId="0" applyNumberFormat="1" applyAlignment="1">
      <alignment horizontal="center" vertical="top"/>
    </xf>
    <xf numFmtId="49" fontId="24" fillId="3" borderId="0" xfId="0" applyNumberFormat="1" applyFont="1" applyFill="1" applyAlignment="1">
      <alignment vertical="top"/>
    </xf>
    <xf numFmtId="49" fontId="24" fillId="11" borderId="0" xfId="0" applyNumberFormat="1" applyFont="1" applyFill="1" applyAlignment="1">
      <alignment vertical="top"/>
    </xf>
    <xf numFmtId="1" fontId="24" fillId="11" borderId="0" xfId="0" applyNumberFormat="1" applyFont="1" applyFill="1" applyAlignment="1">
      <alignment vertical="top"/>
    </xf>
    <xf numFmtId="4" fontId="24" fillId="11" borderId="0" xfId="0" applyNumberFormat="1" applyFont="1" applyFill="1" applyAlignment="1">
      <alignment vertical="top"/>
    </xf>
    <xf numFmtId="0" fontId="0" fillId="0" borderId="0" xfId="0" applyAlignment="1">
      <alignment vertical="top"/>
    </xf>
    <xf numFmtId="1" fontId="0" fillId="0" borderId="0" xfId="0" applyNumberFormat="1" applyAlignment="1">
      <alignment vertical="top"/>
    </xf>
    <xf numFmtId="4" fontId="0" fillId="0" borderId="0" xfId="0" applyNumberFormat="1" applyAlignment="1">
      <alignment vertical="top"/>
    </xf>
    <xf numFmtId="0" fontId="25" fillId="0" borderId="16" xfId="2" applyFont="1"/>
    <xf numFmtId="0" fontId="1" fillId="0" borderId="0" xfId="0" applyFont="1" applyAlignment="1">
      <alignment horizontal="right" vertical="center" wrapText="1"/>
    </xf>
    <xf numFmtId="0" fontId="1" fillId="0" borderId="0" xfId="0" applyFont="1" applyAlignment="1">
      <alignment horizontal="right" wrapText="1"/>
    </xf>
    <xf numFmtId="168" fontId="8" fillId="0" borderId="18" xfId="4" applyNumberFormat="1" applyBorder="1" applyAlignment="1">
      <alignment horizontal="center" vertical="top"/>
    </xf>
    <xf numFmtId="0" fontId="1" fillId="0" borderId="0" xfId="0" applyFont="1" applyAlignment="1">
      <alignment horizontal="center" wrapText="1"/>
    </xf>
    <xf numFmtId="1" fontId="24" fillId="14" borderId="0" xfId="0" applyNumberFormat="1" applyFont="1" applyFill="1" applyAlignment="1">
      <alignment vertical="top"/>
    </xf>
    <xf numFmtId="4" fontId="24" fillId="3" borderId="0" xfId="0" applyNumberFormat="1" applyFont="1" applyFill="1" applyAlignment="1">
      <alignment vertical="top"/>
    </xf>
    <xf numFmtId="1" fontId="24" fillId="0" borderId="0" xfId="0" applyNumberFormat="1" applyFont="1" applyAlignment="1">
      <alignment horizontal="center" vertical="top"/>
    </xf>
    <xf numFmtId="4" fontId="24" fillId="0" borderId="0" xfId="0" applyNumberFormat="1" applyFont="1" applyAlignment="1">
      <alignment horizontal="center" vertical="top"/>
    </xf>
    <xf numFmtId="0" fontId="32" fillId="0" borderId="0" xfId="3" applyFont="1" applyBorder="1" applyAlignment="1">
      <alignment horizontal="right" vertical="center" indent="1"/>
    </xf>
    <xf numFmtId="1" fontId="13" fillId="3" borderId="0" xfId="0" applyNumberFormat="1" applyFont="1" applyFill="1" applyAlignment="1" applyProtection="1">
      <alignment horizontal="center" wrapText="1"/>
      <protection locked="0"/>
    </xf>
    <xf numFmtId="1" fontId="0" fillId="2" borderId="0" xfId="0" applyNumberFormat="1" applyFill="1" applyProtection="1">
      <protection locked="0"/>
    </xf>
    <xf numFmtId="0" fontId="0" fillId="2" borderId="0" xfId="0" applyFill="1" applyProtection="1">
      <protection locked="0"/>
    </xf>
    <xf numFmtId="1" fontId="0" fillId="0" borderId="0" xfId="0" applyNumberFormat="1" applyProtection="1">
      <protection locked="0"/>
    </xf>
    <xf numFmtId="169" fontId="0" fillId="0" borderId="0" xfId="0" applyNumberFormat="1" applyProtection="1">
      <protection locked="0"/>
    </xf>
    <xf numFmtId="0" fontId="0" fillId="0" borderId="0" xfId="0" applyProtection="1">
      <protection locked="0"/>
    </xf>
    <xf numFmtId="0" fontId="9" fillId="0" borderId="0" xfId="5"/>
    <xf numFmtId="1" fontId="9" fillId="0" borderId="0" xfId="5" applyNumberFormat="1"/>
    <xf numFmtId="0" fontId="18" fillId="0" borderId="0" xfId="5" applyFont="1" applyAlignment="1">
      <alignment horizontal="center"/>
    </xf>
    <xf numFmtId="0" fontId="18" fillId="0" borderId="0" xfId="3" applyFont="1" applyBorder="1" applyAlignment="1" applyProtection="1">
      <alignment horizontal="right" vertical="center" wrapText="1" indent="1"/>
    </xf>
    <xf numFmtId="0" fontId="9" fillId="5" borderId="0" xfId="0" applyFont="1" applyFill="1" applyAlignment="1">
      <alignment horizontal="center" wrapText="1"/>
    </xf>
    <xf numFmtId="1" fontId="9" fillId="5" borderId="0" xfId="0" applyNumberFormat="1" applyFont="1" applyFill="1" applyAlignment="1">
      <alignment horizontal="center" wrapText="1"/>
    </xf>
    <xf numFmtId="0" fontId="18" fillId="5" borderId="0" xfId="0" applyFont="1" applyFill="1" applyAlignment="1">
      <alignment horizontal="center" wrapText="1"/>
    </xf>
    <xf numFmtId="0" fontId="27" fillId="5" borderId="0" xfId="0" applyFont="1" applyFill="1" applyAlignment="1">
      <alignment horizontal="center" wrapText="1"/>
    </xf>
    <xf numFmtId="2" fontId="9" fillId="5" borderId="0" xfId="0" applyNumberFormat="1" applyFont="1" applyFill="1" applyAlignment="1">
      <alignment horizontal="center" wrapText="1"/>
    </xf>
    <xf numFmtId="169" fontId="9" fillId="5" borderId="0" xfId="0" applyNumberFormat="1" applyFont="1" applyFill="1" applyAlignment="1">
      <alignment horizontal="center" wrapText="1"/>
    </xf>
    <xf numFmtId="2" fontId="4" fillId="3" borderId="0" xfId="0" applyNumberFormat="1" applyFont="1" applyFill="1" applyAlignment="1">
      <alignment horizontal="left" vertical="center"/>
    </xf>
    <xf numFmtId="1" fontId="4" fillId="3" borderId="0" xfId="0" applyNumberFormat="1" applyFont="1" applyFill="1" applyAlignment="1">
      <alignment horizontal="right" vertical="center"/>
    </xf>
    <xf numFmtId="2" fontId="13" fillId="3" borderId="0" xfId="0" applyNumberFormat="1" applyFont="1" applyFill="1" applyAlignment="1">
      <alignment horizontal="center" vertical="center"/>
    </xf>
    <xf numFmtId="2" fontId="4" fillId="3" borderId="0" xfId="0" applyNumberFormat="1" applyFont="1" applyFill="1" applyAlignment="1">
      <alignment horizontal="right" vertical="center"/>
    </xf>
    <xf numFmtId="2" fontId="4" fillId="3" borderId="0" xfId="0" applyNumberFormat="1" applyFont="1" applyFill="1" applyAlignment="1">
      <alignment horizontal="center" vertical="center"/>
    </xf>
    <xf numFmtId="169" fontId="4" fillId="3" borderId="0" xfId="0" applyNumberFormat="1" applyFont="1" applyFill="1" applyAlignment="1">
      <alignment horizontal="right" vertical="center"/>
    </xf>
    <xf numFmtId="2" fontId="19" fillId="0" borderId="0" xfId="12" applyNumberFormat="1" applyFont="1" applyFill="1" applyAlignment="1" applyProtection="1">
      <alignment horizontal="left" vertical="center"/>
    </xf>
    <xf numFmtId="2" fontId="19" fillId="0" borderId="0" xfId="12" applyNumberFormat="1" applyFont="1" applyFill="1" applyAlignment="1" applyProtection="1">
      <alignment horizontal="right" vertical="center"/>
    </xf>
    <xf numFmtId="2" fontId="19" fillId="0" borderId="0" xfId="12" applyNumberFormat="1" applyFont="1" applyFill="1" applyAlignment="1" applyProtection="1">
      <alignment horizontal="center" vertical="center"/>
    </xf>
    <xf numFmtId="2" fontId="20" fillId="0" borderId="0" xfId="0" applyNumberFormat="1" applyFont="1" applyAlignment="1">
      <alignment horizontal="center" vertical="center"/>
    </xf>
    <xf numFmtId="1" fontId="19" fillId="0" borderId="0" xfId="12" applyNumberFormat="1" applyFont="1" applyFill="1" applyAlignment="1" applyProtection="1">
      <alignment horizontal="center" vertical="center"/>
    </xf>
    <xf numFmtId="169" fontId="19" fillId="0" borderId="0" xfId="12" applyNumberFormat="1" applyFont="1" applyFill="1" applyAlignment="1" applyProtection="1">
      <alignment horizontal="center" vertical="center"/>
    </xf>
    <xf numFmtId="2" fontId="9" fillId="11" borderId="0" xfId="12" applyNumberFormat="1" applyFont="1" applyFill="1" applyBorder="1" applyAlignment="1" applyProtection="1">
      <alignment horizontal="left" vertical="center"/>
    </xf>
    <xf numFmtId="1" fontId="9" fillId="11" borderId="0" xfId="12" applyNumberFormat="1" applyFont="1" applyFill="1" applyAlignment="1" applyProtection="1">
      <alignment horizontal="right" vertical="center"/>
    </xf>
    <xf numFmtId="2" fontId="18" fillId="11" borderId="0" xfId="12" applyNumberFormat="1" applyFont="1" applyFill="1" applyBorder="1" applyAlignment="1" applyProtection="1">
      <alignment horizontal="center" vertical="center"/>
    </xf>
    <xf numFmtId="2" fontId="9" fillId="11" borderId="0" xfId="12" applyNumberFormat="1" applyFont="1" applyFill="1" applyAlignment="1" applyProtection="1">
      <alignment horizontal="left" vertical="center"/>
    </xf>
    <xf numFmtId="2" fontId="18" fillId="11" borderId="0" xfId="12" applyNumberFormat="1" applyFont="1" applyFill="1" applyAlignment="1" applyProtection="1">
      <alignment horizontal="left" vertical="center"/>
    </xf>
    <xf numFmtId="1" fontId="18" fillId="11" borderId="0" xfId="12" applyNumberFormat="1" applyFont="1" applyFill="1" applyAlignment="1" applyProtection="1">
      <alignment horizontal="right" vertical="center"/>
    </xf>
    <xf numFmtId="2" fontId="9" fillId="11" borderId="0" xfId="13" applyNumberFormat="1" applyFont="1" applyFill="1" applyAlignment="1" applyProtection="1">
      <alignment horizontal="right" vertical="center"/>
    </xf>
    <xf numFmtId="43" fontId="9" fillId="11" borderId="0" xfId="13" applyFont="1" applyFill="1" applyAlignment="1" applyProtection="1">
      <alignment horizontal="right" vertical="center"/>
    </xf>
    <xf numFmtId="169" fontId="9" fillId="11" borderId="0" xfId="13" applyNumberFormat="1" applyFont="1" applyFill="1" applyAlignment="1" applyProtection="1">
      <alignment horizontal="right" vertical="center"/>
    </xf>
    <xf numFmtId="2" fontId="13" fillId="0" borderId="0" xfId="0" applyNumberFormat="1" applyFont="1" applyAlignment="1">
      <alignment horizontal="center" vertical="center"/>
    </xf>
    <xf numFmtId="1" fontId="13" fillId="0" borderId="0" xfId="0" applyNumberFormat="1" applyFont="1" applyAlignment="1">
      <alignment horizontal="center" vertical="center"/>
    </xf>
    <xf numFmtId="169" fontId="13" fillId="0" borderId="0" xfId="0" applyNumberFormat="1" applyFont="1" applyAlignment="1">
      <alignment horizontal="center" vertical="center"/>
    </xf>
    <xf numFmtId="167" fontId="0" fillId="0" borderId="0" xfId="0" applyNumberFormat="1" applyProtection="1">
      <protection locked="0"/>
    </xf>
    <xf numFmtId="0" fontId="13" fillId="0" borderId="0" xfId="0" applyFont="1" applyAlignment="1" applyProtection="1">
      <alignment horizontal="center" wrapText="1"/>
      <protection locked="0"/>
    </xf>
    <xf numFmtId="1" fontId="13" fillId="0" borderId="0" xfId="0" applyNumberFormat="1" applyFont="1" applyAlignment="1" applyProtection="1">
      <alignment horizontal="center" wrapText="1"/>
      <protection locked="0"/>
    </xf>
    <xf numFmtId="2" fontId="13" fillId="0" borderId="0" xfId="0" applyNumberFormat="1" applyFont="1" applyAlignment="1" applyProtection="1">
      <alignment horizontal="center" wrapText="1"/>
      <protection locked="0"/>
    </xf>
    <xf numFmtId="2" fontId="0" fillId="0" borderId="0" xfId="0" applyNumberFormat="1" applyProtection="1">
      <protection locked="0"/>
    </xf>
    <xf numFmtId="164" fontId="15" fillId="0" borderId="0" xfId="0" applyNumberFormat="1" applyFont="1"/>
    <xf numFmtId="164" fontId="16" fillId="0" borderId="2" xfId="0" applyNumberFormat="1" applyFont="1" applyBorder="1" applyAlignment="1">
      <alignment horizontal="left"/>
    </xf>
    <xf numFmtId="0" fontId="16" fillId="0" borderId="6" xfId="0" applyFont="1" applyBorder="1" applyAlignment="1">
      <alignment horizontal="center"/>
    </xf>
    <xf numFmtId="0" fontId="16" fillId="0" borderId="0" xfId="0" applyFont="1" applyAlignment="1">
      <alignment horizontal="center"/>
    </xf>
    <xf numFmtId="164" fontId="15" fillId="0" borderId="8" xfId="0" applyNumberFormat="1" applyFont="1" applyBorder="1"/>
    <xf numFmtId="164" fontId="16" fillId="0" borderId="0" xfId="0" applyNumberFormat="1" applyFont="1" applyAlignment="1">
      <alignment horizontal="right"/>
    </xf>
    <xf numFmtId="0" fontId="16" fillId="0" borderId="15" xfId="0" applyFont="1" applyBorder="1" applyAlignment="1">
      <alignment horizontal="right"/>
    </xf>
    <xf numFmtId="0" fontId="16" fillId="0" borderId="13" xfId="0" applyFont="1" applyBorder="1" applyAlignment="1">
      <alignment horizontal="center"/>
    </xf>
    <xf numFmtId="164" fontId="15" fillId="0" borderId="13" xfId="0" applyNumberFormat="1" applyFont="1" applyBorder="1"/>
    <xf numFmtId="0" fontId="15" fillId="0" borderId="2" xfId="0" applyFont="1" applyBorder="1" applyAlignment="1">
      <alignment horizontal="right"/>
    </xf>
    <xf numFmtId="164" fontId="15" fillId="0" borderId="3" xfId="0" applyNumberFormat="1" applyFont="1" applyBorder="1"/>
    <xf numFmtId="0" fontId="15" fillId="0" borderId="5" xfId="0" applyFont="1" applyBorder="1"/>
    <xf numFmtId="0" fontId="15" fillId="0" borderId="4" xfId="0" applyFont="1" applyBorder="1" applyAlignment="1">
      <alignment horizontal="right"/>
    </xf>
    <xf numFmtId="164" fontId="15" fillId="0" borderId="5" xfId="0" applyNumberFormat="1" applyFont="1" applyBorder="1"/>
    <xf numFmtId="6" fontId="35" fillId="4" borderId="9" xfId="0" applyNumberFormat="1" applyFont="1" applyFill="1" applyBorder="1"/>
    <xf numFmtId="164" fontId="15" fillId="0" borderId="7" xfId="0" applyNumberFormat="1" applyFont="1" applyBorder="1"/>
    <xf numFmtId="3" fontId="16" fillId="3" borderId="0" xfId="0" applyNumberFormat="1" applyFont="1" applyFill="1"/>
    <xf numFmtId="164" fontId="16" fillId="3" borderId="30" xfId="0" applyNumberFormat="1" applyFont="1" applyFill="1" applyBorder="1"/>
    <xf numFmtId="164" fontId="16" fillId="3" borderId="31" xfId="0" applyNumberFormat="1" applyFont="1" applyFill="1" applyBorder="1"/>
    <xf numFmtId="0" fontId="15" fillId="0" borderId="13" xfId="0" applyFont="1" applyBorder="1" applyAlignment="1">
      <alignment horizontal="right"/>
    </xf>
    <xf numFmtId="9" fontId="15" fillId="2" borderId="29" xfId="0" applyNumberFormat="1" applyFont="1" applyFill="1" applyBorder="1" applyAlignment="1">
      <alignment horizontal="left"/>
    </xf>
    <xf numFmtId="0" fontId="16" fillId="0" borderId="13" xfId="0" applyFont="1" applyBorder="1" applyAlignment="1">
      <alignment horizontal="center" vertical="center"/>
    </xf>
    <xf numFmtId="164" fontId="16" fillId="3" borderId="14" xfId="0" applyNumberFormat="1" applyFont="1" applyFill="1" applyBorder="1"/>
    <xf numFmtId="49" fontId="0" fillId="0" borderId="0" xfId="0" applyNumberFormat="1"/>
    <xf numFmtId="0" fontId="15" fillId="9" borderId="0" xfId="0" applyFont="1" applyFill="1" applyAlignment="1">
      <alignment horizontal="right"/>
    </xf>
    <xf numFmtId="0" fontId="35" fillId="0" borderId="0" xfId="0" applyFont="1" applyAlignment="1">
      <alignment horizontal="right"/>
    </xf>
    <xf numFmtId="9" fontId="34" fillId="2" borderId="40" xfId="0" applyNumberFormat="1" applyFont="1" applyFill="1" applyBorder="1" applyAlignment="1">
      <alignment horizontal="center"/>
    </xf>
    <xf numFmtId="165" fontId="35" fillId="4" borderId="0" xfId="0" applyNumberFormat="1" applyFont="1" applyFill="1" applyAlignment="1">
      <alignment horizontal="right"/>
    </xf>
    <xf numFmtId="3" fontId="15" fillId="0" borderId="0" xfId="0" applyNumberFormat="1" applyFont="1"/>
    <xf numFmtId="164" fontId="16" fillId="3" borderId="0" xfId="0" applyNumberFormat="1" applyFont="1" applyFill="1"/>
    <xf numFmtId="0" fontId="15" fillId="3" borderId="0" xfId="0" applyFont="1" applyFill="1" applyAlignment="1">
      <alignment horizontal="right"/>
    </xf>
    <xf numFmtId="164" fontId="15" fillId="3" borderId="0" xfId="0" applyNumberFormat="1" applyFont="1" applyFill="1"/>
    <xf numFmtId="164" fontId="16" fillId="3" borderId="4" xfId="0" applyNumberFormat="1" applyFont="1" applyFill="1" applyBorder="1"/>
    <xf numFmtId="0" fontId="15" fillId="0" borderId="43" xfId="0" applyFont="1" applyBorder="1"/>
    <xf numFmtId="164" fontId="15" fillId="3" borderId="5" xfId="0" applyNumberFormat="1" applyFont="1" applyFill="1" applyBorder="1"/>
    <xf numFmtId="3" fontId="15" fillId="18" borderId="29" xfId="0" applyNumberFormat="1" applyFont="1" applyFill="1" applyBorder="1"/>
    <xf numFmtId="0" fontId="0" fillId="2" borderId="0" xfId="0" applyFill="1" applyAlignment="1">
      <alignment horizontal="right"/>
    </xf>
    <xf numFmtId="0" fontId="1" fillId="2" borderId="47" xfId="0" applyFont="1" applyFill="1" applyBorder="1" applyAlignment="1">
      <alignment horizontal="right"/>
    </xf>
    <xf numFmtId="164" fontId="1" fillId="18" borderId="1" xfId="0" applyNumberFormat="1" applyFont="1" applyFill="1" applyBorder="1"/>
    <xf numFmtId="0" fontId="15" fillId="2" borderId="38" xfId="0" applyFont="1" applyFill="1" applyBorder="1" applyAlignment="1">
      <alignment horizontal="center" vertical="center"/>
    </xf>
    <xf numFmtId="0" fontId="1" fillId="0" borderId="0" xfId="0" quotePrefix="1" applyFont="1" applyAlignment="1">
      <alignment horizontal="center" wrapText="1"/>
    </xf>
    <xf numFmtId="3" fontId="1" fillId="18" borderId="5" xfId="0" applyNumberFormat="1" applyFont="1" applyFill="1" applyBorder="1"/>
    <xf numFmtId="0" fontId="1" fillId="18" borderId="6" xfId="0" applyFont="1" applyFill="1" applyBorder="1" applyAlignment="1">
      <alignment horizontal="right"/>
    </xf>
    <xf numFmtId="49" fontId="1" fillId="18" borderId="36" xfId="0" quotePrefix="1" applyNumberFormat="1" applyFont="1" applyFill="1" applyBorder="1" applyAlignment="1">
      <alignment horizontal="center" wrapText="1"/>
    </xf>
    <xf numFmtId="0" fontId="0" fillId="0" borderId="4" xfId="0" applyBorder="1"/>
    <xf numFmtId="0" fontId="1" fillId="0" borderId="39" xfId="0" applyFont="1" applyBorder="1" applyAlignment="1">
      <alignment horizontal="right" wrapText="1"/>
    </xf>
    <xf numFmtId="0" fontId="0" fillId="0" borderId="38" xfId="0" applyBorder="1"/>
    <xf numFmtId="0" fontId="9" fillId="0" borderId="2" xfId="5" applyBorder="1"/>
    <xf numFmtId="1" fontId="9" fillId="0" borderId="9" xfId="5" applyNumberFormat="1" applyBorder="1"/>
    <xf numFmtId="0" fontId="18" fillId="0" borderId="9" xfId="5" applyFont="1" applyBorder="1" applyAlignment="1">
      <alignment horizontal="center"/>
    </xf>
    <xf numFmtId="0" fontId="9" fillId="0" borderId="9" xfId="5" applyBorder="1"/>
    <xf numFmtId="0" fontId="0" fillId="0" borderId="9" xfId="0" applyBorder="1" applyAlignment="1">
      <alignment horizontal="left"/>
    </xf>
    <xf numFmtId="0" fontId="0" fillId="0" borderId="9" xfId="0" applyBorder="1" applyAlignment="1">
      <alignment horizontal="right" vertical="center"/>
    </xf>
    <xf numFmtId="0" fontId="0" fillId="3" borderId="0" xfId="0" applyFill="1" applyAlignment="1">
      <alignment horizontal="right"/>
    </xf>
    <xf numFmtId="0" fontId="0" fillId="11" borderId="0" xfId="0" applyFill="1" applyAlignment="1">
      <alignment horizontal="right"/>
    </xf>
    <xf numFmtId="0" fontId="0" fillId="12" borderId="0" xfId="0" applyFill="1" applyAlignment="1">
      <alignment horizontal="right"/>
    </xf>
    <xf numFmtId="0" fontId="9" fillId="0" borderId="6" xfId="5" applyBorder="1" applyAlignment="1">
      <alignment wrapText="1"/>
    </xf>
    <xf numFmtId="1" fontId="9" fillId="0" borderId="1" xfId="5" applyNumberFormat="1" applyBorder="1" applyAlignment="1">
      <alignment wrapText="1"/>
    </xf>
    <xf numFmtId="0" fontId="18" fillId="0" borderId="1" xfId="5" applyFont="1" applyBorder="1" applyAlignment="1">
      <alignment horizontal="center" wrapText="1"/>
    </xf>
    <xf numFmtId="0" fontId="9" fillId="0" borderId="1" xfId="5" applyBorder="1" applyAlignment="1">
      <alignment wrapText="1"/>
    </xf>
    <xf numFmtId="0" fontId="18" fillId="0" borderId="1" xfId="3" applyFont="1" applyBorder="1" applyAlignment="1" applyProtection="1">
      <alignment horizontal="right" vertical="center" wrapText="1" indent="1"/>
    </xf>
    <xf numFmtId="0" fontId="1" fillId="18" borderId="35" xfId="3" applyFont="1" applyFill="1" applyBorder="1" applyAlignment="1" applyProtection="1">
      <alignment horizontal="right" vertical="center" indent="1"/>
    </xf>
    <xf numFmtId="0" fontId="0" fillId="0" borderId="0" xfId="3" applyFont="1" applyBorder="1" applyAlignment="1" applyProtection="1">
      <alignment horizontal="right" vertical="center" indent="1"/>
    </xf>
    <xf numFmtId="9" fontId="15" fillId="2" borderId="38" xfId="0" applyNumberFormat="1" applyFont="1" applyFill="1" applyBorder="1"/>
    <xf numFmtId="0" fontId="15" fillId="9" borderId="29" xfId="0" applyFont="1" applyFill="1" applyBorder="1"/>
    <xf numFmtId="16" fontId="0" fillId="0" borderId="0" xfId="0" applyNumberFormat="1"/>
    <xf numFmtId="164" fontId="16" fillId="3" borderId="48" xfId="0" applyNumberFormat="1" applyFont="1" applyFill="1" applyBorder="1"/>
    <xf numFmtId="49" fontId="1" fillId="3" borderId="36" xfId="0" quotePrefix="1" applyNumberFormat="1" applyFont="1" applyFill="1" applyBorder="1" applyAlignment="1">
      <alignment horizontal="center" wrapText="1"/>
    </xf>
    <xf numFmtId="0" fontId="1" fillId="18" borderId="49" xfId="0" applyFont="1" applyFill="1" applyBorder="1" applyAlignment="1">
      <alignment horizontal="right"/>
    </xf>
    <xf numFmtId="164" fontId="1" fillId="18" borderId="30" xfId="0" applyNumberFormat="1" applyFont="1" applyFill="1" applyBorder="1"/>
    <xf numFmtId="0" fontId="1" fillId="18" borderId="50" xfId="0" applyFont="1" applyFill="1" applyBorder="1" applyAlignment="1">
      <alignment horizontal="right"/>
    </xf>
    <xf numFmtId="164" fontId="1" fillId="18" borderId="51" xfId="0" applyNumberFormat="1" applyFont="1" applyFill="1" applyBorder="1"/>
    <xf numFmtId="49" fontId="18" fillId="11" borderId="36" xfId="0" quotePrefix="1" applyNumberFormat="1" applyFont="1" applyFill="1" applyBorder="1" applyAlignment="1">
      <alignment horizontal="center" wrapText="1"/>
    </xf>
    <xf numFmtId="0" fontId="4" fillId="2" borderId="52" xfId="0" applyFont="1" applyFill="1" applyBorder="1" applyAlignment="1">
      <alignment horizontal="right"/>
    </xf>
    <xf numFmtId="0" fontId="4" fillId="2" borderId="51" xfId="0" applyFont="1" applyFill="1" applyBorder="1" applyAlignment="1">
      <alignment horizontal="right"/>
    </xf>
    <xf numFmtId="0" fontId="4" fillId="2" borderId="51" xfId="0" applyFont="1" applyFill="1" applyBorder="1"/>
    <xf numFmtId="0" fontId="4" fillId="2" borderId="53" xfId="0" applyFont="1" applyFill="1" applyBorder="1"/>
    <xf numFmtId="3" fontId="15" fillId="2" borderId="4" xfId="0" applyNumberFormat="1" applyFont="1" applyFill="1" applyBorder="1"/>
    <xf numFmtId="3" fontId="15" fillId="2" borderId="5" xfId="0" applyNumberFormat="1" applyFont="1" applyFill="1" applyBorder="1"/>
    <xf numFmtId="3" fontId="1" fillId="9" borderId="47" xfId="0" applyNumberFormat="1" applyFont="1" applyFill="1" applyBorder="1" applyAlignment="1">
      <alignment horizontal="right"/>
    </xf>
    <xf numFmtId="0" fontId="39" fillId="0" borderId="0" xfId="0" applyFont="1" applyAlignment="1">
      <alignment horizontal="right"/>
    </xf>
    <xf numFmtId="1" fontId="35" fillId="19" borderId="34" xfId="0" applyNumberFormat="1" applyFont="1" applyFill="1" applyBorder="1" applyAlignment="1">
      <alignment horizontal="right"/>
    </xf>
    <xf numFmtId="165" fontId="35" fillId="4" borderId="7" xfId="0" applyNumberFormat="1" applyFont="1" applyFill="1" applyBorder="1" applyAlignment="1">
      <alignment horizontal="right"/>
    </xf>
    <xf numFmtId="0" fontId="40" fillId="0" borderId="0" xfId="0" applyFont="1" applyAlignment="1">
      <alignment horizontal="right"/>
    </xf>
    <xf numFmtId="9" fontId="1" fillId="2" borderId="56" xfId="0" applyNumberFormat="1" applyFont="1" applyFill="1" applyBorder="1"/>
    <xf numFmtId="1" fontId="1" fillId="2" borderId="56" xfId="0" applyNumberFormat="1" applyFont="1" applyFill="1" applyBorder="1"/>
    <xf numFmtId="0" fontId="0" fillId="3" borderId="0" xfId="0" applyFill="1"/>
    <xf numFmtId="166" fontId="1" fillId="3" borderId="0" xfId="0" applyNumberFormat="1" applyFont="1" applyFill="1" applyAlignment="1">
      <alignment horizontal="right"/>
    </xf>
    <xf numFmtId="3" fontId="1" fillId="3" borderId="0" xfId="0" applyNumberFormat="1" applyFont="1" applyFill="1"/>
    <xf numFmtId="0" fontId="1" fillId="3" borderId="0" xfId="0" applyFont="1" applyFill="1" applyAlignment="1">
      <alignment horizontal="right"/>
    </xf>
    <xf numFmtId="9" fontId="1" fillId="3" borderId="0" xfId="0" applyNumberFormat="1" applyFont="1" applyFill="1"/>
    <xf numFmtId="166" fontId="1" fillId="3" borderId="0" xfId="0" applyNumberFormat="1" applyFont="1" applyFill="1"/>
    <xf numFmtId="3" fontId="16" fillId="3" borderId="2" xfId="0" applyNumberFormat="1" applyFont="1" applyFill="1" applyBorder="1"/>
    <xf numFmtId="3" fontId="15" fillId="3" borderId="1" xfId="0" applyNumberFormat="1" applyFont="1" applyFill="1" applyBorder="1"/>
    <xf numFmtId="166" fontId="1" fillId="2" borderId="56" xfId="0" applyNumberFormat="1" applyFont="1" applyFill="1" applyBorder="1"/>
    <xf numFmtId="3" fontId="1" fillId="2" borderId="47" xfId="0" applyNumberFormat="1" applyFont="1" applyFill="1" applyBorder="1" applyAlignment="1">
      <alignment horizontal="right"/>
    </xf>
    <xf numFmtId="165" fontId="1" fillId="2" borderId="56" xfId="0" applyNumberFormat="1" applyFont="1" applyFill="1" applyBorder="1"/>
    <xf numFmtId="0" fontId="0" fillId="0" borderId="0" xfId="0" applyAlignment="1">
      <alignment horizontal="left" vertical="top"/>
    </xf>
    <xf numFmtId="166" fontId="16" fillId="9" borderId="0" xfId="0" applyNumberFormat="1" applyFont="1" applyFill="1"/>
    <xf numFmtId="9" fontId="34" fillId="2" borderId="4" xfId="0" applyNumberFormat="1" applyFont="1" applyFill="1" applyBorder="1"/>
    <xf numFmtId="164" fontId="34" fillId="2" borderId="5" xfId="0" applyNumberFormat="1" applyFont="1" applyFill="1" applyBorder="1"/>
    <xf numFmtId="18" fontId="0" fillId="0" borderId="0" xfId="0" applyNumberFormat="1"/>
    <xf numFmtId="0" fontId="36" fillId="0" borderId="0" xfId="0" applyFont="1" applyAlignment="1">
      <alignment horizontal="right" vertical="center"/>
    </xf>
    <xf numFmtId="0" fontId="38" fillId="0" borderId="0" xfId="0" applyFont="1" applyAlignment="1">
      <alignment horizontal="right" vertical="center"/>
    </xf>
    <xf numFmtId="0" fontId="37" fillId="0" borderId="0" xfId="0" applyFont="1" applyAlignment="1">
      <alignment horizontal="right" vertical="center"/>
    </xf>
    <xf numFmtId="0" fontId="2" fillId="0" borderId="0" xfId="1" applyAlignment="1">
      <alignment horizontal="right"/>
    </xf>
    <xf numFmtId="0" fontId="36" fillId="0" borderId="0" xfId="0" applyFont="1" applyAlignment="1">
      <alignment horizontal="right" vertical="center" wrapText="1"/>
    </xf>
    <xf numFmtId="0" fontId="38" fillId="0" borderId="0" xfId="0" applyFont="1" applyAlignment="1">
      <alignment horizontal="right" vertical="center" wrapText="1"/>
    </xf>
    <xf numFmtId="0" fontId="37" fillId="0" borderId="0" xfId="0" applyFont="1" applyAlignment="1">
      <alignment horizontal="right" vertical="center" wrapText="1"/>
    </xf>
    <xf numFmtId="0" fontId="2" fillId="0" borderId="0" xfId="1" applyAlignment="1">
      <alignment horizontal="right" vertical="center" wrapText="1"/>
    </xf>
    <xf numFmtId="1" fontId="40" fillId="4" borderId="29" xfId="0" applyNumberFormat="1" applyFont="1" applyFill="1" applyBorder="1" applyAlignment="1">
      <alignment horizontal="right"/>
    </xf>
    <xf numFmtId="165" fontId="1" fillId="9" borderId="0" xfId="0" applyNumberFormat="1" applyFont="1" applyFill="1"/>
    <xf numFmtId="0" fontId="0" fillId="0" borderId="0" xfId="0" applyAlignment="1">
      <alignment vertical="top" wrapText="1"/>
    </xf>
    <xf numFmtId="0" fontId="15" fillId="0" borderId="0" xfId="0" applyFont="1" applyAlignment="1">
      <alignment vertical="top" wrapText="1"/>
    </xf>
    <xf numFmtId="0" fontId="0" fillId="0" borderId="0" xfId="0" applyAlignment="1">
      <alignment horizontal="left" vertical="top" wrapText="1"/>
    </xf>
    <xf numFmtId="0" fontId="1" fillId="0" borderId="1" xfId="0" applyFont="1" applyBorder="1" applyAlignment="1">
      <alignment horizontal="center" wrapText="1"/>
    </xf>
    <xf numFmtId="49" fontId="1" fillId="2" borderId="56" xfId="0" applyNumberFormat="1" applyFont="1" applyFill="1" applyBorder="1" applyAlignment="1">
      <alignment horizontal="center"/>
    </xf>
    <xf numFmtId="0" fontId="14" fillId="2" borderId="4" xfId="0" applyFont="1" applyFill="1" applyBorder="1"/>
    <xf numFmtId="0" fontId="1" fillId="2" borderId="5" xfId="0" applyFont="1" applyFill="1" applyBorder="1" applyAlignment="1">
      <alignment horizontal="center"/>
    </xf>
    <xf numFmtId="0" fontId="0" fillId="2" borderId="6" xfId="0" applyFill="1" applyBorder="1"/>
    <xf numFmtId="0" fontId="1" fillId="2" borderId="7" xfId="0" applyFont="1" applyFill="1" applyBorder="1" applyAlignment="1">
      <alignment horizontal="center"/>
    </xf>
    <xf numFmtId="0" fontId="0" fillId="0" borderId="0" xfId="0" applyAlignment="1">
      <alignment horizontal="right" vertical="top"/>
    </xf>
    <xf numFmtId="0" fontId="0" fillId="2" borderId="0" xfId="0" applyFill="1" applyAlignment="1">
      <alignment horizontal="center"/>
    </xf>
    <xf numFmtId="166" fontId="1" fillId="18" borderId="56" xfId="0" applyNumberFormat="1" applyFont="1" applyFill="1" applyBorder="1"/>
    <xf numFmtId="9" fontId="0" fillId="2" borderId="0" xfId="0" applyNumberFormat="1" applyFill="1"/>
    <xf numFmtId="166" fontId="1" fillId="18" borderId="0" xfId="0" applyNumberFormat="1" applyFont="1" applyFill="1"/>
    <xf numFmtId="164" fontId="1" fillId="18" borderId="56" xfId="0" applyNumberFormat="1" applyFont="1" applyFill="1" applyBorder="1"/>
    <xf numFmtId="0" fontId="42" fillId="2" borderId="4" xfId="0" applyFont="1" applyFill="1" applyBorder="1"/>
    <xf numFmtId="0" fontId="1" fillId="2" borderId="3" xfId="0" applyFont="1" applyFill="1" applyBorder="1" applyAlignment="1">
      <alignment horizontal="left"/>
    </xf>
    <xf numFmtId="0" fontId="42" fillId="2" borderId="2" xfId="0" applyFont="1" applyFill="1" applyBorder="1"/>
    <xf numFmtId="0" fontId="1" fillId="2" borderId="5" xfId="0" applyFont="1" applyFill="1" applyBorder="1" applyAlignment="1">
      <alignment horizontal="left"/>
    </xf>
    <xf numFmtId="49" fontId="24" fillId="0" borderId="0" xfId="14" applyNumberFormat="1" applyFont="1" applyAlignment="1">
      <alignment vertical="top"/>
    </xf>
    <xf numFmtId="169" fontId="13" fillId="3" borderId="0" xfId="0" applyNumberFormat="1" applyFont="1" applyFill="1" applyAlignment="1" applyProtection="1">
      <alignment horizontal="center" vertical="center" wrapText="1"/>
      <protection locked="0"/>
    </xf>
    <xf numFmtId="169" fontId="0" fillId="2" borderId="0" xfId="0" applyNumberFormat="1" applyFill="1" applyAlignment="1" applyProtection="1">
      <alignment horizontal="center" vertical="center"/>
      <protection locked="0"/>
    </xf>
    <xf numFmtId="1" fontId="0" fillId="0" borderId="0" xfId="0" applyNumberFormat="1" applyAlignment="1" applyProtection="1">
      <alignment horizontal="center" vertical="center"/>
      <protection locked="0"/>
    </xf>
    <xf numFmtId="49" fontId="24" fillId="0" borderId="0" xfId="0" applyNumberFormat="1" applyFont="1" applyAlignment="1">
      <alignment vertical="top"/>
    </xf>
    <xf numFmtId="170" fontId="0" fillId="0" borderId="0" xfId="0" applyNumberFormat="1"/>
    <xf numFmtId="1" fontId="24" fillId="16" borderId="0" xfId="0" applyNumberFormat="1" applyFont="1" applyFill="1" applyAlignment="1">
      <alignment vertical="top"/>
    </xf>
    <xf numFmtId="4" fontId="24" fillId="16" borderId="0" xfId="0" applyNumberFormat="1" applyFont="1" applyFill="1" applyAlignment="1">
      <alignment vertical="top"/>
    </xf>
    <xf numFmtId="171" fontId="34" fillId="2" borderId="4" xfId="0" applyNumberFormat="1" applyFont="1" applyFill="1" applyBorder="1"/>
    <xf numFmtId="0" fontId="44" fillId="0" borderId="0" xfId="1" applyFont="1"/>
    <xf numFmtId="166" fontId="0" fillId="2" borderId="0" xfId="0" applyNumberFormat="1" applyFill="1"/>
    <xf numFmtId="49" fontId="1" fillId="18" borderId="5" xfId="0" applyNumberFormat="1" applyFont="1" applyFill="1" applyBorder="1" applyAlignment="1">
      <alignment horizontal="center" vertical="center" wrapText="1"/>
    </xf>
    <xf numFmtId="3" fontId="18" fillId="11" borderId="47" xfId="0" applyNumberFormat="1" applyFont="1" applyFill="1" applyBorder="1"/>
    <xf numFmtId="3" fontId="1" fillId="3" borderId="47" xfId="0" applyNumberFormat="1" applyFont="1" applyFill="1" applyBorder="1"/>
    <xf numFmtId="0" fontId="45" fillId="0" borderId="0" xfId="0" applyFont="1"/>
    <xf numFmtId="167" fontId="0" fillId="0" borderId="0" xfId="0" applyNumberFormat="1"/>
    <xf numFmtId="170" fontId="13" fillId="3" borderId="0" xfId="0" applyNumberFormat="1" applyFont="1" applyFill="1" applyAlignment="1" applyProtection="1">
      <alignment horizontal="center" wrapText="1"/>
      <protection locked="0"/>
    </xf>
    <xf numFmtId="170" fontId="0" fillId="0" borderId="0" xfId="0" applyNumberFormat="1" applyProtection="1">
      <protection locked="0"/>
    </xf>
    <xf numFmtId="0" fontId="0" fillId="0" borderId="0" xfId="0" applyAlignment="1">
      <alignment horizontal="center" wrapText="1"/>
    </xf>
    <xf numFmtId="4" fontId="0" fillId="2" borderId="0" xfId="0" applyNumberFormat="1" applyFill="1" applyProtection="1">
      <protection locked="0"/>
    </xf>
    <xf numFmtId="170" fontId="0" fillId="2" borderId="0" xfId="0" applyNumberFormat="1" applyFill="1" applyAlignment="1" applyProtection="1">
      <alignment horizontal="right"/>
      <protection locked="0"/>
    </xf>
    <xf numFmtId="1" fontId="24" fillId="16" borderId="0" xfId="14" applyNumberFormat="1" applyFont="1" applyFill="1" applyAlignment="1">
      <alignment vertical="top"/>
    </xf>
    <xf numFmtId="4" fontId="24" fillId="16" borderId="0" xfId="14" applyNumberFormat="1" applyFont="1" applyFill="1" applyAlignment="1">
      <alignment vertical="top"/>
    </xf>
    <xf numFmtId="0" fontId="0" fillId="2" borderId="0" xfId="0" applyFill="1"/>
    <xf numFmtId="166" fontId="1" fillId="2" borderId="0" xfId="0" applyNumberFormat="1" applyFont="1" applyFill="1"/>
    <xf numFmtId="0" fontId="1" fillId="2" borderId="0" xfId="0" applyFont="1" applyFill="1" applyAlignment="1">
      <alignment horizontal="right"/>
    </xf>
    <xf numFmtId="2" fontId="0" fillId="0" borderId="1" xfId="0" applyNumberFormat="1" applyBorder="1"/>
    <xf numFmtId="0" fontId="1" fillId="2" borderId="0" xfId="0" applyFont="1" applyFill="1" applyAlignment="1">
      <alignment horizontal="center"/>
    </xf>
    <xf numFmtId="166" fontId="1" fillId="2" borderId="0" xfId="0" applyNumberFormat="1" applyFont="1" applyFill="1" applyAlignment="1">
      <alignment horizontal="center"/>
    </xf>
    <xf numFmtId="166" fontId="1" fillId="0" borderId="1" xfId="0" applyNumberFormat="1" applyFont="1" applyBorder="1" applyAlignment="1">
      <alignment horizontal="center"/>
    </xf>
    <xf numFmtId="4" fontId="1" fillId="0" borderId="1" xfId="0" applyNumberFormat="1" applyFont="1" applyBorder="1" applyAlignment="1">
      <alignment horizontal="center"/>
    </xf>
    <xf numFmtId="172" fontId="15" fillId="0" borderId="0" xfId="0" applyNumberFormat="1" applyFont="1"/>
    <xf numFmtId="0" fontId="0" fillId="9" borderId="0" xfId="0" applyFill="1" applyProtection="1">
      <protection locked="0"/>
    </xf>
    <xf numFmtId="0" fontId="31" fillId="0" borderId="0" xfId="0" applyFont="1" applyAlignment="1">
      <alignment horizontal="center" vertical="center"/>
    </xf>
    <xf numFmtId="4" fontId="0" fillId="3" borderId="5" xfId="0" applyNumberFormat="1" applyFill="1" applyBorder="1" applyAlignment="1">
      <alignment horizontal="right"/>
    </xf>
    <xf numFmtId="4" fontId="0" fillId="11" borderId="5" xfId="0" applyNumberFormat="1" applyFill="1" applyBorder="1" applyAlignment="1">
      <alignment horizontal="right"/>
    </xf>
    <xf numFmtId="4" fontId="0" fillId="12" borderId="5" xfId="0" applyNumberFormat="1" applyFill="1" applyBorder="1"/>
    <xf numFmtId="2" fontId="0" fillId="0" borderId="0" xfId="0" applyNumberFormat="1" applyAlignment="1">
      <alignment horizontal="center" wrapText="1"/>
    </xf>
    <xf numFmtId="170" fontId="0" fillId="0" borderId="0" xfId="0" applyNumberFormat="1" applyAlignment="1">
      <alignment horizontal="center" wrapText="1"/>
    </xf>
    <xf numFmtId="8" fontId="0" fillId="9" borderId="7" xfId="0" applyNumberFormat="1" applyFill="1" applyBorder="1" applyAlignment="1">
      <alignment horizontal="right"/>
    </xf>
    <xf numFmtId="1" fontId="46" fillId="16" borderId="0" xfId="14" applyNumberFormat="1" applyFont="1" applyFill="1" applyAlignment="1">
      <alignment vertical="top"/>
    </xf>
    <xf numFmtId="4" fontId="46" fillId="16" borderId="0" xfId="14" applyNumberFormat="1" applyFont="1" applyFill="1" applyAlignment="1">
      <alignment vertical="top"/>
    </xf>
    <xf numFmtId="167" fontId="1" fillId="0" borderId="0" xfId="0" applyNumberFormat="1" applyFont="1" applyAlignment="1">
      <alignment horizontal="center" wrapText="1"/>
    </xf>
    <xf numFmtId="170" fontId="1" fillId="0" borderId="0" xfId="0" applyNumberFormat="1" applyFont="1" applyAlignment="1">
      <alignment horizontal="center" wrapText="1"/>
    </xf>
    <xf numFmtId="3" fontId="0" fillId="0" borderId="0" xfId="0" applyNumberFormat="1"/>
    <xf numFmtId="49" fontId="46" fillId="0" borderId="0" xfId="0" applyNumberFormat="1" applyFont="1" applyAlignment="1">
      <alignment vertical="top"/>
    </xf>
    <xf numFmtId="1" fontId="46" fillId="16" borderId="0" xfId="0" applyNumberFormat="1" applyFont="1" applyFill="1" applyAlignment="1">
      <alignment vertical="top"/>
    </xf>
    <xf numFmtId="4" fontId="46" fillId="16" borderId="0" xfId="0" applyNumberFormat="1" applyFont="1" applyFill="1" applyAlignment="1">
      <alignment vertical="top"/>
    </xf>
    <xf numFmtId="0" fontId="47" fillId="2" borderId="0" xfId="0" applyFont="1" applyFill="1"/>
    <xf numFmtId="0" fontId="47" fillId="0" borderId="0" xfId="0" applyFont="1"/>
    <xf numFmtId="166" fontId="0" fillId="9" borderId="0" xfId="0" applyNumberFormat="1" applyFill="1"/>
    <xf numFmtId="0" fontId="0" fillId="9" borderId="0" xfId="0" applyFill="1"/>
    <xf numFmtId="4" fontId="0" fillId="20" borderId="0" xfId="0" applyNumberFormat="1" applyFill="1" applyProtection="1">
      <protection locked="0"/>
    </xf>
    <xf numFmtId="4" fontId="0" fillId="0" borderId="0" xfId="0" applyNumberFormat="1" applyProtection="1">
      <protection locked="0"/>
    </xf>
    <xf numFmtId="4" fontId="0" fillId="9" borderId="0" xfId="0" applyNumberFormat="1" applyFill="1" applyProtection="1">
      <protection locked="0"/>
    </xf>
    <xf numFmtId="4" fontId="0" fillId="0" borderId="0" xfId="0" applyNumberFormat="1" applyAlignment="1">
      <alignment horizontal="right" vertical="center"/>
    </xf>
    <xf numFmtId="4" fontId="0" fillId="0" borderId="0" xfId="0" applyNumberFormat="1" applyAlignment="1">
      <alignment vertical="center"/>
    </xf>
    <xf numFmtId="49" fontId="0" fillId="0" borderId="0" xfId="0" quotePrefix="1" applyNumberFormat="1"/>
    <xf numFmtId="49" fontId="1" fillId="18" borderId="35" xfId="0" applyNumberFormat="1" applyFont="1" applyFill="1" applyBorder="1" applyAlignment="1">
      <alignment horizontal="center" wrapText="1"/>
    </xf>
    <xf numFmtId="3" fontId="18" fillId="22" borderId="47" xfId="0" applyNumberFormat="1" applyFont="1" applyFill="1" applyBorder="1"/>
    <xf numFmtId="3" fontId="1" fillId="3" borderId="58" xfId="0" applyNumberFormat="1" applyFont="1" applyFill="1" applyBorder="1"/>
    <xf numFmtId="3" fontId="18" fillId="11" borderId="59" xfId="0" applyNumberFormat="1" applyFont="1" applyFill="1" applyBorder="1"/>
    <xf numFmtId="3" fontId="18" fillId="11" borderId="60" xfId="0" applyNumberFormat="1" applyFont="1" applyFill="1" applyBorder="1"/>
    <xf numFmtId="3" fontId="18" fillId="11" borderId="7" xfId="0" applyNumberFormat="1" applyFont="1" applyFill="1" applyBorder="1"/>
    <xf numFmtId="49" fontId="18" fillId="3" borderId="36" xfId="0" quotePrefix="1" applyNumberFormat="1" applyFont="1" applyFill="1" applyBorder="1" applyAlignment="1">
      <alignment horizontal="center" wrapText="1"/>
    </xf>
    <xf numFmtId="3" fontId="1" fillId="3" borderId="61" xfId="0" applyNumberFormat="1" applyFont="1" applyFill="1" applyBorder="1"/>
    <xf numFmtId="3" fontId="1" fillId="3" borderId="52" xfId="0" applyNumberFormat="1" applyFont="1" applyFill="1" applyBorder="1"/>
    <xf numFmtId="3" fontId="1" fillId="3" borderId="14" xfId="0" applyNumberFormat="1" applyFont="1" applyFill="1" applyBorder="1"/>
    <xf numFmtId="3" fontId="18" fillId="11" borderId="42" xfId="0" applyNumberFormat="1" applyFont="1" applyFill="1" applyBorder="1"/>
    <xf numFmtId="3" fontId="18" fillId="11" borderId="58" xfId="0" applyNumberFormat="1" applyFont="1" applyFill="1" applyBorder="1"/>
    <xf numFmtId="49" fontId="0" fillId="0" borderId="0" xfId="0" applyNumberFormat="1" applyAlignment="1">
      <alignment horizontal="right"/>
    </xf>
    <xf numFmtId="0" fontId="16" fillId="0" borderId="3" xfId="0" applyFont="1" applyBorder="1" applyAlignment="1">
      <alignment horizontal="center"/>
    </xf>
    <xf numFmtId="166" fontId="0" fillId="0" borderId="1" xfId="0" applyNumberFormat="1" applyBorder="1"/>
    <xf numFmtId="0" fontId="0" fillId="0" borderId="5" xfId="0" applyBorder="1"/>
    <xf numFmtId="0" fontId="0" fillId="0" borderId="7" xfId="0" applyBorder="1"/>
    <xf numFmtId="0" fontId="1" fillId="0" borderId="5" xfId="0" applyFont="1" applyBorder="1" applyAlignment="1">
      <alignment horizontal="center"/>
    </xf>
    <xf numFmtId="0" fontId="0" fillId="0" borderId="4" xfId="0" applyBorder="1" applyAlignment="1">
      <alignment horizontal="right"/>
    </xf>
    <xf numFmtId="4" fontId="0" fillId="0" borderId="5" xfId="0" applyNumberFormat="1" applyBorder="1"/>
    <xf numFmtId="0" fontId="0" fillId="0" borderId="6" xfId="0" applyBorder="1" applyAlignment="1">
      <alignment horizontal="right"/>
    </xf>
    <xf numFmtId="166" fontId="0" fillId="0" borderId="7" xfId="0" applyNumberFormat="1" applyBorder="1"/>
    <xf numFmtId="2" fontId="1" fillId="0" borderId="0" xfId="0" applyNumberFormat="1" applyFont="1" applyAlignment="1">
      <alignment horizontal="center" wrapText="1"/>
    </xf>
    <xf numFmtId="0" fontId="1" fillId="2" borderId="0" xfId="0" applyFont="1" applyFill="1" applyAlignment="1">
      <alignment horizontal="left"/>
    </xf>
    <xf numFmtId="9" fontId="0" fillId="0" borderId="0" xfId="0" applyNumberFormat="1"/>
    <xf numFmtId="164" fontId="1" fillId="0" borderId="1" xfId="0" applyNumberFormat="1" applyFont="1" applyBorder="1"/>
    <xf numFmtId="164" fontId="16" fillId="3" borderId="42" xfId="0" applyNumberFormat="1" applyFont="1" applyFill="1" applyBorder="1"/>
    <xf numFmtId="164" fontId="34" fillId="9" borderId="2" xfId="0" applyNumberFormat="1" applyFont="1" applyFill="1" applyBorder="1"/>
    <xf numFmtId="0" fontId="15" fillId="0" borderId="38" xfId="0" applyFont="1" applyBorder="1"/>
    <xf numFmtId="0" fontId="15" fillId="18" borderId="38" xfId="0" applyFont="1" applyFill="1" applyBorder="1"/>
    <xf numFmtId="3" fontId="15" fillId="18" borderId="38" xfId="0" applyNumberFormat="1" applyFont="1" applyFill="1" applyBorder="1"/>
    <xf numFmtId="9" fontId="15" fillId="2" borderId="35" xfId="0" applyNumberFormat="1" applyFont="1" applyFill="1" applyBorder="1" applyAlignment="1">
      <alignment horizontal="right"/>
    </xf>
    <xf numFmtId="0" fontId="16" fillId="3" borderId="4" xfId="0" applyFont="1" applyFill="1" applyBorder="1" applyAlignment="1">
      <alignment horizontal="right"/>
    </xf>
    <xf numFmtId="0" fontId="16" fillId="3" borderId="0" xfId="0" applyFont="1" applyFill="1" applyAlignment="1">
      <alignment horizontal="right"/>
    </xf>
    <xf numFmtId="164" fontId="15" fillId="2" borderId="4" xfId="0" applyNumberFormat="1" applyFont="1" applyFill="1" applyBorder="1"/>
    <xf numFmtId="8" fontId="0" fillId="0" borderId="0" xfId="0" applyNumberFormat="1"/>
    <xf numFmtId="173" fontId="0" fillId="0" borderId="0" xfId="0" applyNumberFormat="1"/>
    <xf numFmtId="10" fontId="0" fillId="2" borderId="29" xfId="0" applyNumberFormat="1" applyFill="1" applyBorder="1"/>
    <xf numFmtId="3" fontId="1" fillId="0" borderId="0" xfId="0" applyNumberFormat="1" applyFont="1"/>
    <xf numFmtId="3" fontId="1" fillId="0" borderId="0" xfId="0" applyNumberFormat="1" applyFont="1" applyAlignment="1">
      <alignment horizontal="right"/>
    </xf>
    <xf numFmtId="3" fontId="1" fillId="0" borderId="29" xfId="0" applyNumberFormat="1" applyFont="1" applyBorder="1" applyAlignment="1">
      <alignment horizontal="center" wrapText="1"/>
    </xf>
    <xf numFmtId="3" fontId="0" fillId="0" borderId="1" xfId="0" applyNumberFormat="1" applyBorder="1"/>
    <xf numFmtId="38" fontId="1" fillId="0" borderId="0" xfId="0" applyNumberFormat="1" applyFont="1"/>
    <xf numFmtId="0" fontId="1" fillId="0" borderId="29" xfId="0" applyFont="1" applyBorder="1" applyAlignment="1">
      <alignment horizontal="center"/>
    </xf>
    <xf numFmtId="9" fontId="34" fillId="18" borderId="29" xfId="0" applyNumberFormat="1" applyFont="1" applyFill="1" applyBorder="1"/>
    <xf numFmtId="164" fontId="34" fillId="18" borderId="29" xfId="0" applyNumberFormat="1" applyFont="1" applyFill="1" applyBorder="1"/>
    <xf numFmtId="164" fontId="15" fillId="20" borderId="4" xfId="0" applyNumberFormat="1" applyFont="1" applyFill="1" applyBorder="1"/>
    <xf numFmtId="3" fontId="15" fillId="20" borderId="45" xfId="0" applyNumberFormat="1" applyFont="1" applyFill="1" applyBorder="1"/>
    <xf numFmtId="164" fontId="15" fillId="23" borderId="4" xfId="0" applyNumberFormat="1" applyFont="1" applyFill="1" applyBorder="1"/>
    <xf numFmtId="3" fontId="15" fillId="23" borderId="45" xfId="0" applyNumberFormat="1" applyFont="1" applyFill="1" applyBorder="1"/>
    <xf numFmtId="9" fontId="34" fillId="2" borderId="29" xfId="0" applyNumberFormat="1" applyFont="1" applyFill="1" applyBorder="1"/>
    <xf numFmtId="3" fontId="15" fillId="23" borderId="4" xfId="0" applyNumberFormat="1" applyFont="1" applyFill="1" applyBorder="1"/>
    <xf numFmtId="0" fontId="15" fillId="23" borderId="45" xfId="0" applyFont="1" applyFill="1" applyBorder="1"/>
    <xf numFmtId="10" fontId="34" fillId="2" borderId="29" xfId="0" applyNumberFormat="1" applyFont="1" applyFill="1" applyBorder="1"/>
    <xf numFmtId="3" fontId="34" fillId="2" borderId="29" xfId="0" applyNumberFormat="1" applyFont="1" applyFill="1" applyBorder="1"/>
    <xf numFmtId="172" fontId="15" fillId="3" borderId="35" xfId="0" applyNumberFormat="1" applyFont="1" applyFill="1" applyBorder="1" applyAlignment="1">
      <alignment horizontal="right"/>
    </xf>
    <xf numFmtId="164" fontId="15" fillId="3" borderId="37" xfId="0" applyNumberFormat="1" applyFont="1" applyFill="1" applyBorder="1"/>
    <xf numFmtId="172" fontId="15" fillId="24" borderId="35" xfId="0" applyNumberFormat="1" applyFont="1" applyFill="1" applyBorder="1" applyAlignment="1">
      <alignment horizontal="right"/>
    </xf>
    <xf numFmtId="164" fontId="15" fillId="24" borderId="37" xfId="0" applyNumberFormat="1" applyFont="1" applyFill="1" applyBorder="1"/>
    <xf numFmtId="0" fontId="15" fillId="18" borderId="6" xfId="0" applyFont="1" applyFill="1" applyBorder="1"/>
    <xf numFmtId="0" fontId="15" fillId="18" borderId="1" xfId="0" applyFont="1" applyFill="1" applyBorder="1" applyAlignment="1">
      <alignment horizontal="right"/>
    </xf>
    <xf numFmtId="0" fontId="0" fillId="18" borderId="1" xfId="0" applyFill="1" applyBorder="1" applyAlignment="1">
      <alignment horizontal="right"/>
    </xf>
    <xf numFmtId="3" fontId="15" fillId="18" borderId="1" xfId="0" applyNumberFormat="1" applyFont="1" applyFill="1" applyBorder="1"/>
    <xf numFmtId="0" fontId="15" fillId="20" borderId="2" xfId="0" applyFont="1" applyFill="1" applyBorder="1"/>
    <xf numFmtId="0" fontId="15" fillId="20" borderId="44" xfId="0" applyFont="1" applyFill="1" applyBorder="1"/>
    <xf numFmtId="3" fontId="15" fillId="20" borderId="4" xfId="0" applyNumberFormat="1" applyFont="1" applyFill="1" applyBorder="1"/>
    <xf numFmtId="3" fontId="15" fillId="20" borderId="0" xfId="0" applyNumberFormat="1" applyFont="1" applyFill="1"/>
    <xf numFmtId="3" fontId="15" fillId="20" borderId="6" xfId="0" applyNumberFormat="1" applyFont="1" applyFill="1" applyBorder="1"/>
    <xf numFmtId="3" fontId="15" fillId="20" borderId="46" xfId="0" applyNumberFormat="1" applyFont="1" applyFill="1" applyBorder="1"/>
    <xf numFmtId="3" fontId="15" fillId="23" borderId="6" xfId="0" applyNumberFormat="1" applyFont="1" applyFill="1" applyBorder="1"/>
    <xf numFmtId="0" fontId="15" fillId="23" borderId="46" xfId="0" applyFont="1" applyFill="1" applyBorder="1"/>
    <xf numFmtId="3" fontId="15" fillId="23" borderId="2" xfId="0" applyNumberFormat="1" applyFont="1" applyFill="1" applyBorder="1"/>
    <xf numFmtId="3" fontId="15" fillId="23" borderId="4" xfId="0" applyNumberFormat="1" applyFont="1" applyFill="1" applyBorder="1" applyAlignment="1">
      <alignment horizontal="center"/>
    </xf>
    <xf numFmtId="0" fontId="15" fillId="25" borderId="2" xfId="0" applyFont="1" applyFill="1" applyBorder="1" applyAlignment="1">
      <alignment horizontal="right"/>
    </xf>
    <xf numFmtId="172" fontId="15" fillId="24" borderId="4" xfId="0" applyNumberFormat="1" applyFont="1" applyFill="1" applyBorder="1" applyAlignment="1">
      <alignment horizontal="right"/>
    </xf>
    <xf numFmtId="3" fontId="15" fillId="26" borderId="4" xfId="0" applyNumberFormat="1" applyFont="1" applyFill="1" applyBorder="1"/>
    <xf numFmtId="164" fontId="15" fillId="26" borderId="45" xfId="0" applyNumberFormat="1" applyFont="1" applyFill="1" applyBorder="1"/>
    <xf numFmtId="164" fontId="15" fillId="26" borderId="4" xfId="0" applyNumberFormat="1" applyFont="1" applyFill="1" applyBorder="1" applyAlignment="1">
      <alignment horizontal="right"/>
    </xf>
    <xf numFmtId="0" fontId="15" fillId="26" borderId="4" xfId="0" applyFont="1" applyFill="1" applyBorder="1" applyAlignment="1">
      <alignment horizontal="right"/>
    </xf>
    <xf numFmtId="164" fontId="15" fillId="26" borderId="4" xfId="0" applyNumberFormat="1" applyFont="1" applyFill="1" applyBorder="1"/>
    <xf numFmtId="164" fontId="15" fillId="26" borderId="6" xfId="0" applyNumberFormat="1" applyFont="1" applyFill="1" applyBorder="1"/>
    <xf numFmtId="164" fontId="15" fillId="26" borderId="46" xfId="0" applyNumberFormat="1" applyFont="1" applyFill="1" applyBorder="1"/>
    <xf numFmtId="0" fontId="15" fillId="23" borderId="0" xfId="0" applyFont="1" applyFill="1"/>
    <xf numFmtId="164" fontId="15" fillId="23" borderId="0" xfId="0" applyNumberFormat="1" applyFont="1" applyFill="1"/>
    <xf numFmtId="164" fontId="15" fillId="23" borderId="1" xfId="0" applyNumberFormat="1" applyFont="1" applyFill="1" applyBorder="1"/>
    <xf numFmtId="0" fontId="15" fillId="20" borderId="3" xfId="0" applyFont="1" applyFill="1" applyBorder="1"/>
    <xf numFmtId="0" fontId="15" fillId="20" borderId="4" xfId="0" applyFont="1" applyFill="1" applyBorder="1"/>
    <xf numFmtId="0" fontId="15" fillId="20" borderId="5" xfId="0" applyFont="1" applyFill="1" applyBorder="1"/>
    <xf numFmtId="164" fontId="15" fillId="20" borderId="6" xfId="0" applyNumberFormat="1" applyFont="1" applyFill="1" applyBorder="1"/>
    <xf numFmtId="164" fontId="15" fillId="20" borderId="7" xfId="0" applyNumberFormat="1" applyFont="1" applyFill="1" applyBorder="1"/>
    <xf numFmtId="3" fontId="15" fillId="23" borderId="0" xfId="0" applyNumberFormat="1" applyFont="1" applyFill="1"/>
    <xf numFmtId="3" fontId="15" fillId="23" borderId="62" xfId="0" applyNumberFormat="1" applyFont="1" applyFill="1" applyBorder="1"/>
    <xf numFmtId="0" fontId="15" fillId="23" borderId="1" xfId="0" applyFont="1" applyFill="1" applyBorder="1"/>
    <xf numFmtId="0" fontId="15" fillId="0" borderId="6" xfId="0" applyFont="1" applyBorder="1" applyAlignment="1">
      <alignment horizontal="right"/>
    </xf>
    <xf numFmtId="38" fontId="0" fillId="18" borderId="29" xfId="0" applyNumberFormat="1" applyFill="1" applyBorder="1"/>
    <xf numFmtId="38" fontId="0" fillId="2" borderId="29" xfId="0" applyNumberFormat="1" applyFill="1" applyBorder="1"/>
    <xf numFmtId="38" fontId="0" fillId="25" borderId="29" xfId="0" applyNumberFormat="1" applyFill="1" applyBorder="1"/>
    <xf numFmtId="38" fontId="0" fillId="20" borderId="29" xfId="0" applyNumberFormat="1" applyFill="1" applyBorder="1"/>
    <xf numFmtId="0" fontId="1" fillId="20" borderId="29" xfId="0" applyFont="1" applyFill="1" applyBorder="1" applyAlignment="1">
      <alignment horizontal="center" wrapText="1"/>
    </xf>
    <xf numFmtId="0" fontId="16" fillId="18" borderId="35" xfId="0" applyFont="1" applyFill="1" applyBorder="1" applyAlignment="1">
      <alignment horizontal="left" vertical="center" wrapText="1"/>
    </xf>
    <xf numFmtId="0" fontId="16" fillId="18" borderId="29" xfId="0" applyFont="1" applyFill="1" applyBorder="1" applyAlignment="1">
      <alignment horizontal="left" vertical="center" wrapText="1"/>
    </xf>
    <xf numFmtId="164" fontId="15" fillId="9" borderId="46" xfId="0" applyNumberFormat="1" applyFont="1" applyFill="1" applyBorder="1"/>
    <xf numFmtId="0" fontId="15" fillId="20" borderId="45" xfId="0" applyFont="1" applyFill="1" applyBorder="1"/>
    <xf numFmtId="164" fontId="15" fillId="25" borderId="3" xfId="0" applyNumberFormat="1" applyFont="1" applyFill="1" applyBorder="1"/>
    <xf numFmtId="0" fontId="15" fillId="2" borderId="0" xfId="0" applyFont="1" applyFill="1"/>
    <xf numFmtId="3" fontId="16" fillId="0" borderId="4" xfId="0" applyNumberFormat="1" applyFont="1" applyBorder="1"/>
    <xf numFmtId="0" fontId="0" fillId="18" borderId="1" xfId="0" applyFill="1" applyBorder="1"/>
    <xf numFmtId="3" fontId="1" fillId="0" borderId="35" xfId="0" applyNumberFormat="1" applyFont="1" applyBorder="1" applyAlignment="1">
      <alignment horizontal="center" wrapText="1"/>
    </xf>
    <xf numFmtId="0" fontId="0" fillId="20" borderId="38" xfId="0" applyFill="1" applyBorder="1" applyAlignment="1">
      <alignment horizontal="center"/>
    </xf>
    <xf numFmtId="0" fontId="0" fillId="20" borderId="34" xfId="0" applyFill="1" applyBorder="1" applyAlignment="1">
      <alignment horizontal="center"/>
    </xf>
    <xf numFmtId="3" fontId="15" fillId="23" borderId="5" xfId="0" applyNumberFormat="1" applyFont="1" applyFill="1" applyBorder="1"/>
    <xf numFmtId="0" fontId="15" fillId="25" borderId="4" xfId="0" applyFont="1" applyFill="1" applyBorder="1" applyAlignment="1">
      <alignment horizontal="right"/>
    </xf>
    <xf numFmtId="164" fontId="15" fillId="25" borderId="5" xfId="0" applyNumberFormat="1" applyFont="1" applyFill="1" applyBorder="1"/>
    <xf numFmtId="0" fontId="15" fillId="23" borderId="9" xfId="0" applyFont="1" applyFill="1" applyBorder="1"/>
    <xf numFmtId="0" fontId="35" fillId="27" borderId="2" xfId="0" applyFont="1" applyFill="1" applyBorder="1" applyAlignment="1">
      <alignment horizontal="right"/>
    </xf>
    <xf numFmtId="1" fontId="35" fillId="27" borderId="4" xfId="0" applyNumberFormat="1" applyFont="1" applyFill="1" applyBorder="1" applyAlignment="1">
      <alignment horizontal="right"/>
    </xf>
    <xf numFmtId="1" fontId="35" fillId="27" borderId="6" xfId="0" applyNumberFormat="1" applyFont="1" applyFill="1" applyBorder="1" applyAlignment="1">
      <alignment horizontal="right"/>
    </xf>
    <xf numFmtId="164" fontId="16" fillId="3" borderId="10" xfId="0" applyNumberFormat="1" applyFont="1" applyFill="1" applyBorder="1" applyAlignment="1">
      <alignment horizontal="center"/>
    </xf>
    <xf numFmtId="0" fontId="15" fillId="18" borderId="7" xfId="0" applyFont="1" applyFill="1" applyBorder="1"/>
    <xf numFmtId="0" fontId="15" fillId="18" borderId="36" xfId="0" applyFont="1" applyFill="1" applyBorder="1"/>
    <xf numFmtId="0" fontId="0" fillId="18" borderId="0" xfId="0" applyFill="1" applyAlignment="1">
      <alignment horizontal="right"/>
    </xf>
    <xf numFmtId="0" fontId="0" fillId="18" borderId="0" xfId="0" applyFill="1"/>
    <xf numFmtId="4" fontId="0" fillId="18" borderId="0" xfId="0" applyNumberFormat="1" applyFill="1"/>
    <xf numFmtId="14" fontId="0" fillId="18" borderId="0" xfId="0" applyNumberFormat="1" applyFill="1"/>
    <xf numFmtId="16" fontId="0" fillId="18" borderId="0" xfId="0" applyNumberFormat="1" applyFill="1"/>
    <xf numFmtId="0" fontId="1" fillId="18" borderId="0" xfId="0" applyFont="1" applyFill="1" applyAlignment="1">
      <alignment horizontal="center"/>
    </xf>
    <xf numFmtId="166" fontId="1" fillId="18" borderId="0" xfId="0" applyNumberFormat="1" applyFont="1" applyFill="1" applyAlignment="1">
      <alignment horizontal="center"/>
    </xf>
    <xf numFmtId="4" fontId="1" fillId="18" borderId="0" xfId="0" applyNumberFormat="1" applyFont="1" applyFill="1" applyAlignment="1">
      <alignment horizontal="center"/>
    </xf>
    <xf numFmtId="166" fontId="0" fillId="18" borderId="0" xfId="0" applyNumberFormat="1" applyFill="1"/>
    <xf numFmtId="2" fontId="0" fillId="18" borderId="0" xfId="0" applyNumberFormat="1" applyFill="1"/>
    <xf numFmtId="4" fontId="0" fillId="18" borderId="1" xfId="0" applyNumberFormat="1" applyFill="1" applyBorder="1"/>
    <xf numFmtId="0" fontId="1" fillId="18" borderId="0" xfId="0" applyFont="1" applyFill="1" applyAlignment="1">
      <alignment horizontal="right"/>
    </xf>
    <xf numFmtId="3" fontId="1" fillId="18" borderId="47" xfId="0" applyNumberFormat="1" applyFont="1" applyFill="1" applyBorder="1" applyAlignment="1">
      <alignment horizontal="right"/>
    </xf>
    <xf numFmtId="164" fontId="0" fillId="18" borderId="0" xfId="0" applyNumberFormat="1" applyFill="1"/>
    <xf numFmtId="164" fontId="1" fillId="18" borderId="0" xfId="0" applyNumberFormat="1" applyFont="1" applyFill="1" applyAlignment="1">
      <alignment horizontal="center"/>
    </xf>
    <xf numFmtId="1" fontId="0" fillId="18" borderId="0" xfId="0" applyNumberFormat="1" applyFill="1"/>
    <xf numFmtId="164" fontId="0" fillId="18" borderId="1" xfId="0" applyNumberFormat="1" applyFill="1" applyBorder="1"/>
    <xf numFmtId="2" fontId="1" fillId="18" borderId="0" xfId="0" applyNumberFormat="1" applyFont="1" applyFill="1" applyAlignment="1">
      <alignment horizontal="center"/>
    </xf>
    <xf numFmtId="164" fontId="1" fillId="18" borderId="0" xfId="0" applyNumberFormat="1" applyFont="1" applyFill="1"/>
    <xf numFmtId="0" fontId="15" fillId="18" borderId="5" xfId="0" applyFont="1" applyFill="1" applyBorder="1"/>
    <xf numFmtId="0" fontId="15" fillId="18" borderId="0" xfId="0" applyFont="1" applyFill="1" applyAlignment="1">
      <alignment horizontal="right"/>
    </xf>
    <xf numFmtId="4" fontId="34" fillId="2" borderId="3" xfId="0" applyNumberFormat="1" applyFont="1" applyFill="1" applyBorder="1"/>
    <xf numFmtId="14" fontId="15" fillId="0" borderId="0" xfId="0" applyNumberFormat="1" applyFont="1"/>
    <xf numFmtId="9" fontId="15" fillId="0" borderId="0" xfId="0" applyNumberFormat="1" applyFont="1"/>
    <xf numFmtId="3" fontId="15" fillId="3" borderId="0" xfId="0" applyNumberFormat="1" applyFont="1" applyFill="1"/>
    <xf numFmtId="3" fontId="15" fillId="3" borderId="29" xfId="0" applyNumberFormat="1" applyFont="1" applyFill="1" applyBorder="1"/>
    <xf numFmtId="164" fontId="15" fillId="3" borderId="9" xfId="0" applyNumberFormat="1" applyFont="1" applyFill="1" applyBorder="1"/>
    <xf numFmtId="164" fontId="15" fillId="3" borderId="3" xfId="0" applyNumberFormat="1" applyFont="1" applyFill="1" applyBorder="1"/>
    <xf numFmtId="14" fontId="16" fillId="2" borderId="29" xfId="0" applyNumberFormat="1" applyFont="1" applyFill="1" applyBorder="1" applyAlignment="1">
      <alignment horizontal="center"/>
    </xf>
    <xf numFmtId="165" fontId="34" fillId="2" borderId="31" xfId="0" applyNumberFormat="1" applyFont="1" applyFill="1" applyBorder="1" applyAlignment="1">
      <alignment horizontal="center"/>
      <extLst>
        <ext xmlns:xfpb="http://schemas.microsoft.com/office/spreadsheetml/2022/featurepropertybag" uri="{C7286773-470A-42A8-94C5-96B5CB345126}">
          <xfpb:xfComplement i="0"/>
        </ext>
      </extLst>
    </xf>
    <xf numFmtId="1" fontId="16" fillId="3" borderId="0" xfId="0" applyNumberFormat="1" applyFont="1" applyFill="1" applyAlignment="1">
      <alignment horizontal="center"/>
    </xf>
    <xf numFmtId="3" fontId="15" fillId="0" borderId="0" xfId="0" applyNumberFormat="1" applyFont="1" applyAlignment="1">
      <alignment horizontal="right"/>
    </xf>
    <xf numFmtId="14" fontId="15" fillId="2" borderId="29" xfId="0" applyNumberFormat="1" applyFont="1" applyFill="1" applyBorder="1"/>
    <xf numFmtId="171" fontId="0" fillId="25" borderId="29" xfId="0" applyNumberFormat="1" applyFill="1" applyBorder="1"/>
    <xf numFmtId="171" fontId="0" fillId="20" borderId="29" xfId="0" applyNumberFormat="1" applyFill="1" applyBorder="1"/>
    <xf numFmtId="6" fontId="1" fillId="0" borderId="0" xfId="0" applyNumberFormat="1" applyFont="1" applyAlignment="1">
      <alignment horizontal="right"/>
    </xf>
    <xf numFmtId="9" fontId="15" fillId="18" borderId="29" xfId="0" applyNumberFormat="1" applyFont="1" applyFill="1" applyBorder="1" applyAlignment="1">
      <alignment horizontal="right"/>
    </xf>
    <xf numFmtId="14" fontId="0" fillId="2" borderId="0" xfId="0" applyNumberFormat="1" applyFill="1"/>
    <xf numFmtId="4" fontId="0" fillId="2" borderId="0" xfId="0" applyNumberFormat="1" applyFill="1"/>
    <xf numFmtId="16" fontId="0" fillId="2" borderId="0" xfId="0" applyNumberFormat="1" applyFill="1"/>
    <xf numFmtId="14" fontId="0" fillId="2" borderId="0" xfId="0" applyNumberFormat="1" applyFill="1" applyAlignment="1">
      <alignment horizontal="right"/>
    </xf>
    <xf numFmtId="14" fontId="1" fillId="0" borderId="0" xfId="0" applyNumberFormat="1" applyFont="1" applyAlignment="1">
      <alignment horizontal="center"/>
    </xf>
    <xf numFmtId="0" fontId="16" fillId="9" borderId="29" xfId="0" applyFont="1" applyFill="1" applyBorder="1" applyAlignment="1">
      <alignment horizontal="right" vertical="center" wrapText="1"/>
    </xf>
    <xf numFmtId="0" fontId="15" fillId="23" borderId="45" xfId="0" applyFont="1" applyFill="1" applyBorder="1" applyAlignment="1">
      <alignment horizontal="center"/>
    </xf>
    <xf numFmtId="0" fontId="16" fillId="2" borderId="29" xfId="0" applyFont="1" applyFill="1" applyBorder="1" applyAlignment="1">
      <alignment horizontal="center" vertical="center" wrapText="1"/>
      <extLst>
        <ext xmlns:xfpb="http://schemas.microsoft.com/office/spreadsheetml/2022/featurepropertybag" uri="{C7286773-470A-42A8-94C5-96B5CB345126}">
          <xfpb:xfComplement i="0"/>
        </ext>
      </extLst>
    </xf>
    <xf numFmtId="9" fontId="0" fillId="2" borderId="29" xfId="0" applyNumberFormat="1" applyFill="1" applyBorder="1"/>
    <xf numFmtId="4" fontId="0" fillId="9" borderId="0" xfId="0" applyNumberFormat="1" applyFill="1"/>
    <xf numFmtId="171" fontId="0" fillId="18" borderId="29" xfId="0" applyNumberFormat="1" applyFill="1" applyBorder="1"/>
    <xf numFmtId="10" fontId="0" fillId="0" borderId="0" xfId="0" applyNumberFormat="1"/>
    <xf numFmtId="14" fontId="0" fillId="0" borderId="0" xfId="0" applyNumberFormat="1" applyAlignment="1">
      <alignment horizontal="right"/>
    </xf>
    <xf numFmtId="0" fontId="16" fillId="2" borderId="29" xfId="0" applyFont="1" applyFill="1" applyBorder="1" applyAlignment="1">
      <alignment horizontal="center"/>
    </xf>
    <xf numFmtId="38" fontId="0" fillId="0" borderId="0" xfId="0" applyNumberFormat="1"/>
    <xf numFmtId="175" fontId="0" fillId="0" borderId="0" xfId="0" applyNumberFormat="1"/>
    <xf numFmtId="176" fontId="0" fillId="0" borderId="0" xfId="0" applyNumberFormat="1"/>
    <xf numFmtId="3" fontId="0" fillId="0" borderId="0" xfId="0" applyNumberFormat="1" applyAlignment="1">
      <alignment horizontal="right"/>
    </xf>
    <xf numFmtId="0" fontId="0" fillId="0" borderId="5" xfId="0" applyBorder="1" applyAlignment="1">
      <alignment horizontal="right"/>
    </xf>
    <xf numFmtId="38" fontId="0" fillId="0" borderId="0" xfId="0" applyNumberFormat="1" applyAlignment="1">
      <alignment horizontal="left"/>
    </xf>
    <xf numFmtId="4" fontId="0" fillId="0" borderId="0" xfId="0" applyNumberFormat="1" applyAlignment="1">
      <alignment horizontal="left"/>
    </xf>
    <xf numFmtId="3" fontId="0" fillId="0" borderId="0" xfId="0" applyNumberFormat="1" applyAlignment="1">
      <alignment horizontal="left"/>
    </xf>
    <xf numFmtId="175" fontId="0" fillId="0" borderId="0" xfId="0" applyNumberFormat="1" applyAlignment="1">
      <alignment horizontal="left"/>
    </xf>
    <xf numFmtId="8" fontId="0" fillId="0" borderId="0" xfId="0" applyNumberFormat="1" applyAlignment="1">
      <alignment horizontal="left"/>
    </xf>
    <xf numFmtId="176" fontId="0" fillId="0" borderId="0" xfId="0" applyNumberFormat="1" applyAlignment="1">
      <alignment horizontal="left"/>
    </xf>
    <xf numFmtId="49" fontId="0" fillId="0" borderId="0" xfId="0" applyNumberFormat="1" applyAlignment="1">
      <alignment horizontal="left"/>
    </xf>
    <xf numFmtId="0" fontId="1" fillId="0" borderId="4" xfId="0" applyFont="1" applyBorder="1" applyAlignment="1">
      <alignment horizontal="right"/>
    </xf>
    <xf numFmtId="0" fontId="1" fillId="0" borderId="6" xfId="0" applyFont="1" applyBorder="1" applyAlignment="1">
      <alignment horizontal="right"/>
    </xf>
    <xf numFmtId="0" fontId="1" fillId="0" borderId="2" xfId="0" applyFont="1" applyBorder="1" applyAlignment="1">
      <alignment horizontal="center"/>
    </xf>
    <xf numFmtId="0" fontId="1" fillId="0" borderId="4" xfId="0" applyFont="1" applyBorder="1" applyAlignment="1">
      <alignment horizontal="center"/>
    </xf>
    <xf numFmtId="0" fontId="1" fillId="0" borderId="6" xfId="0" applyFont="1" applyBorder="1" applyAlignment="1">
      <alignment horizontal="center"/>
    </xf>
    <xf numFmtId="176" fontId="0" fillId="2" borderId="0" xfId="0" applyNumberFormat="1" applyFill="1" applyAlignment="1">
      <alignment horizontal="left"/>
    </xf>
    <xf numFmtId="0" fontId="48" fillId="0" borderId="0" xfId="0" applyFont="1"/>
    <xf numFmtId="171" fontId="0" fillId="0" borderId="0" xfId="0" applyNumberFormat="1"/>
    <xf numFmtId="171" fontId="0" fillId="0" borderId="1" xfId="0" applyNumberFormat="1" applyBorder="1"/>
    <xf numFmtId="3" fontId="1" fillId="0" borderId="34" xfId="0" applyNumberFormat="1" applyFont="1" applyBorder="1" applyAlignment="1">
      <alignment horizontal="center" wrapText="1"/>
    </xf>
    <xf numFmtId="4" fontId="1" fillId="0" borderId="0" xfId="0" applyNumberFormat="1" applyFont="1" applyAlignment="1">
      <alignment horizontal="right"/>
    </xf>
    <xf numFmtId="4" fontId="0" fillId="18" borderId="29" xfId="0" applyNumberFormat="1" applyFill="1" applyBorder="1"/>
    <xf numFmtId="4" fontId="1" fillId="2" borderId="29" xfId="0" applyNumberFormat="1" applyFont="1" applyFill="1" applyBorder="1" applyAlignment="1">
      <alignment horizontal="center"/>
    </xf>
    <xf numFmtId="4" fontId="1" fillId="0" borderId="29" xfId="0" applyNumberFormat="1" applyFont="1" applyBorder="1" applyAlignment="1">
      <alignment horizontal="center" wrapText="1"/>
    </xf>
    <xf numFmtId="173" fontId="0" fillId="20" borderId="38" xfId="0" applyNumberFormat="1" applyFill="1" applyBorder="1" applyAlignment="1">
      <alignment horizontal="center"/>
    </xf>
    <xf numFmtId="173" fontId="0" fillId="0" borderId="0" xfId="0" applyNumberFormat="1" applyAlignment="1">
      <alignment horizontal="center"/>
    </xf>
    <xf numFmtId="173" fontId="1" fillId="20" borderId="29" xfId="0" applyNumberFormat="1" applyFont="1" applyFill="1" applyBorder="1" applyAlignment="1">
      <alignment horizontal="center" wrapText="1"/>
    </xf>
    <xf numFmtId="173" fontId="0" fillId="20" borderId="34" xfId="0" applyNumberFormat="1" applyFill="1" applyBorder="1" applyAlignment="1">
      <alignment horizontal="center"/>
    </xf>
    <xf numFmtId="4" fontId="1" fillId="0" borderId="29" xfId="0" applyNumberFormat="1" applyFont="1" applyBorder="1" applyAlignment="1">
      <alignment horizontal="center"/>
    </xf>
    <xf numFmtId="4" fontId="1" fillId="0" borderId="0" xfId="0" applyNumberFormat="1" applyFont="1"/>
    <xf numFmtId="4" fontId="1" fillId="0" borderId="34" xfId="0" applyNumberFormat="1" applyFont="1" applyBorder="1" applyAlignment="1">
      <alignment horizontal="center" wrapText="1"/>
    </xf>
    <xf numFmtId="171" fontId="0" fillId="2" borderId="29" xfId="0" applyNumberFormat="1" applyFill="1" applyBorder="1"/>
    <xf numFmtId="3" fontId="0" fillId="2" borderId="29" xfId="0" applyNumberFormat="1" applyFill="1" applyBorder="1"/>
    <xf numFmtId="3" fontId="0" fillId="18" borderId="29" xfId="0" applyNumberFormat="1" applyFill="1" applyBorder="1"/>
    <xf numFmtId="3" fontId="1" fillId="18" borderId="34" xfId="0" applyNumberFormat="1" applyFont="1" applyFill="1" applyBorder="1" applyAlignment="1">
      <alignment horizontal="center" wrapText="1"/>
    </xf>
    <xf numFmtId="3" fontId="0" fillId="26" borderId="0" xfId="0" applyNumberFormat="1" applyFill="1"/>
    <xf numFmtId="3" fontId="0" fillId="26" borderId="1" xfId="0" applyNumberFormat="1" applyFill="1" applyBorder="1"/>
    <xf numFmtId="0" fontId="30" fillId="2" borderId="35" xfId="0" applyFont="1" applyFill="1" applyBorder="1" applyAlignment="1">
      <alignment horizontal="right"/>
    </xf>
    <xf numFmtId="3" fontId="0" fillId="2" borderId="1" xfId="0" applyNumberFormat="1" applyFill="1" applyBorder="1"/>
    <xf numFmtId="14" fontId="0" fillId="2" borderId="29" xfId="0" applyNumberFormat="1" applyFill="1" applyBorder="1"/>
    <xf numFmtId="14" fontId="0" fillId="18" borderId="29" xfId="0" applyNumberFormat="1" applyFill="1" applyBorder="1"/>
    <xf numFmtId="9" fontId="0" fillId="18" borderId="34" xfId="0" applyNumberFormat="1" applyFill="1" applyBorder="1"/>
    <xf numFmtId="9" fontId="1" fillId="2" borderId="34" xfId="0" applyNumberFormat="1" applyFont="1" applyFill="1" applyBorder="1" applyAlignment="1">
      <alignment horizontal="center"/>
    </xf>
    <xf numFmtId="0" fontId="0" fillId="0" borderId="39" xfId="0" applyBorder="1"/>
    <xf numFmtId="10" fontId="0" fillId="25" borderId="29" xfId="0" applyNumberFormat="1" applyFill="1" applyBorder="1"/>
    <xf numFmtId="10" fontId="0" fillId="20" borderId="29" xfId="0" applyNumberFormat="1" applyFill="1" applyBorder="1"/>
    <xf numFmtId="10" fontId="1" fillId="2" borderId="29" xfId="0" applyNumberFormat="1" applyFont="1" applyFill="1" applyBorder="1" applyAlignment="1">
      <alignment horizontal="center"/>
    </xf>
    <xf numFmtId="3" fontId="0" fillId="0" borderId="0" xfId="0" applyNumberFormat="1" applyAlignment="1">
      <alignment horizontal="center"/>
    </xf>
    <xf numFmtId="3" fontId="0" fillId="18" borderId="0" xfId="0" applyNumberFormat="1" applyFill="1"/>
    <xf numFmtId="0" fontId="1" fillId="0" borderId="29" xfId="0" applyFont="1" applyBorder="1" applyAlignment="1">
      <alignment horizontal="left"/>
    </xf>
    <xf numFmtId="0" fontId="49" fillId="0" borderId="0" xfId="0" applyFont="1" applyAlignment="1">
      <alignment horizontal="left" vertical="center"/>
    </xf>
    <xf numFmtId="0" fontId="48" fillId="2" borderId="0" xfId="0" applyFont="1" applyFill="1"/>
    <xf numFmtId="49" fontId="0" fillId="2" borderId="0" xfId="0" applyNumberFormat="1" applyFill="1" applyAlignment="1">
      <alignment horizontal="left"/>
    </xf>
    <xf numFmtId="0" fontId="0" fillId="18" borderId="0" xfId="0" applyFill="1" applyAlignment="1">
      <alignment horizontal="center" wrapText="1"/>
    </xf>
    <xf numFmtId="0" fontId="1" fillId="18" borderId="0" xfId="0" applyFont="1" applyFill="1" applyAlignment="1">
      <alignment horizontal="center" wrapText="1"/>
    </xf>
    <xf numFmtId="2" fontId="1" fillId="18" borderId="0" xfId="0" applyNumberFormat="1" applyFont="1" applyFill="1" applyAlignment="1">
      <alignment horizontal="center" wrapText="1"/>
    </xf>
    <xf numFmtId="2" fontId="0" fillId="18" borderId="0" xfId="0" applyNumberFormat="1" applyFill="1" applyAlignment="1">
      <alignment horizontal="right"/>
    </xf>
    <xf numFmtId="3" fontId="35" fillId="27" borderId="41" xfId="0" applyNumberFormat="1" applyFont="1" applyFill="1" applyBorder="1" applyAlignment="1">
      <alignment horizontal="right"/>
    </xf>
    <xf numFmtId="3" fontId="15" fillId="2" borderId="0" xfId="0" applyNumberFormat="1" applyFont="1" applyFill="1" applyAlignment="1">
      <alignment horizontal="right"/>
    </xf>
    <xf numFmtId="3" fontId="0" fillId="18" borderId="0" xfId="0" applyNumberFormat="1" applyFill="1" applyAlignment="1">
      <alignment horizontal="right"/>
    </xf>
    <xf numFmtId="14" fontId="1" fillId="18" borderId="0" xfId="0" applyNumberFormat="1" applyFont="1" applyFill="1" applyAlignment="1">
      <alignment horizontal="center"/>
    </xf>
    <xf numFmtId="14" fontId="0" fillId="18" borderId="0" xfId="0" applyNumberFormat="1" applyFill="1" applyAlignment="1">
      <alignment horizontal="right"/>
    </xf>
    <xf numFmtId="3" fontId="1" fillId="18" borderId="0" xfId="0" applyNumberFormat="1" applyFont="1" applyFill="1" applyAlignment="1">
      <alignment horizontal="right"/>
    </xf>
    <xf numFmtId="3" fontId="1" fillId="9" borderId="0" xfId="0" applyNumberFormat="1" applyFont="1" applyFill="1" applyAlignment="1">
      <alignment horizontal="right"/>
    </xf>
    <xf numFmtId="49" fontId="50" fillId="0" borderId="0" xfId="14" applyNumberFormat="1" applyFont="1" applyAlignment="1">
      <alignment vertical="top"/>
    </xf>
    <xf numFmtId="1" fontId="50" fillId="16" borderId="0" xfId="14" applyNumberFormat="1" applyFont="1" applyFill="1" applyAlignment="1">
      <alignment vertical="top"/>
    </xf>
    <xf numFmtId="4" fontId="50" fillId="16" borderId="0" xfId="14" applyNumberFormat="1" applyFont="1" applyFill="1" applyAlignment="1">
      <alignment vertical="top"/>
    </xf>
    <xf numFmtId="0" fontId="24" fillId="0" borderId="20" xfId="0" applyFont="1" applyBorder="1" applyAlignment="1">
      <alignment horizontal="center" vertical="top" wrapText="1"/>
    </xf>
    <xf numFmtId="49" fontId="24" fillId="0" borderId="0" xfId="14" applyNumberFormat="1" applyFont="1" applyAlignment="1">
      <alignment vertical="top" wrapText="1"/>
    </xf>
    <xf numFmtId="1" fontId="0" fillId="18" borderId="0" xfId="0" applyNumberFormat="1" applyFill="1" applyAlignment="1">
      <alignment horizontal="right"/>
    </xf>
    <xf numFmtId="177" fontId="0" fillId="0" borderId="0" xfId="0" applyNumberFormat="1"/>
    <xf numFmtId="14" fontId="0" fillId="0" borderId="0" xfId="0" applyNumberFormat="1" applyAlignment="1">
      <alignment horizontal="center"/>
    </xf>
    <xf numFmtId="166" fontId="0" fillId="0" borderId="0" xfId="0" applyNumberFormat="1" applyAlignment="1">
      <alignment horizontal="center"/>
    </xf>
    <xf numFmtId="2" fontId="0" fillId="0" borderId="0" xfId="0" applyNumberFormat="1" applyAlignment="1">
      <alignment horizontal="center"/>
    </xf>
    <xf numFmtId="16" fontId="1" fillId="0" borderId="0" xfId="0" applyNumberFormat="1" applyFont="1" applyAlignment="1">
      <alignment horizontal="center" wrapText="1"/>
    </xf>
    <xf numFmtId="172" fontId="1" fillId="0" borderId="0" xfId="0" applyNumberFormat="1" applyFont="1" applyAlignment="1">
      <alignment horizontal="left"/>
    </xf>
    <xf numFmtId="172" fontId="1" fillId="0" borderId="0" xfId="0" applyNumberFormat="1" applyFont="1" applyAlignment="1">
      <alignment horizontal="center" wrapText="1"/>
    </xf>
    <xf numFmtId="172" fontId="0" fillId="0" borderId="0" xfId="0" applyNumberFormat="1"/>
    <xf numFmtId="2" fontId="0" fillId="2" borderId="0" xfId="0" applyNumberFormat="1" applyFill="1" applyAlignment="1">
      <alignment horizontal="right"/>
    </xf>
    <xf numFmtId="2" fontId="0" fillId="0" borderId="0" xfId="0" applyNumberFormat="1" applyAlignment="1">
      <alignment vertical="center" wrapText="1"/>
    </xf>
    <xf numFmtId="49" fontId="51" fillId="0" borderId="0" xfId="14" applyNumberFormat="1" applyFont="1" applyAlignment="1">
      <alignment vertical="top"/>
    </xf>
    <xf numFmtId="1" fontId="51" fillId="16" borderId="0" xfId="14" applyNumberFormat="1" applyFont="1" applyFill="1" applyAlignment="1">
      <alignment vertical="top"/>
    </xf>
    <xf numFmtId="4" fontId="51" fillId="16" borderId="0" xfId="14" applyNumberFormat="1" applyFont="1" applyFill="1" applyAlignment="1">
      <alignment vertical="top"/>
    </xf>
    <xf numFmtId="49" fontId="51" fillId="0" borderId="0" xfId="0" applyNumberFormat="1" applyFont="1" applyAlignment="1">
      <alignment vertical="top"/>
    </xf>
    <xf numFmtId="1" fontId="51" fillId="16" borderId="0" xfId="0" applyNumberFormat="1" applyFont="1" applyFill="1" applyAlignment="1">
      <alignment vertical="top"/>
    </xf>
    <xf numFmtId="4" fontId="51" fillId="16" borderId="0" xfId="0" applyNumberFormat="1" applyFont="1" applyFill="1" applyAlignment="1">
      <alignment vertical="top"/>
    </xf>
    <xf numFmtId="16" fontId="1" fillId="0" borderId="0" xfId="0" applyNumberFormat="1" applyFont="1" applyAlignment="1">
      <alignment horizontal="left"/>
    </xf>
    <xf numFmtId="49" fontId="52" fillId="0" borderId="0" xfId="0" applyNumberFormat="1" applyFont="1" applyAlignment="1">
      <alignment vertical="top"/>
    </xf>
    <xf numFmtId="1" fontId="52" fillId="16" borderId="10" xfId="0" applyNumberFormat="1" applyFont="1" applyFill="1" applyBorder="1" applyAlignment="1">
      <alignment vertical="top"/>
    </xf>
    <xf numFmtId="4" fontId="52" fillId="16" borderId="10" xfId="0" applyNumberFormat="1" applyFont="1" applyFill="1" applyBorder="1" applyAlignment="1">
      <alignment vertical="top"/>
    </xf>
    <xf numFmtId="16" fontId="1" fillId="2" borderId="0" xfId="0" applyNumberFormat="1" applyFont="1" applyFill="1" applyAlignment="1">
      <alignment horizontal="left"/>
    </xf>
    <xf numFmtId="16" fontId="1" fillId="0" borderId="0" xfId="0" applyNumberFormat="1" applyFont="1" applyAlignment="1">
      <alignment horizontal="right"/>
    </xf>
    <xf numFmtId="16" fontId="1" fillId="2" borderId="0" xfId="0" applyNumberFormat="1" applyFont="1" applyFill="1" applyAlignment="1">
      <alignment horizontal="right"/>
    </xf>
    <xf numFmtId="0" fontId="0" fillId="0" borderId="0" xfId="0" applyAlignment="1">
      <alignment horizontal="left" wrapText="1"/>
    </xf>
    <xf numFmtId="0" fontId="0" fillId="0" borderId="0" xfId="0" applyAlignment="1">
      <alignment horizontal="center" vertical="center" wrapText="1"/>
    </xf>
    <xf numFmtId="10" fontId="15" fillId="3" borderId="37" xfId="0" applyNumberFormat="1" applyFont="1" applyFill="1" applyBorder="1"/>
    <xf numFmtId="10" fontId="15" fillId="18" borderId="37" xfId="0" applyNumberFormat="1" applyFont="1" applyFill="1" applyBorder="1"/>
    <xf numFmtId="14" fontId="15" fillId="0" borderId="0" xfId="0" applyNumberFormat="1" applyFont="1" applyAlignment="1">
      <alignment horizontal="center"/>
    </xf>
    <xf numFmtId="14" fontId="15" fillId="2" borderId="0" xfId="0" applyNumberFormat="1" applyFont="1" applyFill="1" applyAlignment="1">
      <alignment horizontal="center" vertical="center"/>
    </xf>
    <xf numFmtId="0" fontId="0" fillId="0" borderId="0" xfId="0" applyAlignment="1">
      <alignment horizontal="center" vertical="center"/>
    </xf>
    <xf numFmtId="9" fontId="15" fillId="2" borderId="0" xfId="0" applyNumberFormat="1" applyFont="1" applyFill="1" applyAlignment="1">
      <alignment horizontal="center"/>
    </xf>
    <xf numFmtId="9" fontId="0" fillId="0" borderId="0" xfId="0" applyNumberFormat="1" applyAlignment="1">
      <alignment horizontal="center"/>
    </xf>
    <xf numFmtId="3" fontId="15" fillId="2" borderId="0" xfId="0" applyNumberFormat="1" applyFont="1" applyFill="1" applyAlignment="1">
      <alignment horizontal="center" vertical="center"/>
    </xf>
    <xf numFmtId="3" fontId="0" fillId="0" borderId="0" xfId="0" applyNumberFormat="1" applyAlignment="1">
      <alignment horizontal="center" vertical="center"/>
    </xf>
    <xf numFmtId="0" fontId="16" fillId="2" borderId="0" xfId="0" applyFont="1" applyFill="1" applyAlignment="1">
      <alignment horizontal="center" vertical="center" wrapText="1"/>
      <extLst>
        <ext xmlns:xfpb="http://schemas.microsoft.com/office/spreadsheetml/2022/featurepropertybag" uri="{C7286773-470A-42A8-94C5-96B5CB345126}">
          <xfpb:xfComplement i="0"/>
        </ext>
      </extLst>
    </xf>
    <xf numFmtId="0" fontId="16" fillId="18" borderId="0" xfId="0" applyFont="1" applyFill="1" applyAlignment="1">
      <alignment horizontal="center" vertical="center" wrapText="1"/>
    </xf>
    <xf numFmtId="0" fontId="1" fillId="0" borderId="0" xfId="0" applyFont="1" applyAlignment="1">
      <alignment horizontal="center" vertical="center" wrapText="1"/>
    </xf>
    <xf numFmtId="164" fontId="15" fillId="18" borderId="0" xfId="0" applyNumberFormat="1" applyFont="1" applyFill="1" applyAlignment="1">
      <alignment horizontal="center" vertical="center" wrapText="1"/>
    </xf>
    <xf numFmtId="164" fontId="0" fillId="18" borderId="0" xfId="0" applyNumberFormat="1" applyFill="1" applyAlignment="1">
      <alignment horizontal="center" vertical="center" wrapText="1"/>
    </xf>
    <xf numFmtId="0" fontId="16" fillId="3" borderId="0" xfId="0" applyFont="1" applyFill="1" applyAlignment="1">
      <alignment horizontal="center" wrapText="1"/>
    </xf>
    <xf numFmtId="10" fontId="15" fillId="24" borderId="0" xfId="0" applyNumberFormat="1" applyFont="1" applyFill="1"/>
    <xf numFmtId="164" fontId="53" fillId="0" borderId="0" xfId="0" applyNumberFormat="1" applyFont="1" applyAlignment="1">
      <alignment horizontal="center" wrapText="1"/>
    </xf>
    <xf numFmtId="164" fontId="15" fillId="24" borderId="0" xfId="0" applyNumberFormat="1" applyFont="1" applyFill="1"/>
    <xf numFmtId="3" fontId="15" fillId="24" borderId="0" xfId="0" applyNumberFormat="1" applyFont="1" applyFill="1"/>
    <xf numFmtId="4" fontId="15" fillId="24" borderId="5" xfId="0" applyNumberFormat="1" applyFont="1" applyFill="1" applyBorder="1"/>
    <xf numFmtId="4" fontId="15" fillId="3" borderId="36" xfId="0" applyNumberFormat="1" applyFont="1" applyFill="1" applyBorder="1"/>
    <xf numFmtId="0" fontId="53" fillId="0" borderId="0" xfId="0" applyFont="1" applyAlignment="1">
      <alignment horizontal="center" wrapText="1"/>
    </xf>
    <xf numFmtId="4" fontId="15" fillId="18" borderId="36" xfId="0" applyNumberFormat="1" applyFont="1" applyFill="1" applyBorder="1"/>
    <xf numFmtId="164" fontId="53" fillId="0" borderId="3" xfId="0" applyNumberFormat="1" applyFont="1" applyBorder="1" applyAlignment="1">
      <alignment horizontal="center" wrapText="1"/>
    </xf>
    <xf numFmtId="0" fontId="53" fillId="0" borderId="5" xfId="0" applyFont="1" applyBorder="1" applyAlignment="1">
      <alignment horizontal="center" wrapText="1"/>
    </xf>
    <xf numFmtId="0" fontId="54" fillId="0" borderId="7" xfId="0" applyFont="1" applyBorder="1" applyAlignment="1">
      <alignment horizontal="center" wrapText="1"/>
    </xf>
    <xf numFmtId="164" fontId="53" fillId="0" borderId="39" xfId="0" applyNumberFormat="1" applyFont="1" applyBorder="1" applyAlignment="1">
      <alignment horizontal="center" wrapText="1"/>
    </xf>
    <xf numFmtId="0" fontId="53" fillId="0" borderId="38" xfId="0" applyFont="1" applyBorder="1" applyAlignment="1">
      <alignment horizontal="center" wrapText="1"/>
    </xf>
    <xf numFmtId="0" fontId="54" fillId="0" borderId="34" xfId="0" applyFont="1" applyBorder="1" applyAlignment="1">
      <alignment horizontal="center" wrapText="1"/>
    </xf>
    <xf numFmtId="9" fontId="16" fillId="24" borderId="35" xfId="0" applyNumberFormat="1" applyFont="1" applyFill="1" applyBorder="1" applyAlignment="1">
      <alignment horizontal="center" vertical="center"/>
    </xf>
    <xf numFmtId="0" fontId="1" fillId="24" borderId="37" xfId="0" applyFont="1" applyFill="1" applyBorder="1" applyAlignment="1">
      <alignment horizontal="center" vertical="center"/>
    </xf>
    <xf numFmtId="0" fontId="1" fillId="24" borderId="36" xfId="0" applyFont="1" applyFill="1" applyBorder="1" applyAlignment="1">
      <alignment horizontal="center" vertical="center"/>
    </xf>
    <xf numFmtId="0" fontId="53" fillId="0" borderId="2" xfId="0" applyFont="1" applyBorder="1" applyAlignment="1">
      <alignment horizontal="center"/>
    </xf>
    <xf numFmtId="0" fontId="53" fillId="0" borderId="3" xfId="0" applyFont="1" applyBorder="1" applyAlignment="1">
      <alignment horizontal="center"/>
    </xf>
    <xf numFmtId="0" fontId="54" fillId="0" borderId="6" xfId="0" applyFont="1" applyBorder="1" applyAlignment="1">
      <alignment horizontal="center"/>
    </xf>
    <xf numFmtId="0" fontId="54" fillId="0" borderId="7" xfId="0" applyFont="1" applyBorder="1" applyAlignment="1">
      <alignment horizontal="center"/>
    </xf>
    <xf numFmtId="0" fontId="30" fillId="2" borderId="37" xfId="0" applyFont="1" applyFill="1" applyBorder="1" applyAlignment="1">
      <alignment horizontal="left"/>
    </xf>
    <xf numFmtId="0" fontId="0" fillId="2" borderId="37" xfId="0" applyFill="1" applyBorder="1" applyAlignment="1">
      <alignment horizontal="left"/>
    </xf>
    <xf numFmtId="0" fontId="0" fillId="2" borderId="36" xfId="0" applyFill="1" applyBorder="1" applyAlignment="1">
      <alignment horizontal="left"/>
    </xf>
    <xf numFmtId="3" fontId="15" fillId="18" borderId="35" xfId="0" applyNumberFormat="1" applyFont="1" applyFill="1" applyBorder="1"/>
    <xf numFmtId="0" fontId="0" fillId="18" borderId="36" xfId="0" applyFill="1" applyBorder="1"/>
    <xf numFmtId="164" fontId="15" fillId="2" borderId="6" xfId="0" applyNumberFormat="1" applyFont="1" applyFill="1" applyBorder="1"/>
    <xf numFmtId="0" fontId="15" fillId="2" borderId="1" xfId="0" applyFont="1" applyFill="1" applyBorder="1"/>
    <xf numFmtId="164" fontId="15" fillId="2" borderId="4" xfId="0" applyNumberFormat="1" applyFont="1" applyFill="1" applyBorder="1"/>
    <xf numFmtId="0" fontId="15" fillId="2" borderId="7" xfId="0" applyFont="1" applyFill="1" applyBorder="1"/>
    <xf numFmtId="0" fontId="16" fillId="9" borderId="2" xfId="0" applyFont="1" applyFill="1" applyBorder="1" applyAlignment="1">
      <alignment horizontal="right" vertical="center" wrapText="1"/>
    </xf>
    <xf numFmtId="0" fontId="15" fillId="9" borderId="6" xfId="0" applyFont="1" applyFill="1" applyBorder="1" applyAlignment="1">
      <alignment horizontal="right" vertical="center" wrapText="1"/>
    </xf>
    <xf numFmtId="0" fontId="16" fillId="0" borderId="9" xfId="0" applyFont="1" applyBorder="1" applyAlignment="1">
      <alignment horizontal="center" wrapText="1"/>
    </xf>
    <xf numFmtId="0" fontId="15" fillId="0" borderId="3" xfId="0" applyFont="1" applyBorder="1"/>
    <xf numFmtId="0" fontId="15" fillId="0" borderId="1" xfId="0" applyFont="1" applyBorder="1"/>
    <xf numFmtId="0" fontId="15" fillId="0" borderId="7" xfId="0" applyFont="1" applyBorder="1"/>
    <xf numFmtId="0" fontId="16" fillId="0" borderId="1" xfId="0" applyFont="1" applyBorder="1" applyAlignment="1">
      <alignment horizontal="center"/>
    </xf>
    <xf numFmtId="164" fontId="15" fillId="2" borderId="2" xfId="0" applyNumberFormat="1" applyFont="1" applyFill="1" applyBorder="1"/>
    <xf numFmtId="0" fontId="15" fillId="2" borderId="9" xfId="0" applyFont="1" applyFill="1" applyBorder="1"/>
    <xf numFmtId="164" fontId="15" fillId="18" borderId="0" xfId="0" applyNumberFormat="1" applyFont="1" applyFill="1"/>
    <xf numFmtId="0" fontId="15" fillId="18" borderId="0" xfId="0" applyFont="1" applyFill="1"/>
    <xf numFmtId="14" fontId="15" fillId="2" borderId="35" xfId="0" applyNumberFormat="1" applyFont="1" applyFill="1" applyBorder="1"/>
    <xf numFmtId="0" fontId="0" fillId="0" borderId="36" xfId="0" applyBorder="1"/>
    <xf numFmtId="9" fontId="15" fillId="2" borderId="39" xfId="0" applyNumberFormat="1" applyFont="1" applyFill="1" applyBorder="1" applyAlignment="1">
      <alignment horizontal="center"/>
    </xf>
    <xf numFmtId="9" fontId="0" fillId="0" borderId="34" xfId="0" applyNumberFormat="1" applyBorder="1" applyAlignment="1">
      <alignment horizontal="center"/>
    </xf>
    <xf numFmtId="0" fontId="16" fillId="18" borderId="2" xfId="0" applyFont="1" applyFill="1" applyBorder="1" applyAlignment="1">
      <alignment horizontal="center" vertical="center" wrapText="1"/>
    </xf>
    <xf numFmtId="0" fontId="16" fillId="18" borderId="3" xfId="0" applyFont="1" applyFill="1" applyBorder="1" applyAlignment="1">
      <alignment horizontal="center" vertical="center" wrapText="1"/>
    </xf>
    <xf numFmtId="0" fontId="16" fillId="18" borderId="4" xfId="0" applyFont="1" applyFill="1" applyBorder="1" applyAlignment="1">
      <alignment horizontal="center" vertical="center" wrapText="1"/>
    </xf>
    <xf numFmtId="0" fontId="16" fillId="18" borderId="5" xfId="0" applyFont="1" applyFill="1" applyBorder="1" applyAlignment="1">
      <alignment horizontal="center" vertical="center" wrapText="1"/>
    </xf>
    <xf numFmtId="0" fontId="16" fillId="18" borderId="6" xfId="0" applyFont="1" applyFill="1" applyBorder="1" applyAlignment="1">
      <alignment horizontal="center" vertical="center" wrapText="1"/>
    </xf>
    <xf numFmtId="0" fontId="16" fillId="18" borderId="7" xfId="0" applyFont="1" applyFill="1" applyBorder="1" applyAlignment="1">
      <alignment horizontal="center" vertical="center" wrapText="1"/>
    </xf>
    <xf numFmtId="164" fontId="16" fillId="0" borderId="0" xfId="0" applyNumberFormat="1" applyFont="1" applyAlignment="1">
      <alignment horizontal="right"/>
    </xf>
    <xf numFmtId="0" fontId="16" fillId="0" borderId="9" xfId="0" applyFont="1" applyBorder="1" applyAlignment="1">
      <alignment horizontal="right"/>
    </xf>
    <xf numFmtId="164" fontId="15" fillId="18" borderId="39" xfId="0" applyNumberFormat="1" applyFont="1" applyFill="1" applyBorder="1" applyAlignment="1">
      <alignment horizontal="center" vertical="center" wrapText="1"/>
    </xf>
    <xf numFmtId="164" fontId="0" fillId="18" borderId="34" xfId="0" applyNumberFormat="1" applyFill="1" applyBorder="1" applyAlignment="1">
      <alignment horizontal="center" vertical="center" wrapText="1"/>
    </xf>
    <xf numFmtId="0" fontId="15" fillId="18" borderId="39" xfId="0" applyFont="1" applyFill="1" applyBorder="1" applyAlignment="1">
      <alignment horizontal="center" vertical="center" wrapText="1"/>
    </xf>
    <xf numFmtId="0" fontId="0" fillId="18" borderId="34" xfId="0" applyFill="1" applyBorder="1" applyAlignment="1">
      <alignment horizontal="center" vertical="center" wrapText="1"/>
    </xf>
    <xf numFmtId="0" fontId="16" fillId="3" borderId="2" xfId="0" applyFont="1" applyFill="1" applyBorder="1" applyAlignment="1">
      <alignment horizontal="center" vertical="center" wrapText="1"/>
    </xf>
    <xf numFmtId="0" fontId="0" fillId="0" borderId="3" xfId="0" applyBorder="1"/>
    <xf numFmtId="0" fontId="0" fillId="0" borderId="4" xfId="0" applyBorder="1"/>
    <xf numFmtId="0" fontId="0" fillId="0" borderId="5" xfId="0" applyBorder="1"/>
    <xf numFmtId="0" fontId="0" fillId="0" borderId="6" xfId="0" applyBorder="1"/>
    <xf numFmtId="0" fontId="0" fillId="0" borderId="7" xfId="0" applyBorder="1"/>
    <xf numFmtId="164" fontId="15" fillId="18" borderId="35" xfId="0" applyNumberFormat="1" applyFont="1" applyFill="1" applyBorder="1"/>
    <xf numFmtId="0" fontId="15" fillId="18" borderId="36" xfId="0" applyFont="1" applyFill="1" applyBorder="1"/>
    <xf numFmtId="164" fontId="15" fillId="0" borderId="11" xfId="0" applyNumberFormat="1" applyFont="1" applyBorder="1"/>
    <xf numFmtId="0" fontId="15" fillId="0" borderId="12" xfId="0" applyFont="1" applyBorder="1"/>
    <xf numFmtId="0" fontId="15" fillId="18" borderId="35" xfId="0" applyFont="1" applyFill="1" applyBorder="1" applyAlignment="1">
      <alignment horizontal="left"/>
    </xf>
    <xf numFmtId="0" fontId="0" fillId="0" borderId="36" xfId="0" applyBorder="1" applyAlignment="1">
      <alignment horizontal="left"/>
    </xf>
    <xf numFmtId="14" fontId="15" fillId="2" borderId="35" xfId="0" applyNumberFormat="1" applyFont="1" applyFill="1" applyBorder="1" applyAlignment="1">
      <alignment horizontal="center" vertical="center"/>
    </xf>
    <xf numFmtId="0" fontId="0" fillId="2" borderId="36" xfId="0" applyFill="1" applyBorder="1" applyAlignment="1">
      <alignment vertical="center"/>
    </xf>
    <xf numFmtId="3" fontId="15" fillId="2" borderId="4" xfId="0" applyNumberFormat="1" applyFont="1" applyFill="1" applyBorder="1"/>
    <xf numFmtId="3" fontId="15" fillId="2" borderId="5" xfId="0" applyNumberFormat="1" applyFont="1" applyFill="1" applyBorder="1"/>
    <xf numFmtId="164" fontId="16" fillId="0" borderId="9" xfId="0" applyNumberFormat="1" applyFont="1" applyBorder="1" applyAlignment="1">
      <alignment horizontal="right"/>
    </xf>
    <xf numFmtId="164" fontId="15" fillId="18" borderId="6" xfId="0" applyNumberFormat="1" applyFont="1" applyFill="1" applyBorder="1"/>
    <xf numFmtId="0" fontId="15" fillId="18" borderId="7" xfId="0" applyFont="1" applyFill="1" applyBorder="1"/>
    <xf numFmtId="164" fontId="15" fillId="0" borderId="6" xfId="0" applyNumberFormat="1" applyFont="1" applyBorder="1"/>
    <xf numFmtId="3" fontId="15" fillId="18" borderId="2" xfId="0" applyNumberFormat="1" applyFont="1" applyFill="1" applyBorder="1"/>
    <xf numFmtId="0" fontId="15" fillId="18" borderId="3" xfId="0" applyFont="1" applyFill="1" applyBorder="1"/>
    <xf numFmtId="0" fontId="0" fillId="2" borderId="7" xfId="0" applyFill="1" applyBorder="1"/>
    <xf numFmtId="0" fontId="0" fillId="2" borderId="35" xfId="0" applyFill="1" applyBorder="1" applyAlignment="1">
      <alignment vertical="center"/>
    </xf>
    <xf numFmtId="0" fontId="0" fillId="0" borderId="36" xfId="0" applyBorder="1" applyAlignment="1">
      <alignment vertical="center"/>
    </xf>
    <xf numFmtId="9" fontId="15" fillId="2" borderId="35" xfId="0" applyNumberFormat="1" applyFont="1" applyFill="1" applyBorder="1" applyAlignment="1">
      <alignment horizontal="right"/>
    </xf>
    <xf numFmtId="9" fontId="0" fillId="0" borderId="37" xfId="0" applyNumberFormat="1" applyBorder="1" applyAlignment="1">
      <alignment horizontal="right"/>
    </xf>
    <xf numFmtId="164" fontId="16" fillId="3" borderId="54" xfId="0" applyNumberFormat="1" applyFont="1" applyFill="1" applyBorder="1"/>
    <xf numFmtId="0" fontId="0" fillId="0" borderId="55" xfId="0" applyBorder="1"/>
    <xf numFmtId="9" fontId="15" fillId="18" borderId="35" xfId="0" applyNumberFormat="1" applyFont="1" applyFill="1" applyBorder="1" applyAlignment="1">
      <alignment horizontal="right"/>
    </xf>
    <xf numFmtId="9" fontId="0" fillId="18" borderId="36" xfId="0" applyNumberFormat="1" applyFill="1" applyBorder="1" applyAlignment="1">
      <alignment horizontal="right"/>
    </xf>
    <xf numFmtId="0" fontId="16" fillId="0" borderId="0" xfId="0" applyFont="1" applyAlignment="1">
      <alignment horizontal="right"/>
    </xf>
    <xf numFmtId="0" fontId="15" fillId="0" borderId="0" xfId="0" applyFont="1"/>
    <xf numFmtId="0" fontId="16" fillId="2" borderId="2" xfId="0" applyFont="1" applyFill="1" applyBorder="1" applyAlignment="1">
      <alignment horizontal="center" vertical="center" wrapText="1"/>
    </xf>
    <xf numFmtId="0" fontId="1" fillId="0" borderId="3" xfId="0" applyFont="1" applyBorder="1" applyAlignment="1">
      <alignment horizontal="center" vertical="center" wrapText="1"/>
    </xf>
    <xf numFmtId="0" fontId="1" fillId="0" borderId="4" xfId="0" applyFont="1" applyBorder="1" applyAlignment="1">
      <alignment horizontal="center" vertical="center" wrapText="1"/>
    </xf>
    <xf numFmtId="0" fontId="1" fillId="0" borderId="5" xfId="0" applyFont="1" applyBorder="1" applyAlignment="1">
      <alignment horizontal="center" vertical="center" wrapText="1"/>
    </xf>
    <xf numFmtId="3" fontId="15" fillId="0" borderId="0" xfId="0" applyNumberFormat="1" applyFont="1"/>
    <xf numFmtId="3" fontId="15" fillId="2" borderId="6" xfId="0" applyNumberFormat="1" applyFont="1" applyFill="1" applyBorder="1"/>
    <xf numFmtId="3" fontId="15" fillId="2" borderId="7" xfId="0" applyNumberFormat="1" applyFont="1" applyFill="1" applyBorder="1"/>
    <xf numFmtId="164" fontId="15" fillId="0" borderId="1" xfId="0" applyNumberFormat="1" applyFont="1" applyBorder="1"/>
    <xf numFmtId="164" fontId="15" fillId="17" borderId="35" xfId="0" applyNumberFormat="1" applyFont="1" applyFill="1" applyBorder="1"/>
    <xf numFmtId="164" fontId="15" fillId="17" borderId="36" xfId="0" applyNumberFormat="1" applyFont="1" applyFill="1" applyBorder="1"/>
    <xf numFmtId="3" fontId="15" fillId="2" borderId="32" xfId="0" applyNumberFormat="1" applyFont="1" applyFill="1" applyBorder="1"/>
    <xf numFmtId="3" fontId="15" fillId="2" borderId="33" xfId="0" applyNumberFormat="1" applyFont="1" applyFill="1" applyBorder="1"/>
    <xf numFmtId="0" fontId="16" fillId="17" borderId="2" xfId="0" applyFont="1" applyFill="1" applyBorder="1" applyAlignment="1">
      <alignment horizontal="center" vertical="center" wrapText="1"/>
    </xf>
    <xf numFmtId="0" fontId="0" fillId="0" borderId="3" xfId="0" applyBorder="1" applyAlignment="1">
      <alignment horizontal="center" vertical="center" wrapText="1"/>
    </xf>
    <xf numFmtId="0" fontId="0" fillId="0" borderId="6" xfId="0" applyBorder="1" applyAlignment="1">
      <alignment horizontal="center" vertical="center" wrapText="1"/>
    </xf>
    <xf numFmtId="0" fontId="0" fillId="0" borderId="7" xfId="0" applyBorder="1" applyAlignment="1">
      <alignment horizontal="center" vertical="center" wrapText="1"/>
    </xf>
    <xf numFmtId="3" fontId="15" fillId="0" borderId="1" xfId="0" applyNumberFormat="1" applyFont="1" applyBorder="1"/>
    <xf numFmtId="0" fontId="15" fillId="24" borderId="0" xfId="0" applyFont="1" applyFill="1" applyAlignment="1">
      <alignment horizontal="right"/>
    </xf>
    <xf numFmtId="0" fontId="0" fillId="24" borderId="0" xfId="0" applyFill="1"/>
    <xf numFmtId="0" fontId="15" fillId="3" borderId="37" xfId="0" applyFont="1" applyFill="1" applyBorder="1" applyAlignment="1">
      <alignment horizontal="right"/>
    </xf>
    <xf numFmtId="0" fontId="0" fillId="3" borderId="37" xfId="0" applyFill="1" applyBorder="1"/>
    <xf numFmtId="14" fontId="15" fillId="2" borderId="39" xfId="0" applyNumberFormat="1" applyFont="1" applyFill="1" applyBorder="1" applyAlignment="1">
      <alignment horizontal="center" vertical="center"/>
    </xf>
    <xf numFmtId="0" fontId="0" fillId="0" borderId="34" xfId="0" applyBorder="1" applyAlignment="1">
      <alignment horizontal="center" vertical="center"/>
    </xf>
    <xf numFmtId="3" fontId="15" fillId="3" borderId="9" xfId="0" applyNumberFormat="1" applyFont="1" applyFill="1" applyBorder="1"/>
    <xf numFmtId="3" fontId="15" fillId="3" borderId="0" xfId="0" applyNumberFormat="1" applyFont="1" applyFill="1"/>
    <xf numFmtId="3" fontId="15" fillId="2" borderId="39" xfId="0" applyNumberFormat="1" applyFont="1" applyFill="1" applyBorder="1" applyAlignment="1">
      <alignment horizontal="center" vertical="center"/>
    </xf>
    <xf numFmtId="3" fontId="0" fillId="0" borderId="34" xfId="0" applyNumberFormat="1" applyBorder="1" applyAlignment="1">
      <alignment horizontal="center" vertical="center"/>
    </xf>
    <xf numFmtId="164" fontId="16" fillId="0" borderId="35" xfId="0" applyNumberFormat="1" applyFont="1" applyBorder="1" applyAlignment="1">
      <alignment horizontal="center"/>
    </xf>
    <xf numFmtId="0" fontId="0" fillId="0" borderId="9" xfId="0" applyBorder="1" applyAlignment="1">
      <alignment horizontal="center"/>
    </xf>
    <xf numFmtId="0" fontId="0" fillId="0" borderId="3" xfId="0" applyBorder="1" applyAlignment="1">
      <alignment horizontal="center"/>
    </xf>
    <xf numFmtId="0" fontId="1" fillId="2" borderId="37" xfId="0" applyFont="1" applyFill="1" applyBorder="1" applyAlignment="1">
      <alignment horizontal="center"/>
    </xf>
    <xf numFmtId="0" fontId="0" fillId="0" borderId="36" xfId="0" applyBorder="1" applyAlignment="1">
      <alignment horizontal="center"/>
    </xf>
    <xf numFmtId="0" fontId="1" fillId="2" borderId="35" xfId="0" applyFont="1" applyFill="1" applyBorder="1" applyAlignment="1">
      <alignment horizontal="center"/>
    </xf>
    <xf numFmtId="0" fontId="0" fillId="0" borderId="37" xfId="0" applyBorder="1" applyAlignment="1">
      <alignment horizontal="center"/>
    </xf>
    <xf numFmtId="0" fontId="16" fillId="0" borderId="2" xfId="0" applyFont="1" applyBorder="1" applyAlignment="1">
      <alignment horizontal="center"/>
    </xf>
    <xf numFmtId="0" fontId="16" fillId="0" borderId="9" xfId="0" applyFont="1" applyBorder="1" applyAlignment="1">
      <alignment horizontal="center"/>
    </xf>
    <xf numFmtId="3" fontId="15" fillId="2" borderId="2" xfId="0" applyNumberFormat="1" applyFont="1" applyFill="1" applyBorder="1"/>
    <xf numFmtId="3" fontId="15" fillId="2" borderId="3" xfId="0" applyNumberFormat="1" applyFont="1" applyFill="1" applyBorder="1"/>
    <xf numFmtId="0" fontId="1" fillId="17" borderId="9" xfId="0" applyFont="1" applyFill="1" applyBorder="1" applyAlignment="1">
      <alignment horizontal="center" vertical="center" wrapText="1"/>
    </xf>
    <xf numFmtId="0" fontId="1" fillId="17" borderId="3" xfId="0" applyFont="1" applyFill="1" applyBorder="1" applyAlignment="1">
      <alignment horizontal="center" vertical="center" wrapText="1"/>
    </xf>
    <xf numFmtId="0" fontId="1" fillId="17" borderId="6" xfId="0" applyFont="1" applyFill="1" applyBorder="1" applyAlignment="1">
      <alignment horizontal="center" vertical="center" wrapText="1"/>
    </xf>
    <xf numFmtId="0" fontId="1" fillId="17" borderId="1" xfId="0" applyFont="1" applyFill="1" applyBorder="1" applyAlignment="1">
      <alignment horizontal="center" vertical="center" wrapText="1"/>
    </xf>
    <xf numFmtId="0" fontId="1" fillId="17" borderId="7" xfId="0" applyFont="1" applyFill="1" applyBorder="1" applyAlignment="1">
      <alignment horizontal="center" vertical="center" wrapText="1"/>
    </xf>
    <xf numFmtId="0" fontId="16" fillId="17" borderId="4" xfId="0" applyFont="1" applyFill="1" applyBorder="1" applyAlignment="1">
      <alignment horizontal="center" vertical="center" wrapText="1"/>
    </xf>
    <xf numFmtId="0" fontId="1" fillId="17" borderId="0" xfId="0" applyFont="1" applyFill="1" applyAlignment="1">
      <alignment horizontal="center" vertical="center" wrapText="1"/>
    </xf>
    <xf numFmtId="0" fontId="1" fillId="17" borderId="5" xfId="0" applyFont="1" applyFill="1" applyBorder="1" applyAlignment="1">
      <alignment horizontal="center" vertical="center" wrapText="1"/>
    </xf>
    <xf numFmtId="0" fontId="16" fillId="3" borderId="9" xfId="0" applyFont="1" applyFill="1" applyBorder="1" applyAlignment="1">
      <alignment horizontal="center" wrapText="1"/>
    </xf>
    <xf numFmtId="0" fontId="16" fillId="3" borderId="1" xfId="0" applyFont="1" applyFill="1" applyBorder="1" applyAlignment="1">
      <alignment horizontal="center" wrapText="1"/>
    </xf>
    <xf numFmtId="0" fontId="16" fillId="3" borderId="6" xfId="0" applyFont="1" applyFill="1" applyBorder="1" applyAlignment="1">
      <alignment horizontal="right"/>
    </xf>
    <xf numFmtId="0" fontId="15" fillId="3" borderId="1" xfId="0" applyFont="1" applyFill="1" applyBorder="1"/>
    <xf numFmtId="164" fontId="53" fillId="0" borderId="0" xfId="0" applyNumberFormat="1" applyFont="1" applyAlignment="1">
      <alignment horizontal="center" wrapText="1"/>
    </xf>
    <xf numFmtId="0" fontId="53" fillId="0" borderId="1" xfId="0" applyFont="1" applyBorder="1" applyAlignment="1">
      <alignment horizontal="center" wrapText="1"/>
    </xf>
    <xf numFmtId="0" fontId="16" fillId="3" borderId="4" xfId="0" applyFont="1" applyFill="1" applyBorder="1" applyAlignment="1">
      <alignment horizontal="right"/>
    </xf>
    <xf numFmtId="0" fontId="16" fillId="3" borderId="0" xfId="0" applyFont="1" applyFill="1" applyAlignment="1">
      <alignment horizontal="right"/>
    </xf>
    <xf numFmtId="0" fontId="1" fillId="0" borderId="9" xfId="0" applyFont="1" applyBorder="1" applyAlignment="1">
      <alignment horizontal="center" vertical="center" wrapText="1"/>
    </xf>
    <xf numFmtId="0" fontId="0" fillId="0" borderId="6" xfId="0" applyBorder="1" applyAlignment="1">
      <alignment wrapText="1"/>
    </xf>
    <xf numFmtId="0" fontId="0" fillId="0" borderId="1" xfId="0" applyBorder="1" applyAlignment="1">
      <alignment wrapText="1"/>
    </xf>
    <xf numFmtId="0" fontId="0" fillId="0" borderId="7" xfId="0" applyBorder="1" applyAlignment="1">
      <alignment wrapText="1"/>
    </xf>
    <xf numFmtId="0" fontId="16" fillId="3" borderId="3" xfId="0" applyFont="1" applyFill="1" applyBorder="1" applyAlignment="1">
      <alignment horizontal="center" wrapText="1"/>
    </xf>
    <xf numFmtId="0" fontId="16" fillId="3" borderId="5" xfId="0" applyFont="1" applyFill="1" applyBorder="1" applyAlignment="1">
      <alignment horizontal="center" wrapText="1"/>
    </xf>
    <xf numFmtId="164" fontId="16" fillId="3" borderId="4" xfId="0" applyNumberFormat="1" applyFont="1" applyFill="1" applyBorder="1" applyAlignment="1">
      <alignment horizontal="right"/>
    </xf>
    <xf numFmtId="0" fontId="15" fillId="3" borderId="0" xfId="0" applyFont="1" applyFill="1" applyAlignment="1">
      <alignment horizontal="right"/>
    </xf>
    <xf numFmtId="0" fontId="15" fillId="24" borderId="37" xfId="0" applyFont="1" applyFill="1" applyBorder="1" applyAlignment="1">
      <alignment horizontal="right"/>
    </xf>
    <xf numFmtId="0" fontId="0" fillId="24" borderId="37" xfId="0" applyFill="1" applyBorder="1"/>
    <xf numFmtId="0" fontId="16" fillId="0" borderId="35" xfId="0" applyFont="1" applyBorder="1" applyAlignment="1">
      <alignment horizontal="center"/>
    </xf>
    <xf numFmtId="0" fontId="1" fillId="0" borderId="36" xfId="0" applyFont="1" applyBorder="1" applyAlignment="1">
      <alignment horizontal="center"/>
    </xf>
    <xf numFmtId="14" fontId="16" fillId="2" borderId="35" xfId="0" applyNumberFormat="1" applyFont="1" applyFill="1" applyBorder="1" applyAlignment="1">
      <alignment horizontal="center"/>
    </xf>
    <xf numFmtId="14" fontId="16" fillId="2" borderId="36" xfId="0" applyNumberFormat="1" applyFont="1" applyFill="1" applyBorder="1" applyAlignment="1">
      <alignment horizontal="center"/>
    </xf>
    <xf numFmtId="0" fontId="1" fillId="0" borderId="1" xfId="0" applyFont="1" applyBorder="1" applyAlignment="1">
      <alignment horizontal="right"/>
    </xf>
    <xf numFmtId="0" fontId="0" fillId="0" borderId="1" xfId="0" applyBorder="1"/>
    <xf numFmtId="4" fontId="1" fillId="0" borderId="0" xfId="0" applyNumberFormat="1" applyFont="1" applyAlignment="1">
      <alignment horizontal="right"/>
    </xf>
    <xf numFmtId="0" fontId="0" fillId="0" borderId="0" xfId="0"/>
    <xf numFmtId="3" fontId="0" fillId="18" borderId="35" xfId="0" applyNumberFormat="1" applyFill="1" applyBorder="1" applyAlignment="1">
      <alignment horizontal="center"/>
    </xf>
    <xf numFmtId="0" fontId="0" fillId="18" borderId="37" xfId="0" applyFill="1" applyBorder="1" applyAlignment="1">
      <alignment horizontal="center"/>
    </xf>
    <xf numFmtId="0" fontId="0" fillId="18" borderId="36" xfId="0" applyFill="1" applyBorder="1" applyAlignment="1">
      <alignment horizontal="center"/>
    </xf>
    <xf numFmtId="3" fontId="0" fillId="0" borderId="0" xfId="0" applyNumberFormat="1" applyAlignment="1">
      <alignment horizontal="right"/>
    </xf>
    <xf numFmtId="0" fontId="0" fillId="0" borderId="5" xfId="0" applyBorder="1" applyAlignment="1">
      <alignment horizontal="right"/>
    </xf>
    <xf numFmtId="4" fontId="1" fillId="18" borderId="35" xfId="0" applyNumberFormat="1" applyFont="1" applyFill="1" applyBorder="1" applyAlignment="1">
      <alignment horizontal="center"/>
    </xf>
    <xf numFmtId="4" fontId="1" fillId="18" borderId="37" xfId="0" applyNumberFormat="1" applyFont="1" applyFill="1" applyBorder="1" applyAlignment="1">
      <alignment horizontal="center"/>
    </xf>
    <xf numFmtId="4" fontId="0" fillId="18" borderId="37" xfId="0" applyNumberFormat="1" applyFill="1" applyBorder="1"/>
    <xf numFmtId="3" fontId="0" fillId="18" borderId="35" xfId="0" applyNumberFormat="1" applyFill="1" applyBorder="1" applyAlignment="1">
      <alignment horizontal="center" vertical="center"/>
    </xf>
    <xf numFmtId="0" fontId="0" fillId="18" borderId="37" xfId="0" applyFill="1" applyBorder="1" applyAlignment="1">
      <alignment horizontal="center" vertical="center"/>
    </xf>
    <xf numFmtId="0" fontId="0" fillId="18" borderId="36" xfId="0" applyFill="1" applyBorder="1" applyAlignment="1">
      <alignment horizontal="center" vertical="center"/>
    </xf>
    <xf numFmtId="3" fontId="1" fillId="0" borderId="6" xfId="0" applyNumberFormat="1" applyFont="1" applyBorder="1" applyAlignment="1">
      <alignment horizontal="center"/>
    </xf>
    <xf numFmtId="0" fontId="1" fillId="0" borderId="7" xfId="0" applyFont="1" applyBorder="1" applyAlignment="1">
      <alignment horizontal="center"/>
    </xf>
    <xf numFmtId="3" fontId="0" fillId="0" borderId="35" xfId="0" applyNumberFormat="1" applyBorder="1" applyAlignment="1">
      <alignment horizontal="right"/>
    </xf>
    <xf numFmtId="3" fontId="0" fillId="0" borderId="36" xfId="0" applyNumberFormat="1" applyBorder="1" applyAlignment="1">
      <alignment horizontal="right"/>
    </xf>
    <xf numFmtId="0" fontId="0" fillId="18" borderId="4" xfId="0" applyFill="1" applyBorder="1" applyAlignment="1">
      <alignment horizontal="center" wrapText="1"/>
    </xf>
    <xf numFmtId="0" fontId="0" fillId="18" borderId="0" xfId="0" applyFill="1" applyAlignment="1">
      <alignment horizontal="center" wrapText="1"/>
    </xf>
    <xf numFmtId="0" fontId="0" fillId="18" borderId="5" xfId="0" applyFill="1" applyBorder="1" applyAlignment="1">
      <alignment horizontal="center" wrapText="1"/>
    </xf>
    <xf numFmtId="3" fontId="1" fillId="0" borderId="35" xfId="0" applyNumberFormat="1" applyFont="1" applyBorder="1" applyAlignment="1">
      <alignment horizontal="center"/>
    </xf>
    <xf numFmtId="0" fontId="0" fillId="0" borderId="37" xfId="0" applyBorder="1" applyAlignment="1">
      <alignment horizontal="center" vertical="center"/>
    </xf>
    <xf numFmtId="0" fontId="0" fillId="0" borderId="36" xfId="0" applyBorder="1" applyAlignment="1">
      <alignment horizontal="center" vertical="center"/>
    </xf>
    <xf numFmtId="38" fontId="0" fillId="2" borderId="35" xfId="0" applyNumberFormat="1" applyFill="1" applyBorder="1"/>
    <xf numFmtId="0" fontId="0" fillId="0" borderId="37" xfId="0" applyBorder="1"/>
    <xf numFmtId="8" fontId="0" fillId="0" borderId="0" xfId="0" applyNumberFormat="1"/>
    <xf numFmtId="0" fontId="1" fillId="0" borderId="37" xfId="0" applyFont="1" applyBorder="1" applyAlignment="1">
      <alignment horizontal="center"/>
    </xf>
    <xf numFmtId="0" fontId="1" fillId="0" borderId="1" xfId="0" applyFont="1" applyBorder="1" applyAlignment="1">
      <alignment horizontal="center"/>
    </xf>
    <xf numFmtId="4" fontId="1" fillId="0" borderId="39" xfId="0" applyNumberFormat="1" applyFont="1" applyBorder="1" applyAlignment="1">
      <alignment horizontal="center" wrapText="1"/>
    </xf>
    <xf numFmtId="0" fontId="0" fillId="0" borderId="34" xfId="0" applyBorder="1"/>
    <xf numFmtId="0" fontId="0" fillId="0" borderId="0" xfId="0" applyAlignment="1">
      <alignment horizontal="left" vertical="top" wrapText="1"/>
    </xf>
    <xf numFmtId="0" fontId="1" fillId="0" borderId="0" xfId="0" applyFont="1" applyAlignment="1">
      <alignment horizontal="center" wrapText="1"/>
    </xf>
    <xf numFmtId="0" fontId="1" fillId="0" borderId="1" xfId="0" applyFont="1" applyBorder="1" applyAlignment="1">
      <alignment horizontal="center" wrapText="1"/>
    </xf>
    <xf numFmtId="0" fontId="1" fillId="0" borderId="1" xfId="0" applyFont="1" applyBorder="1" applyAlignment="1">
      <alignment horizontal="left" vertical="center" wrapText="1"/>
    </xf>
    <xf numFmtId="0" fontId="0" fillId="0" borderId="1" xfId="0" applyBorder="1" applyAlignment="1">
      <alignment horizontal="left" vertical="center"/>
    </xf>
    <xf numFmtId="0" fontId="1" fillId="0" borderId="57" xfId="0" applyFont="1" applyBorder="1"/>
    <xf numFmtId="0" fontId="1" fillId="0" borderId="9" xfId="0" applyFont="1" applyBorder="1"/>
    <xf numFmtId="0" fontId="1" fillId="0" borderId="0" xfId="0" applyFont="1" applyAlignment="1">
      <alignment horizontal="center"/>
    </xf>
    <xf numFmtId="0" fontId="0" fillId="0" borderId="0" xfId="0" applyAlignment="1">
      <alignment horizontal="center"/>
    </xf>
    <xf numFmtId="0" fontId="0" fillId="0" borderId="0" xfId="0" applyAlignment="1">
      <alignment horizontal="center" vertical="center" wrapText="1"/>
    </xf>
    <xf numFmtId="0" fontId="4" fillId="0" borderId="0" xfId="0" applyFont="1" applyAlignment="1">
      <alignment horizontal="left" vertical="top" wrapText="1"/>
    </xf>
    <xf numFmtId="0" fontId="4" fillId="0" borderId="0" xfId="0" applyFont="1" applyAlignment="1">
      <alignment horizontal="left" vertical="top"/>
    </xf>
    <xf numFmtId="0" fontId="0" fillId="2" borderId="2" xfId="0" applyFill="1" applyBorder="1" applyAlignment="1">
      <alignment horizontal="left" vertical="top" wrapText="1"/>
    </xf>
    <xf numFmtId="0" fontId="0" fillId="2" borderId="9" xfId="0" applyFill="1" applyBorder="1" applyAlignment="1">
      <alignment horizontal="left" vertical="top" wrapText="1"/>
    </xf>
    <xf numFmtId="0" fontId="0" fillId="2" borderId="3" xfId="0" applyFill="1" applyBorder="1" applyAlignment="1">
      <alignment horizontal="left" vertical="top" wrapText="1"/>
    </xf>
    <xf numFmtId="0" fontId="0" fillId="2" borderId="4" xfId="0" applyFill="1" applyBorder="1" applyAlignment="1">
      <alignment horizontal="left" vertical="top" wrapText="1"/>
    </xf>
    <xf numFmtId="0" fontId="0" fillId="2" borderId="0" xfId="0" applyFill="1" applyAlignment="1">
      <alignment horizontal="left" vertical="top" wrapText="1"/>
    </xf>
    <xf numFmtId="0" fontId="0" fillId="2" borderId="5" xfId="0" applyFill="1" applyBorder="1" applyAlignment="1">
      <alignment horizontal="left" vertical="top" wrapText="1"/>
    </xf>
    <xf numFmtId="0" fontId="0" fillId="2" borderId="6" xfId="0" applyFill="1" applyBorder="1" applyAlignment="1">
      <alignment horizontal="left" vertical="top" wrapText="1"/>
    </xf>
    <xf numFmtId="0" fontId="0" fillId="2" borderId="1" xfId="0" applyFill="1" applyBorder="1" applyAlignment="1">
      <alignment horizontal="left" vertical="top" wrapText="1"/>
    </xf>
    <xf numFmtId="0" fontId="0" fillId="2" borderId="7" xfId="0" applyFill="1" applyBorder="1" applyAlignment="1">
      <alignment horizontal="left" vertical="top" wrapText="1"/>
    </xf>
    <xf numFmtId="0" fontId="0" fillId="0" borderId="0" xfId="0" applyAlignment="1">
      <alignment vertical="top" wrapText="1"/>
    </xf>
    <xf numFmtId="3" fontId="18" fillId="11" borderId="35" xfId="0" applyNumberFormat="1" applyFont="1" applyFill="1" applyBorder="1" applyAlignment="1">
      <alignment horizontal="center"/>
    </xf>
    <xf numFmtId="3" fontId="13" fillId="3" borderId="35" xfId="0" applyNumberFormat="1" applyFont="1" applyFill="1" applyBorder="1" applyAlignment="1">
      <alignment horizontal="center"/>
    </xf>
    <xf numFmtId="164" fontId="1" fillId="18" borderId="37" xfId="0" applyNumberFormat="1" applyFont="1" applyFill="1" applyBorder="1"/>
    <xf numFmtId="0" fontId="1" fillId="18" borderId="35" xfId="0" applyFont="1" applyFill="1" applyBorder="1" applyAlignment="1">
      <alignment horizontal="center" vertical="center" wrapText="1"/>
    </xf>
    <xf numFmtId="0" fontId="1" fillId="0" borderId="35" xfId="0" applyFont="1" applyBorder="1" applyAlignment="1">
      <alignment horizontal="center" wrapText="1"/>
    </xf>
    <xf numFmtId="0" fontId="1" fillId="0" borderId="37" xfId="0" applyFont="1" applyBorder="1" applyAlignment="1">
      <alignment horizontal="center" wrapText="1"/>
    </xf>
    <xf numFmtId="0" fontId="1" fillId="0" borderId="36" xfId="0" applyFont="1" applyBorder="1" applyAlignment="1">
      <alignment horizontal="center" wrapText="1"/>
    </xf>
    <xf numFmtId="0" fontId="0" fillId="0" borderId="3" xfId="0" applyBorder="1" applyAlignment="1">
      <alignment horizontal="center" wrapText="1"/>
    </xf>
    <xf numFmtId="0" fontId="0" fillId="0" borderId="5" xfId="0" applyBorder="1" applyAlignment="1">
      <alignment horizontal="center" wrapText="1"/>
    </xf>
    <xf numFmtId="49" fontId="28" fillId="3" borderId="2" xfId="0" applyNumberFormat="1" applyFont="1" applyFill="1" applyBorder="1" applyAlignment="1">
      <alignment horizontal="center" vertical="center"/>
    </xf>
    <xf numFmtId="0" fontId="1" fillId="3" borderId="3" xfId="0" applyFont="1" applyFill="1" applyBorder="1" applyAlignment="1">
      <alignment horizontal="center" vertical="center"/>
    </xf>
    <xf numFmtId="0" fontId="1" fillId="3" borderId="6" xfId="0" applyFont="1" applyFill="1" applyBorder="1" applyAlignment="1">
      <alignment horizontal="center" vertical="center"/>
    </xf>
    <xf numFmtId="0" fontId="1" fillId="3" borderId="7" xfId="0" applyFont="1" applyFill="1" applyBorder="1" applyAlignment="1">
      <alignment horizontal="center" vertical="center"/>
    </xf>
    <xf numFmtId="49" fontId="28" fillId="12" borderId="2" xfId="0" applyNumberFormat="1" applyFont="1" applyFill="1" applyBorder="1" applyAlignment="1">
      <alignment horizontal="center" vertical="center"/>
    </xf>
    <xf numFmtId="0" fontId="1" fillId="12" borderId="3" xfId="0" applyFont="1" applyFill="1" applyBorder="1" applyAlignment="1">
      <alignment horizontal="center" vertical="center"/>
    </xf>
    <xf numFmtId="0" fontId="1" fillId="12" borderId="6" xfId="0" applyFont="1" applyFill="1" applyBorder="1" applyAlignment="1">
      <alignment vertical="center"/>
    </xf>
    <xf numFmtId="0" fontId="1" fillId="12" borderId="7" xfId="0" applyFont="1" applyFill="1" applyBorder="1" applyAlignment="1">
      <alignment vertical="center"/>
    </xf>
    <xf numFmtId="49" fontId="28" fillId="11" borderId="2" xfId="0" applyNumberFormat="1" applyFont="1" applyFill="1" applyBorder="1" applyAlignment="1">
      <alignment horizontal="center" vertical="center"/>
    </xf>
    <xf numFmtId="0" fontId="1" fillId="0" borderId="3" xfId="0" applyFont="1" applyBorder="1" applyAlignment="1">
      <alignment horizontal="center" vertical="center"/>
    </xf>
    <xf numFmtId="0" fontId="1" fillId="0" borderId="6" xfId="0" applyFont="1" applyBorder="1" applyAlignment="1">
      <alignment horizontal="center" vertical="center"/>
    </xf>
    <xf numFmtId="0" fontId="1" fillId="0" borderId="7" xfId="0" applyFont="1" applyBorder="1" applyAlignment="1">
      <alignment horizontal="center" vertical="center"/>
    </xf>
    <xf numFmtId="49" fontId="28" fillId="2" borderId="2" xfId="0" applyNumberFormat="1" applyFont="1" applyFill="1" applyBorder="1" applyAlignment="1">
      <alignment horizontal="left"/>
    </xf>
    <xf numFmtId="0" fontId="1" fillId="2" borderId="3" xfId="0" applyFont="1" applyFill="1" applyBorder="1" applyAlignment="1">
      <alignment horizontal="left"/>
    </xf>
    <xf numFmtId="0" fontId="1" fillId="2" borderId="6" xfId="0" applyFont="1" applyFill="1" applyBorder="1" applyAlignment="1">
      <alignment horizontal="left"/>
    </xf>
    <xf numFmtId="0" fontId="1" fillId="2" borderId="7" xfId="0" applyFont="1" applyFill="1" applyBorder="1" applyAlignment="1">
      <alignment horizontal="left"/>
    </xf>
    <xf numFmtId="0" fontId="30" fillId="15" borderId="21" xfId="0" applyFont="1" applyFill="1" applyBorder="1" applyAlignment="1" applyProtection="1">
      <alignment horizontal="center" vertical="center" wrapText="1"/>
      <protection locked="0"/>
    </xf>
    <xf numFmtId="0" fontId="33" fillId="0" borderId="22" xfId="0" applyFont="1" applyBorder="1" applyAlignment="1" applyProtection="1">
      <alignment vertical="center" wrapText="1"/>
      <protection locked="0"/>
    </xf>
    <xf numFmtId="0" fontId="33" fillId="0" borderId="23" xfId="0" applyFont="1" applyBorder="1" applyAlignment="1" applyProtection="1">
      <alignment vertical="center" wrapText="1"/>
      <protection locked="0"/>
    </xf>
    <xf numFmtId="0" fontId="30" fillId="15" borderId="27" xfId="0" applyFont="1" applyFill="1" applyBorder="1" applyAlignment="1" applyProtection="1">
      <alignment horizontal="center" vertical="center" wrapText="1"/>
      <protection locked="0"/>
    </xf>
    <xf numFmtId="0" fontId="33" fillId="0" borderId="0" xfId="0" applyFont="1" applyAlignment="1" applyProtection="1">
      <alignment vertical="center" wrapText="1"/>
      <protection locked="0"/>
    </xf>
    <xf numFmtId="0" fontId="33" fillId="0" borderId="28" xfId="0" applyFont="1" applyBorder="1" applyAlignment="1" applyProtection="1">
      <alignment vertical="center" wrapText="1"/>
      <protection locked="0"/>
    </xf>
    <xf numFmtId="0" fontId="33" fillId="0" borderId="24" xfId="0" applyFont="1" applyBorder="1" applyAlignment="1" applyProtection="1">
      <alignment vertical="center" wrapText="1"/>
      <protection locked="0"/>
    </xf>
    <xf numFmtId="0" fontId="33" fillId="0" borderId="25" xfId="0" applyFont="1" applyBorder="1" applyAlignment="1" applyProtection="1">
      <alignment vertical="center" wrapText="1"/>
      <protection locked="0"/>
    </xf>
    <xf numFmtId="0" fontId="33" fillId="0" borderId="26" xfId="0" applyFont="1" applyBorder="1" applyAlignment="1" applyProtection="1">
      <alignment vertical="center" wrapText="1"/>
      <protection locked="0"/>
    </xf>
    <xf numFmtId="0" fontId="30" fillId="13" borderId="21" xfId="0" applyFont="1" applyFill="1" applyBorder="1" applyAlignment="1" applyProtection="1">
      <alignment horizontal="center" vertical="center"/>
      <protection locked="0"/>
    </xf>
    <xf numFmtId="0" fontId="0" fillId="0" borderId="22" xfId="0" applyBorder="1"/>
    <xf numFmtId="0" fontId="0" fillId="0" borderId="23" xfId="0" applyBorder="1"/>
    <xf numFmtId="0" fontId="0" fillId="0" borderId="27" xfId="0" applyBorder="1"/>
    <xf numFmtId="0" fontId="0" fillId="0" borderId="28" xfId="0" applyBorder="1"/>
    <xf numFmtId="0" fontId="0" fillId="0" borderId="24" xfId="0" applyBorder="1"/>
    <xf numFmtId="0" fontId="0" fillId="0" borderId="25" xfId="0" applyBorder="1"/>
    <xf numFmtId="0" fontId="0" fillId="0" borderId="26" xfId="0" applyBorder="1"/>
    <xf numFmtId="0" fontId="29" fillId="0" borderId="4" xfId="5" applyFont="1" applyBorder="1" applyAlignment="1">
      <alignment horizontal="center" wrapText="1"/>
    </xf>
    <xf numFmtId="0" fontId="30" fillId="0" borderId="0" xfId="0" applyFont="1" applyAlignment="1">
      <alignment horizontal="center"/>
    </xf>
    <xf numFmtId="0" fontId="1" fillId="0" borderId="1" xfId="0" applyFont="1" applyBorder="1" applyAlignment="1">
      <alignment horizontal="right" vertical="center" wrapText="1"/>
    </xf>
    <xf numFmtId="8" fontId="0" fillId="3" borderId="0" xfId="0" applyNumberFormat="1" applyFill="1" applyAlignment="1">
      <alignment horizontal="right"/>
    </xf>
    <xf numFmtId="0" fontId="0" fillId="3" borderId="0" xfId="0" applyFill="1"/>
    <xf numFmtId="0" fontId="18" fillId="0" borderId="1" xfId="3" applyFont="1" applyBorder="1" applyAlignment="1" applyProtection="1">
      <alignment horizontal="right" vertical="center" indent="1"/>
    </xf>
    <xf numFmtId="0" fontId="9" fillId="0" borderId="1" xfId="0" applyFont="1" applyBorder="1" applyAlignment="1">
      <alignment horizontal="right" vertical="center" indent="1"/>
    </xf>
    <xf numFmtId="8" fontId="0" fillId="11" borderId="0" xfId="0" applyNumberFormat="1" applyFill="1" applyAlignment="1">
      <alignment horizontal="right"/>
    </xf>
    <xf numFmtId="0" fontId="0" fillId="11" borderId="0" xfId="0" applyFill="1"/>
    <xf numFmtId="8" fontId="0" fillId="12" borderId="0" xfId="0" applyNumberFormat="1" applyFill="1" applyAlignment="1">
      <alignment horizontal="right"/>
    </xf>
    <xf numFmtId="0" fontId="0" fillId="12" borderId="0" xfId="0" applyFill="1"/>
    <xf numFmtId="8" fontId="1" fillId="9" borderId="1" xfId="0" applyNumberFormat="1" applyFont="1" applyFill="1" applyBorder="1" applyAlignment="1">
      <alignment horizontal="right"/>
    </xf>
    <xf numFmtId="0" fontId="1" fillId="0" borderId="1" xfId="0" applyFont="1" applyBorder="1"/>
    <xf numFmtId="170" fontId="0" fillId="18" borderId="37" xfId="0" applyNumberFormat="1" applyFill="1" applyBorder="1" applyAlignment="1">
      <alignment horizontal="right" vertical="center"/>
    </xf>
    <xf numFmtId="170" fontId="0" fillId="18" borderId="36" xfId="0" applyNumberFormat="1" applyFill="1" applyBorder="1" applyAlignment="1">
      <alignment horizontal="right" vertical="center"/>
    </xf>
    <xf numFmtId="0" fontId="29" fillId="0" borderId="4" xfId="5" applyFont="1" applyBorder="1" applyAlignment="1">
      <alignment horizontal="left" wrapText="1"/>
    </xf>
    <xf numFmtId="0" fontId="0" fillId="0" borderId="5" xfId="0" applyBorder="1" applyAlignment="1">
      <alignment horizontal="left"/>
    </xf>
    <xf numFmtId="0" fontId="30" fillId="0" borderId="0" xfId="0" applyFont="1" applyAlignment="1">
      <alignment horizontal="right"/>
    </xf>
    <xf numFmtId="0" fontId="31" fillId="0" borderId="0" xfId="0" applyFont="1" applyAlignment="1">
      <alignment horizontal="center" vertical="center"/>
    </xf>
    <xf numFmtId="0" fontId="0" fillId="0" borderId="0" xfId="0" applyAlignment="1">
      <alignment vertical="center"/>
    </xf>
    <xf numFmtId="0" fontId="30" fillId="0" borderId="17" xfId="3" applyFont="1" applyAlignment="1">
      <alignment horizontal="left" vertical="center"/>
    </xf>
    <xf numFmtId="0" fontId="30" fillId="0" borderId="0" xfId="0" applyFont="1" applyAlignment="1">
      <alignment vertical="center"/>
    </xf>
    <xf numFmtId="0" fontId="31" fillId="0" borderId="9" xfId="0" applyFont="1" applyBorder="1" applyAlignment="1">
      <alignment horizontal="center"/>
    </xf>
    <xf numFmtId="0" fontId="18" fillId="0" borderId="0" xfId="3" applyFont="1" applyBorder="1" applyAlignment="1" applyProtection="1">
      <alignment horizontal="right" vertical="center" indent="1"/>
    </xf>
    <xf numFmtId="0" fontId="9" fillId="0" borderId="0" xfId="0" applyFont="1" applyAlignment="1">
      <alignment horizontal="right" vertical="center" indent="1"/>
    </xf>
    <xf numFmtId="0" fontId="1" fillId="3" borderId="0" xfId="0" applyFont="1" applyFill="1" applyAlignment="1">
      <alignment horizontal="center" vertical="center" wrapText="1"/>
    </xf>
    <xf numFmtId="0" fontId="0" fillId="3" borderId="0" xfId="0" applyFill="1" applyAlignment="1">
      <alignment horizontal="center" vertical="center" wrapText="1"/>
    </xf>
    <xf numFmtId="0" fontId="1" fillId="11" borderId="0" xfId="0" applyFont="1" applyFill="1" applyAlignment="1">
      <alignment horizontal="right" vertical="center" wrapText="1"/>
    </xf>
    <xf numFmtId="0" fontId="0" fillId="11" borderId="0" xfId="0" applyFill="1" applyAlignment="1">
      <alignment horizontal="right" vertical="center" wrapText="1"/>
    </xf>
    <xf numFmtId="0" fontId="1" fillId="12" borderId="0" xfId="0" applyFont="1" applyFill="1" applyAlignment="1">
      <alignment horizontal="right" vertical="center" wrapText="1"/>
    </xf>
    <xf numFmtId="0" fontId="0" fillId="12" borderId="0" xfId="0" applyFill="1" applyAlignment="1">
      <alignment horizontal="right" vertical="center" wrapText="1"/>
    </xf>
    <xf numFmtId="0" fontId="0" fillId="0" borderId="0" xfId="0" applyAlignment="1">
      <alignment horizontal="right"/>
    </xf>
    <xf numFmtId="8" fontId="0" fillId="9" borderId="1" xfId="0" applyNumberFormat="1" applyFill="1" applyBorder="1" applyAlignment="1">
      <alignment horizontal="right"/>
    </xf>
    <xf numFmtId="0" fontId="0" fillId="0" borderId="1" xfId="0" applyBorder="1" applyAlignment="1">
      <alignment horizontal="right"/>
    </xf>
    <xf numFmtId="0" fontId="1" fillId="21" borderId="2" xfId="0" applyFont="1" applyFill="1" applyBorder="1" applyAlignment="1">
      <alignment horizontal="center"/>
    </xf>
    <xf numFmtId="0" fontId="0" fillId="21" borderId="9" xfId="0" applyFill="1" applyBorder="1"/>
    <xf numFmtId="0" fontId="0" fillId="21" borderId="3" xfId="0" applyFill="1" applyBorder="1"/>
    <xf numFmtId="0" fontId="1" fillId="21" borderId="6" xfId="0" applyFont="1" applyFill="1" applyBorder="1" applyAlignment="1">
      <alignment horizontal="center"/>
    </xf>
    <xf numFmtId="0" fontId="0" fillId="21" borderId="1" xfId="0" applyFill="1" applyBorder="1" applyAlignment="1">
      <alignment horizontal="center"/>
    </xf>
    <xf numFmtId="0" fontId="0" fillId="21" borderId="7" xfId="0" applyFill="1" applyBorder="1" applyAlignment="1">
      <alignment horizontal="center"/>
    </xf>
    <xf numFmtId="0" fontId="1" fillId="18" borderId="6" xfId="0" applyFont="1" applyFill="1" applyBorder="1" applyAlignment="1">
      <alignment horizontal="center"/>
    </xf>
    <xf numFmtId="0" fontId="1" fillId="18" borderId="1" xfId="0" applyFont="1" applyFill="1" applyBorder="1" applyAlignment="1">
      <alignment horizontal="center"/>
    </xf>
    <xf numFmtId="0" fontId="0" fillId="18" borderId="1" xfId="0" applyFill="1" applyBorder="1"/>
    <xf numFmtId="0" fontId="0" fillId="18" borderId="7" xfId="0" applyFill="1" applyBorder="1"/>
    <xf numFmtId="0" fontId="1" fillId="18" borderId="2" xfId="0" applyFont="1" applyFill="1" applyBorder="1" applyAlignment="1">
      <alignment horizontal="center"/>
    </xf>
    <xf numFmtId="0" fontId="1" fillId="18" borderId="9" xfId="0" applyFont="1" applyFill="1" applyBorder="1" applyAlignment="1">
      <alignment horizontal="center"/>
    </xf>
    <xf numFmtId="0" fontId="0" fillId="18" borderId="9" xfId="0" applyFill="1" applyBorder="1"/>
    <xf numFmtId="0" fontId="0" fillId="18" borderId="3" xfId="0" applyFill="1" applyBorder="1"/>
    <xf numFmtId="0" fontId="1" fillId="3" borderId="4" xfId="0" applyFont="1" applyFill="1" applyBorder="1" applyAlignment="1">
      <alignment horizontal="center"/>
    </xf>
    <xf numFmtId="0" fontId="1" fillId="3" borderId="0" xfId="0" applyFont="1" applyFill="1" applyAlignment="1">
      <alignment horizontal="center"/>
    </xf>
    <xf numFmtId="166" fontId="1" fillId="0" borderId="0" xfId="0" applyNumberFormat="1" applyFont="1" applyAlignment="1">
      <alignment horizontal="right"/>
    </xf>
    <xf numFmtId="0" fontId="1" fillId="0" borderId="0" xfId="0" applyFont="1" applyAlignment="1">
      <alignment horizontal="right"/>
    </xf>
    <xf numFmtId="0" fontId="16" fillId="18" borderId="39" xfId="0" applyFont="1" applyFill="1" applyBorder="1" applyAlignment="1">
      <alignment horizontal="center" vertical="center" wrapText="1"/>
    </xf>
    <xf numFmtId="0" fontId="1" fillId="18" borderId="34" xfId="0" applyFont="1" applyFill="1" applyBorder="1" applyAlignment="1">
      <alignment horizontal="center" vertical="center" wrapText="1"/>
    </xf>
    <xf numFmtId="0" fontId="16" fillId="2" borderId="39" xfId="0" applyFont="1" applyFill="1" applyBorder="1" applyAlignment="1">
      <alignment horizontal="center" vertical="center" wrapText="1"/>
    </xf>
    <xf numFmtId="0" fontId="1" fillId="2" borderId="34" xfId="0" applyFont="1" applyFill="1" applyBorder="1" applyAlignment="1">
      <alignment horizontal="center" vertical="center" wrapText="1"/>
    </xf>
    <xf numFmtId="0" fontId="16" fillId="2" borderId="39" xfId="0" applyFont="1" applyFill="1" applyBorder="1" applyAlignment="1">
      <alignment horizontal="center" vertical="center" wrapText="1"/>
      <extLst>
        <ext xmlns:xfpb="http://schemas.microsoft.com/office/spreadsheetml/2022/featurepropertybag" uri="{C7286773-470A-42A8-94C5-96B5CB345126}">
          <xfpb:xfComplement i="0"/>
        </ext>
      </extLst>
    </xf>
    <xf numFmtId="0" fontId="1" fillId="2" borderId="34" xfId="0" applyFont="1" applyFill="1" applyBorder="1" applyAlignment="1">
      <alignment horizontal="center" vertical="center" wrapText="1"/>
      <extLst>
        <ext xmlns:xfpb="http://schemas.microsoft.com/office/spreadsheetml/2022/featurepropertybag" uri="{C7286773-470A-42A8-94C5-96B5CB345126}">
          <xfpb:xfComplement i="0"/>
        </ext>
      </extLst>
    </xf>
    <xf numFmtId="0" fontId="4" fillId="3" borderId="37" xfId="0" applyFont="1" applyFill="1" applyBorder="1" applyAlignment="1">
      <alignment horizontal="center"/>
    </xf>
    <xf numFmtId="0" fontId="4" fillId="3" borderId="36" xfId="0" applyFont="1" applyFill="1" applyBorder="1" applyAlignment="1">
      <alignment horizontal="center"/>
    </xf>
    <xf numFmtId="0" fontId="0" fillId="0" borderId="36" xfId="0" applyBorder="1" applyAlignment="1">
      <alignment horizontal="center" wrapText="1"/>
    </xf>
    <xf numFmtId="3" fontId="1" fillId="18" borderId="4" xfId="0" applyNumberFormat="1" applyFont="1" applyFill="1" applyBorder="1"/>
    <xf numFmtId="164" fontId="1" fillId="18" borderId="36" xfId="0" applyNumberFormat="1" applyFont="1" applyFill="1" applyBorder="1"/>
    <xf numFmtId="3" fontId="13" fillId="3" borderId="37" xfId="0" applyNumberFormat="1" applyFont="1" applyFill="1" applyBorder="1" applyAlignment="1">
      <alignment horizontal="center"/>
    </xf>
    <xf numFmtId="3" fontId="13" fillId="3" borderId="36" xfId="0" applyNumberFormat="1" applyFont="1" applyFill="1" applyBorder="1" applyAlignment="1">
      <alignment horizontal="center"/>
    </xf>
    <xf numFmtId="0" fontId="1" fillId="18" borderId="36" xfId="0" applyFont="1" applyFill="1" applyBorder="1" applyAlignment="1">
      <alignment horizontal="center" vertical="center" wrapText="1"/>
    </xf>
    <xf numFmtId="3" fontId="18" fillId="11" borderId="37" xfId="0" applyNumberFormat="1" applyFont="1" applyFill="1" applyBorder="1" applyAlignment="1">
      <alignment horizontal="center"/>
    </xf>
    <xf numFmtId="3" fontId="18" fillId="11" borderId="36" xfId="0" applyNumberFormat="1" applyFont="1" applyFill="1" applyBorder="1" applyAlignment="1">
      <alignment horizontal="center"/>
    </xf>
    <xf numFmtId="3" fontId="1" fillId="18" borderId="0" xfId="0" applyNumberFormat="1" applyFont="1" applyFill="1"/>
    <xf numFmtId="0" fontId="0" fillId="0" borderId="0" xfId="0" applyBorder="1"/>
    <xf numFmtId="0" fontId="15" fillId="18" borderId="63" xfId="0" applyFont="1" applyFill="1" applyBorder="1" applyAlignment="1">
      <alignment horizontal="center" vertical="center" wrapText="1"/>
    </xf>
    <xf numFmtId="1" fontId="15" fillId="18" borderId="63" xfId="0" applyNumberFormat="1" applyFont="1" applyFill="1" applyBorder="1" applyAlignment="1">
      <alignment horizontal="center" vertical="center" wrapText="1"/>
    </xf>
    <xf numFmtId="0" fontId="0" fillId="0" borderId="64" xfId="0" applyBorder="1"/>
    <xf numFmtId="1" fontId="0" fillId="0" borderId="64" xfId="0" applyNumberFormat="1" applyBorder="1"/>
    <xf numFmtId="0" fontId="1" fillId="0" borderId="0" xfId="0" applyFont="1" applyAlignment="1">
      <alignment vertical="center"/>
    </xf>
  </cellXfs>
  <cellStyles count="15">
    <cellStyle name="Bad" xfId="12" builtinId="27"/>
    <cellStyle name="Comma" xfId="13" builtinId="3"/>
    <cellStyle name="Completed" xfId="11" xr:uid="{89AFEC65-4662-41A0-B62C-CC4BC4ADAF5A}"/>
    <cellStyle name="Date" xfId="6" xr:uid="{403F4796-BFA2-4402-91FB-D02A1A4804AA}"/>
    <cellStyle name="Good" xfId="7" builtinId="26" hidden="1"/>
    <cellStyle name="Heading 2" xfId="2" builtinId="17"/>
    <cellStyle name="Heading 3" xfId="3" builtinId="18"/>
    <cellStyle name="Heading 4" xfId="4" builtinId="19"/>
    <cellStyle name="Hyperlink" xfId="1" builtinId="8"/>
    <cellStyle name="Neutral" xfId="8" builtinId="28" hidden="1"/>
    <cellStyle name="Normal" xfId="0" builtinId="0"/>
    <cellStyle name="Normal 2" xfId="14" xr:uid="{A11B5F34-74A2-4AB2-9906-0101C66C71F5}"/>
    <cellStyle name="Scheduled" xfId="9" xr:uid="{B85E50F2-E926-4A98-A53D-F10170DE9815}"/>
    <cellStyle name="Tenative" xfId="10" xr:uid="{4875B139-F858-4DC9-A35E-026F0C0461F0}"/>
    <cellStyle name="zHiddenText" xfId="5" xr:uid="{2FC736B1-A600-482A-A9A8-E3C76645FCAC}"/>
  </cellStyles>
  <dxfs count="87">
    <dxf>
      <fill>
        <patternFill>
          <bgColor theme="0" tint="-4.9989318521683403E-2"/>
        </patternFill>
      </fill>
      <border>
        <left/>
        <right/>
        <top/>
        <bottom/>
        <vertical/>
        <horizontal/>
      </border>
    </dxf>
    <dxf>
      <fill>
        <patternFill>
          <bgColor theme="0" tint="-4.9989318521683403E-2"/>
        </patternFill>
      </fill>
      <border>
        <left/>
        <right/>
        <top/>
        <bottom/>
        <vertical/>
        <horizontal/>
      </border>
    </dxf>
    <dxf>
      <fill>
        <patternFill>
          <bgColor theme="0" tint="-4.9989318521683403E-2"/>
        </patternFill>
      </fill>
      <border>
        <left/>
        <right/>
        <top/>
        <bottom/>
        <vertical/>
        <horizontal/>
      </border>
    </dxf>
    <dxf>
      <fill>
        <patternFill>
          <bgColor theme="0" tint="-4.9989318521683403E-2"/>
        </patternFill>
      </fill>
      <border>
        <left/>
        <right/>
        <top/>
        <bottom/>
        <vertical/>
        <horizontal/>
      </border>
    </dxf>
    <dxf>
      <font>
        <color theme="8" tint="-0.499984740745262"/>
      </font>
      <fill>
        <patternFill>
          <bgColor theme="0" tint="-4.9989318521683403E-2"/>
        </patternFill>
      </fill>
      <border>
        <right/>
      </border>
    </dxf>
    <dxf>
      <font>
        <color theme="8" tint="-0.499984740745262"/>
      </font>
      <fill>
        <patternFill>
          <bgColor theme="0" tint="-4.9989318521683403E-2"/>
        </patternFill>
      </fill>
      <border>
        <right/>
      </border>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border>
        <left style="thin">
          <color auto="1"/>
        </left>
        <right style="thin">
          <color auto="1"/>
        </right>
        <top style="thin">
          <color auto="1"/>
        </top>
        <bottom style="thin">
          <color auto="1"/>
        </bottom>
        <vertical/>
        <horizontal/>
      </border>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79998168889431442"/>
        </patternFill>
      </fill>
      <border>
        <left style="thin">
          <color auto="1"/>
        </left>
        <right style="thin">
          <color auto="1"/>
        </right>
        <top style="thin">
          <color auto="1"/>
        </top>
        <bottom style="thin">
          <color auto="1"/>
        </bottom>
        <vertical/>
        <horizontal/>
      </border>
    </dxf>
    <dxf>
      <fill>
        <patternFill>
          <bgColor theme="9" tint="0.79998168889431442"/>
        </patternFill>
      </fill>
      <border>
        <left style="thin">
          <color auto="1"/>
        </left>
        <right style="thin">
          <color auto="1"/>
        </right>
        <top style="thin">
          <color auto="1"/>
        </top>
        <bottom style="thin">
          <color auto="1"/>
        </bottom>
        <vertical/>
        <horizontal/>
      </border>
    </dxf>
    <dxf>
      <fill>
        <patternFill>
          <bgColor theme="9" tint="0.39994506668294322"/>
        </patternFill>
      </fill>
      <border>
        <left style="thin">
          <color auto="1"/>
        </left>
        <right style="thin">
          <color auto="1"/>
        </right>
        <top style="thin">
          <color auto="1"/>
        </top>
        <bottom style="thin">
          <color auto="1"/>
        </bottom>
        <vertical/>
        <horizontal/>
      </border>
    </dxf>
    <dxf>
      <fill>
        <patternFill>
          <bgColor theme="9" tint="0.39994506668294322"/>
        </patternFill>
      </fill>
      <border>
        <left style="thin">
          <color auto="1"/>
        </left>
        <right style="thin">
          <color auto="1"/>
        </right>
        <top style="thin">
          <color auto="1"/>
        </top>
        <bottom style="thin">
          <color auto="1"/>
        </bottom>
        <vertical/>
        <horizontal/>
      </border>
    </dxf>
    <dxf>
      <fill>
        <patternFill>
          <bgColor theme="9" tint="0.39994506668294322"/>
        </patternFill>
      </fill>
      <border>
        <left style="thin">
          <color auto="1"/>
        </left>
        <right style="thin">
          <color auto="1"/>
        </right>
        <top style="thin">
          <color auto="1"/>
        </top>
        <bottom style="thin">
          <color auto="1"/>
        </bottom>
        <vertical/>
        <horizontal/>
      </border>
    </dxf>
    <dxf>
      <fill>
        <patternFill>
          <bgColor theme="9" tint="0.39994506668294322"/>
        </patternFill>
      </fill>
      <border>
        <left style="thin">
          <color auto="1"/>
        </left>
        <right style="thin">
          <color auto="1"/>
        </right>
        <top style="thin">
          <color auto="1"/>
        </top>
        <bottom style="thin">
          <color auto="1"/>
        </bottom>
        <vertical/>
        <horizontal/>
      </border>
    </dxf>
    <dxf>
      <fill>
        <patternFill>
          <bgColor theme="9" tint="0.39994506668294322"/>
        </patternFill>
      </fill>
      <border>
        <left style="thin">
          <color auto="1"/>
        </left>
        <right style="thin">
          <color auto="1"/>
        </right>
        <top style="thin">
          <color auto="1"/>
        </top>
        <bottom style="thin">
          <color auto="1"/>
        </bottom>
        <vertical/>
        <horizontal/>
      </border>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79998168889431442"/>
        </patternFill>
      </fill>
      <border>
        <left style="thin">
          <color auto="1"/>
        </left>
        <right style="thin">
          <color auto="1"/>
        </right>
        <top style="thin">
          <color auto="1"/>
        </top>
        <bottom style="thin">
          <color auto="1"/>
        </bottom>
        <vertical/>
        <horizontal/>
      </border>
    </dxf>
    <dxf>
      <fill>
        <patternFill>
          <bgColor theme="9" tint="0.39994506668294322"/>
        </patternFill>
      </fill>
      <border>
        <left style="thin">
          <color auto="1"/>
        </left>
        <right style="thin">
          <color auto="1"/>
        </right>
        <top style="thin">
          <color auto="1"/>
        </top>
        <bottom style="thin">
          <color auto="1"/>
        </bottom>
        <vertical/>
        <horizontal/>
      </border>
    </dxf>
    <dxf>
      <fill>
        <patternFill>
          <bgColor theme="9" tint="0.39994506668294322"/>
        </patternFill>
      </fill>
      <border>
        <left style="thin">
          <color auto="1"/>
        </left>
        <right style="thin">
          <color auto="1"/>
        </right>
        <top style="thin">
          <color auto="1"/>
        </top>
        <bottom style="thin">
          <color auto="1"/>
        </bottom>
        <vertical/>
        <horizontal/>
      </border>
    </dxf>
    <dxf>
      <fill>
        <patternFill>
          <bgColor theme="9" tint="0.39994506668294322"/>
        </patternFill>
      </fill>
      <border>
        <left style="thin">
          <color auto="1"/>
        </left>
        <right style="thin">
          <color auto="1"/>
        </right>
        <top style="thin">
          <color auto="1"/>
        </top>
        <bottom style="thin">
          <color auto="1"/>
        </bottom>
        <vertical/>
        <horizontal/>
      </border>
    </dxf>
    <dxf>
      <numFmt numFmtId="3" formatCode="#,##0"/>
    </dxf>
    <dxf>
      <numFmt numFmtId="167" formatCode="m/d/yy;@"/>
    </dxf>
    <dxf>
      <numFmt numFmtId="170" formatCode="mm/dd/yy;@"/>
    </dxf>
    <dxf>
      <font>
        <b/>
      </font>
      <alignment horizontal="center" vertical="bottom" textRotation="0" indent="0" justifyLastLine="0" shrinkToFit="0" readingOrder="0"/>
    </dxf>
    <dxf>
      <numFmt numFmtId="170" formatCode="mm/dd/yy;@"/>
    </dxf>
    <dxf>
      <font>
        <b/>
      </font>
      <alignment horizontal="center" vertical="bottom" textRotation="0" wrapText="1" indent="0" justifyLastLine="0" shrinkToFit="0" readingOrder="0"/>
    </dxf>
    <dxf>
      <numFmt numFmtId="0" formatCode="General"/>
    </dxf>
    <dxf>
      <numFmt numFmtId="0" formatCode="General"/>
    </dxf>
    <dxf>
      <numFmt numFmtId="0" formatCode="General"/>
    </dxf>
    <dxf>
      <font>
        <b/>
      </font>
      <alignment horizontal="center" vertical="bottom" textRotation="0" wrapText="1" indent="0" justifyLastLine="0" shrinkToFit="0" readingOrder="0"/>
    </dxf>
    <dxf>
      <numFmt numFmtId="2" formatCode="0.00"/>
      <alignment horizontal="general" vertical="center" textRotation="0" wrapText="1" indent="0" justifyLastLine="0" shrinkToFit="0" readingOrder="0"/>
    </dxf>
    <dxf>
      <numFmt numFmtId="4" formatCode="#,##0.00"/>
      <alignment horizontal="general" vertical="center" textRotation="0" wrapText="0" indent="0" justifyLastLine="0" shrinkToFit="0" readingOrder="0"/>
    </dxf>
    <dxf>
      <numFmt numFmtId="4" formatCode="#,##0.00"/>
      <protection locked="1" hidden="0"/>
    </dxf>
    <dxf>
      <protection locked="1" hidden="0"/>
    </dxf>
    <dxf>
      <numFmt numFmtId="170" formatCode="mm/dd/yy;@"/>
      <protection locked="1" hidden="0"/>
    </dxf>
    <dxf>
      <protection locked="1" hidden="0"/>
    </dxf>
    <dxf>
      <protection locked="1" hidden="0"/>
    </dxf>
    <dxf>
      <numFmt numFmtId="4" formatCode="#,##0.00"/>
      <protection locked="1" hidden="0"/>
    </dxf>
    <dxf>
      <numFmt numFmtId="4" formatCode="#,##0.00"/>
      <protection locked="1" hidden="0"/>
    </dxf>
    <dxf>
      <protection locked="1" hidden="0"/>
    </dxf>
    <dxf>
      <alignment horizontal="left" vertical="bottom" textRotation="0" wrapText="1" indent="0" justifyLastLine="0" shrinkToFit="0" readingOrder="0"/>
      <protection locked="1" hidden="0"/>
    </dxf>
    <dxf>
      <protection locked="1" hidden="0"/>
    </dxf>
    <dxf>
      <protection locked="1" hidden="0"/>
    </dxf>
    <dxf>
      <protection locked="1" hidden="0"/>
    </dxf>
    <dxf>
      <protection locked="1" hidden="0"/>
    </dxf>
    <dxf>
      <protection locked="1" hidden="0"/>
    </dxf>
    <dxf>
      <alignment horizontal="center" vertical="bottom" textRotation="0" wrapText="1" indent="0" justifyLastLine="0" shrinkToFit="0" readingOrder="0"/>
      <protection locked="1" hidden="0"/>
    </dxf>
    <dxf>
      <fill>
        <patternFill patternType="solid">
          <fgColor indexed="64"/>
          <bgColor rgb="FFFFFF00"/>
        </patternFill>
      </fill>
      <protection locked="0" hidden="0"/>
    </dxf>
    <dxf>
      <numFmt numFmtId="4" formatCode="#,##0.00"/>
      <fill>
        <patternFill patternType="solid">
          <fgColor indexed="64"/>
          <bgColor rgb="FFFFFF00"/>
        </patternFill>
      </fill>
      <protection locked="0" hidden="0"/>
    </dxf>
    <dxf>
      <numFmt numFmtId="1" formatCode="0"/>
      <fill>
        <patternFill patternType="solid">
          <fgColor indexed="64"/>
          <bgColor rgb="FFFFFF00"/>
        </patternFill>
      </fill>
      <protection locked="0" hidden="0"/>
    </dxf>
    <dxf>
      <numFmt numFmtId="170" formatCode="mm/dd/yy;@"/>
      <fill>
        <patternFill patternType="solid">
          <fgColor indexed="64"/>
          <bgColor rgb="FFFFFF00"/>
        </patternFill>
      </fill>
      <alignment horizontal="right" vertical="bottom" textRotation="0" wrapText="0" indent="0" justifyLastLine="0" shrinkToFit="0" readingOrder="0"/>
      <protection locked="0" hidden="0"/>
    </dxf>
    <dxf>
      <numFmt numFmtId="1" formatCode="0"/>
      <fill>
        <patternFill patternType="solid">
          <fgColor indexed="64"/>
          <bgColor rgb="FFFFFF00"/>
        </patternFill>
      </fill>
      <protection locked="0" hidden="0"/>
    </dxf>
    <dxf>
      <numFmt numFmtId="169" formatCode="m/d;@"/>
      <fill>
        <patternFill patternType="solid">
          <fgColor indexed="64"/>
          <bgColor rgb="FFFFFF00"/>
        </patternFill>
      </fill>
      <alignment horizontal="center" vertical="center" textRotation="0" wrapText="0" indent="0" justifyLastLine="0" shrinkToFit="0" readingOrder="0"/>
      <protection locked="0" hidden="0"/>
    </dxf>
    <dxf>
      <numFmt numFmtId="4" formatCode="#,##0.00"/>
      <protection locked="0" hidden="0"/>
    </dxf>
    <dxf>
      <numFmt numFmtId="4" formatCode="#,##0.00"/>
      <protection locked="0" hidden="0"/>
    </dxf>
    <dxf>
      <protection locked="0" hidden="0"/>
    </dxf>
    <dxf>
      <numFmt numFmtId="0" formatCode="General"/>
      <alignment horizontal="general" vertical="bottom" textRotation="0" wrapText="0" indent="0" justifyLastLine="0" shrinkToFit="0" readingOrder="0"/>
      <protection locked="0" hidden="0"/>
    </dxf>
    <dxf>
      <numFmt numFmtId="0" formatCode="General"/>
      <protection locked="0" hidden="0"/>
    </dxf>
    <dxf>
      <numFmt numFmtId="0" formatCode="General"/>
      <protection locked="0" hidden="0"/>
    </dxf>
    <dxf>
      <numFmt numFmtId="1" formatCode="0"/>
      <protection locked="0" hidden="0"/>
    </dxf>
    <dxf>
      <numFmt numFmtId="0" formatCode="General"/>
      <protection locked="0" hidden="0"/>
    </dxf>
    <dxf>
      <protection locked="0" hidden="0"/>
    </dxf>
    <dxf>
      <font>
        <b/>
      </font>
      <alignment horizontal="center" vertical="bottom" textRotation="0" wrapText="1" indent="0" justifyLastLine="0" shrinkToFit="0" readingOrder="0"/>
      <protection locked="0" hidden="0"/>
    </dxf>
    <dxf>
      <font>
        <b val="0"/>
        <i val="0"/>
        <strike val="0"/>
        <condense val="0"/>
        <extend val="0"/>
        <outline val="0"/>
        <shadow val="0"/>
        <u val="none"/>
        <vertAlign val="baseline"/>
        <sz val="12"/>
        <color auto="1"/>
        <name val="Arial"/>
        <scheme val="none"/>
      </font>
      <numFmt numFmtId="4" formatCode="#,##0.00"/>
      <fill>
        <patternFill patternType="solid">
          <fgColor indexed="64"/>
          <bgColor rgb="FFFFFFFF"/>
        </patternFill>
      </fill>
      <alignment horizontal="general" vertical="top" textRotation="0" wrapText="0" indent="0" justifyLastLine="0" shrinkToFit="0" readingOrder="0"/>
      <border diagonalUp="0" diagonalDown="0">
        <left/>
        <right/>
        <top/>
        <bottom style="thin">
          <color auto="1"/>
        </bottom>
      </border>
    </dxf>
    <dxf>
      <font>
        <b val="0"/>
        <i val="0"/>
        <strike val="0"/>
        <condense val="0"/>
        <extend val="0"/>
        <outline val="0"/>
        <shadow val="0"/>
        <u val="none"/>
        <vertAlign val="baseline"/>
        <sz val="12"/>
        <color auto="1"/>
        <name val="Arial"/>
        <scheme val="none"/>
      </font>
      <numFmt numFmtId="1" formatCode="0"/>
      <fill>
        <patternFill patternType="solid">
          <fgColor indexed="64"/>
          <bgColor rgb="FFFFFFFF"/>
        </patternFill>
      </fill>
      <alignment horizontal="general" vertical="top" textRotation="0" wrapText="0" indent="0" justifyLastLine="0" shrinkToFit="0" readingOrder="0"/>
      <border diagonalUp="0" diagonalDown="0">
        <left/>
        <right/>
        <top/>
        <bottom style="thin">
          <color auto="1"/>
        </bottom>
      </border>
    </dxf>
    <dxf>
      <font>
        <b val="0"/>
        <i val="0"/>
        <strike val="0"/>
        <condense val="0"/>
        <extend val="0"/>
        <outline val="0"/>
        <shadow val="0"/>
        <u val="none"/>
        <vertAlign val="baseline"/>
        <sz val="12"/>
        <color auto="1"/>
        <name val="Arial"/>
        <scheme val="none"/>
      </font>
      <numFmt numFmtId="30" formatCode="@"/>
      <alignment horizontal="general" vertical="top" textRotation="0" wrapText="0" indent="0" justifyLastLine="0" shrinkToFit="0" readingOrder="0"/>
    </dxf>
    <dxf>
      <font>
        <b val="0"/>
        <i val="0"/>
        <strike val="0"/>
        <condense val="0"/>
        <extend val="0"/>
        <outline val="0"/>
        <shadow val="0"/>
        <u val="none"/>
        <vertAlign val="baseline"/>
        <sz val="12"/>
        <color auto="1"/>
        <name val="Arial"/>
        <scheme val="none"/>
      </font>
      <numFmt numFmtId="30" formatCode="@"/>
      <alignment horizontal="general" vertical="top" textRotation="0" wrapText="0" indent="0" justifyLastLine="0" shrinkToFit="0" readingOrder="0"/>
    </dxf>
    <dxf>
      <font>
        <b val="0"/>
        <i val="0"/>
        <strike val="0"/>
        <condense val="0"/>
        <extend val="0"/>
        <outline val="0"/>
        <shadow val="0"/>
        <u val="none"/>
        <vertAlign val="baseline"/>
        <sz val="12"/>
        <color auto="1"/>
        <name val="Arial"/>
        <scheme val="none"/>
      </font>
      <numFmt numFmtId="30" formatCode="@"/>
      <alignment horizontal="general" vertical="top" textRotation="0" wrapText="0" indent="0" justifyLastLine="0" shrinkToFit="0" readingOrder="0"/>
    </dxf>
    <dxf>
      <border outline="0">
        <bottom style="thick">
          <color indexed="55"/>
        </bottom>
      </border>
    </dxf>
    <dxf>
      <font>
        <b val="0"/>
        <i val="0"/>
        <strike val="0"/>
        <condense val="0"/>
        <extend val="0"/>
        <outline val="0"/>
        <shadow val="0"/>
        <u val="none"/>
        <vertAlign val="baseline"/>
        <sz val="12"/>
        <color auto="1"/>
        <name val="Arial"/>
        <scheme val="none"/>
      </font>
      <alignment horizontal="center" vertical="top" textRotation="0" wrapText="0" indent="0" justifyLastLine="0" shrinkToFit="0" readingOrder="0"/>
    </dxf>
    <dxf>
      <fill>
        <patternFill patternType="none">
          <fgColor indexed="64"/>
          <bgColor auto="1"/>
        </patternFill>
      </fill>
      <border>
        <top style="thin">
          <color theme="6" tint="0.39994506668294322"/>
        </top>
        <bottom style="thin">
          <color theme="6" tint="0.39994506668294322"/>
        </bottom>
      </border>
    </dxf>
    <dxf>
      <font>
        <color theme="0"/>
      </font>
      <fill>
        <patternFill>
          <bgColor theme="1" tint="0.34998626667073579"/>
        </patternFill>
      </fill>
      <border diagonalUp="0" diagonalDown="0">
        <left/>
        <right/>
        <top/>
        <bottom/>
        <vertical/>
        <horizontal/>
      </border>
    </dxf>
    <dxf>
      <font>
        <color theme="8" tint="-0.499984740745262"/>
      </font>
      <border diagonalUp="0" diagonalDown="0">
        <left/>
        <right style="thin">
          <color theme="6" tint="0.39994506668294322"/>
        </right>
        <top/>
        <bottom/>
        <vertical/>
        <horizontal/>
      </border>
    </dxf>
    <dxf>
      <fill>
        <patternFill patternType="none">
          <fgColor indexed="64"/>
          <bgColor auto="1"/>
        </patternFill>
      </fill>
      <border>
        <top style="thin">
          <color theme="6" tint="0.39994506668294322"/>
        </top>
        <bottom style="thin">
          <color theme="6" tint="0.39994506668294322"/>
        </bottom>
      </border>
    </dxf>
    <dxf>
      <font>
        <color theme="0"/>
      </font>
      <fill>
        <patternFill>
          <bgColor theme="1" tint="0.34998626667073579"/>
        </patternFill>
      </fill>
      <border diagonalUp="0" diagonalDown="0">
        <left/>
        <right/>
        <top/>
        <bottom/>
        <vertical/>
        <horizontal/>
      </border>
    </dxf>
    <dxf>
      <font>
        <color theme="8" tint="-0.499984740745262"/>
      </font>
      <border diagonalUp="0" diagonalDown="0">
        <left/>
        <right style="thin">
          <color theme="6" tint="0.39994506668294322"/>
        </right>
        <top/>
        <bottom/>
        <vertical/>
        <horizontal/>
      </border>
    </dxf>
  </dxfs>
  <tableStyles count="2" defaultTableStyle="TableStyleMedium2" defaultPivotStyle="PivotStyleLight16">
    <tableStyle name="Gantt Table Style" pivot="0" count="3" xr9:uid="{FAB708AF-E22D-403D-BF2C-158F5DFD67AA}">
      <tableStyleElement type="wholeTable" dxfId="86"/>
      <tableStyleElement type="headerRow" dxfId="85"/>
      <tableStyleElement type="firstRowStripe" dxfId="84"/>
    </tableStyle>
    <tableStyle name="Gantt Table Style 2" pivot="0" count="3" xr9:uid="{188EAD57-0217-4B5E-8A07-C858B28862F4}">
      <tableStyleElement type="wholeTable" dxfId="83"/>
      <tableStyleElement type="headerRow" dxfId="82"/>
      <tableStyleElement type="firstRowStripe" dxfId="81"/>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microsoft.com/office/2022/11/relationships/FeaturePropertyBag" Target="featurePropertyBag/featurePropertyBag.xml"/><Relationship Id="rId21" Type="http://schemas.openxmlformats.org/officeDocument/2006/relationships/worksheet" Target="worksheets/sheet21.xml"/><Relationship Id="rId34" Type="http://schemas.openxmlformats.org/officeDocument/2006/relationships/connections" Target="connections.xml"/><Relationship Id="rId42" Type="http://schemas.openxmlformats.org/officeDocument/2006/relationships/customXml" Target="../customXml/item2.xml"/><Relationship Id="rId47" Type="http://schemas.openxmlformats.org/officeDocument/2006/relationships/customXml" Target="../customXml/item7.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externalLink" Target="externalLinks/externalLink1.xml"/><Relationship Id="rId37" Type="http://schemas.openxmlformats.org/officeDocument/2006/relationships/sheetMetadata" Target="metadata.xml"/><Relationship Id="rId40" Type="http://schemas.openxmlformats.org/officeDocument/2006/relationships/calcChain" Target="calcChain.xml"/><Relationship Id="rId45" Type="http://schemas.openxmlformats.org/officeDocument/2006/relationships/customXml" Target="../customXml/item5.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customXml" Target="../customXml/item4.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styles" Target="styles.xml"/><Relationship Id="rId43" Type="http://schemas.openxmlformats.org/officeDocument/2006/relationships/customXml" Target="../customXml/item3.xml"/><Relationship Id="rId48" Type="http://schemas.microsoft.com/office/2006/relationships/vbaProject" Target="vbaProject.bin"/><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theme" Target="theme/theme1.xml"/><Relationship Id="rId38" Type="http://schemas.openxmlformats.org/officeDocument/2006/relationships/powerPivotData" Target="model/item.data"/><Relationship Id="rId46" Type="http://schemas.openxmlformats.org/officeDocument/2006/relationships/customXml" Target="../customXml/item6.xml"/><Relationship Id="rId20" Type="http://schemas.openxmlformats.org/officeDocument/2006/relationships/worksheet" Target="worksheets/sheet20.xml"/><Relationship Id="rId41" Type="http://schemas.openxmlformats.org/officeDocument/2006/relationships/customXml" Target="../customXml/item1.xml"/></Relationships>
</file>

<file path=xl/ctrlProps/ctrlProp1.xml><?xml version="1.0" encoding="utf-8"?>
<formControlPr xmlns="http://schemas.microsoft.com/office/spreadsheetml/2009/9/main" objectType="CheckBox" fmlaLink="$S$2" lockText="1" noThreeD="1"/>
</file>

<file path=xl/ctrlProps/ctrlProp2.xml><?xml version="1.0" encoding="utf-8"?>
<formControlPr xmlns="http://schemas.microsoft.com/office/spreadsheetml/2009/9/main" objectType="Radio" checked="Checked" firstButton="1" fmlaLink="$T$3" lockText="1" noThreeD="1"/>
</file>

<file path=xl/ctrlProps/ctrlProp3.xml><?xml version="1.0" encoding="utf-8"?>
<formControlPr xmlns="http://schemas.microsoft.com/office/spreadsheetml/2009/9/main" objectType="Radio" lockText="1" noThreeD="1"/>
</file>

<file path=xl/ctrlProps/ctrlProp4.xml><?xml version="1.0" encoding="utf-8"?>
<formControlPr xmlns="http://schemas.microsoft.com/office/spreadsheetml/2009/9/main" objectType="Radio" lockText="1" noThreeD="1"/>
</file>

<file path=xl/ctrlProps/ctrlProp5.xml><?xml version="1.0" encoding="utf-8"?>
<formControlPr xmlns="http://schemas.microsoft.com/office/spreadsheetml/2009/9/main" objectType="CheckBox" fmlaLink="S1" lockText="1" noThreeD="1"/>
</file>

<file path=xl/ctrlProps/ctrlProp6.xml><?xml version="1.0" encoding="utf-8"?>
<formControlPr xmlns="http://schemas.microsoft.com/office/spreadsheetml/2009/9/main" objectType="CheckBox" fmlaLink="$S$3" lockText="1" noThreeD="1"/>
</file>

<file path=xl/ctrlProps/ctrlProp7.xml><?xml version="1.0" encoding="utf-8"?>
<formControlPr xmlns="http://schemas.microsoft.com/office/spreadsheetml/2009/9/main" objectType="CheckBox" checked="Checked" fmlaLink="$S$5" lockText="1" noThreeD="1"/>
</file>

<file path=xl/ctrlProps/ctrlProp8.xml><?xml version="1.0" encoding="utf-8"?>
<formControlPr xmlns="http://schemas.microsoft.com/office/spreadsheetml/2009/9/main" objectType="CheckBox" checked="Checked" fmlaLink="$S$4" lockText="1" noThreeD="1"/>
</file>

<file path=xl/ctrlProps/ctrlProp9.xml><?xml version="1.0" encoding="utf-8"?>
<formControlPr xmlns="http://schemas.microsoft.com/office/spreadsheetml/2009/9/main" objectType="CheckBox" fmlaLink="$S$6" lockText="1" noThreeD="1"/>
</file>

<file path=xl/ctrlProps/ctrlProp10.xml><?xml version="1.0" encoding="utf-8"?>
<formControlPr xmlns="http://schemas.microsoft.com/office/spreadsheetml/2009/9/main" objectType="Radio" checked="Checked" firstButton="1" fmlaLink="$T$1" lockText="1" noThreeD="1"/>
</file>

<file path=xl/ctrlProps/ctrlProp11.xml><?xml version="1.0" encoding="utf-8"?>
<formControlPr xmlns="http://schemas.microsoft.com/office/spreadsheetml/2009/9/main" objectType="Radio" lockText="1" noThreeD="1"/>
</file>

<file path=xl/ctrlProps/ctrlProp12.xml><?xml version="1.0" encoding="utf-8"?>
<formControlPr xmlns="http://schemas.microsoft.com/office/spreadsheetml/2009/9/main" objectType="Radio" lockText="1" noThreeD="1"/>
</file>

<file path=xl/ctrlProps/ctrlProp13.xml><?xml version="1.0" encoding="utf-8"?>
<formControlPr xmlns="http://schemas.microsoft.com/office/spreadsheetml/2009/9/main" objectType="Scroll" dx="39" fmlaLink="$AB$24" horiz="1" max="365" page="0" val="3"/>
</file>

<file path=xl/drawings/_rels/drawing4.xml.rels><?xml version="1.0" encoding="UTF-8" standalone="yes"?>
<Relationships xmlns="http://schemas.openxmlformats.org/package/2006/relationships"><Relationship Id="rId3" Type="http://schemas.openxmlformats.org/officeDocument/2006/relationships/customXml" Target="../ink/ink2.xml"/><Relationship Id="rId2" Type="http://schemas.openxmlformats.org/officeDocument/2006/relationships/image" Target="../media/image1.png"/><Relationship Id="rId1" Type="http://schemas.openxmlformats.org/officeDocument/2006/relationships/customXml" Target="../ink/ink1.xml"/><Relationship Id="rId4" Type="http://schemas.openxmlformats.org/officeDocument/2006/relationships/image" Target="../media/image1.png"/></Relationships>
</file>

<file path=xl/drawings/_rels/drawing5.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customXml" Target="../ink/ink3.xml"/></Relationships>
</file>

<file path=xl/drawings/_rels/drawing6.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customXml" Target="../ink/ink4.xml"/></Relationships>
</file>

<file path=xl/drawings/_rels/drawing7.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customXml" Target="../ink/ink5.xml"/></Relationships>
</file>

<file path=xl/drawings/_rels/drawing8.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customXml" Target="../ink/ink6.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xdr:col>
          <xdr:colOff>352425</xdr:colOff>
          <xdr:row>21</xdr:row>
          <xdr:rowOff>219075</xdr:rowOff>
        </xdr:from>
        <xdr:to>
          <xdr:col>11</xdr:col>
          <xdr:colOff>0</xdr:colOff>
          <xdr:row>23</xdr:row>
          <xdr:rowOff>66675</xdr:rowOff>
        </xdr:to>
        <xdr:sp macro="" textlink="">
          <xdr:nvSpPr>
            <xdr:cNvPr id="34819" name="Check Box 3" hidden="1">
              <a:extLst>
                <a:ext uri="{63B3BB69-23CF-44E3-9099-C40C66FF867C}">
                  <a14:compatExt spid="_x0000_s34819"/>
                </a:ext>
                <a:ext uri="{FF2B5EF4-FFF2-40B4-BE49-F238E27FC236}">
                  <a16:creationId xmlns:a16="http://schemas.microsoft.com/office/drawing/2014/main" id="{00000000-0008-0000-0000-000003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219075</xdr:colOff>
          <xdr:row>0</xdr:row>
          <xdr:rowOff>66675</xdr:rowOff>
        </xdr:from>
        <xdr:to>
          <xdr:col>1</xdr:col>
          <xdr:colOff>419100</xdr:colOff>
          <xdr:row>0</xdr:row>
          <xdr:rowOff>247650</xdr:rowOff>
        </xdr:to>
        <xdr:sp macro="" textlink="">
          <xdr:nvSpPr>
            <xdr:cNvPr id="34824" name="Option Button 8" hidden="1">
              <a:extLst>
                <a:ext uri="{63B3BB69-23CF-44E3-9099-C40C66FF867C}">
                  <a14:compatExt spid="_x0000_s34824"/>
                </a:ext>
                <a:ext uri="{FF2B5EF4-FFF2-40B4-BE49-F238E27FC236}">
                  <a16:creationId xmlns:a16="http://schemas.microsoft.com/office/drawing/2014/main" id="{00000000-0008-0000-0000-000008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352425</xdr:colOff>
          <xdr:row>0</xdr:row>
          <xdr:rowOff>66675</xdr:rowOff>
        </xdr:from>
        <xdr:to>
          <xdr:col>2</xdr:col>
          <xdr:colOff>523875</xdr:colOff>
          <xdr:row>0</xdr:row>
          <xdr:rowOff>247650</xdr:rowOff>
        </xdr:to>
        <xdr:sp macro="" textlink="">
          <xdr:nvSpPr>
            <xdr:cNvPr id="34826" name="Option Button 10" hidden="1">
              <a:extLst>
                <a:ext uri="{63B3BB69-23CF-44E3-9099-C40C66FF867C}">
                  <a14:compatExt spid="_x0000_s34826"/>
                </a:ext>
                <a:ext uri="{FF2B5EF4-FFF2-40B4-BE49-F238E27FC236}">
                  <a16:creationId xmlns:a16="http://schemas.microsoft.com/office/drawing/2014/main" id="{00000000-0008-0000-0000-00000A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476250</xdr:colOff>
          <xdr:row>0</xdr:row>
          <xdr:rowOff>28575</xdr:rowOff>
        </xdr:from>
        <xdr:to>
          <xdr:col>3</xdr:col>
          <xdr:colOff>638175</xdr:colOff>
          <xdr:row>0</xdr:row>
          <xdr:rowOff>247650</xdr:rowOff>
        </xdr:to>
        <xdr:sp macro="" textlink="">
          <xdr:nvSpPr>
            <xdr:cNvPr id="34829" name="Option Button 13" hidden="1">
              <a:extLst>
                <a:ext uri="{63B3BB69-23CF-44E3-9099-C40C66FF867C}">
                  <a14:compatExt spid="_x0000_s34829"/>
                </a:ext>
                <a:ext uri="{FF2B5EF4-FFF2-40B4-BE49-F238E27FC236}">
                  <a16:creationId xmlns:a16="http://schemas.microsoft.com/office/drawing/2014/main" id="{00000000-0008-0000-0000-00000D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352425</xdr:colOff>
          <xdr:row>20</xdr:row>
          <xdr:rowOff>200025</xdr:rowOff>
        </xdr:from>
        <xdr:to>
          <xdr:col>11</xdr:col>
          <xdr:colOff>0</xdr:colOff>
          <xdr:row>22</xdr:row>
          <xdr:rowOff>66675</xdr:rowOff>
        </xdr:to>
        <xdr:sp macro="" textlink="">
          <xdr:nvSpPr>
            <xdr:cNvPr id="34831" name="Check Box 15" hidden="1">
              <a:extLst>
                <a:ext uri="{63B3BB69-23CF-44E3-9099-C40C66FF867C}">
                  <a14:compatExt spid="_x0000_s34831"/>
                </a:ext>
                <a:ext uri="{FF2B5EF4-FFF2-40B4-BE49-F238E27FC236}">
                  <a16:creationId xmlns:a16="http://schemas.microsoft.com/office/drawing/2014/main" id="{00000000-0008-0000-0000-00000F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200025</xdr:colOff>
          <xdr:row>46</xdr:row>
          <xdr:rowOff>200025</xdr:rowOff>
        </xdr:from>
        <xdr:to>
          <xdr:col>1</xdr:col>
          <xdr:colOff>428625</xdr:colOff>
          <xdr:row>48</xdr:row>
          <xdr:rowOff>47625</xdr:rowOff>
        </xdr:to>
        <xdr:sp macro="" textlink="">
          <xdr:nvSpPr>
            <xdr:cNvPr id="34832" name="Check Box 16" hidden="1">
              <a:extLst>
                <a:ext uri="{63B3BB69-23CF-44E3-9099-C40C66FF867C}">
                  <a14:compatExt spid="_x0000_s34832"/>
                </a:ext>
                <a:ext uri="{FF2B5EF4-FFF2-40B4-BE49-F238E27FC236}">
                  <a16:creationId xmlns:a16="http://schemas.microsoft.com/office/drawing/2014/main" id="{00000000-0008-0000-0000-000010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200025</xdr:colOff>
          <xdr:row>48</xdr:row>
          <xdr:rowOff>200025</xdr:rowOff>
        </xdr:from>
        <xdr:to>
          <xdr:col>1</xdr:col>
          <xdr:colOff>428625</xdr:colOff>
          <xdr:row>50</xdr:row>
          <xdr:rowOff>47625</xdr:rowOff>
        </xdr:to>
        <xdr:sp macro="" textlink="">
          <xdr:nvSpPr>
            <xdr:cNvPr id="34833" name="Check Box 17" hidden="1">
              <a:extLst>
                <a:ext uri="{63B3BB69-23CF-44E3-9099-C40C66FF867C}">
                  <a14:compatExt spid="_x0000_s34833"/>
                </a:ext>
                <a:ext uri="{FF2B5EF4-FFF2-40B4-BE49-F238E27FC236}">
                  <a16:creationId xmlns:a16="http://schemas.microsoft.com/office/drawing/2014/main" id="{00000000-0008-0000-0000-000011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200025</xdr:colOff>
          <xdr:row>47</xdr:row>
          <xdr:rowOff>200025</xdr:rowOff>
        </xdr:from>
        <xdr:to>
          <xdr:col>1</xdr:col>
          <xdr:colOff>428625</xdr:colOff>
          <xdr:row>49</xdr:row>
          <xdr:rowOff>47625</xdr:rowOff>
        </xdr:to>
        <xdr:sp macro="" textlink="">
          <xdr:nvSpPr>
            <xdr:cNvPr id="34834" name="Check Box 18" hidden="1">
              <a:extLst>
                <a:ext uri="{63B3BB69-23CF-44E3-9099-C40C66FF867C}">
                  <a14:compatExt spid="_x0000_s34834"/>
                </a:ext>
                <a:ext uri="{FF2B5EF4-FFF2-40B4-BE49-F238E27FC236}">
                  <a16:creationId xmlns:a16="http://schemas.microsoft.com/office/drawing/2014/main" id="{00000000-0008-0000-0000-000012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352425</xdr:colOff>
          <xdr:row>0</xdr:row>
          <xdr:rowOff>19050</xdr:rowOff>
        </xdr:from>
        <xdr:to>
          <xdr:col>9</xdr:col>
          <xdr:colOff>0</xdr:colOff>
          <xdr:row>1</xdr:row>
          <xdr:rowOff>0</xdr:rowOff>
        </xdr:to>
        <xdr:sp macro="" textlink="">
          <xdr:nvSpPr>
            <xdr:cNvPr id="34835" name="Check Box 19" hidden="1">
              <a:extLst>
                <a:ext uri="{63B3BB69-23CF-44E3-9099-C40C66FF867C}">
                  <a14:compatExt spid="_x0000_s34835"/>
                </a:ext>
                <a:ext uri="{FF2B5EF4-FFF2-40B4-BE49-F238E27FC236}">
                  <a16:creationId xmlns:a16="http://schemas.microsoft.com/office/drawing/2014/main" id="{00000000-0008-0000-0000-000013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xdr:col>
          <xdr:colOff>171450</xdr:colOff>
          <xdr:row>0</xdr:row>
          <xdr:rowOff>0</xdr:rowOff>
        </xdr:from>
        <xdr:to>
          <xdr:col>11</xdr:col>
          <xdr:colOff>0</xdr:colOff>
          <xdr:row>1</xdr:row>
          <xdr:rowOff>0</xdr:rowOff>
        </xdr:to>
        <xdr:sp macro="" textlink="">
          <xdr:nvSpPr>
            <xdr:cNvPr id="59406" name="Option Button 14" hidden="1">
              <a:extLst>
                <a:ext uri="{63B3BB69-23CF-44E3-9099-C40C66FF867C}">
                  <a14:compatExt spid="_x0000_s59406"/>
                </a:ext>
                <a:ext uri="{FF2B5EF4-FFF2-40B4-BE49-F238E27FC236}">
                  <a16:creationId xmlns:a16="http://schemas.microsoft.com/office/drawing/2014/main" id="{00000000-0008-0000-0100-00000EE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247650</xdr:colOff>
          <xdr:row>0</xdr:row>
          <xdr:rowOff>0</xdr:rowOff>
        </xdr:from>
        <xdr:to>
          <xdr:col>12</xdr:col>
          <xdr:colOff>47625</xdr:colOff>
          <xdr:row>1</xdr:row>
          <xdr:rowOff>0</xdr:rowOff>
        </xdr:to>
        <xdr:sp macro="" textlink="">
          <xdr:nvSpPr>
            <xdr:cNvPr id="59409" name="Option Button 17" hidden="1">
              <a:extLst>
                <a:ext uri="{63B3BB69-23CF-44E3-9099-C40C66FF867C}">
                  <a14:compatExt spid="_x0000_s59409"/>
                </a:ext>
                <a:ext uri="{FF2B5EF4-FFF2-40B4-BE49-F238E27FC236}">
                  <a16:creationId xmlns:a16="http://schemas.microsoft.com/office/drawing/2014/main" id="{00000000-0008-0000-0100-000011E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190500</xdr:colOff>
          <xdr:row>0</xdr:row>
          <xdr:rowOff>0</xdr:rowOff>
        </xdr:from>
        <xdr:to>
          <xdr:col>12</xdr:col>
          <xdr:colOff>428625</xdr:colOff>
          <xdr:row>1</xdr:row>
          <xdr:rowOff>19050</xdr:rowOff>
        </xdr:to>
        <xdr:sp macro="" textlink="">
          <xdr:nvSpPr>
            <xdr:cNvPr id="59411" name="Option Button 19" hidden="1">
              <a:extLst>
                <a:ext uri="{63B3BB69-23CF-44E3-9099-C40C66FF867C}">
                  <a14:compatExt spid="_x0000_s59411"/>
                </a:ext>
                <a:ext uri="{FF2B5EF4-FFF2-40B4-BE49-F238E27FC236}">
                  <a16:creationId xmlns:a16="http://schemas.microsoft.com/office/drawing/2014/main" id="{00000000-0008-0000-0100-000013E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18</xdr:col>
          <xdr:colOff>66675</xdr:colOff>
          <xdr:row>21</xdr:row>
          <xdr:rowOff>247650</xdr:rowOff>
        </xdr:from>
        <xdr:to>
          <xdr:col>25</xdr:col>
          <xdr:colOff>0</xdr:colOff>
          <xdr:row>23</xdr:row>
          <xdr:rowOff>66675</xdr:rowOff>
        </xdr:to>
        <xdr:sp macro="" textlink="">
          <xdr:nvSpPr>
            <xdr:cNvPr id="29697" name="Scroll Bar 1" descr="Scrollbar for scrolling through the Gantt Timeline." hidden="1">
              <a:extLst>
                <a:ext uri="{63B3BB69-23CF-44E3-9099-C40C66FF867C}">
                  <a14:compatExt spid="_x0000_s29697"/>
                </a:ext>
                <a:ext uri="{FF2B5EF4-FFF2-40B4-BE49-F238E27FC236}">
                  <a16:creationId xmlns:a16="http://schemas.microsoft.com/office/drawing/2014/main" id="{00000000-0008-0000-0900-00000174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xdr:twoCellAnchor editAs="oneCell">
    <xdr:from>
      <xdr:col>3</xdr:col>
      <xdr:colOff>359571</xdr:colOff>
      <xdr:row>4</xdr:row>
      <xdr:rowOff>155606</xdr:rowOff>
    </xdr:from>
    <xdr:to>
      <xdr:col>3</xdr:col>
      <xdr:colOff>403647</xdr:colOff>
      <xdr:row>5</xdr:row>
      <xdr:rowOff>17653</xdr:rowOff>
    </xdr:to>
    <mc:AlternateContent xmlns:mc="http://schemas.openxmlformats.org/markup-compatibility/2006" xmlns:xdr14="http://schemas.microsoft.com/office/excel/2010/spreadsheetDrawing">
      <mc:Choice Requires="xdr14">
        <xdr:contentPart xmlns:r="http://schemas.openxmlformats.org/officeDocument/2006/relationships" r:id="rId1">
          <xdr14:nvContentPartPr>
            <xdr14:cNvPr id="2" name="Ink 1">
              <a:extLst>
                <a:ext uri="{FF2B5EF4-FFF2-40B4-BE49-F238E27FC236}">
                  <a16:creationId xmlns:a16="http://schemas.microsoft.com/office/drawing/2014/main" id="{00000000-0008-0000-0300-000002000000}"/>
                </a:ext>
              </a:extLst>
            </xdr14:cNvPr>
            <xdr14:cNvContentPartPr/>
          </xdr14:nvContentPartPr>
          <xdr14:nvPr macro=""/>
          <xdr14:xfrm>
            <a:off x="4528800" y="8368877"/>
            <a:ext cx="46800" cy="42480"/>
          </xdr14:xfrm>
        </xdr:contentPart>
      </mc:Choice>
      <mc:Fallback xmlns="">
        <xdr:pic>
          <xdr:nvPicPr>
            <xdr:cNvPr id="7" name="Ink 6">
              <a:extLst>
                <a:ext uri="{FF2B5EF4-FFF2-40B4-BE49-F238E27FC236}">
                  <a16:creationId xmlns:a16="http://schemas.microsoft.com/office/drawing/2014/main" id="{76C6D63D-9BA0-44C1-AC70-6B1ECD8B62F4}"/>
                </a:ext>
              </a:extLst>
            </xdr:cNvPr>
            <xdr:cNvPicPr/>
          </xdr:nvPicPr>
          <xdr:blipFill>
            <a:blip xmlns:r="http://schemas.openxmlformats.org/officeDocument/2006/relationships" r:embed="rId2"/>
            <a:stretch>
              <a:fillRect/>
            </a:stretch>
          </xdr:blipFill>
          <xdr:spPr>
            <a:xfrm>
              <a:off x="4519800" y="8360237"/>
              <a:ext cx="64440" cy="60120"/>
            </a:xfrm>
            <a:prstGeom prst="rect">
              <a:avLst/>
            </a:prstGeom>
          </xdr:spPr>
        </xdr:pic>
      </mc:Fallback>
    </mc:AlternateContent>
    <xdr:clientData/>
  </xdr:twoCellAnchor>
  <xdr:oneCellAnchor>
    <xdr:from>
      <xdr:col>9</xdr:col>
      <xdr:colOff>359571</xdr:colOff>
      <xdr:row>4</xdr:row>
      <xdr:rowOff>155606</xdr:rowOff>
    </xdr:from>
    <xdr:ext cx="44076" cy="52546"/>
    <mc:AlternateContent xmlns:mc="http://schemas.openxmlformats.org/markup-compatibility/2006" xmlns:xdr14="http://schemas.microsoft.com/office/excel/2010/spreadsheetDrawing">
      <mc:Choice Requires="xdr14">
        <xdr:contentPart xmlns:r="http://schemas.openxmlformats.org/officeDocument/2006/relationships" r:id="rId3">
          <xdr14:nvContentPartPr>
            <xdr14:cNvPr id="3" name="Ink 2">
              <a:extLst>
                <a:ext uri="{FF2B5EF4-FFF2-40B4-BE49-F238E27FC236}">
                  <a16:creationId xmlns:a16="http://schemas.microsoft.com/office/drawing/2014/main" id="{00000000-0008-0000-0300-000003000000}"/>
                </a:ext>
              </a:extLst>
            </xdr14:cNvPr>
            <xdr14:cNvContentPartPr/>
          </xdr14:nvContentPartPr>
          <xdr14:nvPr macro=""/>
          <xdr14:xfrm>
            <a:off x="4528800" y="8368877"/>
            <a:ext cx="46800" cy="42480"/>
          </xdr14:xfrm>
        </xdr:contentPart>
      </mc:Choice>
      <mc:Fallback xmlns="">
        <xdr:pic>
          <xdr:nvPicPr>
            <xdr:cNvPr id="7" name="Ink 6">
              <a:extLst>
                <a:ext uri="{FF2B5EF4-FFF2-40B4-BE49-F238E27FC236}">
                  <a16:creationId xmlns:a16="http://schemas.microsoft.com/office/drawing/2014/main" id="{76C6D63D-9BA0-44C1-AC70-6B1ECD8B62F4}"/>
                </a:ext>
              </a:extLst>
            </xdr:cNvPr>
            <xdr:cNvPicPr/>
          </xdr:nvPicPr>
          <xdr:blipFill>
            <a:blip xmlns:r="http://schemas.openxmlformats.org/officeDocument/2006/relationships" r:embed="rId4"/>
            <a:stretch>
              <a:fillRect/>
            </a:stretch>
          </xdr:blipFill>
          <xdr:spPr>
            <a:xfrm>
              <a:off x="4519800" y="8360237"/>
              <a:ext cx="64440" cy="60120"/>
            </a:xfrm>
            <a:prstGeom prst="rect">
              <a:avLst/>
            </a:prstGeom>
          </xdr:spPr>
        </xdr:pic>
      </mc:Fallback>
    </mc:AlternateContent>
    <xdr:clientData/>
  </xdr:oneCellAnchor>
</xdr:wsDr>
</file>

<file path=xl/drawings/drawing5.xml><?xml version="1.0" encoding="utf-8"?>
<xdr:wsDr xmlns:xdr="http://schemas.openxmlformats.org/drawingml/2006/spreadsheetDrawing" xmlns:a="http://schemas.openxmlformats.org/drawingml/2006/main">
  <xdr:twoCellAnchor editAs="oneCell">
    <xdr:from>
      <xdr:col>3</xdr:col>
      <xdr:colOff>359571</xdr:colOff>
      <xdr:row>4</xdr:row>
      <xdr:rowOff>155606</xdr:rowOff>
    </xdr:from>
    <xdr:to>
      <xdr:col>3</xdr:col>
      <xdr:colOff>403647</xdr:colOff>
      <xdr:row>5</xdr:row>
      <xdr:rowOff>17653</xdr:rowOff>
    </xdr:to>
    <mc:AlternateContent xmlns:mc="http://schemas.openxmlformats.org/markup-compatibility/2006" xmlns:xdr14="http://schemas.microsoft.com/office/excel/2010/spreadsheetDrawing">
      <mc:Choice Requires="xdr14">
        <xdr:contentPart xmlns:r="http://schemas.openxmlformats.org/officeDocument/2006/relationships" r:id="rId1">
          <xdr14:nvContentPartPr>
            <xdr14:cNvPr id="2" name="Ink 1">
              <a:extLst>
                <a:ext uri="{FF2B5EF4-FFF2-40B4-BE49-F238E27FC236}">
                  <a16:creationId xmlns:a16="http://schemas.microsoft.com/office/drawing/2014/main" id="{00000000-0008-0000-1B00-000002000000}"/>
                </a:ext>
              </a:extLst>
            </xdr14:cNvPr>
            <xdr14:cNvContentPartPr/>
          </xdr14:nvContentPartPr>
          <xdr14:nvPr macro=""/>
          <xdr14:xfrm>
            <a:off x="4528800" y="8368877"/>
            <a:ext cx="46800" cy="42480"/>
          </xdr14:xfrm>
        </xdr:contentPart>
      </mc:Choice>
      <mc:Fallback xmlns="">
        <xdr:pic>
          <xdr:nvPicPr>
            <xdr:cNvPr id="7" name="Ink 6">
              <a:extLst>
                <a:ext uri="{FF2B5EF4-FFF2-40B4-BE49-F238E27FC236}">
                  <a16:creationId xmlns:a16="http://schemas.microsoft.com/office/drawing/2014/main" id="{76C6D63D-9BA0-44C1-AC70-6B1ECD8B62F4}"/>
                </a:ext>
              </a:extLst>
            </xdr:cNvPr>
            <xdr:cNvPicPr/>
          </xdr:nvPicPr>
          <xdr:blipFill>
            <a:blip xmlns:r="http://schemas.openxmlformats.org/officeDocument/2006/relationships" r:embed="rId2"/>
            <a:stretch>
              <a:fillRect/>
            </a:stretch>
          </xdr:blipFill>
          <xdr:spPr>
            <a:xfrm>
              <a:off x="4519800" y="8360237"/>
              <a:ext cx="64440" cy="60120"/>
            </a:xfrm>
            <a:prstGeom prst="rect">
              <a:avLst/>
            </a:prstGeom>
          </xdr:spPr>
        </xdr:pic>
      </mc:Fallback>
    </mc:AlternateContent>
    <xdr:clientData/>
  </xdr:twoCellAnchor>
</xdr:wsDr>
</file>

<file path=xl/drawings/drawing6.xml><?xml version="1.0" encoding="utf-8"?>
<xdr:wsDr xmlns:xdr="http://schemas.openxmlformats.org/drawingml/2006/spreadsheetDrawing" xmlns:a="http://schemas.openxmlformats.org/drawingml/2006/main">
  <xdr:twoCellAnchor editAs="oneCell">
    <xdr:from>
      <xdr:col>3</xdr:col>
      <xdr:colOff>359571</xdr:colOff>
      <xdr:row>4</xdr:row>
      <xdr:rowOff>155606</xdr:rowOff>
    </xdr:from>
    <xdr:to>
      <xdr:col>3</xdr:col>
      <xdr:colOff>403647</xdr:colOff>
      <xdr:row>5</xdr:row>
      <xdr:rowOff>17653</xdr:rowOff>
    </xdr:to>
    <mc:AlternateContent xmlns:mc="http://schemas.openxmlformats.org/markup-compatibility/2006" xmlns:xdr14="http://schemas.microsoft.com/office/excel/2010/spreadsheetDrawing">
      <mc:Choice Requires="xdr14">
        <xdr:contentPart xmlns:r="http://schemas.openxmlformats.org/officeDocument/2006/relationships" r:id="rId1">
          <xdr14:nvContentPartPr>
            <xdr14:cNvPr id="2" name="Ink 1">
              <a:extLst>
                <a:ext uri="{FF2B5EF4-FFF2-40B4-BE49-F238E27FC236}">
                  <a16:creationId xmlns:a16="http://schemas.microsoft.com/office/drawing/2014/main" id="{00000000-0008-0000-1C00-000002000000}"/>
                </a:ext>
              </a:extLst>
            </xdr14:cNvPr>
            <xdr14:cNvContentPartPr/>
          </xdr14:nvContentPartPr>
          <xdr14:nvPr macro=""/>
          <xdr14:xfrm>
            <a:off x="4528800" y="8368877"/>
            <a:ext cx="46800" cy="42480"/>
          </xdr14:xfrm>
        </xdr:contentPart>
      </mc:Choice>
      <mc:Fallback xmlns="">
        <xdr:pic>
          <xdr:nvPicPr>
            <xdr:cNvPr id="7" name="Ink 6">
              <a:extLst>
                <a:ext uri="{FF2B5EF4-FFF2-40B4-BE49-F238E27FC236}">
                  <a16:creationId xmlns:a16="http://schemas.microsoft.com/office/drawing/2014/main" id="{76C6D63D-9BA0-44C1-AC70-6B1ECD8B62F4}"/>
                </a:ext>
              </a:extLst>
            </xdr:cNvPr>
            <xdr:cNvPicPr/>
          </xdr:nvPicPr>
          <xdr:blipFill>
            <a:blip xmlns:r="http://schemas.openxmlformats.org/officeDocument/2006/relationships" r:embed="rId2"/>
            <a:stretch>
              <a:fillRect/>
            </a:stretch>
          </xdr:blipFill>
          <xdr:spPr>
            <a:xfrm>
              <a:off x="4519800" y="8360237"/>
              <a:ext cx="64440" cy="60120"/>
            </a:xfrm>
            <a:prstGeom prst="rect">
              <a:avLst/>
            </a:prstGeom>
          </xdr:spPr>
        </xdr:pic>
      </mc:Fallback>
    </mc:AlternateContent>
    <xdr:clientData/>
  </xdr:twoCellAnchor>
</xdr:wsDr>
</file>

<file path=xl/drawings/drawing7.xml><?xml version="1.0" encoding="utf-8"?>
<xdr:wsDr xmlns:xdr="http://schemas.openxmlformats.org/drawingml/2006/spreadsheetDrawing" xmlns:a="http://schemas.openxmlformats.org/drawingml/2006/main">
  <xdr:twoCellAnchor editAs="oneCell">
    <xdr:from>
      <xdr:col>3</xdr:col>
      <xdr:colOff>359571</xdr:colOff>
      <xdr:row>4</xdr:row>
      <xdr:rowOff>155606</xdr:rowOff>
    </xdr:from>
    <xdr:to>
      <xdr:col>3</xdr:col>
      <xdr:colOff>403647</xdr:colOff>
      <xdr:row>5</xdr:row>
      <xdr:rowOff>17653</xdr:rowOff>
    </xdr:to>
    <mc:AlternateContent xmlns:mc="http://schemas.openxmlformats.org/markup-compatibility/2006" xmlns:xdr14="http://schemas.microsoft.com/office/excel/2010/spreadsheetDrawing">
      <mc:Choice Requires="xdr14">
        <xdr:contentPart xmlns:r="http://schemas.openxmlformats.org/officeDocument/2006/relationships" r:id="rId1">
          <xdr14:nvContentPartPr>
            <xdr14:cNvPr id="2" name="Ink 1">
              <a:extLst>
                <a:ext uri="{FF2B5EF4-FFF2-40B4-BE49-F238E27FC236}">
                  <a16:creationId xmlns:a16="http://schemas.microsoft.com/office/drawing/2014/main" id="{00000000-0008-0000-1D00-000002000000}"/>
                </a:ext>
              </a:extLst>
            </xdr14:cNvPr>
            <xdr14:cNvContentPartPr/>
          </xdr14:nvContentPartPr>
          <xdr14:nvPr macro=""/>
          <xdr14:xfrm>
            <a:off x="4528800" y="8368877"/>
            <a:ext cx="46800" cy="42480"/>
          </xdr14:xfrm>
        </xdr:contentPart>
      </mc:Choice>
      <mc:Fallback xmlns="">
        <xdr:pic>
          <xdr:nvPicPr>
            <xdr:cNvPr id="7" name="Ink 6">
              <a:extLst>
                <a:ext uri="{FF2B5EF4-FFF2-40B4-BE49-F238E27FC236}">
                  <a16:creationId xmlns:a16="http://schemas.microsoft.com/office/drawing/2014/main" id="{76C6D63D-9BA0-44C1-AC70-6B1ECD8B62F4}"/>
                </a:ext>
              </a:extLst>
            </xdr:cNvPr>
            <xdr:cNvPicPr/>
          </xdr:nvPicPr>
          <xdr:blipFill>
            <a:blip xmlns:r="http://schemas.openxmlformats.org/officeDocument/2006/relationships" r:embed="rId2"/>
            <a:stretch>
              <a:fillRect/>
            </a:stretch>
          </xdr:blipFill>
          <xdr:spPr>
            <a:xfrm>
              <a:off x="4519800" y="8360237"/>
              <a:ext cx="64440" cy="60120"/>
            </a:xfrm>
            <a:prstGeom prst="rect">
              <a:avLst/>
            </a:prstGeom>
          </xdr:spPr>
        </xdr:pic>
      </mc:Fallback>
    </mc:AlternateContent>
    <xdr:clientData/>
  </xdr:twoCellAnchor>
</xdr:wsDr>
</file>

<file path=xl/drawings/drawing8.xml><?xml version="1.0" encoding="utf-8"?>
<xdr:wsDr xmlns:xdr="http://schemas.openxmlformats.org/drawingml/2006/spreadsheetDrawing" xmlns:a="http://schemas.openxmlformats.org/drawingml/2006/main">
  <xdr:twoCellAnchor editAs="oneCell">
    <xdr:from>
      <xdr:col>3</xdr:col>
      <xdr:colOff>359571</xdr:colOff>
      <xdr:row>4</xdr:row>
      <xdr:rowOff>155606</xdr:rowOff>
    </xdr:from>
    <xdr:to>
      <xdr:col>3</xdr:col>
      <xdr:colOff>403647</xdr:colOff>
      <xdr:row>5</xdr:row>
      <xdr:rowOff>17653</xdr:rowOff>
    </xdr:to>
    <mc:AlternateContent xmlns:mc="http://schemas.openxmlformats.org/markup-compatibility/2006" xmlns:xdr14="http://schemas.microsoft.com/office/excel/2010/spreadsheetDrawing">
      <mc:Choice Requires="xdr14">
        <xdr:contentPart xmlns:r="http://schemas.openxmlformats.org/officeDocument/2006/relationships" r:id="rId1">
          <xdr14:nvContentPartPr>
            <xdr14:cNvPr id="2" name="Ink 1">
              <a:extLst>
                <a:ext uri="{FF2B5EF4-FFF2-40B4-BE49-F238E27FC236}">
                  <a16:creationId xmlns:a16="http://schemas.microsoft.com/office/drawing/2014/main" id="{00000000-0008-0000-1E00-000002000000}"/>
                </a:ext>
              </a:extLst>
            </xdr14:cNvPr>
            <xdr14:cNvContentPartPr/>
          </xdr14:nvContentPartPr>
          <xdr14:nvPr macro=""/>
          <xdr14:xfrm>
            <a:off x="4528800" y="8368877"/>
            <a:ext cx="46800" cy="42480"/>
          </xdr14:xfrm>
        </xdr:contentPart>
      </mc:Choice>
      <mc:Fallback xmlns="">
        <xdr:pic>
          <xdr:nvPicPr>
            <xdr:cNvPr id="7" name="Ink 6">
              <a:extLst>
                <a:ext uri="{FF2B5EF4-FFF2-40B4-BE49-F238E27FC236}">
                  <a16:creationId xmlns:a16="http://schemas.microsoft.com/office/drawing/2014/main" id="{76C6D63D-9BA0-44C1-AC70-6B1ECD8B62F4}"/>
                </a:ext>
              </a:extLst>
            </xdr:cNvPr>
            <xdr:cNvPicPr/>
          </xdr:nvPicPr>
          <xdr:blipFill>
            <a:blip xmlns:r="http://schemas.openxmlformats.org/officeDocument/2006/relationships" r:embed="rId2"/>
            <a:stretch>
              <a:fillRect/>
            </a:stretch>
          </xdr:blipFill>
          <xdr:spPr>
            <a:xfrm>
              <a:off x="4519800" y="8360237"/>
              <a:ext cx="64440" cy="60120"/>
            </a:xfrm>
            <a:prstGeom prst="rect">
              <a:avLst/>
            </a:prstGeom>
          </xdr:spPr>
        </xdr:pic>
      </mc:Fallback>
    </mc:AlternateContent>
    <xdr:clientData/>
  </xdr:twoCellAnchor>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https://lifeisanadventure.sharepoint.com/sites/SellYourHome/Shared%20Documents/Property/25_Project%20Management%20-%20612%20Britton%20Ct.xlsm" TargetMode="External"/><Relationship Id="rId1" Type="http://schemas.openxmlformats.org/officeDocument/2006/relationships/externalLinkPath" Target="25_Project%20Management%20-%20612%20Britton%20Ct.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driveId="b!4mDJWAoUZEiObH1uIc-tPNklzEL-JwdPrMve0F7Efu7K7Z-rHQDJTLJE2cO-WifT" itemId="01ZGFUBDO5QEQ7M544BRELUSIAOY3CVLKE">
      <xxl21:absoluteUrl r:id="rId2"/>
    </xxl21:alternateUrls>
    <sheetNames>
      <sheetName val="Profit"/>
      <sheetName val="Amortization"/>
      <sheetName val="Docs"/>
      <sheetName val="Sheet1"/>
      <sheetName val="MOG"/>
      <sheetName val="Contact"/>
      <sheetName val="Carrying"/>
      <sheetName val="Contract"/>
      <sheetName val="UpdateContract"/>
      <sheetName val="Gnatt Chart"/>
      <sheetName val="Recap"/>
      <sheetName val="Legal"/>
      <sheetName val="Seller Advance"/>
      <sheetName val="MISC"/>
      <sheetName val="Demo &amp; Trash Haul"/>
      <sheetName val="Appliances"/>
      <sheetName val="Plumbing Fixtures"/>
      <sheetName val="Windows &amp; Doors"/>
      <sheetName val="Cabinets"/>
      <sheetName val="Paint"/>
      <sheetName val="Flooring"/>
      <sheetName val="HVAC"/>
      <sheetName val="Electrical Fixtures"/>
      <sheetName val="Exterior"/>
      <sheetName val="Landscape"/>
      <sheetName val="2024"/>
      <sheetName val="STR"/>
      <sheetName val="2023"/>
      <sheetName val="2022"/>
      <sheetName val="2021"/>
      <sheetName val="2020"/>
      <sheetName val="Furnishing"/>
      <sheetName val="Todo"/>
      <sheetName val="Sheet2"/>
      <sheetName val="Sheet3"/>
      <sheetName val="Sheet4"/>
      <sheetName val="Sheet5"/>
      <sheetName val="Sheet6"/>
      <sheetName val="Sheet7"/>
      <sheetName val="Sheet8"/>
      <sheetName val="Sheet9"/>
      <sheetName val="Sheet10"/>
      <sheetName val="Sheet11"/>
      <sheetName val="Sheet12"/>
      <sheetName val="Sheet13"/>
    </sheetNames>
    <sheetDataSet>
      <sheetData sheetId="0">
        <row r="2">
          <cell r="B2" t="str">
            <v>612 Britton Ct</v>
          </cell>
          <cell r="E2" t="str">
            <v>Sanford, NC 27330</v>
          </cell>
        </row>
        <row r="14">
          <cell r="C14">
            <v>35038.01</v>
          </cell>
        </row>
        <row r="15">
          <cell r="C15">
            <v>83188.5</v>
          </cell>
        </row>
        <row r="20">
          <cell r="C20">
            <v>0</v>
          </cell>
        </row>
        <row r="21">
          <cell r="B21">
            <v>136402.79</v>
          </cell>
        </row>
      </sheetData>
      <sheetData sheetId="1">
        <row r="3">
          <cell r="C3">
            <v>4.7500000000000001E-2</v>
          </cell>
        </row>
        <row r="4">
          <cell r="O4">
            <v>68918</v>
          </cell>
        </row>
        <row r="6">
          <cell r="O6"/>
        </row>
        <row r="8">
          <cell r="Z8" t="str">
            <v xml:space="preserve"> Cash Flow(60 months);</v>
          </cell>
        </row>
        <row r="9">
          <cell r="T9">
            <v>4.7500000000000001E-2</v>
          </cell>
          <cell r="Z9" t="str">
            <v>1st  Loan Balance(5 years)</v>
          </cell>
        </row>
      </sheetData>
      <sheetData sheetId="2"/>
      <sheetData sheetId="3"/>
      <sheetData sheetId="4">
        <row r="3">
          <cell r="B3" t="str">
            <v>Laurence A.</v>
          </cell>
          <cell r="C3" t="str">
            <v>Tunnard</v>
          </cell>
        </row>
        <row r="4">
          <cell r="B4" t="str">
            <v>Aprille D.</v>
          </cell>
          <cell r="C4" t="str">
            <v>Tunnard</v>
          </cell>
        </row>
      </sheetData>
      <sheetData sheetId="5"/>
      <sheetData sheetId="6">
        <row r="5">
          <cell r="E5">
            <v>1514.69</v>
          </cell>
        </row>
      </sheetData>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row r="44">
          <cell r="E44">
            <v>399000</v>
          </cell>
        </row>
      </sheetData>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Set>
  </externalBook>
</externalLink>
</file>

<file path=xl/featurePropertyBag/featurePropertyBag.xml><?xml version="1.0" encoding="utf-8"?>
<FeaturePropertyBags xmlns="http://schemas.microsoft.com/office/spreadsheetml/2022/featurepropertybag">
  <bag type="Checkbox"/>
  <bag type="XFControls">
    <bagId k="CellControl">0</bagId>
  </bag>
  <bag type="XFComplement">
    <bagId k="XFControls">1</bagId>
  </bag>
  <bag type="XFComplements" extRef="XFComplementsMapperExtRef">
    <a k="MappedFeaturePropertyBags">
      <bagId>2</bagId>
    </a>
  </bag>
</FeaturePropertyBags>
</file>

<file path=xl/ink/ink1.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24-09-04T18:08:25.035"/>
    </inkml:context>
    <inkml:brush xml:id="br0">
      <inkml:brushProperty name="width" value="0.05" units="cm"/>
      <inkml:brushProperty name="height" value="0.05" units="cm"/>
    </inkml:brush>
  </inkml:definitions>
  <inkml:trace contextRef="#ctx0" brushRef="#br0">129 1 17047 0 0,'-19'2'1575'0'0,"15"-2"-1507"0"0,-1 1 0 0 0,1-1 0 0 0,0 1 0 0 0,-1 0 0 0 0,-5 2 0 0 0,8-1 211 0 0,-1 0 0 0 0,1 0 0 0 0,0 0 0 0 0,0 0 0 0 0,0 0 0 0 0,0 1 0 0 0,0-1 0 0 0,0 0 0 0 0,-3 6 0 0 0,-3 5-718 0 0,-23 31-2274 0 0,24-32 1471 0 0,-1 1-97 0 0</inkml:trace>
</inkml:ink>
</file>

<file path=xl/ink/ink2.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24-09-04T18:10:05.249"/>
    </inkml:context>
    <inkml:brush xml:id="br0">
      <inkml:brushProperty name="width" value="0.05" units="cm"/>
      <inkml:brushProperty name="height" value="0.05" units="cm"/>
    </inkml:brush>
  </inkml:definitions>
  <inkml:trace contextRef="#ctx0" brushRef="#br0">129 1 17047 0 0,'-19'2'1575'0'0,"15"-2"-1507"0"0,-1 1 0 0 0,1-1 0 0 0,0 1 0 0 0,-1 0 0 0 0,-5 2 0 0 0,8-1 211 0 0,-1 0 0 0 0,1 0 0 0 0,0 0 0 0 0,0 0 0 0 0,0 0 0 0 0,0 1 0 0 0,0-1 0 0 0,0 0 0 0 0,-3 6 0 0 0,-3 5-718 0 0,-23 31-2274 0 0,24-32 1471 0 0,-1 1-97 0 0</inkml:trace>
</inkml:ink>
</file>

<file path=xl/ink/ink3.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24-02-06T19:13:57.154"/>
    </inkml:context>
    <inkml:brush xml:id="br0">
      <inkml:brushProperty name="width" value="0.05" units="cm"/>
      <inkml:brushProperty name="height" value="0.05" units="cm"/>
    </inkml:brush>
  </inkml:definitions>
  <inkml:trace contextRef="#ctx0" brushRef="#br0">129 1 17047 0 0,'-19'2'1575'0'0,"15"-2"-1507"0"0,-1 1 0 0 0,1-1 0 0 0,0 1 0 0 0,-1 0 0 0 0,-5 2 0 0 0,8-1 211 0 0,-1 0 0 0 0,1 0 0 0 0,0 0 0 0 0,0 0 0 0 0,0 0 0 0 0,0 1 0 0 0,0-1 0 0 0,0 0 0 0 0,-3 6 0 0 0,-3 5-718 0 0,-23 31-2274 0 0,24-32 1471 0 0,-1 1-97 0 0</inkml:trace>
</inkml:ink>
</file>

<file path=xl/ink/ink4.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24-02-06T19:13:51.420"/>
    </inkml:context>
    <inkml:brush xml:id="br0">
      <inkml:brushProperty name="width" value="0.05" units="cm"/>
      <inkml:brushProperty name="height" value="0.05" units="cm"/>
    </inkml:brush>
  </inkml:definitions>
  <inkml:trace contextRef="#ctx0" brushRef="#br0">129 1 17047 0 0,'-19'2'1575'0'0,"15"-2"-1507"0"0,-1 1 0 0 0,1-1 0 0 0,0 1 0 0 0,-1 0 0 0 0,-5 2 0 0 0,8-1 211 0 0,-1 0 0 0 0,1 0 0 0 0,0 0 0 0 0,0 0 0 0 0,0 0 0 0 0,0 1 0 0 0,0-1 0 0 0,0 0 0 0 0,-3 6 0 0 0,-3 5-718 0 0,-23 31-2274 0 0,24-32 1471 0 0,-1 1-97 0 0</inkml:trace>
</inkml:ink>
</file>

<file path=xl/ink/ink5.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24-02-06T19:13:44.489"/>
    </inkml:context>
    <inkml:brush xml:id="br0">
      <inkml:brushProperty name="width" value="0.05" units="cm"/>
      <inkml:brushProperty name="height" value="0.05" units="cm"/>
    </inkml:brush>
  </inkml:definitions>
  <inkml:trace contextRef="#ctx0" brushRef="#br0">129 1 17047 0 0,'-19'2'1575'0'0,"15"-2"-1507"0"0,-1 1 0 0 0,1-1 0 0 0,0 1 0 0 0,-1 0 0 0 0,-5 2 0 0 0,8-1 211 0 0,-1 0 0 0 0,1 0 0 0 0,0 0 0 0 0,0 0 0 0 0,0 0 0 0 0,0 1 0 0 0,0-1 0 0 0,0 0 0 0 0,-3 6 0 0 0,-3 5-718 0 0,-23 31-2274 0 0,24-32 1471 0 0,-1 1-97 0 0</inkml:trace>
</inkml:ink>
</file>

<file path=xl/ink/ink6.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24-02-01T14:20:06.528"/>
    </inkml:context>
    <inkml:brush xml:id="br0">
      <inkml:brushProperty name="width" value="0.05" units="cm"/>
      <inkml:brushProperty name="height" value="0.05" units="cm"/>
    </inkml:brush>
  </inkml:definitions>
  <inkml:trace contextRef="#ctx0" brushRef="#br0">129 1 17047 0 0,'-19'2'1575'0'0,"15"-2"-1507"0"0,-1 1 0 0 0,1-1 0 0 0,0 1 0 0 0,-1 0 0 0 0,-5 2 0 0 0,8-1 211 0 0,-1 0 0 0 0,1 0 0 0 0,0 0 0 0 0,0 0 0 0 0,0 0 0 0 0,0 1 0 0 0,0-1 0 0 0,0 0 0 0 0,-3 6 0 0 0,-3 5-718 0 0,-23 31-2274 0 0,24-32 1471 0 0,-1 1-97 0 0</inkml:trace>
</inkm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3" backgroundRefresh="0" connectionId="3" xr16:uid="{E7BA7171-083D-4CB4-8ABE-298E470EBB62}" autoFormatId="16" applyNumberFormats="0" applyBorderFormats="0" applyFontFormats="0" applyPatternFormats="0" applyAlignmentFormats="0" applyWidthHeightFormats="0">
  <queryTableRefresh nextId="21" unboundColumnsLeft="1" unboundColumnsRight="6">
    <queryTableFields count="14">
      <queryTableField id="8" dataBound="0" tableColumnId="8"/>
      <queryTableField id="15" name="Item" tableColumnId="1"/>
      <queryTableField id="2" name="Cost Code" tableColumnId="2"/>
      <queryTableField id="3" name="Title" tableColumnId="3"/>
      <queryTableField id="4" name="Description" tableColumnId="4"/>
      <queryTableField id="5" name="Qty" tableColumnId="5"/>
      <queryTableField id="6" name="Unit Price" tableColumnId="6"/>
      <queryTableField id="7" name="Price" tableColumnId="7"/>
      <queryTableField id="17" dataBound="0" tableColumnId="9"/>
      <queryTableField id="20" dataBound="0" tableColumnId="14"/>
      <queryTableField id="12" dataBound="0" tableColumnId="12"/>
      <queryTableField id="14" dataBound="0" tableColumnId="15"/>
      <queryTableField id="18" dataBound="0" tableColumnId="10"/>
      <queryTableField id="19" dataBound="0" tableColumnId="13"/>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4" backgroundRefresh="0" growShrinkType="insertClear" adjustColumnWidth="0" connectionId="5" xr16:uid="{AF163B3A-4144-4DA6-B14A-D446DCD77367}" autoFormatId="16" applyNumberFormats="0" applyBorderFormats="0" applyFontFormats="0" applyPatternFormats="0" applyAlignmentFormats="0" applyWidthHeightFormats="0">
  <queryTableRefresh nextId="25">
    <queryTableFields count="15">
      <queryTableField id="1" name="Party" tableColumnId="106"/>
      <queryTableField id="2" name="Item" tableColumnId="107"/>
      <queryTableField id="3" name="Cost Code" tableColumnId="108"/>
      <queryTableField id="4" name="Title" tableColumnId="109"/>
      <queryTableField id="5" name="Description" tableColumnId="110"/>
      <queryTableField id="6" name="Qty" tableColumnId="111"/>
      <queryTableField id="7" name="Unit Price" tableColumnId="112"/>
      <queryTableField id="8" name="Price" tableColumnId="113"/>
      <queryTableField id="9" name="Done" tableColumnId="114"/>
      <queryTableField id="10" name="Group Order" tableColumnId="115"/>
      <queryTableField id="11" name="Start Date" tableColumnId="116"/>
      <queryTableField id="12" name="Days" tableColumnId="117"/>
      <queryTableField id="13" name="Paid" tableColumnId="118"/>
      <queryTableField id="23" name="Due" tableColumnId="3"/>
      <queryTableField id="24" name="Notes" tableColumnId="1"/>
    </queryTableFields>
    <queryTableDeletedFields count="3">
      <deletedField name="Notes"/>
      <deletedField name="Notes"/>
      <deletedField name="Due"/>
    </queryTableDeleted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ProposalToGnatt  2" backgroundRefresh="0" connectionId="1" xr16:uid="{4080BA5F-CF8D-4060-BBCD-CB90CF91CE5B}" autoFormatId="16" applyNumberFormats="0" applyBorderFormats="0" applyFontFormats="0" applyPatternFormats="0" applyAlignmentFormats="0" applyWidthHeightFormats="0">
  <queryTableRefresh nextId="28">
    <queryTableFields count="7">
      <queryTableField id="2" name="Item" tableColumnId="2"/>
      <queryTableField id="26" name="Title" tableColumnId="1"/>
      <queryTableField id="16" name="Description" tableColumnId="16"/>
      <queryTableField id="24" name="Order" tableColumnId="4"/>
      <queryTableField id="11" name="Start Date" tableColumnId="11"/>
      <queryTableField id="22" name="Price" tableColumnId="3"/>
      <queryTableField id="9" name="Done" tableColumnId="9"/>
    </queryTableFields>
  </queryTableRefresh>
  <extLst>
    <ext xmlns:x15="http://schemas.microsoft.com/office/spreadsheetml/2010/11/main" uri="{883FBD77-0823-4a55-B5E3-86C4891E6966}">
      <x15:queryTable sourceDataName="Query - Recap"/>
    </ext>
  </extLst>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backgroundRefresh="0" connectionId="2" xr16:uid="{28BEC618-3E83-49BB-89A2-43DC3CE0DBC5}" autoFormatId="16" applyNumberFormats="0" applyBorderFormats="0" applyFontFormats="0" applyPatternFormats="0" applyAlignmentFormats="0" applyWidthHeightFormats="0">
  <queryTableRefresh nextId="13">
    <queryTableFields count="6">
      <queryTableField id="1" name="Item" tableColumnId="1"/>
      <queryTableField id="11" name="Title" tableColumnId="3"/>
      <queryTableField id="6" name="Description" tableColumnId="6"/>
      <queryTableField id="2" name="Comment" tableColumnId="2"/>
      <queryTableField id="8" name="Date" tableColumnId="7"/>
      <queryTableField id="10" name="Done" tableColumnId="8"/>
    </queryTableFields>
  </queryTableRefresh>
</queryTable>
</file>

<file path=xl/tables/_rels/table2.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6.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E8A9C9B7-BAF7-4CAB-9067-DC10D354858C}" name="Proposal" displayName="Proposal" ref="A11:E96" totalsRowShown="0" headerRowDxfId="80" headerRowBorderDxfId="79">
  <autoFilter ref="A11:E96" xr:uid="{E8A9C9B7-BAF7-4CAB-9067-DC10D354858C}"/>
  <tableColumns count="5">
    <tableColumn id="1" xr3:uid="{9A4F1599-587C-4C12-AC23-D5B3879D1321}" name="Cost Code" dataDxfId="78"/>
    <tableColumn id="2" xr3:uid="{3ACCA719-70D2-4F0D-A8A3-69AE3272D3C1}" name="Title" dataDxfId="77"/>
    <tableColumn id="3" xr3:uid="{661FF8D2-2D43-4F8B-B73F-EC14A34B7050}" name="Description" dataDxfId="76"/>
    <tableColumn id="5" xr3:uid="{96319F4C-C120-4B14-BEB7-1D271C147258}" name="Qty" dataDxfId="75"/>
    <tableColumn id="6" xr3:uid="{CAFF8447-B9F2-4425-B2CD-C62CE1EB051F}" name="Unit Price" dataDxfId="74"/>
  </tableColumns>
  <tableStyleInfo name="TableStyleLight19"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4A34AA4E-C13A-41A2-95E8-83E7E9409806}" name="FromProposal" displayName="FromProposal" ref="A4:N89" tableType="queryTable" totalsRowShown="0" headerRowDxfId="73" dataDxfId="72">
  <autoFilter ref="A4:N89" xr:uid="{4A34AA4E-C13A-41A2-95E8-83E7E9409806}"/>
  <tableColumns count="14">
    <tableColumn id="8" xr3:uid="{96E49A5C-5367-4ACB-B14D-E01CC163A0F1}" uniqueName="8" name="Party" queryTableFieldId="8" dataDxfId="71">
      <calculatedColumnFormula>+IF(FromProposal[[#This Row],[Cost Code]]&lt;&gt;0,+'Gnatt Chart'!$A$2,"")</calculatedColumnFormula>
    </tableColumn>
    <tableColumn id="1" xr3:uid="{6ADBCE42-4844-4052-8DB6-AB34AD671DD5}" uniqueName="1" name="Item" queryTableFieldId="15" dataDxfId="70"/>
    <tableColumn id="2" xr3:uid="{33F8A9BB-342C-4F7D-B125-F381BCB77C64}" uniqueName="2" name="Cost Code" queryTableFieldId="2" dataDxfId="69"/>
    <tableColumn id="3" xr3:uid="{EAE8FFCB-2C04-49B6-85CD-78C67097E902}" uniqueName="3" name="Title" queryTableFieldId="3" dataDxfId="68"/>
    <tableColumn id="4" xr3:uid="{439B82DD-03F8-428D-9245-8543A46F29DC}" uniqueName="4" name="Description" queryTableFieldId="4" dataDxfId="67"/>
    <tableColumn id="5" xr3:uid="{1E080297-D531-4180-92D4-1B19AACF49C1}" uniqueName="5" name="Qty" queryTableFieldId="5" dataDxfId="66"/>
    <tableColumn id="6" xr3:uid="{575B5FBE-3F82-40CD-8A54-810E146EF82F}" uniqueName="6" name="Unit Price" queryTableFieldId="6" dataDxfId="65"/>
    <tableColumn id="7" xr3:uid="{766B7F26-7C49-427A-A617-067C40444D87}" uniqueName="7" name="Price" queryTableFieldId="7" dataDxfId="64"/>
    <tableColumn id="9" xr3:uid="{A5701DF5-B99B-45EC-8FC5-7061E5C93440}" uniqueName="9" name="Done" queryTableFieldId="17" dataDxfId="63"/>
    <tableColumn id="14" xr3:uid="{1C4B67EF-B985-4B9A-9327-556AFBB5C4A1}" uniqueName="14" name="Group Order" queryTableFieldId="20" dataDxfId="62"/>
    <tableColumn id="12" xr3:uid="{A3E3248C-A9FB-45EA-9F9E-83897992215A}" uniqueName="12" name="Start Date" queryTableFieldId="12" dataDxfId="61"/>
    <tableColumn id="15" xr3:uid="{E31CECDC-7A24-4472-8474-4283CEDBD8FC}" uniqueName="15" name="Days" queryTableFieldId="14" dataDxfId="60"/>
    <tableColumn id="10" xr3:uid="{3EA3D46A-2606-48C3-B90D-0603A94FFB2E}" uniqueName="10" name="Paid" queryTableFieldId="18" dataDxfId="59"/>
    <tableColumn id="13" xr3:uid="{7268DDA6-B96D-499B-92E4-F124E0D116A3}" uniqueName="13" name="Notes" queryTableFieldId="19" dataDxfId="58"/>
  </tableColumns>
  <tableStyleInfo name="TableStyleMedium5"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54A8D861-A5C8-42AF-A86B-34EC7AE8EE0A}" name="ProposalToGnatt" displayName="ProposalToGnatt" ref="A27:O112" tableType="queryTable" totalsRowShown="0" headerRowDxfId="57" dataDxfId="56">
  <sortState xmlns:xlrd2="http://schemas.microsoft.com/office/spreadsheetml/2017/richdata2" ref="A28:O112">
    <sortCondition ref="J28:J81"/>
    <sortCondition ref="K28:K81"/>
  </sortState>
  <tableColumns count="15">
    <tableColumn id="106" xr3:uid="{88C796C4-2105-4C93-8E7A-CCEA28B0DF71}" uniqueName="106" name="Party" queryTableFieldId="1" dataDxfId="55"/>
    <tableColumn id="107" xr3:uid="{541F33A4-C6A3-44C5-81DB-FAA61B7F72AB}" uniqueName="107" name="Item" queryTableFieldId="2" dataDxfId="54"/>
    <tableColumn id="108" xr3:uid="{3AE45ADE-D247-428D-BB07-058C3457BF76}" uniqueName="108" name="Cost Code" queryTableFieldId="3" dataDxfId="53"/>
    <tableColumn id="109" xr3:uid="{B0D5185D-6AD1-4E8D-B845-F1898A9538BA}" uniqueName="109" name="Title" queryTableFieldId="4" dataDxfId="52"/>
    <tableColumn id="110" xr3:uid="{BF5C7BBF-561F-458E-BF23-5B7C697DF8C9}" uniqueName="110" name="Description" queryTableFieldId="5" dataDxfId="51"/>
    <tableColumn id="111" xr3:uid="{F21AE756-8924-4878-8615-262AB0D00519}" uniqueName="111" name="Qty" queryTableFieldId="6" dataDxfId="50"/>
    <tableColumn id="112" xr3:uid="{0CD8A8A4-BACC-44F4-93A1-F713A821F322}" uniqueName="112" name="Unit Price" queryTableFieldId="7" dataDxfId="49"/>
    <tableColumn id="113" xr3:uid="{26C57DEB-9347-43DE-B22B-A524ED52F9F1}" uniqueName="113" name="Price" queryTableFieldId="8" dataDxfId="48"/>
    <tableColumn id="114" xr3:uid="{EBDB1F65-628C-4940-9612-1C3FD8569DC1}" uniqueName="114" name="Done" queryTableFieldId="9" dataDxfId="47"/>
    <tableColumn id="115" xr3:uid="{12EEE598-AD5C-449D-9592-F3BFFA8A06FB}" uniqueName="115" name="Group Order" queryTableFieldId="10" dataDxfId="46"/>
    <tableColumn id="116" xr3:uid="{C6321B43-2488-4F52-A140-04EF16631EAF}" uniqueName="116" name="Start Date" queryTableFieldId="11" dataDxfId="45"/>
    <tableColumn id="117" xr3:uid="{E22A3266-2A40-492B-9764-940B22EBAEF6}" uniqueName="117" name="Days" queryTableFieldId="12" dataDxfId="44"/>
    <tableColumn id="118" xr3:uid="{DA6448B5-75FA-40C7-BF8D-CB99AC089926}" uniqueName="118" name="Paid" queryTableFieldId="13" dataDxfId="43"/>
    <tableColumn id="3" xr3:uid="{0EAEDA6D-3B4A-4D63-BCE1-6489307C3CA2}" uniqueName="3" name="Due" queryTableFieldId="23" dataDxfId="42"/>
    <tableColumn id="1" xr3:uid="{67811F05-1AA8-4D00-9800-87B33F8463CE}" uniqueName="1" name="Notes" queryTableFieldId="24" dataDxfId="41"/>
  </tableColumns>
  <tableStyleInfo name="TableStyleMedium5"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A9173191-CA76-4BB7-A991-FBCCC52C2E75}" name="Recap" displayName="Recap" ref="A4:G17" tableType="queryTable" totalsRowShown="0" headerRowDxfId="40">
  <autoFilter ref="A4:G17" xr:uid="{A9173191-CA76-4BB7-A991-FBCCC52C2E75}"/>
  <tableColumns count="7">
    <tableColumn id="2" xr3:uid="{5315D4CD-9089-41CE-8EE5-55BE99227BDD}" uniqueName="2" name="Item" queryTableFieldId="2"/>
    <tableColumn id="1" xr3:uid="{F94FA115-4496-4EA8-AD0C-0E7350822860}" uniqueName="1" name="Title" queryTableFieldId="26" dataDxfId="39"/>
    <tableColumn id="16" xr3:uid="{2E21600F-1D2E-4263-85CB-0D780BA42B26}" uniqueName="16" name="Description" queryTableFieldId="16" dataDxfId="38"/>
    <tableColumn id="4" xr3:uid="{089042D1-0A79-42D2-9FB4-550A2F42688C}" uniqueName="4" name="Order" queryTableFieldId="24"/>
    <tableColumn id="11" xr3:uid="{6FD6A57A-45C8-406C-9809-1268DBB2B9B0}" uniqueName="11" name="Start Date" queryTableFieldId="11" dataDxfId="32"/>
    <tableColumn id="3" xr3:uid="{5EC4595E-174D-4F70-976B-3F65280A553E}" uniqueName="3" name="Price" queryTableFieldId="22" dataDxfId="31"/>
    <tableColumn id="9" xr3:uid="{AF672E56-69B2-45E3-9B51-49B71E4850F5}" uniqueName="9" name="Done" queryTableFieldId="9" dataDxfId="37"/>
  </tableColumns>
  <tableStyleInfo name="TableStyleMedium7"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AFE18073-5D4F-460C-896E-63518DBAB661}" name="Table4" displayName="Table4" ref="I4:L14" totalsRowShown="0" headerRowDxfId="36">
  <autoFilter ref="I4:L14" xr:uid="{AFE18073-5D4F-460C-896E-63518DBAB661}"/>
  <tableColumns count="4">
    <tableColumn id="1" xr3:uid="{D2F6F89B-1339-44BD-B3B6-A0FE4A662111}" name="Item"/>
    <tableColumn id="2" xr3:uid="{6ADF6489-F006-4F7A-ADDC-AC8ADCE4324D}" name="Comment"/>
    <tableColumn id="4" xr3:uid="{B71CFF71-6B28-4E15-A04B-70E2BCF66326}" name="Date" dataDxfId="35"/>
    <tableColumn id="3" xr3:uid="{7F217056-0A60-4E0A-98C9-77B54AED492A}" name="Done"/>
  </tableColumns>
  <tableStyleInfo name="TableStyleLight19"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146E1B5C-5187-4240-9021-5074DDE6412F}" name="AddRecapItems" displayName="AddRecapItems" ref="N4:S5" tableType="queryTable" insertRow="1" totalsRowShown="0" headerRowDxfId="34">
  <autoFilter ref="N4:S5" xr:uid="{146E1B5C-5187-4240-9021-5074DDE6412F}">
    <filterColumn colId="5">
      <filters blank="1"/>
    </filterColumn>
  </autoFilter>
  <tableColumns count="6">
    <tableColumn id="1" xr3:uid="{713260E8-52E2-49AD-A7DB-30841C46A0C4}" uniqueName="1" name="Item" queryTableFieldId="1"/>
    <tableColumn id="3" xr3:uid="{B147708A-4898-4C2F-A869-57FB71143A69}" uniqueName="3" name="Title" queryTableFieldId="11"/>
    <tableColumn id="6" xr3:uid="{370A03C6-6371-4586-89B8-B8E60670D39E}" uniqueName="6" name="Description" queryTableFieldId="6"/>
    <tableColumn id="2" xr3:uid="{661F9F72-4AF8-4F51-BC8B-9C4CDE20BCFD}" uniqueName="2" name="Comment" queryTableFieldId="2"/>
    <tableColumn id="7" xr3:uid="{0EEF4AC9-085C-46F3-B2F3-6205245C67C0}" uniqueName="7" name="Date" queryTableFieldId="8" dataDxfId="33"/>
    <tableColumn id="8" xr3:uid="{73C830EA-9470-4B48-8156-5EFC3F63E699}" uniqueName="8" name="Done" queryTableFieldId="10"/>
  </tableColumns>
  <tableStyleInfo name="TableStyleMedium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12.xml"/><Relationship Id="rId5" Type="http://schemas.openxmlformats.org/officeDocument/2006/relationships/ctrlProp" Target="../ctrlProps/ctrlProp11.xml"/><Relationship Id="rId4" Type="http://schemas.openxmlformats.org/officeDocument/2006/relationships/ctrlProp" Target="../ctrlProps/ctrlProp10.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3" Type="http://schemas.openxmlformats.org/officeDocument/2006/relationships/hyperlink" Target="https://insurancehub.com/" TargetMode="External"/><Relationship Id="rId2" Type="http://schemas.openxmlformats.org/officeDocument/2006/relationships/hyperlink" Target="mailto:RWalker@insurancehub.com" TargetMode="External"/><Relationship Id="rId1" Type="http://schemas.openxmlformats.org/officeDocument/2006/relationships/hyperlink" Target="https://insurancehub.com/" TargetMode="External"/><Relationship Id="rId6" Type="http://schemas.openxmlformats.org/officeDocument/2006/relationships/printerSettings" Target="../printerSettings/printerSettings4.bin"/><Relationship Id="rId5" Type="http://schemas.openxmlformats.org/officeDocument/2006/relationships/hyperlink" Target="https://myaccount.shellpointmtg.com/" TargetMode="External"/><Relationship Id="rId4" Type="http://schemas.openxmlformats.org/officeDocument/2006/relationships/hyperlink" Target="mailto:BMiron@insurancehub.com" TargetMode="Externa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8.bin"/><Relationship Id="rId5" Type="http://schemas.openxmlformats.org/officeDocument/2006/relationships/table" Target="../tables/table3.xml"/><Relationship Id="rId4" Type="http://schemas.openxmlformats.org/officeDocument/2006/relationships/ctrlProp" Target="../ctrlProps/ctrlProp13.xml"/></Relationships>
</file>

<file path=xl/worksheets/_rels/sheet10.xml.rels><?xml version="1.0" encoding="UTF-8" standalone="yes"?>
<Relationships xmlns="http://schemas.openxmlformats.org/package/2006/relationships"><Relationship Id="rId3" Type="http://schemas.openxmlformats.org/officeDocument/2006/relationships/table" Target="../tables/table6.xml"/><Relationship Id="rId2" Type="http://schemas.openxmlformats.org/officeDocument/2006/relationships/table" Target="../tables/table5.xml"/><Relationship Id="rId1" Type="http://schemas.openxmlformats.org/officeDocument/2006/relationships/table" Target="../tables/table4.xml"/></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6.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27.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28.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29.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30.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20.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92D050"/>
  </sheetPr>
  <dimension ref="A1:T126"/>
  <sheetViews>
    <sheetView tabSelected="1" zoomScale="150" zoomScaleNormal="150" workbookViewId="0">
      <pane xSplit="1" ySplit="3" topLeftCell="B41" activePane="bottomRight" state="frozen"/>
      <selection pane="topRight" activeCell="C1" sqref="C1:E1"/>
      <selection pane="bottomLeft" activeCell="C1" sqref="C1:E1"/>
      <selection pane="bottomRight" activeCell="K62" sqref="K62"/>
    </sheetView>
  </sheetViews>
  <sheetFormatPr defaultColWidth="9.140625" defaultRowHeight="15" customHeight="1" x14ac:dyDescent="0.2"/>
  <cols>
    <col min="1" max="1" width="24.7109375" style="39" customWidth="1"/>
    <col min="2" max="2" width="7.5703125" style="39" customWidth="1"/>
    <col min="3" max="3" width="8.28515625" style="113" customWidth="1"/>
    <col min="4" max="4" width="10.140625" style="38" customWidth="1"/>
    <col min="5" max="5" width="11" style="38" customWidth="1"/>
    <col min="6" max="6" width="9.28515625" style="38" bestFit="1" customWidth="1"/>
    <col min="7" max="7" width="9.7109375" style="38" customWidth="1"/>
    <col min="8" max="8" width="8.5703125" style="39" customWidth="1"/>
    <col min="9" max="9" width="8.5703125" style="113" bestFit="1" customWidth="1"/>
    <col min="10" max="10" width="11.5703125" style="38" customWidth="1"/>
    <col min="11" max="11" width="9.5703125" style="38" customWidth="1"/>
    <col min="12" max="12" width="10.85546875" style="38" customWidth="1"/>
    <col min="13" max="13" width="10.85546875" style="38" hidden="1" customWidth="1"/>
    <col min="14" max="14" width="5.28515625" style="38" customWidth="1"/>
    <col min="15" max="15" width="21.140625" style="444" bestFit="1" customWidth="1"/>
    <col min="16" max="16" width="9.140625" style="141" customWidth="1"/>
    <col min="17" max="17" width="5.42578125" style="38" bestFit="1" customWidth="1"/>
    <col min="18" max="18" width="23.140625" style="39" bestFit="1" customWidth="1"/>
    <col min="19" max="19" width="5.42578125" style="38" bestFit="1" customWidth="1"/>
    <col min="20" max="20" width="5" style="38" customWidth="1"/>
    <col min="21" max="21" width="10.140625" style="38" bestFit="1" customWidth="1"/>
    <col min="22" max="22" width="11" style="38" bestFit="1" customWidth="1"/>
    <col min="23" max="23" width="11.28515625" style="38" customWidth="1"/>
    <col min="24" max="25" width="11" style="38" customWidth="1"/>
    <col min="26" max="26" width="6.7109375" style="38" customWidth="1"/>
    <col min="27" max="27" width="8.5703125" style="38" customWidth="1"/>
    <col min="28" max="28" width="10.42578125" style="38" customWidth="1"/>
    <col min="29" max="29" width="9.7109375" style="38" customWidth="1"/>
    <col min="30" max="30" width="10.5703125" style="38" customWidth="1"/>
    <col min="31" max="31" width="10.42578125" style="38" customWidth="1"/>
    <col min="32" max="16384" width="9.140625" style="38"/>
  </cols>
  <sheetData>
    <row r="1" spans="1:20" ht="21" customHeight="1" thickBot="1" x14ac:dyDescent="0.35">
      <c r="A1" s="39" t="s">
        <v>687</v>
      </c>
      <c r="B1" s="401" t="str">
        <f>IF(T3=1,"Flip","")</f>
        <v>Flip</v>
      </c>
      <c r="C1" s="402" t="str">
        <f>IF(T3=2,"Hold","")</f>
        <v/>
      </c>
      <c r="D1" s="402" t="str">
        <f>IF(T3=3,"Slow Flip","")</f>
        <v/>
      </c>
      <c r="E1" s="512" t="s">
        <v>209</v>
      </c>
      <c r="F1" s="606" t="s">
        <v>713</v>
      </c>
      <c r="G1" s="607"/>
      <c r="H1" s="608"/>
      <c r="I1" s="454"/>
      <c r="J1" s="626" t="s">
        <v>2</v>
      </c>
      <c r="K1" s="627"/>
      <c r="L1"/>
      <c r="M1"/>
      <c r="R1" s="39" t="s">
        <v>689</v>
      </c>
      <c r="S1" s="38" t="b">
        <v>0</v>
      </c>
    </row>
    <row r="2" spans="1:20" ht="16.5" customHeight="1" thickBot="1" x14ac:dyDescent="0.3">
      <c r="A2" s="114"/>
      <c r="B2" s="707" t="s">
        <v>624</v>
      </c>
      <c r="C2" s="708"/>
      <c r="D2" s="708"/>
      <c r="E2" s="705" t="s">
        <v>855</v>
      </c>
      <c r="F2" s="706"/>
      <c r="G2" s="472" t="s">
        <v>856</v>
      </c>
      <c r="H2" s="617" t="s">
        <v>0</v>
      </c>
      <c r="I2" s="618"/>
      <c r="J2" s="615" t="s">
        <v>1</v>
      </c>
      <c r="K2" s="696"/>
      <c r="M2" s="573"/>
      <c r="R2" s="39" t="s">
        <v>688</v>
      </c>
      <c r="S2" s="38" t="b">
        <v>0</v>
      </c>
    </row>
    <row r="3" spans="1:20" ht="12" customHeight="1" thickBot="1" x14ac:dyDescent="0.25">
      <c r="A3" s="115" t="s">
        <v>4</v>
      </c>
      <c r="B3" s="116"/>
      <c r="D3" s="621" t="s">
        <v>5</v>
      </c>
      <c r="E3" s="621"/>
      <c r="F3" s="621" t="s">
        <v>6</v>
      </c>
      <c r="G3" s="619"/>
      <c r="H3" s="619"/>
      <c r="I3" s="620"/>
      <c r="J3" s="616"/>
      <c r="K3" s="697"/>
      <c r="L3" s="574"/>
      <c r="M3" s="574"/>
      <c r="R3" s="138" t="s">
        <v>41</v>
      </c>
      <c r="S3" s="38" t="b">
        <v>0</v>
      </c>
      <c r="T3" s="38">
        <v>1</v>
      </c>
    </row>
    <row r="4" spans="1:20" ht="12" customHeight="1" thickBot="1" x14ac:dyDescent="0.25">
      <c r="A4" s="39" t="s">
        <v>7</v>
      </c>
      <c r="B4" s="622">
        <v>375000</v>
      </c>
      <c r="C4" s="623"/>
      <c r="D4" s="365"/>
      <c r="E4" s="387"/>
      <c r="F4" s="384"/>
      <c r="G4" s="384"/>
      <c r="H4" s="122"/>
      <c r="I4" s="123"/>
      <c r="R4" s="138" t="s">
        <v>42</v>
      </c>
      <c r="S4" s="38" t="b">
        <v>1</v>
      </c>
    </row>
    <row r="5" spans="1:20" ht="12" customHeight="1" thickBot="1" x14ac:dyDescent="0.25">
      <c r="A5" s="39" t="s">
        <v>9</v>
      </c>
      <c r="B5" s="458">
        <f>+Amortization!H1</f>
        <v>0.05</v>
      </c>
      <c r="C5" s="333">
        <v>0</v>
      </c>
      <c r="D5" s="388"/>
      <c r="E5" s="389"/>
      <c r="F5" s="384"/>
      <c r="G5" s="384"/>
      <c r="H5" s="125"/>
      <c r="I5" s="126"/>
      <c r="P5" s="141" t="s">
        <v>10</v>
      </c>
      <c r="Q5" s="275"/>
      <c r="R5" s="138" t="s">
        <v>43</v>
      </c>
      <c r="S5" s="38" t="b">
        <v>1</v>
      </c>
    </row>
    <row r="6" spans="1:20" ht="12" customHeight="1" thickBot="1" x14ac:dyDescent="0.25">
      <c r="A6" s="39" t="s">
        <v>11</v>
      </c>
      <c r="B6" s="624">
        <f>IF(B1="Flip",B4,IF(C1="hold",B4*(1+C5),+Amortization!J4))</f>
        <v>375000</v>
      </c>
      <c r="C6" s="625"/>
      <c r="D6" s="388"/>
      <c r="E6" s="389"/>
      <c r="F6" s="384"/>
      <c r="G6" s="392">
        <f>IF(OR(T3=1,T3=2),$B$6,0)</f>
        <v>375000</v>
      </c>
      <c r="H6" s="125"/>
      <c r="I6" s="126"/>
      <c r="Q6" s="275"/>
      <c r="R6" s="453"/>
      <c r="S6" s="38" t="b">
        <v>0</v>
      </c>
    </row>
    <row r="7" spans="1:20" ht="12" customHeight="1" thickBot="1" x14ac:dyDescent="0.25">
      <c r="A7" s="39" t="s">
        <v>13</v>
      </c>
      <c r="B7" s="458">
        <f>+Amortization!J3</f>
        <v>0.1</v>
      </c>
      <c r="C7" s="347">
        <f>+B6*B7</f>
        <v>37500</v>
      </c>
      <c r="D7" s="348"/>
      <c r="E7" s="349">
        <f>IF(T3=3,+C7,0)</f>
        <v>0</v>
      </c>
      <c r="F7" s="385"/>
      <c r="G7" s="384"/>
      <c r="H7" s="125"/>
      <c r="I7" s="126"/>
      <c r="J7" s="615" t="s">
        <v>12</v>
      </c>
      <c r="K7" s="628">
        <v>0.03</v>
      </c>
      <c r="M7" s="575"/>
      <c r="Q7" s="275"/>
      <c r="R7" s="453"/>
    </row>
    <row r="8" spans="1:20" ht="12" customHeight="1" thickBot="1" x14ac:dyDescent="0.3">
      <c r="A8" s="39" t="s">
        <v>666</v>
      </c>
      <c r="B8" s="336"/>
      <c r="C8" s="406"/>
      <c r="D8" s="348"/>
      <c r="E8" s="389"/>
      <c r="F8" s="385"/>
      <c r="G8" s="393">
        <f>+IF($C$1="hold",$K$7,0)*$C$51/12*B4</f>
        <v>0</v>
      </c>
      <c r="H8" s="407"/>
      <c r="I8" s="126"/>
      <c r="J8" s="616"/>
      <c r="K8" s="629"/>
      <c r="L8" s="576"/>
      <c r="M8" s="576"/>
    </row>
    <row r="9" spans="1:20" ht="12" customHeight="1" thickBot="1" x14ac:dyDescent="0.25">
      <c r="A9" s="137" t="str">
        <f>IF(T3=3,"Delta Mortgages","Monthly Rent:")</f>
        <v>Monthly Rent:</v>
      </c>
      <c r="B9" s="611">
        <v>805</v>
      </c>
      <c r="C9" s="612"/>
      <c r="D9" s="390"/>
      <c r="E9" s="391"/>
      <c r="F9" s="386"/>
      <c r="G9" s="394"/>
      <c r="H9" s="395"/>
      <c r="I9" s="403" t="str">
        <f>IF(OR(C1="Hold",D1="Slow Flip"),IF(C1="hold",+B9,+Amortization!AB7),"")</f>
        <v/>
      </c>
      <c r="J9" s="615" t="s">
        <v>14</v>
      </c>
      <c r="K9" s="700">
        <v>1689</v>
      </c>
      <c r="M9" s="577"/>
    </row>
    <row r="10" spans="1:20" ht="12" customHeight="1" thickBot="1" x14ac:dyDescent="0.25">
      <c r="C10" s="636" t="s">
        <v>15</v>
      </c>
      <c r="D10" s="637" t="s">
        <v>15</v>
      </c>
      <c r="E10" s="117">
        <f>SUM(D4:E9)</f>
        <v>0</v>
      </c>
      <c r="F10" s="650">
        <f>+SUM(F4:G9)</f>
        <v>375000</v>
      </c>
      <c r="G10" s="651"/>
      <c r="H10" s="650">
        <f>SUM(H4:I9)</f>
        <v>0</v>
      </c>
      <c r="I10" s="651"/>
      <c r="J10" s="616"/>
      <c r="K10" s="701"/>
      <c r="L10" s="578"/>
      <c r="M10" s="578"/>
      <c r="O10" s="444" t="s">
        <v>680</v>
      </c>
      <c r="Q10" s="421"/>
    </row>
    <row r="11" spans="1:20" ht="12" customHeight="1" thickBot="1" x14ac:dyDescent="0.3">
      <c r="C11" s="118"/>
      <c r="D11" s="119"/>
      <c r="E11" s="113"/>
      <c r="F11" s="702" t="str">
        <f>IF(T3=3,"Profit calcuations based on selling in 5 years","")</f>
        <v/>
      </c>
      <c r="G11" s="703"/>
      <c r="H11" s="703"/>
      <c r="I11" s="704"/>
      <c r="O11" s="444" t="s">
        <v>683</v>
      </c>
      <c r="P11" s="141">
        <v>250000</v>
      </c>
      <c r="Q11" s="441" t="b">
        <f>+$B$4&gt;P11</f>
        <v>1</v>
      </c>
    </row>
    <row r="12" spans="1:20" ht="12" customHeight="1" thickTop="1" thickBot="1" x14ac:dyDescent="0.25">
      <c r="A12" s="120" t="s">
        <v>16</v>
      </c>
      <c r="B12" s="120"/>
      <c r="C12" s="121"/>
      <c r="D12" s="365"/>
      <c r="E12" s="366"/>
      <c r="F12" s="373"/>
      <c r="G12" s="415"/>
      <c r="H12" s="375"/>
      <c r="I12" s="405"/>
      <c r="O12" s="444" t="s">
        <v>684</v>
      </c>
      <c r="P12" s="141">
        <v>700000</v>
      </c>
      <c r="Q12" s="441" t="b">
        <f>+$B$4&lt;P12</f>
        <v>1</v>
      </c>
    </row>
    <row r="13" spans="1:20" ht="12" customHeight="1" thickBot="1" x14ac:dyDescent="0.25">
      <c r="A13" s="39" t="s">
        <v>665</v>
      </c>
      <c r="B13" s="116"/>
      <c r="D13" s="388"/>
      <c r="E13" s="404"/>
      <c r="F13" s="353"/>
      <c r="G13" s="412">
        <f>IF(T3=3,+Amortization!AB10,0)</f>
        <v>0</v>
      </c>
      <c r="H13" s="413"/>
      <c r="I13" s="414"/>
      <c r="J13" s="464" t="s">
        <v>8</v>
      </c>
      <c r="K13" s="466" t="b">
        <v>1</v>
      </c>
      <c r="M13" s="579" t="b">
        <v>0</v>
      </c>
      <c r="O13" s="444" t="s">
        <v>682</v>
      </c>
      <c r="P13" s="141">
        <v>100000</v>
      </c>
      <c r="Q13" s="441" t="b">
        <f>P13&lt;K62</f>
        <v>1</v>
      </c>
    </row>
    <row r="14" spans="1:20" ht="11.25" customHeight="1" thickBot="1" x14ac:dyDescent="0.3">
      <c r="A14" s="39" t="s">
        <v>17</v>
      </c>
      <c r="B14" s="329"/>
      <c r="C14" s="443">
        <v>24241</v>
      </c>
      <c r="D14" s="367">
        <f>-C14</f>
        <v>-24241</v>
      </c>
      <c r="E14" s="349"/>
      <c r="F14" s="374"/>
      <c r="G14" s="148">
        <f>IF(K13,0,0.3*C14)</f>
        <v>0</v>
      </c>
      <c r="H14" s="652" t="s">
        <v>18</v>
      </c>
      <c r="I14" s="653"/>
      <c r="J14" s="630" t="s">
        <v>19</v>
      </c>
      <c r="K14" s="631"/>
      <c r="M14" s="580"/>
      <c r="O14" s="444" t="s">
        <v>681</v>
      </c>
      <c r="P14" s="445">
        <v>0.35</v>
      </c>
      <c r="Q14" s="441" t="b">
        <f>P14&lt;K62/B4</f>
        <v>0</v>
      </c>
    </row>
    <row r="15" spans="1:20" ht="12" customHeight="1" x14ac:dyDescent="0.2">
      <c r="A15" s="39" t="s">
        <v>20</v>
      </c>
      <c r="B15" s="252">
        <v>3.7499999999999999E-2</v>
      </c>
      <c r="C15" s="213">
        <v>82509.100000000006</v>
      </c>
      <c r="D15" s="367">
        <f>-C15</f>
        <v>-82509.100000000006</v>
      </c>
      <c r="E15" s="349">
        <f>+C15</f>
        <v>82509.100000000006</v>
      </c>
      <c r="F15" s="353">
        <f>IF(OR(T3=1,T3=2,T3=3),IF(OR(T3=1,T3=2),-C15,Amortization!AA9),0)</f>
        <v>-82509.100000000006</v>
      </c>
      <c r="G15" s="465"/>
      <c r="H15" s="377"/>
      <c r="I15" s="378"/>
      <c r="J15" s="632"/>
      <c r="K15" s="633"/>
      <c r="M15" s="580"/>
      <c r="O15" s="444" t="s">
        <v>686</v>
      </c>
      <c r="P15" s="141">
        <v>30000</v>
      </c>
      <c r="Q15" s="441" t="b">
        <f>+P15&gt;($C$14+$C$20)</f>
        <v>0</v>
      </c>
    </row>
    <row r="16" spans="1:20" ht="12" customHeight="1" x14ac:dyDescent="0.2">
      <c r="A16" s="39" t="s">
        <v>658</v>
      </c>
      <c r="B16" s="212"/>
      <c r="C16" s="213"/>
      <c r="D16" s="367"/>
      <c r="E16" s="349"/>
      <c r="F16" s="353">
        <f>-(120-C50)*(C16/120)</f>
        <v>0</v>
      </c>
      <c r="G16" s="354"/>
      <c r="H16" s="377">
        <f>-(C16*B16/12)</f>
        <v>0</v>
      </c>
      <c r="I16" s="378"/>
      <c r="J16" s="632"/>
      <c r="K16" s="633"/>
      <c r="M16" s="580"/>
      <c r="O16" s="444" t="s">
        <v>685</v>
      </c>
      <c r="P16" s="141">
        <v>140000</v>
      </c>
      <c r="Q16" s="441" t="b">
        <f>+P16&gt;($C$14+$C$20+E19)</f>
        <v>1</v>
      </c>
    </row>
    <row r="17" spans="1:19" ht="12" customHeight="1" thickBot="1" x14ac:dyDescent="0.25">
      <c r="A17" s="39" t="s">
        <v>21</v>
      </c>
      <c r="B17" s="212">
        <v>0.03</v>
      </c>
      <c r="C17" s="213"/>
      <c r="D17" s="348">
        <f>-C17*0.5</f>
        <v>0</v>
      </c>
      <c r="E17" s="349"/>
      <c r="F17" s="353">
        <f>-C17*0.5</f>
        <v>0</v>
      </c>
      <c r="G17" s="354"/>
      <c r="H17" s="377">
        <f>-C17/120-(C17*B17/12)</f>
        <v>0</v>
      </c>
      <c r="I17" s="378"/>
      <c r="J17" s="634"/>
      <c r="K17" s="635"/>
      <c r="M17" s="580"/>
      <c r="Q17" s="441"/>
    </row>
    <row r="18" spans="1:19" ht="12" customHeight="1" thickBot="1" x14ac:dyDescent="0.25">
      <c r="A18" s="39" t="s">
        <v>22</v>
      </c>
      <c r="B18" s="190"/>
      <c r="C18" s="191"/>
      <c r="D18" s="367">
        <f>-C18</f>
        <v>0</v>
      </c>
      <c r="E18" s="349"/>
      <c r="F18" s="353"/>
      <c r="G18" s="354"/>
      <c r="H18" s="377"/>
      <c r="I18" s="378"/>
      <c r="J18" s="41"/>
      <c r="K18" s="41"/>
      <c r="L18" s="41"/>
      <c r="M18" s="41"/>
      <c r="Q18" s="441"/>
    </row>
    <row r="19" spans="1:19" ht="12" customHeight="1" thickBot="1" x14ac:dyDescent="0.25">
      <c r="A19" s="39" t="s">
        <v>650</v>
      </c>
      <c r="B19" s="346">
        <f>+B17</f>
        <v>0.03</v>
      </c>
      <c r="C19" s="347">
        <v>40000</v>
      </c>
      <c r="D19" s="348"/>
      <c r="E19" s="349"/>
      <c r="F19" s="350"/>
      <c r="G19" s="351"/>
      <c r="H19" s="377"/>
      <c r="I19" s="378"/>
      <c r="J19" s="913" t="s">
        <v>1088</v>
      </c>
      <c r="K19" s="41"/>
      <c r="L19" s="41"/>
      <c r="M19" s="41"/>
      <c r="Q19" s="441"/>
      <c r="R19" s="453"/>
    </row>
    <row r="20" spans="1:19" ht="12" customHeight="1" thickBot="1" x14ac:dyDescent="0.25">
      <c r="A20" s="137" t="s">
        <v>24</v>
      </c>
      <c r="B20" s="442"/>
      <c r="C20" s="336">
        <v>9900</v>
      </c>
      <c r="D20" s="367"/>
      <c r="E20" s="349"/>
      <c r="F20" s="367">
        <f>-$C$20</f>
        <v>-9900</v>
      </c>
      <c r="G20" s="354"/>
      <c r="H20" s="380"/>
      <c r="I20" s="378"/>
      <c r="J20" s="41"/>
      <c r="K20" s="41"/>
      <c r="L20" s="41"/>
      <c r="M20" s="41"/>
      <c r="Q20" s="420"/>
      <c r="R20" s="453"/>
    </row>
    <row r="21" spans="1:19" ht="12" customHeight="1" thickBot="1" x14ac:dyDescent="0.3">
      <c r="A21" s="39" t="s">
        <v>657</v>
      </c>
      <c r="B21" s="609">
        <f>-SUM(D14:D20)</f>
        <v>106750.1</v>
      </c>
      <c r="C21" s="610"/>
      <c r="D21" s="367"/>
      <c r="E21" s="349"/>
      <c r="F21" s="353"/>
      <c r="G21" s="354"/>
      <c r="H21" s="380"/>
      <c r="I21" s="378"/>
      <c r="R21" s="453"/>
    </row>
    <row r="22" spans="1:19" ht="12" customHeight="1" thickBot="1" x14ac:dyDescent="0.25">
      <c r="A22" s="39" t="s">
        <v>651</v>
      </c>
      <c r="B22" s="352">
        <v>0.9</v>
      </c>
      <c r="C22" s="347">
        <f>IF(C1="Hold",+B4*B22,0)</f>
        <v>0</v>
      </c>
      <c r="D22" s="348"/>
      <c r="E22" s="349">
        <f>IF(AND(S1,T3=2),C22+B21,0)</f>
        <v>0</v>
      </c>
      <c r="F22" s="353" t="str">
        <f>IF(AND(S1,T3=2),-C22,"")</f>
        <v/>
      </c>
      <c r="G22" s="354"/>
      <c r="H22" s="379">
        <f>IF(AND(S1,T3=2),IF(S2,IPMT(B23/12,1,C23*12,C22),PMT(B23/12,12*C23,C22)),0)</f>
        <v>0</v>
      </c>
      <c r="I22" s="378"/>
      <c r="J22" s="665" t="s">
        <v>662</v>
      </c>
      <c r="K22" s="666"/>
      <c r="L22" s="41"/>
      <c r="M22" s="41"/>
      <c r="R22" s="453"/>
    </row>
    <row r="23" spans="1:19" ht="12" customHeight="1" thickBot="1" x14ac:dyDescent="0.25">
      <c r="A23" s="39" t="s">
        <v>652</v>
      </c>
      <c r="B23" s="355">
        <v>6.5000000000000002E-2</v>
      </c>
      <c r="C23" s="356">
        <v>30</v>
      </c>
      <c r="D23" s="348"/>
      <c r="E23" s="349"/>
      <c r="F23" s="353"/>
      <c r="G23" s="354"/>
      <c r="H23" s="380"/>
      <c r="I23" s="378"/>
      <c r="J23" s="665" t="s">
        <v>649</v>
      </c>
      <c r="K23" s="666"/>
      <c r="L23" s="41"/>
      <c r="M23" s="41"/>
      <c r="O23" s="444">
        <v>44713</v>
      </c>
      <c r="P23" s="141">
        <v>371000</v>
      </c>
      <c r="R23" s="453"/>
    </row>
    <row r="24" spans="1:19" ht="12" customHeight="1" thickBot="1" x14ac:dyDescent="0.25">
      <c r="A24" s="39" t="s">
        <v>653</v>
      </c>
      <c r="B24" s="654">
        <v>45566</v>
      </c>
      <c r="C24" s="655"/>
      <c r="D24" s="348"/>
      <c r="E24" s="349"/>
      <c r="F24" s="353"/>
      <c r="G24" s="354"/>
      <c r="H24" s="380"/>
      <c r="I24" s="378"/>
      <c r="K24" s="41"/>
      <c r="L24" s="41"/>
      <c r="M24" s="41"/>
      <c r="O24" s="444">
        <v>45383</v>
      </c>
      <c r="P24" s="141">
        <v>351000</v>
      </c>
      <c r="R24" s="453"/>
    </row>
    <row r="25" spans="1:19" ht="12" customHeight="1" thickBot="1" x14ac:dyDescent="0.25">
      <c r="A25" s="137" t="s">
        <v>23</v>
      </c>
      <c r="B25" s="176">
        <v>0.25</v>
      </c>
      <c r="C25" s="177"/>
      <c r="D25" s="367"/>
      <c r="E25" s="349"/>
      <c r="F25" s="353"/>
      <c r="G25" s="354"/>
      <c r="H25" s="379"/>
      <c r="I25" s="378"/>
      <c r="O25" s="444">
        <v>45627</v>
      </c>
      <c r="P25" s="141">
        <v>363000</v>
      </c>
      <c r="S25" s="141"/>
    </row>
    <row r="26" spans="1:19" ht="12" customHeight="1" thickBot="1" x14ac:dyDescent="0.25">
      <c r="A26" s="137" t="s">
        <v>26</v>
      </c>
      <c r="B26" s="152"/>
      <c r="C26" s="177">
        <v>0</v>
      </c>
      <c r="D26" s="367">
        <f>-B26</f>
        <v>0</v>
      </c>
      <c r="E26" s="349"/>
      <c r="F26" s="353"/>
      <c r="G26" s="354"/>
      <c r="H26" s="380"/>
      <c r="I26" s="378"/>
      <c r="O26" s="444">
        <v>45736</v>
      </c>
      <c r="P26" s="141">
        <v>366600</v>
      </c>
      <c r="S26" s="141"/>
    </row>
    <row r="27" spans="1:19" ht="12" customHeight="1" thickBot="1" x14ac:dyDescent="0.25">
      <c r="A27" s="137" t="s">
        <v>509</v>
      </c>
      <c r="B27" s="613"/>
      <c r="C27" s="614"/>
      <c r="D27" s="367">
        <f>-B27</f>
        <v>0</v>
      </c>
      <c r="E27" s="349"/>
      <c r="F27" s="353"/>
      <c r="G27" s="354"/>
      <c r="H27" s="380"/>
      <c r="I27" s="378"/>
      <c r="O27" s="444">
        <v>45762</v>
      </c>
      <c r="P27" s="141">
        <v>364100</v>
      </c>
    </row>
    <row r="28" spans="1:19" ht="12" customHeight="1" thickBot="1" x14ac:dyDescent="0.25">
      <c r="A28" s="137" t="s">
        <v>620</v>
      </c>
      <c r="B28" s="332">
        <f>+F73/30</f>
        <v>19.5</v>
      </c>
      <c r="C28" s="124"/>
      <c r="D28" s="367"/>
      <c r="E28" s="349"/>
      <c r="F28" s="353"/>
      <c r="G28" s="354"/>
      <c r="H28" s="379"/>
      <c r="I28" s="378"/>
      <c r="O28" s="444">
        <v>45825</v>
      </c>
      <c r="P28" s="141">
        <v>366900</v>
      </c>
      <c r="S28" s="141"/>
    </row>
    <row r="29" spans="1:19" ht="12" customHeight="1" x14ac:dyDescent="0.2">
      <c r="A29" s="137" t="s">
        <v>615</v>
      </c>
      <c r="B29" s="330">
        <f>+STR!K17/12</f>
        <v>0</v>
      </c>
      <c r="C29" s="124"/>
      <c r="D29" s="367"/>
      <c r="E29" s="349"/>
      <c r="F29" s="353"/>
      <c r="G29" s="354"/>
      <c r="H29" s="379">
        <f>-B29</f>
        <v>0</v>
      </c>
      <c r="I29" s="378"/>
      <c r="J29" s="675" t="s">
        <v>25</v>
      </c>
      <c r="K29" s="676"/>
      <c r="L29" s="581"/>
      <c r="M29" s="581"/>
      <c r="O29" s="444">
        <v>45874</v>
      </c>
      <c r="P29" s="141">
        <v>367300</v>
      </c>
      <c r="S29" s="141"/>
    </row>
    <row r="30" spans="1:19" ht="12" customHeight="1" thickBot="1" x14ac:dyDescent="0.25">
      <c r="A30" s="137" t="s">
        <v>619</v>
      </c>
      <c r="C30" s="331">
        <f>+B46/C51</f>
        <v>4590.052734615384</v>
      </c>
      <c r="D30" s="367"/>
      <c r="E30" s="349"/>
      <c r="F30" s="353"/>
      <c r="G30" s="354"/>
      <c r="H30" s="379"/>
      <c r="I30" s="378"/>
      <c r="J30" s="677"/>
      <c r="K30" s="678"/>
      <c r="L30" s="581"/>
      <c r="M30" s="581"/>
      <c r="O30" s="444">
        <v>45933</v>
      </c>
      <c r="P30" s="141">
        <v>368400</v>
      </c>
      <c r="Q30" s="275"/>
      <c r="R30" s="453"/>
    </row>
    <row r="31" spans="1:19" ht="12" customHeight="1" x14ac:dyDescent="0.25">
      <c r="A31" s="137" t="s">
        <v>28</v>
      </c>
      <c r="B31" s="332">
        <f>+Carrying!F$25/Profit!$B$28</f>
        <v>773.25846153846123</v>
      </c>
      <c r="C31" s="124"/>
      <c r="D31" s="367"/>
      <c r="E31" s="349"/>
      <c r="F31" s="353"/>
      <c r="G31" s="354"/>
      <c r="H31" s="379">
        <f>IF(OR($T$3=3),-B31,0)</f>
        <v>0</v>
      </c>
      <c r="I31" s="378">
        <f>IF(OR($T$3=3,$T$3=2),+B9,0)</f>
        <v>0</v>
      </c>
      <c r="J31" s="642" t="s">
        <v>27</v>
      </c>
      <c r="K31" s="643"/>
      <c r="L31"/>
      <c r="M31"/>
      <c r="O31" s="444">
        <v>45983</v>
      </c>
      <c r="P31" s="141">
        <v>375000</v>
      </c>
      <c r="R31" s="453"/>
    </row>
    <row r="32" spans="1:19" ht="12" customHeight="1" x14ac:dyDescent="0.25">
      <c r="A32" s="137" t="s">
        <v>835</v>
      </c>
      <c r="B32" s="332">
        <f>-Carrying!AA25/$B$28</f>
        <v>-544.39128205128191</v>
      </c>
      <c r="C32" s="124"/>
      <c r="D32" s="367"/>
      <c r="E32" s="349"/>
      <c r="F32" s="353"/>
      <c r="G32" s="354"/>
      <c r="H32" s="379"/>
      <c r="I32" s="378"/>
      <c r="J32" s="644"/>
      <c r="K32" s="645"/>
      <c r="L32"/>
      <c r="M32"/>
      <c r="R32" s="453"/>
    </row>
    <row r="33" spans="1:18" ht="12" customHeight="1" x14ac:dyDescent="0.25">
      <c r="A33" s="137" t="s">
        <v>626</v>
      </c>
      <c r="B33" s="332">
        <f>+Carrying!I25/$B$28</f>
        <v>416.66666666666669</v>
      </c>
      <c r="C33" s="124"/>
      <c r="D33" s="367"/>
      <c r="E33" s="349"/>
      <c r="F33" s="353"/>
      <c r="G33" s="354"/>
      <c r="H33" s="379"/>
      <c r="I33" s="378"/>
      <c r="J33" s="644"/>
      <c r="K33" s="645"/>
      <c r="L33"/>
      <c r="M33"/>
      <c r="R33" s="453"/>
    </row>
    <row r="34" spans="1:18" ht="12" customHeight="1" thickBot="1" x14ac:dyDescent="0.3">
      <c r="A34" s="137" t="s">
        <v>29</v>
      </c>
      <c r="B34" s="332">
        <f>+Carrying!L$25/Profit!$B$28</f>
        <v>0</v>
      </c>
      <c r="C34" s="124"/>
      <c r="D34" s="367"/>
      <c r="E34" s="349"/>
      <c r="F34" s="353"/>
      <c r="G34" s="354"/>
      <c r="H34" s="379">
        <f>IF($T$3=3,-B34,0)</f>
        <v>0</v>
      </c>
      <c r="I34" s="378">
        <f>IF($T$3=3,+B34,0)</f>
        <v>0</v>
      </c>
      <c r="J34" s="646"/>
      <c r="K34" s="647"/>
      <c r="L34"/>
      <c r="M34"/>
    </row>
    <row r="35" spans="1:18" ht="12" customHeight="1" x14ac:dyDescent="0.25">
      <c r="A35" s="137"/>
      <c r="B35" s="332"/>
      <c r="C35" s="124"/>
      <c r="D35" s="367"/>
      <c r="E35" s="349"/>
      <c r="F35" s="353"/>
      <c r="G35" s="354"/>
      <c r="H35" s="379"/>
      <c r="I35" s="378"/>
      <c r="J35" s="908"/>
      <c r="K35" s="908"/>
      <c r="L35"/>
      <c r="M35"/>
    </row>
    <row r="36" spans="1:18" ht="12" customHeight="1" x14ac:dyDescent="0.25">
      <c r="A36" s="137"/>
      <c r="B36" s="332"/>
      <c r="C36" s="124"/>
      <c r="D36" s="367"/>
      <c r="E36" s="349"/>
      <c r="F36" s="353"/>
      <c r="G36" s="354"/>
      <c r="H36" s="379"/>
      <c r="I36" s="378"/>
      <c r="J36" s="908"/>
      <c r="K36" s="908"/>
      <c r="L36"/>
      <c r="M36"/>
    </row>
    <row r="37" spans="1:18" ht="12" customHeight="1" x14ac:dyDescent="0.25">
      <c r="A37" s="137"/>
      <c r="B37" s="332"/>
      <c r="C37" s="124"/>
      <c r="D37" s="367"/>
      <c r="E37" s="349"/>
      <c r="F37" s="353"/>
      <c r="G37" s="354"/>
      <c r="H37" s="379"/>
      <c r="I37" s="378"/>
      <c r="J37" s="908"/>
      <c r="K37" s="908"/>
      <c r="L37"/>
      <c r="M37"/>
    </row>
    <row r="38" spans="1:18" ht="12" customHeight="1" x14ac:dyDescent="0.25">
      <c r="A38" s="137"/>
      <c r="B38" s="332"/>
      <c r="C38" s="124"/>
      <c r="D38" s="367"/>
      <c r="E38" s="349"/>
      <c r="F38" s="353"/>
      <c r="G38" s="354"/>
      <c r="H38" s="379"/>
      <c r="I38" s="378"/>
      <c r="J38" s="908"/>
      <c r="K38" s="908"/>
      <c r="L38"/>
      <c r="M38"/>
    </row>
    <row r="39" spans="1:18" ht="12" customHeight="1" x14ac:dyDescent="0.2">
      <c r="A39" s="137" t="s">
        <v>30</v>
      </c>
      <c r="B39" s="332">
        <f>+Carrying!U25/B28</f>
        <v>0</v>
      </c>
      <c r="C39" s="124"/>
      <c r="D39" s="367"/>
      <c r="E39" s="349"/>
      <c r="F39" s="353"/>
      <c r="G39" s="354"/>
      <c r="H39" s="379">
        <f>IF($T$3=3,-B39,0)</f>
        <v>0</v>
      </c>
      <c r="I39" s="378">
        <f>IF($T$3=3,+B39,0)</f>
        <v>0</v>
      </c>
    </row>
    <row r="40" spans="1:18" ht="12" customHeight="1" thickBot="1" x14ac:dyDescent="0.25">
      <c r="A40" s="137" t="s">
        <v>31</v>
      </c>
      <c r="B40" s="332">
        <f>+Carrying!C25/Profit!$B$28</f>
        <v>19.798974358974363</v>
      </c>
      <c r="C40" s="124"/>
      <c r="D40" s="367"/>
      <c r="E40" s="349"/>
      <c r="F40" s="353"/>
      <c r="G40" s="354"/>
      <c r="H40" s="379"/>
      <c r="I40" s="378"/>
      <c r="O40" s="38"/>
      <c r="P40" s="38"/>
    </row>
    <row r="41" spans="1:18" ht="12" customHeight="1" x14ac:dyDescent="0.2">
      <c r="A41" s="137" t="s">
        <v>1082</v>
      </c>
      <c r="B41" s="332">
        <f>+Carrying!R25/Profit!$B$28</f>
        <v>0</v>
      </c>
      <c r="C41" s="124"/>
      <c r="D41" s="367"/>
      <c r="E41" s="349"/>
      <c r="F41" s="353"/>
      <c r="G41" s="354"/>
      <c r="H41" s="379"/>
      <c r="I41" s="378"/>
      <c r="J41" s="909" t="s">
        <v>33</v>
      </c>
      <c r="K41" s="910">
        <f>+B43/B28</f>
        <v>665.33282051282049</v>
      </c>
      <c r="O41" s="38"/>
      <c r="P41" s="38"/>
    </row>
    <row r="42" spans="1:18" ht="12" customHeight="1" thickBot="1" x14ac:dyDescent="0.25">
      <c r="A42" s="137" t="s">
        <v>32</v>
      </c>
      <c r="B42" s="332">
        <f>+Carrying!O$25/Profit!$B$28</f>
        <v>0</v>
      </c>
      <c r="C42" s="128"/>
      <c r="D42" s="367"/>
      <c r="E42" s="349"/>
      <c r="F42" s="353"/>
      <c r="G42" s="354"/>
      <c r="H42" s="379"/>
      <c r="I42" s="378"/>
      <c r="J42" s="911"/>
      <c r="K42" s="912"/>
      <c r="O42" s="38"/>
      <c r="P42" s="38"/>
    </row>
    <row r="43" spans="1:18" ht="12" customHeight="1" thickBot="1" x14ac:dyDescent="0.25">
      <c r="A43" s="39" t="s">
        <v>33</v>
      </c>
      <c r="B43" s="648">
        <f>+B28*SUM(B31:B42)</f>
        <v>12973.99</v>
      </c>
      <c r="C43" s="649"/>
      <c r="D43" s="367">
        <f>-B43</f>
        <v>-12973.99</v>
      </c>
      <c r="E43" s="349"/>
      <c r="F43" s="353"/>
      <c r="G43" s="354"/>
      <c r="H43" s="379"/>
      <c r="I43" s="378"/>
      <c r="O43" s="38"/>
      <c r="P43" s="38"/>
    </row>
    <row r="44" spans="1:18" ht="12" customHeight="1" x14ac:dyDescent="0.2">
      <c r="A44" s="193" t="s">
        <v>35</v>
      </c>
      <c r="B44" s="139">
        <v>0.1</v>
      </c>
      <c r="C44" s="451" t="b">
        <v>0</v>
      </c>
      <c r="D44" s="367"/>
      <c r="E44" s="349"/>
      <c r="F44" s="353"/>
      <c r="G44" s="354"/>
      <c r="H44" s="379"/>
      <c r="I44" s="378"/>
      <c r="J44" s="909" t="s">
        <v>1087</v>
      </c>
      <c r="K44" s="910">
        <f>+SUM(C15:C19)+B45</f>
        <v>197509.1</v>
      </c>
      <c r="O44" s="38"/>
      <c r="P44" s="38"/>
    </row>
    <row r="45" spans="1:18" ht="12" customHeight="1" thickBot="1" x14ac:dyDescent="0.25">
      <c r="A45" s="138" t="s">
        <v>36</v>
      </c>
      <c r="B45" s="533">
        <v>75000</v>
      </c>
      <c r="C45" s="532">
        <f>IF(B45&gt;0,B45,IF(C44,+(B6*0.75)-SUM(C15:C20),0))</f>
        <v>75000</v>
      </c>
      <c r="D45" s="367"/>
      <c r="E45" s="349">
        <f>IF(C44,C45,0)</f>
        <v>0</v>
      </c>
      <c r="F45" s="353">
        <f>IF(C44,-E45,0)</f>
        <v>0</v>
      </c>
      <c r="G45" s="354"/>
      <c r="H45" s="379">
        <f>IF($T$3=3,-E45*B44/12,0)</f>
        <v>0</v>
      </c>
      <c r="I45" s="378"/>
      <c r="J45" s="911"/>
      <c r="K45" s="912"/>
    </row>
    <row r="46" spans="1:18" ht="12" customHeight="1" thickBot="1" x14ac:dyDescent="0.25">
      <c r="A46" s="39" t="s">
        <v>38</v>
      </c>
      <c r="B46" s="648">
        <f>-D68</f>
        <v>59670.685549999995</v>
      </c>
      <c r="C46" s="649"/>
      <c r="D46" s="367">
        <f>-B46</f>
        <v>-59670.685549999995</v>
      </c>
      <c r="E46" s="349"/>
      <c r="F46" s="353"/>
      <c r="G46" s="354"/>
      <c r="H46" s="380"/>
      <c r="I46" s="378"/>
    </row>
    <row r="47" spans="1:18" ht="12" customHeight="1" thickBot="1" x14ac:dyDescent="0.25">
      <c r="A47" s="39" t="s">
        <v>39</v>
      </c>
      <c r="B47" s="661">
        <v>0</v>
      </c>
      <c r="C47" s="620"/>
      <c r="D47" s="367">
        <f>-B47</f>
        <v>0</v>
      </c>
      <c r="E47" s="349"/>
      <c r="F47" s="353"/>
      <c r="G47" s="354"/>
      <c r="H47" s="380"/>
      <c r="I47" s="378"/>
    </row>
    <row r="48" spans="1:18" ht="12" customHeight="1" x14ac:dyDescent="0.2">
      <c r="A48" s="138" t="s">
        <v>41</v>
      </c>
      <c r="B48" s="416"/>
      <c r="C48" s="127">
        <v>500</v>
      </c>
      <c r="D48" s="367"/>
      <c r="E48" s="349"/>
      <c r="F48" s="353" t="str">
        <f>IF(S3,-C48,"")</f>
        <v/>
      </c>
      <c r="G48" s="354"/>
      <c r="H48" s="380"/>
      <c r="I48" s="378"/>
      <c r="J48" s="640" t="s">
        <v>34</v>
      </c>
      <c r="K48" s="638">
        <f>+B21</f>
        <v>106750.1</v>
      </c>
      <c r="L48" s="582"/>
      <c r="M48" s="582"/>
    </row>
    <row r="49" spans="1:17" ht="12" customHeight="1" thickBot="1" x14ac:dyDescent="0.25">
      <c r="A49" s="138" t="s">
        <v>42</v>
      </c>
      <c r="B49" s="417"/>
      <c r="C49" s="140">
        <v>2.5999999999999999E-2</v>
      </c>
      <c r="D49" s="367"/>
      <c r="E49" s="349"/>
      <c r="F49" s="353">
        <f>IF(S4,IF(OR(T3=1,T3=2),-C49*$F$10,0),"")</f>
        <v>-9750</v>
      </c>
      <c r="G49" s="354"/>
      <c r="H49" s="380"/>
      <c r="I49" s="378"/>
      <c r="J49" s="641"/>
      <c r="K49" s="639"/>
      <c r="L49" s="583"/>
      <c r="M49" s="583"/>
    </row>
    <row r="50" spans="1:17" ht="12" customHeight="1" thickBot="1" x14ac:dyDescent="0.25">
      <c r="A50" s="138" t="s">
        <v>43</v>
      </c>
      <c r="B50" s="418"/>
      <c r="C50" s="195">
        <v>2.4E-2</v>
      </c>
      <c r="D50" s="367"/>
      <c r="E50" s="349"/>
      <c r="F50" s="353">
        <f>IF(S5,IF(OR(T3=1,T3=2),-C50*$F$10,0),"")</f>
        <v>-9000</v>
      </c>
      <c r="G50" s="354"/>
      <c r="H50" s="380"/>
      <c r="I50" s="378"/>
      <c r="J50" s="640" t="s">
        <v>37</v>
      </c>
      <c r="K50" s="638">
        <f>-E56</f>
        <v>97825.675549999985</v>
      </c>
      <c r="L50" s="582"/>
      <c r="M50" s="582"/>
    </row>
    <row r="51" spans="1:17" ht="12" customHeight="1" thickBot="1" x14ac:dyDescent="0.25">
      <c r="A51" s="196" t="s">
        <v>44</v>
      </c>
      <c r="B51" s="194"/>
      <c r="C51" s="223">
        <v>13</v>
      </c>
      <c r="D51" s="367"/>
      <c r="E51" s="349"/>
      <c r="F51" s="353"/>
      <c r="G51" s="354"/>
      <c r="H51" s="380"/>
      <c r="I51" s="378"/>
      <c r="J51" s="641"/>
      <c r="K51" s="639"/>
      <c r="L51" s="583"/>
      <c r="M51" s="583"/>
    </row>
    <row r="52" spans="1:17" ht="12" customHeight="1" thickBot="1" x14ac:dyDescent="0.3">
      <c r="A52" s="39" t="s">
        <v>45</v>
      </c>
      <c r="B52" s="611"/>
      <c r="C52" s="664"/>
      <c r="D52" s="368"/>
      <c r="E52" s="349"/>
      <c r="F52" s="353">
        <f>-C52</f>
        <v>0</v>
      </c>
      <c r="G52" s="354"/>
      <c r="H52" s="381"/>
      <c r="I52" s="378"/>
      <c r="J52" s="687" t="s">
        <v>40</v>
      </c>
      <c r="K52" s="688"/>
      <c r="L52" s="569"/>
      <c r="M52" s="569"/>
    </row>
    <row r="53" spans="1:17" ht="12" customHeight="1" thickBot="1" x14ac:dyDescent="0.25">
      <c r="A53" s="39" t="s">
        <v>46</v>
      </c>
      <c r="B53" s="662">
        <f>+D88</f>
        <v>940</v>
      </c>
      <c r="C53" s="663"/>
      <c r="D53" s="367">
        <f>-B53</f>
        <v>-940</v>
      </c>
      <c r="E53" s="349"/>
      <c r="F53" s="353"/>
      <c r="G53" s="354"/>
      <c r="H53" s="381"/>
      <c r="I53" s="378"/>
      <c r="J53" s="689"/>
      <c r="K53" s="690"/>
      <c r="L53" s="569"/>
      <c r="M53" s="569"/>
    </row>
    <row r="54" spans="1:17" ht="12" customHeight="1" thickBot="1" x14ac:dyDescent="0.25">
      <c r="A54" s="39" t="s">
        <v>47</v>
      </c>
      <c r="B54" s="659">
        <f>+D100</f>
        <v>1350</v>
      </c>
      <c r="C54" s="660"/>
      <c r="D54" s="369"/>
      <c r="E54" s="370"/>
      <c r="F54" s="371">
        <f>-B54</f>
        <v>-1350</v>
      </c>
      <c r="G54" s="372"/>
      <c r="H54" s="382"/>
      <c r="I54" s="383"/>
    </row>
    <row r="55" spans="1:17" ht="12" customHeight="1" thickBot="1" x14ac:dyDescent="0.25">
      <c r="B55" s="658" t="s">
        <v>48</v>
      </c>
      <c r="C55" s="637"/>
      <c r="D55" s="205">
        <f>+SUM(D14:D54)</f>
        <v>-180334.77555000002</v>
      </c>
      <c r="E55" s="446"/>
      <c r="F55" s="447">
        <f>+SUM(F14:F54)</f>
        <v>-112509.1</v>
      </c>
      <c r="G55" s="446"/>
      <c r="H55" s="448">
        <f>SUM(H15:H54)</f>
        <v>0</v>
      </c>
      <c r="I55" s="449">
        <f>SUM(H15:I54)</f>
        <v>0</v>
      </c>
    </row>
    <row r="56" spans="1:17" ht="12" customHeight="1" thickBot="1" x14ac:dyDescent="0.25">
      <c r="A56" s="40"/>
      <c r="B56" s="673" t="s">
        <v>49</v>
      </c>
      <c r="C56" s="674"/>
      <c r="D56" s="674"/>
      <c r="E56" s="145">
        <f>+SUM(D10:E54)</f>
        <v>-97825.675549999985</v>
      </c>
      <c r="F56" s="698">
        <f>+SUM(F10:G54)</f>
        <v>262490.90000000002</v>
      </c>
      <c r="G56" s="699"/>
      <c r="H56" s="143"/>
      <c r="I56" s="147">
        <f>+SUM(H55:I55)</f>
        <v>0</v>
      </c>
      <c r="Q56" s="113"/>
    </row>
    <row r="57" spans="1:17" ht="12" customHeight="1" x14ac:dyDescent="0.2">
      <c r="A57" s="40"/>
      <c r="B57" s="40"/>
      <c r="D57" s="40"/>
      <c r="E57" s="735" t="s">
        <v>50</v>
      </c>
      <c r="F57" s="736"/>
      <c r="G57" s="142">
        <f>SUM(E56:G56)</f>
        <v>164665.22445000004</v>
      </c>
      <c r="H57" s="143"/>
      <c r="I57" s="144"/>
      <c r="J57" s="721" t="s">
        <v>51</v>
      </c>
      <c r="K57" s="733" t="s">
        <v>52</v>
      </c>
      <c r="L57" s="584"/>
      <c r="M57" s="584"/>
      <c r="Q57" s="113"/>
    </row>
    <row r="58" spans="1:17" ht="12" customHeight="1" thickBot="1" x14ac:dyDescent="0.25">
      <c r="A58" s="40"/>
      <c r="B58" s="40"/>
      <c r="E58" s="735" t="s">
        <v>53</v>
      </c>
      <c r="F58" s="736"/>
      <c r="G58" s="736"/>
      <c r="H58" s="452">
        <f>IF(OR(T3=2,T3=3),IF(T3=2,C51,60),0)</f>
        <v>0</v>
      </c>
      <c r="I58" s="206">
        <f>IF(OR(T3=2,T3=3),+H58*I56,0)</f>
        <v>0</v>
      </c>
      <c r="J58" s="722"/>
      <c r="K58" s="734"/>
      <c r="L58" s="584"/>
      <c r="M58" s="584"/>
    </row>
    <row r="59" spans="1:17" ht="12" customHeight="1" thickBot="1" x14ac:dyDescent="0.25">
      <c r="A59" s="40"/>
      <c r="B59" s="40"/>
      <c r="E59" s="146"/>
      <c r="F59" s="723" t="s">
        <v>667</v>
      </c>
      <c r="G59" s="724"/>
      <c r="H59" s="129"/>
      <c r="I59" s="129">
        <f>+I58+G57</f>
        <v>164665.22445000004</v>
      </c>
      <c r="J59" s="130">
        <f>$B$25*$I$59</f>
        <v>41166.306112500009</v>
      </c>
      <c r="K59" s="131">
        <f>+$I$59-J59</f>
        <v>123498.91833750003</v>
      </c>
      <c r="L59" s="142"/>
      <c r="M59" s="142"/>
      <c r="O59" s="113">
        <f>+K63-F19-F20</f>
        <v>174565.22445000004</v>
      </c>
    </row>
    <row r="60" spans="1:17" ht="12" customHeight="1" thickTop="1" thickBot="1" x14ac:dyDescent="0.3">
      <c r="A60" s="132" t="s">
        <v>54</v>
      </c>
      <c r="B60" s="671">
        <v>0</v>
      </c>
      <c r="C60" s="672"/>
      <c r="D60" s="132"/>
      <c r="E60" s="132"/>
      <c r="H60" s="334"/>
      <c r="I60" s="335" t="s">
        <v>654</v>
      </c>
      <c r="J60" s="142">
        <f>-J81</f>
        <v>-196.14916212576978</v>
      </c>
      <c r="K60" s="179">
        <f>-J60</f>
        <v>196.14916212576978</v>
      </c>
      <c r="L60" s="142"/>
      <c r="M60" s="142"/>
    </row>
    <row r="61" spans="1:17" ht="12" customHeight="1" thickTop="1" thickBot="1" x14ac:dyDescent="0.3">
      <c r="A61" s="39" t="s">
        <v>56</v>
      </c>
      <c r="B61" s="667">
        <v>0.1</v>
      </c>
      <c r="C61" s="668">
        <v>0.15</v>
      </c>
      <c r="D61" s="669">
        <f>+K63*B61</f>
        <v>16466.522445000006</v>
      </c>
      <c r="E61" s="670"/>
      <c r="H61" s="727" t="s">
        <v>55</v>
      </c>
      <c r="I61" s="728"/>
      <c r="J61" s="419" t="s">
        <v>494</v>
      </c>
      <c r="K61" s="179">
        <f>IF(B60="",0,-$B$60*SUM(K59:K60))</f>
        <v>0</v>
      </c>
      <c r="L61" s="142"/>
      <c r="M61" s="142"/>
    </row>
    <row r="62" spans="1:17" ht="12" customHeight="1" x14ac:dyDescent="0.2">
      <c r="G62" s="40"/>
      <c r="H62" s="727" t="s">
        <v>617</v>
      </c>
      <c r="I62" s="728"/>
      <c r="J62" s="130">
        <f>SUM(J59:J61)</f>
        <v>40970.156950374243</v>
      </c>
      <c r="K62" s="131">
        <f>SUM(K59:K61)</f>
        <v>123695.0674996258</v>
      </c>
      <c r="L62" s="142"/>
      <c r="M62" s="142"/>
    </row>
    <row r="63" spans="1:17" ht="12" customHeight="1" thickBot="1" x14ac:dyDescent="0.25">
      <c r="A63" s="116"/>
      <c r="C63" s="39"/>
      <c r="D63" s="39"/>
      <c r="E63" s="39"/>
      <c r="H63" s="723" t="s">
        <v>758</v>
      </c>
      <c r="I63" s="724"/>
      <c r="J63" s="135"/>
      <c r="K63" s="328">
        <f>SUM(J62:K62)</f>
        <v>164665.22445000004</v>
      </c>
      <c r="L63" s="142"/>
      <c r="M63" s="142"/>
    </row>
    <row r="64" spans="1:17" ht="12" customHeight="1" thickTop="1" x14ac:dyDescent="0.2">
      <c r="A64" s="120" t="s">
        <v>57</v>
      </c>
    </row>
    <row r="65" spans="1:13" ht="12" customHeight="1" thickBot="1" x14ac:dyDescent="0.25">
      <c r="A65" s="39" t="s">
        <v>58</v>
      </c>
      <c r="B65" s="679">
        <f>+'Gnatt Chart'!J5</f>
        <v>59670.685549999995</v>
      </c>
      <c r="C65" s="679"/>
      <c r="D65" s="679">
        <f>-B65</f>
        <v>-59670.685549999995</v>
      </c>
      <c r="E65" s="679"/>
    </row>
    <row r="66" spans="1:13" ht="12" customHeight="1" thickBot="1" x14ac:dyDescent="0.25">
      <c r="A66" s="39" t="s">
        <v>59</v>
      </c>
      <c r="B66" s="133">
        <v>0</v>
      </c>
      <c r="D66" s="679"/>
      <c r="E66" s="679"/>
      <c r="G66" s="630" t="s">
        <v>60</v>
      </c>
      <c r="H66" s="729"/>
      <c r="I66" s="729"/>
      <c r="J66" s="676"/>
    </row>
    <row r="67" spans="1:13" ht="12" customHeight="1" thickBot="1" x14ac:dyDescent="0.25">
      <c r="A67" s="39" t="s">
        <v>61</v>
      </c>
      <c r="B67" s="691">
        <f>IF(S12&lt;&gt;"Yes",+B66*SUM(B65:C65),0)</f>
        <v>0</v>
      </c>
      <c r="C67" s="691"/>
      <c r="D67" s="691">
        <f>-B67</f>
        <v>0</v>
      </c>
      <c r="E67" s="691"/>
      <c r="G67" s="730"/>
      <c r="H67" s="731"/>
      <c r="I67" s="731"/>
      <c r="J67" s="732"/>
    </row>
    <row r="68" spans="1:13" ht="12" customHeight="1" thickBot="1" x14ac:dyDescent="0.25">
      <c r="A68" s="39" t="s">
        <v>62</v>
      </c>
      <c r="D68" s="683">
        <f>+SUM(D65:E67)</f>
        <v>-59670.685549999995</v>
      </c>
      <c r="E68" s="684"/>
      <c r="G68" s="718" t="s">
        <v>602</v>
      </c>
      <c r="H68" s="719"/>
      <c r="I68" s="719"/>
      <c r="J68" s="720"/>
    </row>
    <row r="69" spans="1:13" ht="12" customHeight="1" thickTop="1" thickBot="1" x14ac:dyDescent="0.25">
      <c r="A69" s="134" t="s">
        <v>63</v>
      </c>
      <c r="B69" s="132"/>
      <c r="C69" s="132"/>
      <c r="D69" s="39"/>
      <c r="E69" s="39"/>
      <c r="G69" s="715"/>
      <c r="H69" s="716"/>
      <c r="I69" s="716"/>
      <c r="J69" s="717"/>
    </row>
    <row r="70" spans="1:13" ht="12" customHeight="1" x14ac:dyDescent="0.2">
      <c r="A70" s="39" t="s">
        <v>64</v>
      </c>
      <c r="B70" s="711">
        <v>350</v>
      </c>
      <c r="C70" s="712"/>
      <c r="D70" s="679"/>
      <c r="E70" s="679"/>
      <c r="H70" s="38"/>
      <c r="I70" s="38"/>
    </row>
    <row r="71" spans="1:13" ht="12" customHeight="1" thickBot="1" x14ac:dyDescent="0.25">
      <c r="A71" s="39" t="s">
        <v>65</v>
      </c>
      <c r="B71" s="656">
        <v>0</v>
      </c>
      <c r="C71" s="657"/>
      <c r="D71" s="679"/>
      <c r="E71" s="679"/>
      <c r="H71" s="38"/>
      <c r="I71" s="38"/>
    </row>
    <row r="72" spans="1:13" ht="12" customHeight="1" thickBot="1" x14ac:dyDescent="0.25">
      <c r="A72" s="39" t="s">
        <v>66</v>
      </c>
      <c r="B72" s="656">
        <v>250</v>
      </c>
      <c r="C72" s="657"/>
      <c r="F72" s="709" t="s">
        <v>504</v>
      </c>
      <c r="G72" s="710"/>
      <c r="H72" s="710" t="s">
        <v>234</v>
      </c>
      <c r="I72" s="710"/>
      <c r="J72" s="315" t="s">
        <v>505</v>
      </c>
    </row>
    <row r="73" spans="1:13" ht="12" customHeight="1" thickBot="1" x14ac:dyDescent="0.3">
      <c r="A73" s="39" t="s">
        <v>66</v>
      </c>
      <c r="B73" s="656"/>
      <c r="C73" s="657"/>
      <c r="F73" s="739">
        <f>_xlfn.DAYS(J73,H73)</f>
        <v>585</v>
      </c>
      <c r="G73" s="740"/>
      <c r="H73" s="741">
        <v>45397</v>
      </c>
      <c r="I73" s="742"/>
      <c r="J73" s="450">
        <v>45982</v>
      </c>
    </row>
    <row r="74" spans="1:13" ht="12" customHeight="1" thickBot="1" x14ac:dyDescent="0.25">
      <c r="A74" s="39" t="s">
        <v>67</v>
      </c>
      <c r="B74" s="656"/>
      <c r="C74" s="657"/>
      <c r="D74" s="599" t="str">
        <f>"Partner's Share of the " &amp; B25 &amp; "% of profit"</f>
        <v>Partner's Share of the 0.25% of profit</v>
      </c>
      <c r="E74" s="600"/>
      <c r="F74" s="600"/>
      <c r="G74" s="601"/>
      <c r="H74" s="596" t="s">
        <v>1084</v>
      </c>
      <c r="I74" s="596" t="s">
        <v>1085</v>
      </c>
      <c r="J74" s="596" t="s">
        <v>1086</v>
      </c>
      <c r="K74" s="596" t="s">
        <v>599</v>
      </c>
      <c r="L74" s="593" t="s">
        <v>507</v>
      </c>
      <c r="M74" s="586"/>
    </row>
    <row r="75" spans="1:13" ht="12" customHeight="1" x14ac:dyDescent="0.2">
      <c r="A75" s="39" t="s">
        <v>67</v>
      </c>
      <c r="B75" s="656"/>
      <c r="C75" s="657"/>
      <c r="D75" s="602" t="s">
        <v>275</v>
      </c>
      <c r="E75" s="602" t="s">
        <v>508</v>
      </c>
      <c r="F75" s="603"/>
      <c r="G75" s="725" t="s">
        <v>506</v>
      </c>
      <c r="H75" s="597"/>
      <c r="I75" s="597"/>
      <c r="J75" s="597"/>
      <c r="K75" s="597"/>
      <c r="L75" s="594"/>
      <c r="M75" s="591"/>
    </row>
    <row r="76" spans="1:13" ht="12" customHeight="1" thickBot="1" x14ac:dyDescent="0.25">
      <c r="A76" s="39" t="s">
        <v>68</v>
      </c>
      <c r="B76" s="656"/>
      <c r="C76" s="657"/>
      <c r="D76" s="604"/>
      <c r="E76" s="604"/>
      <c r="F76" s="605"/>
      <c r="G76" s="726"/>
      <c r="H76" s="598"/>
      <c r="I76" s="598"/>
      <c r="J76" s="598"/>
      <c r="K76" s="598"/>
      <c r="L76" s="595"/>
      <c r="M76" s="572" t="s">
        <v>1083</v>
      </c>
    </row>
    <row r="77" spans="1:13" ht="12" customHeight="1" x14ac:dyDescent="0.25">
      <c r="A77" s="39" t="s">
        <v>69</v>
      </c>
      <c r="B77" s="656"/>
      <c r="C77" s="657"/>
      <c r="D77" s="376">
        <v>45397</v>
      </c>
      <c r="E77" s="692" t="s">
        <v>857</v>
      </c>
      <c r="F77" s="693"/>
      <c r="G77" s="587">
        <v>40000</v>
      </c>
      <c r="H77" s="585">
        <f>+G77/$G$83</f>
        <v>0.40889060847379965</v>
      </c>
      <c r="I77" s="588">
        <f>+$J$59*H77</f>
        <v>16832.515954958828</v>
      </c>
      <c r="J77" s="588">
        <f>+$J$59*(IF(G77="",0,+G77*_xlfn.DAYS($J$73,D77)))/$M$83</f>
        <v>31037.997689677457</v>
      </c>
      <c r="K77" s="585">
        <f>IF(G77="",0,+J77/G77*365/_xlfn.DAYS($J$73,D77))</f>
        <v>0.48413970755266128</v>
      </c>
      <c r="L77" s="589">
        <f>+G77+J77</f>
        <v>71037.997689677461</v>
      </c>
      <c r="M77" s="141">
        <f>IF(G77="",0,+G77*_xlfn.DAYS($J$73,D77))</f>
        <v>23400000</v>
      </c>
    </row>
    <row r="78" spans="1:13" ht="12" customHeight="1" x14ac:dyDescent="0.25">
      <c r="A78" s="39" t="s">
        <v>70</v>
      </c>
      <c r="B78" s="656"/>
      <c r="C78" s="657"/>
      <c r="D78" s="376">
        <v>45826</v>
      </c>
      <c r="E78" s="692" t="str">
        <f>+E77</f>
        <v>Adam Banter</v>
      </c>
      <c r="F78" s="693"/>
      <c r="G78" s="587">
        <v>30000</v>
      </c>
      <c r="H78" s="585">
        <f>+G78/$G$83</f>
        <v>0.30666795635534977</v>
      </c>
      <c r="I78" s="588">
        <f>+$J$59*H78</f>
        <v>12624.386966219121</v>
      </c>
      <c r="J78" s="588">
        <f>+$J$59*(IF(G78="",0,+G78*_xlfn.DAYS($J$73,D78)))/$M$83</f>
        <v>6207.5995379354908</v>
      </c>
      <c r="K78" s="585">
        <f t="shared" ref="K78:K80" si="0">IF(G78="",0,+J78/G78*365/_xlfn.DAYS($J$73,D78))</f>
        <v>0.48413970755266117</v>
      </c>
      <c r="L78" s="589">
        <f t="shared" ref="L78:L80" si="1">+G78+J78</f>
        <v>36207.599537935494</v>
      </c>
      <c r="M78" s="141">
        <f>IF(G78="",0,+G78*_xlfn.DAYS($J$73,D78))</f>
        <v>4680000</v>
      </c>
    </row>
    <row r="79" spans="1:13" ht="12" customHeight="1" x14ac:dyDescent="0.25">
      <c r="A79" s="39" t="s">
        <v>71</v>
      </c>
      <c r="B79" s="656"/>
      <c r="C79" s="657"/>
      <c r="D79" s="376">
        <v>45874</v>
      </c>
      <c r="E79" s="692" t="str">
        <f>+E78</f>
        <v>Adam Banter</v>
      </c>
      <c r="F79" s="693"/>
      <c r="G79" s="587">
        <v>26000</v>
      </c>
      <c r="H79" s="585">
        <f>+G79/$G$83</f>
        <v>0.26577889550796979</v>
      </c>
      <c r="I79" s="588">
        <f>+$J$59*H79</f>
        <v>10941.135370723237</v>
      </c>
      <c r="J79" s="588">
        <f>+$J$59*M79/$M$83</f>
        <v>3724.5597227612943</v>
      </c>
      <c r="K79" s="585">
        <f t="shared" si="0"/>
        <v>0.48413970755266111</v>
      </c>
      <c r="L79" s="589">
        <f t="shared" si="1"/>
        <v>29724.559722761296</v>
      </c>
      <c r="M79" s="141">
        <f>IF(G79="",0,+G79*_xlfn.DAYS($J$73,D79))</f>
        <v>2808000</v>
      </c>
    </row>
    <row r="80" spans="1:13" ht="12" customHeight="1" thickBot="1" x14ac:dyDescent="0.3">
      <c r="A80" s="39" t="s">
        <v>72</v>
      </c>
      <c r="B80" s="656"/>
      <c r="C80" s="657"/>
      <c r="D80" s="376"/>
      <c r="E80" s="692"/>
      <c r="F80" s="693"/>
      <c r="G80" s="587"/>
      <c r="H80" s="585">
        <f>+G80/$G$83</f>
        <v>0</v>
      </c>
      <c r="I80" s="588">
        <f>+$J$59*H80</f>
        <v>0</v>
      </c>
      <c r="J80" s="588">
        <f>+$J$59*M80/$M$83</f>
        <v>0</v>
      </c>
      <c r="K80" s="585">
        <f t="shared" si="0"/>
        <v>0</v>
      </c>
      <c r="L80" s="589">
        <f t="shared" si="1"/>
        <v>0</v>
      </c>
      <c r="M80" s="141">
        <f>IF(G80="",0,+G80*_xlfn.DAYS($J$73,D80))</f>
        <v>0</v>
      </c>
    </row>
    <row r="81" spans="1:13" ht="12" customHeight="1" thickBot="1" x14ac:dyDescent="0.3">
      <c r="A81" s="39" t="s">
        <v>73</v>
      </c>
      <c r="B81" s="656">
        <v>200</v>
      </c>
      <c r="C81" s="657"/>
      <c r="D81" s="357">
        <v>45901</v>
      </c>
      <c r="E81" s="694" t="str">
        <f>+F1</f>
        <v>Your Home, LLC</v>
      </c>
      <c r="F81" s="695"/>
      <c r="G81" s="358">
        <f>-E56-SUM(G77:G80)</f>
        <v>1825.6755499999854</v>
      </c>
      <c r="H81" s="570">
        <f>+G81/$G$83</f>
        <v>1.8662539662880822E-2</v>
      </c>
      <c r="I81" s="358">
        <f>+$J$59*H81</f>
        <v>768.26782059882464</v>
      </c>
      <c r="J81" s="358">
        <f>+$J$59*M81/$M$83</f>
        <v>196.14916212576978</v>
      </c>
      <c r="K81" s="570">
        <f>IF(G81="",0,+J81/G81*365/_xlfn.DAYS($J$73,D81))</f>
        <v>0.48413970755266111</v>
      </c>
      <c r="L81" s="590">
        <f>+G81+J81</f>
        <v>2021.8247121257552</v>
      </c>
      <c r="M81" s="141">
        <f>IF(G81="",0,+G81*_xlfn.DAYS($J$73,D81))</f>
        <v>147879.71954999882</v>
      </c>
    </row>
    <row r="82" spans="1:13" ht="12" customHeight="1" thickBot="1" x14ac:dyDescent="0.3">
      <c r="A82" s="39" t="s">
        <v>74</v>
      </c>
      <c r="B82" s="656"/>
      <c r="C82" s="657"/>
      <c r="D82" s="359" t="str">
        <f>+J72</f>
        <v>End Date</v>
      </c>
      <c r="E82" s="737" t="s">
        <v>655</v>
      </c>
      <c r="F82" s="738"/>
      <c r="G82" s="360">
        <f>+SUM(G77:G80)</f>
        <v>96000</v>
      </c>
      <c r="H82" s="585">
        <f>+SUM(H77:H80)</f>
        <v>0.98133746033711922</v>
      </c>
      <c r="I82" s="360">
        <f>+SUM(I77:I80)</f>
        <v>40398.03829190119</v>
      </c>
      <c r="J82" s="360"/>
      <c r="K82" s="585">
        <f>AVERAGEIF($K$77:$K$80, "&lt;&gt;0")</f>
        <v>0.48413970755266122</v>
      </c>
      <c r="L82" s="589">
        <f>+SUM(L77:L80)</f>
        <v>136970.15695037425</v>
      </c>
      <c r="M82" s="444"/>
    </row>
    <row r="83" spans="1:13" ht="12" customHeight="1" thickBot="1" x14ac:dyDescent="0.3">
      <c r="A83" s="39" t="s">
        <v>75</v>
      </c>
      <c r="B83" s="656"/>
      <c r="C83" s="657"/>
      <c r="D83" s="361"/>
      <c r="E83" s="362" t="s">
        <v>656</v>
      </c>
      <c r="F83" s="363"/>
      <c r="G83" s="364">
        <f>SUM(G81:G82)</f>
        <v>97825.675549999985</v>
      </c>
      <c r="H83" s="571">
        <f>SUM(H77:H81)</f>
        <v>1</v>
      </c>
      <c r="I83" s="364">
        <f>SUM(I81:I82)</f>
        <v>41166.306112500017</v>
      </c>
      <c r="J83" s="364">
        <f>SUM(J77:J81)</f>
        <v>41166.306112500009</v>
      </c>
      <c r="K83" s="571">
        <f>AVERAGEIF($K$77:$K$81, "&lt;&gt;0")</f>
        <v>0.48413970755266122</v>
      </c>
      <c r="L83" s="592">
        <f>SUM(L81:L82)</f>
        <v>138991.98166250001</v>
      </c>
      <c r="M83" s="141">
        <f>SUM(M77:M81)</f>
        <v>31035879.719549999</v>
      </c>
    </row>
    <row r="84" spans="1:13" ht="12" customHeight="1" x14ac:dyDescent="0.2">
      <c r="A84" s="39" t="s">
        <v>76</v>
      </c>
      <c r="B84" s="656">
        <v>90</v>
      </c>
      <c r="C84" s="657"/>
      <c r="D84" s="679"/>
      <c r="E84" s="679"/>
    </row>
    <row r="85" spans="1:13" ht="12" customHeight="1" x14ac:dyDescent="0.2">
      <c r="A85" s="39" t="s">
        <v>600</v>
      </c>
      <c r="B85" s="656">
        <v>20</v>
      </c>
      <c r="C85" s="657"/>
      <c r="D85" s="679"/>
      <c r="E85" s="679"/>
    </row>
    <row r="86" spans="1:13" ht="12" customHeight="1" x14ac:dyDescent="0.2">
      <c r="A86" s="39" t="s">
        <v>77</v>
      </c>
      <c r="B86" s="656">
        <v>30</v>
      </c>
      <c r="C86" s="657"/>
      <c r="D86" s="679"/>
      <c r="E86" s="679"/>
    </row>
    <row r="87" spans="1:13" ht="12" customHeight="1" thickBot="1" x14ac:dyDescent="0.25">
      <c r="A87" s="39" t="s">
        <v>78</v>
      </c>
      <c r="B87" s="680"/>
      <c r="C87" s="681"/>
      <c r="D87" s="682"/>
      <c r="E87" s="619"/>
    </row>
    <row r="88" spans="1:13" ht="12" customHeight="1" thickBot="1" x14ac:dyDescent="0.25">
      <c r="D88" s="683">
        <f>+SUM(B70:C87)</f>
        <v>940</v>
      </c>
      <c r="E88" s="684"/>
      <c r="G88" s="687" t="s">
        <v>79</v>
      </c>
      <c r="H88" s="713"/>
      <c r="I88" s="713"/>
      <c r="J88" s="714"/>
    </row>
    <row r="89" spans="1:13" ht="12" customHeight="1" thickBot="1" x14ac:dyDescent="0.25">
      <c r="G89" s="715"/>
      <c r="H89" s="716"/>
      <c r="I89" s="716"/>
      <c r="J89" s="717"/>
    </row>
    <row r="90" spans="1:13" ht="12" customHeight="1" thickTop="1" thickBot="1" x14ac:dyDescent="0.25">
      <c r="A90" s="134" t="s">
        <v>80</v>
      </c>
      <c r="B90" s="132"/>
      <c r="C90" s="132"/>
      <c r="D90" s="132"/>
      <c r="E90" s="132"/>
    </row>
    <row r="91" spans="1:13" ht="12" customHeight="1" x14ac:dyDescent="0.2">
      <c r="A91" s="39" t="s">
        <v>64</v>
      </c>
      <c r="B91" s="711"/>
      <c r="C91" s="712"/>
      <c r="D91" s="679"/>
      <c r="E91" s="679"/>
    </row>
    <row r="92" spans="1:13" ht="12" customHeight="1" x14ac:dyDescent="0.2">
      <c r="A92" s="39" t="s">
        <v>66</v>
      </c>
      <c r="B92" s="656">
        <v>450</v>
      </c>
      <c r="C92" s="657"/>
      <c r="D92" s="679"/>
      <c r="E92" s="679"/>
    </row>
    <row r="93" spans="1:13" ht="12" customHeight="1" x14ac:dyDescent="0.2">
      <c r="A93" s="39" t="s">
        <v>81</v>
      </c>
      <c r="B93" s="656">
        <v>0</v>
      </c>
      <c r="C93" s="657"/>
      <c r="D93" s="679"/>
      <c r="E93" s="679"/>
    </row>
    <row r="94" spans="1:13" ht="12" customHeight="1" x14ac:dyDescent="0.2">
      <c r="A94" s="39" t="s">
        <v>1076</v>
      </c>
      <c r="B94" s="190"/>
      <c r="C94" s="191">
        <v>150</v>
      </c>
      <c r="D94" s="141"/>
      <c r="E94" s="141"/>
    </row>
    <row r="95" spans="1:13" ht="12" customHeight="1" x14ac:dyDescent="0.2">
      <c r="A95" s="39" t="s">
        <v>82</v>
      </c>
      <c r="B95" s="656"/>
      <c r="C95" s="657"/>
      <c r="D95" s="679"/>
      <c r="E95" s="679"/>
    </row>
    <row r="96" spans="1:13" ht="12" customHeight="1" x14ac:dyDescent="0.2">
      <c r="A96" s="39" t="s">
        <v>76</v>
      </c>
      <c r="B96" s="656"/>
      <c r="C96" s="657"/>
      <c r="D96" s="679"/>
      <c r="E96" s="679"/>
    </row>
    <row r="97" spans="1:10" ht="12" customHeight="1" x14ac:dyDescent="0.2">
      <c r="A97" s="39" t="s">
        <v>83</v>
      </c>
      <c r="B97" s="656">
        <v>750</v>
      </c>
      <c r="C97" s="657"/>
      <c r="D97" s="679"/>
      <c r="E97" s="679"/>
    </row>
    <row r="98" spans="1:10" ht="12" customHeight="1" x14ac:dyDescent="0.2">
      <c r="A98" s="39" t="s">
        <v>84</v>
      </c>
      <c r="B98" s="656"/>
      <c r="C98" s="657"/>
      <c r="D98" s="679"/>
      <c r="E98" s="679"/>
    </row>
    <row r="99" spans="1:10" ht="12" customHeight="1" thickBot="1" x14ac:dyDescent="0.25">
      <c r="A99" s="39" t="s">
        <v>78</v>
      </c>
      <c r="B99" s="685"/>
      <c r="C99" s="686"/>
      <c r="D99" s="682"/>
      <c r="E99" s="619"/>
    </row>
    <row r="100" spans="1:10" ht="12" customHeight="1" thickTop="1" thickBot="1" x14ac:dyDescent="0.25">
      <c r="D100" s="683">
        <f>+SUM(B91:C99)</f>
        <v>1350</v>
      </c>
      <c r="E100" s="684"/>
      <c r="G100" s="687" t="s">
        <v>85</v>
      </c>
      <c r="H100" s="713"/>
      <c r="I100" s="713"/>
      <c r="J100" s="714"/>
    </row>
    <row r="101" spans="1:10" ht="12" customHeight="1" thickBot="1" x14ac:dyDescent="0.25">
      <c r="G101" s="715"/>
      <c r="H101" s="716"/>
      <c r="I101" s="716"/>
      <c r="J101" s="717"/>
    </row>
    <row r="102" spans="1:10" ht="12" customHeight="1" x14ac:dyDescent="0.2"/>
    <row r="103" spans="1:10" ht="12" customHeight="1" x14ac:dyDescent="0.2"/>
    <row r="104" spans="1:10" ht="12" customHeight="1" x14ac:dyDescent="0.2"/>
    <row r="105" spans="1:10" ht="12" customHeight="1" x14ac:dyDescent="0.2"/>
    <row r="106" spans="1:10" ht="12" customHeight="1" x14ac:dyDescent="0.2"/>
    <row r="107" spans="1:10" ht="12" customHeight="1" x14ac:dyDescent="0.2"/>
    <row r="108" spans="1:10" ht="12" customHeight="1" x14ac:dyDescent="0.2"/>
    <row r="109" spans="1:10" ht="12" customHeight="1" x14ac:dyDescent="0.2"/>
    <row r="110" spans="1:10" ht="12" customHeight="1" x14ac:dyDescent="0.2"/>
    <row r="111" spans="1:10" ht="12" customHeight="1" x14ac:dyDescent="0.2"/>
    <row r="112" spans="1:10" ht="12" customHeight="1" x14ac:dyDescent="0.2"/>
    <row r="113" ht="12" customHeight="1" x14ac:dyDescent="0.2"/>
    <row r="114" ht="12" customHeight="1" x14ac:dyDescent="0.2"/>
    <row r="115" ht="12" customHeight="1" x14ac:dyDescent="0.2"/>
    <row r="116" ht="12" customHeight="1" x14ac:dyDescent="0.2"/>
    <row r="117" ht="12" customHeight="1" x14ac:dyDescent="0.2"/>
    <row r="118" ht="12" customHeight="1" x14ac:dyDescent="0.2"/>
    <row r="119" ht="12" customHeight="1" x14ac:dyDescent="0.2"/>
    <row r="120" ht="12" customHeight="1" x14ac:dyDescent="0.2"/>
    <row r="121" ht="12" customHeight="1" x14ac:dyDescent="0.2"/>
    <row r="122" ht="12" customHeight="1" x14ac:dyDescent="0.2"/>
    <row r="123" ht="12" customHeight="1" x14ac:dyDescent="0.2"/>
    <row r="124" ht="12" customHeight="1" x14ac:dyDescent="0.2"/>
    <row r="125" ht="12" customHeight="1" x14ac:dyDescent="0.2"/>
    <row r="126" ht="12" customHeight="1" x14ac:dyDescent="0.2"/>
  </sheetData>
  <mergeCells count="129">
    <mergeCell ref="G100:J101"/>
    <mergeCell ref="G68:J69"/>
    <mergeCell ref="J57:J58"/>
    <mergeCell ref="F59:G59"/>
    <mergeCell ref="K74:K76"/>
    <mergeCell ref="G75:G76"/>
    <mergeCell ref="G88:J89"/>
    <mergeCell ref="H63:I63"/>
    <mergeCell ref="H61:I61"/>
    <mergeCell ref="G66:J67"/>
    <mergeCell ref="K57:K58"/>
    <mergeCell ref="E57:F57"/>
    <mergeCell ref="E58:G58"/>
    <mergeCell ref="H62:I62"/>
    <mergeCell ref="D100:E100"/>
    <mergeCell ref="D84:E84"/>
    <mergeCell ref="D93:E93"/>
    <mergeCell ref="E82:F82"/>
    <mergeCell ref="H72:I72"/>
    <mergeCell ref="F73:G73"/>
    <mergeCell ref="H73:I73"/>
    <mergeCell ref="D96:E96"/>
    <mergeCell ref="J74:J76"/>
    <mergeCell ref="B97:C97"/>
    <mergeCell ref="D97:E97"/>
    <mergeCell ref="B95:C95"/>
    <mergeCell ref="D95:E95"/>
    <mergeCell ref="K2:K3"/>
    <mergeCell ref="F10:G10"/>
    <mergeCell ref="F56:G56"/>
    <mergeCell ref="K9:K10"/>
    <mergeCell ref="J22:K22"/>
    <mergeCell ref="F11:I11"/>
    <mergeCell ref="E2:F2"/>
    <mergeCell ref="B2:D2"/>
    <mergeCell ref="B76:C76"/>
    <mergeCell ref="B93:C93"/>
    <mergeCell ref="B74:C74"/>
    <mergeCell ref="F72:G72"/>
    <mergeCell ref="B70:C70"/>
    <mergeCell ref="D66:E66"/>
    <mergeCell ref="D65:E65"/>
    <mergeCell ref="B65:C65"/>
    <mergeCell ref="B67:C67"/>
    <mergeCell ref="B82:C82"/>
    <mergeCell ref="B91:C91"/>
    <mergeCell ref="D91:E91"/>
    <mergeCell ref="B99:C99"/>
    <mergeCell ref="D99:E99"/>
    <mergeCell ref="J52:K53"/>
    <mergeCell ref="J50:J51"/>
    <mergeCell ref="B71:C71"/>
    <mergeCell ref="D70:E70"/>
    <mergeCell ref="D68:E68"/>
    <mergeCell ref="D67:E67"/>
    <mergeCell ref="B81:C81"/>
    <mergeCell ref="B73:C73"/>
    <mergeCell ref="E77:F77"/>
    <mergeCell ref="E78:F78"/>
    <mergeCell ref="E79:F79"/>
    <mergeCell ref="E80:F80"/>
    <mergeCell ref="E81:F81"/>
    <mergeCell ref="D71:E71"/>
    <mergeCell ref="B77:C77"/>
    <mergeCell ref="B78:C78"/>
    <mergeCell ref="B79:C79"/>
    <mergeCell ref="B80:C80"/>
    <mergeCell ref="B75:C75"/>
    <mergeCell ref="B98:C98"/>
    <mergeCell ref="D98:E98"/>
    <mergeCell ref="B96:C96"/>
    <mergeCell ref="B92:C92"/>
    <mergeCell ref="D92:E92"/>
    <mergeCell ref="B87:C87"/>
    <mergeCell ref="D87:E87"/>
    <mergeCell ref="B83:C83"/>
    <mergeCell ref="B84:C84"/>
    <mergeCell ref="B86:C86"/>
    <mergeCell ref="D88:E88"/>
    <mergeCell ref="D86:E86"/>
    <mergeCell ref="B85:C85"/>
    <mergeCell ref="D85:E85"/>
    <mergeCell ref="J31:K34"/>
    <mergeCell ref="B46:C46"/>
    <mergeCell ref="H10:I10"/>
    <mergeCell ref="H14:I14"/>
    <mergeCell ref="B24:C24"/>
    <mergeCell ref="B72:C72"/>
    <mergeCell ref="B55:C55"/>
    <mergeCell ref="B54:C54"/>
    <mergeCell ref="B43:C43"/>
    <mergeCell ref="B47:C47"/>
    <mergeCell ref="B53:C53"/>
    <mergeCell ref="B52:C52"/>
    <mergeCell ref="J23:K23"/>
    <mergeCell ref="B61:C61"/>
    <mergeCell ref="D61:E61"/>
    <mergeCell ref="B60:C60"/>
    <mergeCell ref="B56:D56"/>
    <mergeCell ref="K50:K51"/>
    <mergeCell ref="J29:K30"/>
    <mergeCell ref="J41:J42"/>
    <mergeCell ref="K41:K42"/>
    <mergeCell ref="J44:J45"/>
    <mergeCell ref="K44:K45"/>
    <mergeCell ref="L74:L76"/>
    <mergeCell ref="H74:H76"/>
    <mergeCell ref="I74:I76"/>
    <mergeCell ref="D74:G74"/>
    <mergeCell ref="E75:F76"/>
    <mergeCell ref="D75:D76"/>
    <mergeCell ref="F1:H1"/>
    <mergeCell ref="B21:C21"/>
    <mergeCell ref="B9:C9"/>
    <mergeCell ref="B27:C27"/>
    <mergeCell ref="J2:J3"/>
    <mergeCell ref="H2:I3"/>
    <mergeCell ref="D3:E3"/>
    <mergeCell ref="F3:G3"/>
    <mergeCell ref="B4:C4"/>
    <mergeCell ref="B6:C6"/>
    <mergeCell ref="J1:K1"/>
    <mergeCell ref="K7:K8"/>
    <mergeCell ref="J14:K17"/>
    <mergeCell ref="J7:J8"/>
    <mergeCell ref="J9:J10"/>
    <mergeCell ref="C10:D10"/>
    <mergeCell ref="K48:K49"/>
    <mergeCell ref="J48:J49"/>
  </mergeCells>
  <conditionalFormatting sqref="F19">
    <cfRule type="expression" dxfId="30" priority="24">
      <formula>IF(B1="flip",-C19,0)</formula>
    </cfRule>
  </conditionalFormatting>
  <conditionalFormatting sqref="I9">
    <cfRule type="expression" dxfId="29" priority="22">
      <formula>IF(OR(C1="Hold",D1="Slow Flip"),+B9,"")</formula>
    </cfRule>
  </conditionalFormatting>
  <conditionalFormatting sqref="B60">
    <cfRule type="expression" dxfId="28" priority="19">
      <formula>IF(OR(C1="Hold",D1="slow flip"),0.15,0)</formula>
    </cfRule>
  </conditionalFormatting>
  <conditionalFormatting sqref="I58">
    <cfRule type="expression" dxfId="27" priority="17">
      <formula>+H58*H55</formula>
    </cfRule>
  </conditionalFormatting>
  <conditionalFormatting sqref="F15">
    <cfRule type="expression" dxfId="26" priority="13">
      <formula>IF(T3=3,-C15,0)</formula>
    </cfRule>
  </conditionalFormatting>
  <conditionalFormatting sqref="F50">
    <cfRule type="expression" dxfId="25" priority="9">
      <formula>OR(T3=1,T3=2)</formula>
    </cfRule>
  </conditionalFormatting>
  <conditionalFormatting sqref="F49">
    <cfRule type="expression" dxfId="24" priority="8">
      <formula>OR(T3=1,T3=2)</formula>
    </cfRule>
  </conditionalFormatting>
  <conditionalFormatting sqref="G6">
    <cfRule type="expression" dxfId="23" priority="6">
      <formula>IF(OR(T3=1,T3=2),$B$6,0)</formula>
    </cfRule>
  </conditionalFormatting>
  <conditionalFormatting sqref="G8">
    <cfRule type="expression" dxfId="22" priority="61">
      <formula>T3=2</formula>
    </cfRule>
  </conditionalFormatting>
  <conditionalFormatting sqref="C22">
    <cfRule type="expression" dxfId="21" priority="91">
      <formula>IF(C1="Hold",+B4*B22,0)</formula>
    </cfRule>
  </conditionalFormatting>
  <conditionalFormatting sqref="F22">
    <cfRule type="expression" dxfId="20" priority="92">
      <formula>IF(OR(C1="hold",D1="slow flip"),-C22,"")</formula>
    </cfRule>
  </conditionalFormatting>
  <conditionalFormatting sqref="H22">
    <cfRule type="expression" dxfId="19" priority="93">
      <formula>IF(OR(C1="hold",C4="slow flip"),IPMT(B23/12,1,C23*12,C22),PMT(B23/12,12*C23,C22))</formula>
    </cfRule>
  </conditionalFormatting>
  <conditionalFormatting sqref="E22">
    <cfRule type="expression" dxfId="18" priority="95">
      <formula>IF(C1="hold",C22-C15-C19-C28-B46,0)</formula>
    </cfRule>
  </conditionalFormatting>
  <conditionalFormatting sqref="H58">
    <cfRule type="expression" dxfId="17" priority="96">
      <formula>IF(OR(C1="Hold",D1="slow Flip"),C51,0)</formula>
    </cfRule>
  </conditionalFormatting>
  <conditionalFormatting sqref="K61:M61">
    <cfRule type="expression" dxfId="16" priority="97">
      <formula>IF(C1="Hold",-$B$60*K59,0)</formula>
    </cfRule>
  </conditionalFormatting>
  <conditionalFormatting sqref="D43">
    <cfRule type="expression" dxfId="15" priority="99">
      <formula>IF(OR(T3=1,T3=2),-B43,0)</formula>
    </cfRule>
  </conditionalFormatting>
  <conditionalFormatting sqref="D46">
    <cfRule type="expression" dxfId="14" priority="100">
      <formula>IF(OR(T3=1,T3=2),-B46,"")</formula>
    </cfRule>
  </conditionalFormatting>
  <conditionalFormatting sqref="E7">
    <cfRule type="expression" dxfId="13" priority="4">
      <formula>$T$3=3</formula>
    </cfRule>
  </conditionalFormatting>
  <conditionalFormatting sqref="A9">
    <cfRule type="expression" dxfId="12" priority="1">
      <formula>"(R3=3)"</formula>
    </cfRule>
  </conditionalFormatting>
  <conditionalFormatting sqref="C7">
    <cfRule type="expression" dxfId="11" priority="131">
      <formula>IF(C1048569="Hold",+B1048572*B7,0)</formula>
    </cfRule>
  </conditionalFormatting>
  <pageMargins left="0.25" right="0.25" top="0.75" bottom="0.75" header="0.3" footer="0.3"/>
  <pageSetup orientation="portrait" r:id="rId1"/>
  <rowBreaks count="1" manualBreakCount="1">
    <brk id="63" max="16383" man="1"/>
  </rowBreaks>
  <drawing r:id="rId2"/>
  <legacyDrawing r:id="rId3"/>
  <mc:AlternateContent xmlns:mc="http://schemas.openxmlformats.org/markup-compatibility/2006">
    <mc:Choice Requires="x14">
      <controls>
        <mc:AlternateContent xmlns:mc="http://schemas.openxmlformats.org/markup-compatibility/2006">
          <mc:Choice Requires="x14">
            <control shapeId="34819" r:id="rId4" name="Check Box 3">
              <controlPr defaultSize="0" autoFill="0" autoLine="0" autoPict="0" altText="">
                <anchor moveWithCells="1">
                  <from>
                    <xdr:col>10</xdr:col>
                    <xdr:colOff>352425</xdr:colOff>
                    <xdr:row>21</xdr:row>
                    <xdr:rowOff>219075</xdr:rowOff>
                  </from>
                  <to>
                    <xdr:col>11</xdr:col>
                    <xdr:colOff>0</xdr:colOff>
                    <xdr:row>23</xdr:row>
                    <xdr:rowOff>66675</xdr:rowOff>
                  </to>
                </anchor>
              </controlPr>
            </control>
          </mc:Choice>
        </mc:AlternateContent>
        <mc:AlternateContent xmlns:mc="http://schemas.openxmlformats.org/markup-compatibility/2006">
          <mc:Choice Requires="x14">
            <control shapeId="34824" r:id="rId5" name="Option Button 8">
              <controlPr defaultSize="0" autoFill="0" autoLine="0" autoPict="0">
                <anchor moveWithCells="1">
                  <from>
                    <xdr:col>1</xdr:col>
                    <xdr:colOff>219075</xdr:colOff>
                    <xdr:row>0</xdr:row>
                    <xdr:rowOff>66675</xdr:rowOff>
                  </from>
                  <to>
                    <xdr:col>1</xdr:col>
                    <xdr:colOff>419100</xdr:colOff>
                    <xdr:row>0</xdr:row>
                    <xdr:rowOff>247650</xdr:rowOff>
                  </to>
                </anchor>
              </controlPr>
            </control>
          </mc:Choice>
        </mc:AlternateContent>
        <mc:AlternateContent xmlns:mc="http://schemas.openxmlformats.org/markup-compatibility/2006">
          <mc:Choice Requires="x14">
            <control shapeId="34826" r:id="rId6" name="Option Button 10">
              <controlPr defaultSize="0" autoFill="0" autoLine="0" autoPict="0" altText="">
                <anchor moveWithCells="1">
                  <from>
                    <xdr:col>2</xdr:col>
                    <xdr:colOff>352425</xdr:colOff>
                    <xdr:row>0</xdr:row>
                    <xdr:rowOff>66675</xdr:rowOff>
                  </from>
                  <to>
                    <xdr:col>2</xdr:col>
                    <xdr:colOff>523875</xdr:colOff>
                    <xdr:row>0</xdr:row>
                    <xdr:rowOff>247650</xdr:rowOff>
                  </to>
                </anchor>
              </controlPr>
            </control>
          </mc:Choice>
        </mc:AlternateContent>
        <mc:AlternateContent xmlns:mc="http://schemas.openxmlformats.org/markup-compatibility/2006">
          <mc:Choice Requires="x14">
            <control shapeId="34829" r:id="rId7" name="Option Button 13">
              <controlPr defaultSize="0" autoFill="0" autoLine="0" autoPict="0" altText="">
                <anchor moveWithCells="1">
                  <from>
                    <xdr:col>3</xdr:col>
                    <xdr:colOff>476250</xdr:colOff>
                    <xdr:row>0</xdr:row>
                    <xdr:rowOff>28575</xdr:rowOff>
                  </from>
                  <to>
                    <xdr:col>3</xdr:col>
                    <xdr:colOff>638175</xdr:colOff>
                    <xdr:row>0</xdr:row>
                    <xdr:rowOff>247650</xdr:rowOff>
                  </to>
                </anchor>
              </controlPr>
            </control>
          </mc:Choice>
        </mc:AlternateContent>
        <mc:AlternateContent xmlns:mc="http://schemas.openxmlformats.org/markup-compatibility/2006">
          <mc:Choice Requires="x14">
            <control shapeId="34831" r:id="rId8" name="Check Box 15">
              <controlPr defaultSize="0" autoFill="0" autoLine="0" autoPict="0">
                <anchor moveWithCells="1">
                  <from>
                    <xdr:col>10</xdr:col>
                    <xdr:colOff>352425</xdr:colOff>
                    <xdr:row>20</xdr:row>
                    <xdr:rowOff>200025</xdr:rowOff>
                  </from>
                  <to>
                    <xdr:col>11</xdr:col>
                    <xdr:colOff>0</xdr:colOff>
                    <xdr:row>22</xdr:row>
                    <xdr:rowOff>66675</xdr:rowOff>
                  </to>
                </anchor>
              </controlPr>
            </control>
          </mc:Choice>
        </mc:AlternateContent>
        <mc:AlternateContent xmlns:mc="http://schemas.openxmlformats.org/markup-compatibility/2006">
          <mc:Choice Requires="x14">
            <control shapeId="34832" r:id="rId9" name="Check Box 16">
              <controlPr defaultSize="0" autoFill="0" autoLine="0" autoPict="0" altText="">
                <anchor moveWithCells="1">
                  <from>
                    <xdr:col>1</xdr:col>
                    <xdr:colOff>200025</xdr:colOff>
                    <xdr:row>46</xdr:row>
                    <xdr:rowOff>200025</xdr:rowOff>
                  </from>
                  <to>
                    <xdr:col>1</xdr:col>
                    <xdr:colOff>428625</xdr:colOff>
                    <xdr:row>48</xdr:row>
                    <xdr:rowOff>47625</xdr:rowOff>
                  </to>
                </anchor>
              </controlPr>
            </control>
          </mc:Choice>
        </mc:AlternateContent>
        <mc:AlternateContent xmlns:mc="http://schemas.openxmlformats.org/markup-compatibility/2006">
          <mc:Choice Requires="x14">
            <control shapeId="34833" r:id="rId10" name="Check Box 17">
              <controlPr defaultSize="0" autoFill="0" autoLine="0" autoPict="0" altText="">
                <anchor moveWithCells="1">
                  <from>
                    <xdr:col>1</xdr:col>
                    <xdr:colOff>200025</xdr:colOff>
                    <xdr:row>48</xdr:row>
                    <xdr:rowOff>200025</xdr:rowOff>
                  </from>
                  <to>
                    <xdr:col>1</xdr:col>
                    <xdr:colOff>428625</xdr:colOff>
                    <xdr:row>50</xdr:row>
                    <xdr:rowOff>47625</xdr:rowOff>
                  </to>
                </anchor>
              </controlPr>
            </control>
          </mc:Choice>
        </mc:AlternateContent>
        <mc:AlternateContent xmlns:mc="http://schemas.openxmlformats.org/markup-compatibility/2006">
          <mc:Choice Requires="x14">
            <control shapeId="34834" r:id="rId11" name="Check Box 18">
              <controlPr defaultSize="0" autoFill="0" autoLine="0" autoPict="0" altText="">
                <anchor moveWithCells="1">
                  <from>
                    <xdr:col>1</xdr:col>
                    <xdr:colOff>200025</xdr:colOff>
                    <xdr:row>47</xdr:row>
                    <xdr:rowOff>200025</xdr:rowOff>
                  </from>
                  <to>
                    <xdr:col>1</xdr:col>
                    <xdr:colOff>428625</xdr:colOff>
                    <xdr:row>49</xdr:row>
                    <xdr:rowOff>47625</xdr:rowOff>
                  </to>
                </anchor>
              </controlPr>
            </control>
          </mc:Choice>
        </mc:AlternateContent>
        <mc:AlternateContent xmlns:mc="http://schemas.openxmlformats.org/markup-compatibility/2006">
          <mc:Choice Requires="x14">
            <control shapeId="34835" r:id="rId12" name="Check Box 19">
              <controlPr defaultSize="0" autoFill="0" autoLine="0" autoPict="0" altText="">
                <anchor moveWithCells="1">
                  <from>
                    <xdr:col>8</xdr:col>
                    <xdr:colOff>352425</xdr:colOff>
                    <xdr:row>0</xdr:row>
                    <xdr:rowOff>19050</xdr:rowOff>
                  </from>
                  <to>
                    <xdr:col>9</xdr:col>
                    <xdr:colOff>0</xdr:colOff>
                    <xdr:row>0</xdr:row>
                    <xdr:rowOff>400050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104" id="{0668A8FE-703E-4859-8056-2B7D54A562BA}">
            <xm:f>IF(U3=3,+Amortization!#REF!,0)</xm:f>
            <x14:dxf>
              <fill>
                <patternFill>
                  <bgColor theme="9" tint="0.39994506668294322"/>
                </patternFill>
              </fill>
            </x14:dxf>
          </x14:cfRule>
          <xm:sqref>G11</xm:sqref>
        </x14:conditionalFormatting>
        <x14:conditionalFormatting xmlns:xm="http://schemas.microsoft.com/office/excel/2006/main">
          <x14:cfRule type="expression" priority="106" id="{0668A8FE-703E-4859-8056-2B7D54A562BA}">
            <xm:f>IF(V3=3,+Amortization!#REF!,0)</xm:f>
            <x14:dxf>
              <fill>
                <patternFill>
                  <bgColor theme="9" tint="0.39994506668294322"/>
                </patternFill>
              </fill>
            </x14:dxf>
          </x14:cfRule>
          <xm:sqref>H11</xm:sqref>
        </x14:conditionalFormatting>
        <x14:conditionalFormatting xmlns:xm="http://schemas.microsoft.com/office/excel/2006/main">
          <x14:cfRule type="expression" priority="125" id="{0668A8FE-703E-4859-8056-2B7D54A562BA}">
            <xm:f>IF(W3=3,+Amortization!AG9,0)</xm:f>
            <x14:dxf>
              <fill>
                <patternFill>
                  <bgColor theme="9" tint="0.39994506668294322"/>
                </patternFill>
              </fill>
            </x14:dxf>
          </x14:cfRule>
          <xm:sqref>I11</xm:sqref>
        </x14:conditionalFormatting>
        <x14:conditionalFormatting xmlns:xm="http://schemas.microsoft.com/office/excel/2006/main">
          <x14:cfRule type="expression" priority="129" id="{4E27812F-AD97-4DF7-83ED-9E5E91B15EE4}">
            <xm:f>IF(T3=3,+Amortization!AA10,0)</xm:f>
            <x14:dxf>
              <fill>
                <patternFill>
                  <bgColor theme="9" tint="0.39994506668294322"/>
                </patternFill>
              </fill>
            </x14:dxf>
          </x14:cfRule>
          <xm:sqref>G13</xm:sqref>
        </x14:conditionalFormatting>
        <x14:conditionalFormatting xmlns:xm="http://schemas.microsoft.com/office/excel/2006/main">
          <x14:cfRule type="expression" priority="130" id="{0668A8FE-703E-4859-8056-2B7D54A562BA}">
            <xm:f>IF(T3=3,+Amortization!AA10,0)</xm:f>
            <x14:dxf>
              <fill>
                <patternFill>
                  <bgColor theme="9" tint="0.39994506668294322"/>
                </patternFill>
              </fill>
            </x14:dxf>
          </x14:cfRule>
          <xm:sqref>F11</xm:sqref>
        </x14:conditionalFormatting>
      </x14:conditionalFormatting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3E26EB-1A81-4C77-B1EF-E14D796BA494}">
  <sheetPr codeName="Sheet2">
    <pageSetUpPr fitToPage="1"/>
  </sheetPr>
  <dimension ref="A1:AP782"/>
  <sheetViews>
    <sheetView workbookViewId="0">
      <pane ySplit="14" topLeftCell="A54" activePane="bottomLeft" state="frozen"/>
      <selection pane="bottomLeft" activeCell="K4" sqref="K4"/>
    </sheetView>
  </sheetViews>
  <sheetFormatPr defaultRowHeight="15" x14ac:dyDescent="0.25"/>
  <cols>
    <col min="1" max="1" width="7.42578125" style="500" bestFit="1" customWidth="1"/>
    <col min="2" max="2" width="10.28515625" style="288" customWidth="1"/>
    <col min="3" max="3" width="9.7109375" style="14" bestFit="1" customWidth="1"/>
    <col min="4" max="5" width="6.5703125" style="14" bestFit="1" customWidth="1"/>
    <col min="6" max="6" width="9.140625" style="288" customWidth="1"/>
    <col min="7" max="7" width="8.28515625" style="288" customWidth="1"/>
    <col min="8" max="8" width="7.85546875" style="288" bestFit="1" customWidth="1"/>
    <col min="9" max="9" width="5" style="22" bestFit="1" customWidth="1"/>
    <col min="10" max="10" width="10.28515625" style="288" customWidth="1"/>
    <col min="11" max="11" width="8.85546875" style="14" bestFit="1" customWidth="1"/>
    <col min="12" max="12" width="8.7109375" style="14" customWidth="1"/>
    <col min="13" max="13" width="8.5703125" style="14" customWidth="1"/>
    <col min="14" max="14" width="8.42578125" style="288" customWidth="1"/>
    <col min="15" max="15" width="7.28515625" style="288" customWidth="1"/>
    <col min="16" max="16" width="7.85546875" style="288" bestFit="1" customWidth="1"/>
    <col min="17" max="17" width="8.28515625" style="500" bestFit="1" customWidth="1"/>
    <col min="18" max="18" width="9.140625" style="288" customWidth="1"/>
    <col min="19" max="19" width="7.5703125" style="492" customWidth="1"/>
    <col min="20" max="20" width="8.85546875" style="14" bestFit="1" customWidth="1"/>
    <col min="21" max="21" width="8.7109375" style="14" customWidth="1"/>
    <col min="22" max="22" width="8.5703125" style="14" customWidth="1"/>
    <col min="23" max="23" width="8.140625" style="14" customWidth="1"/>
    <col min="24" max="24" width="6.85546875" style="14" customWidth="1"/>
    <col min="25" max="25" width="6.7109375" style="14" customWidth="1"/>
    <col min="26" max="26" width="9.5703125" style="288" customWidth="1"/>
    <col min="27" max="27" width="9" style="288" customWidth="1"/>
    <col min="28" max="30" width="9.140625" style="288" customWidth="1"/>
    <col min="31" max="31" width="9" style="288" customWidth="1"/>
    <col min="32" max="32" width="8.5703125" style="288" customWidth="1"/>
    <col min="33" max="33" width="9.140625" style="14" customWidth="1"/>
    <col min="34" max="34" width="12.28515625" style="14" customWidth="1"/>
    <col min="35" max="35" width="8.28515625" bestFit="1" customWidth="1"/>
    <col min="36" max="36" width="8.7109375" style="14" customWidth="1"/>
    <col min="37" max="37" width="11.42578125" style="14" customWidth="1"/>
    <col min="38" max="38" width="11.7109375" style="288" bestFit="1" customWidth="1"/>
    <col min="39" max="39" width="10.5703125" style="288" customWidth="1"/>
    <col min="40" max="40" width="11.85546875" style="14" bestFit="1" customWidth="1"/>
    <col min="41" max="41" width="12.42578125" customWidth="1"/>
    <col min="43" max="43" width="12.7109375" customWidth="1"/>
  </cols>
  <sheetData>
    <row r="1" spans="1:42" ht="15.75" thickBot="1" x14ac:dyDescent="0.3">
      <c r="B1" s="340" t="s">
        <v>636</v>
      </c>
      <c r="G1" s="2" t="s">
        <v>693</v>
      </c>
      <c r="H1" s="467">
        <v>0.05</v>
      </c>
      <c r="T1" s="496">
        <v>1</v>
      </c>
      <c r="X1" s="13"/>
      <c r="Y1" s="13"/>
      <c r="AE1" s="503"/>
      <c r="AF1" s="13"/>
      <c r="AG1"/>
      <c r="AH1"/>
      <c r="AI1" s="743" t="s">
        <v>639</v>
      </c>
      <c r="AJ1" s="744"/>
      <c r="AK1" s="647"/>
      <c r="AL1" s="339">
        <v>0.03</v>
      </c>
      <c r="AM1" s="14"/>
      <c r="AN1"/>
      <c r="AO1" s="288"/>
      <c r="AP1" s="14"/>
    </row>
    <row r="2" spans="1:42" ht="15.75" thickBot="1" x14ac:dyDescent="0.3">
      <c r="B2" s="341" t="s">
        <v>632</v>
      </c>
      <c r="C2" s="396">
        <f>+Profit!C15</f>
        <v>82509.100000000006</v>
      </c>
      <c r="F2" s="745" t="s">
        <v>691</v>
      </c>
      <c r="G2" s="746"/>
      <c r="H2" s="746"/>
      <c r="I2" s="746"/>
      <c r="K2" s="521">
        <v>0.03</v>
      </c>
      <c r="L2" s="519">
        <v>2.5000000000000001E-2</v>
      </c>
      <c r="M2" s="520">
        <v>1.4999999999999999E-2</v>
      </c>
      <c r="O2" s="747" t="s">
        <v>766</v>
      </c>
      <c r="P2" s="748"/>
      <c r="Q2" s="748"/>
      <c r="R2" s="748"/>
      <c r="S2" s="748"/>
      <c r="T2" s="748"/>
      <c r="U2" s="748"/>
      <c r="V2" s="748"/>
      <c r="W2" s="749"/>
      <c r="AE2" s="14"/>
      <c r="AF2" s="14"/>
      <c r="AI2" s="345" t="s">
        <v>645</v>
      </c>
      <c r="AJ2" s="345" t="s">
        <v>646</v>
      </c>
      <c r="AK2" s="345" t="s">
        <v>647</v>
      </c>
      <c r="AL2" s="503" t="s">
        <v>648</v>
      </c>
      <c r="AM2" s="14"/>
      <c r="AO2" s="288"/>
    </row>
    <row r="3" spans="1:42" ht="15.75" thickBot="1" x14ac:dyDescent="0.3">
      <c r="B3" s="341" t="s">
        <v>631</v>
      </c>
      <c r="C3" s="469">
        <f>+Profit!B15</f>
        <v>3.7499999999999999E-2</v>
      </c>
      <c r="F3" s="745" t="s">
        <v>770</v>
      </c>
      <c r="G3" s="746"/>
      <c r="H3" s="746"/>
      <c r="I3" s="746"/>
      <c r="J3" s="496">
        <f>IF($T$1=1,K3,IF($T$1=2,L3,IF($T$1=3,M3)))</f>
        <v>0.1</v>
      </c>
      <c r="K3" s="497">
        <v>0.1</v>
      </c>
      <c r="L3" s="497">
        <v>0.15</v>
      </c>
      <c r="M3" s="497">
        <v>0.2</v>
      </c>
      <c r="R3" s="338"/>
      <c r="S3" s="30" t="s">
        <v>641</v>
      </c>
      <c r="T3" s="516">
        <f>IF($T$1=1,U3,IF($T$1=2,V3,IF($T$1=3,W3)))</f>
        <v>0.1</v>
      </c>
      <c r="U3" s="517">
        <v>0.1</v>
      </c>
      <c r="V3" s="517">
        <v>0.15</v>
      </c>
      <c r="W3" s="517">
        <v>0.2</v>
      </c>
      <c r="AF3" s="14"/>
      <c r="AG3" s="30" t="s">
        <v>642</v>
      </c>
      <c r="AH3"/>
      <c r="AI3" s="523">
        <f>_xlfn.XLOOKUP(60,AC:AC,$AK:$AK)</f>
        <v>97159.629999999903</v>
      </c>
      <c r="AJ3" s="288">
        <f>_xlfn.XLOOKUP(10,$I:$I,$AK:$AK)</f>
        <v>265946.22999999928</v>
      </c>
      <c r="AK3" s="288">
        <f>_xlfn.XLOOKUP(20,$I:$I,$AK:$AK)</f>
        <v>440563.20999999903</v>
      </c>
      <c r="AL3" s="14">
        <f>_xlfn.XLOOKUP(29,$I:$I,$AK:$AK)</f>
        <v>411904.96000000008</v>
      </c>
      <c r="AM3" s="14"/>
    </row>
    <row r="4" spans="1:42" ht="15.75" thickBot="1" x14ac:dyDescent="0.3">
      <c r="B4" s="341" t="s">
        <v>633</v>
      </c>
      <c r="C4" s="507">
        <v>30</v>
      </c>
      <c r="D4" s="14">
        <f>+C4*12</f>
        <v>360</v>
      </c>
      <c r="G4" s="745" t="s">
        <v>640</v>
      </c>
      <c r="H4" s="746"/>
      <c r="I4" s="746"/>
      <c r="J4" s="396">
        <f>IF($T$1=1,K4,IF($T$1=2,L4,IF($T$1=3,M4)))</f>
        <v>393750</v>
      </c>
      <c r="K4" s="397">
        <f>+Profit!$B$4*(1+$H$1)</f>
        <v>393750</v>
      </c>
      <c r="L4" s="398">
        <f>+K4</f>
        <v>393750</v>
      </c>
      <c r="M4" s="399">
        <f>+L4</f>
        <v>393750</v>
      </c>
      <c r="O4" s="768">
        <v>68918</v>
      </c>
      <c r="P4" s="769"/>
      <c r="Q4" s="627"/>
      <c r="R4" s="750" t="s">
        <v>640</v>
      </c>
      <c r="S4" s="751"/>
      <c r="T4" s="396">
        <f>IF($T$1=1,U4,IF($T$1=2,V4,IF($T$1=3,W4)))</f>
        <v>462668</v>
      </c>
      <c r="U4" s="397">
        <f>+J4+O4</f>
        <v>462668</v>
      </c>
      <c r="V4" s="398">
        <f>+U4</f>
        <v>462668</v>
      </c>
      <c r="W4" s="399">
        <f>+V4</f>
        <v>462668</v>
      </c>
      <c r="AF4" s="14"/>
      <c r="AG4" s="30" t="s">
        <v>659</v>
      </c>
      <c r="AH4"/>
      <c r="AI4" s="288">
        <f>_xlfn.XLOOKUP(60,$AC:$AC,$AH:$AH)</f>
        <v>312766.14</v>
      </c>
      <c r="AJ4" s="288">
        <f>_xlfn.XLOOKUP(120,$AC:$AC,$AH:$AH)</f>
        <v>213369.3900000001</v>
      </c>
      <c r="AK4" s="288">
        <f>_xlfn.XLOOKUP(240,$AC:$AC,$AH:$AH)</f>
        <v>60453.890000000072</v>
      </c>
      <c r="AL4" s="288">
        <f>_xlfn.XLOOKUP(360,$AC:$AC,$AH:$AH)</f>
        <v>0</v>
      </c>
      <c r="AM4" s="14"/>
    </row>
    <row r="5" spans="1:42" ht="15.75" thickBot="1" x14ac:dyDescent="0.3">
      <c r="B5" s="341" t="s">
        <v>630</v>
      </c>
      <c r="C5" s="14">
        <f>ROUND(PMT($C$3/12,$D$4,-$C$2,0), 2)</f>
        <v>382.11</v>
      </c>
      <c r="G5" s="745" t="s">
        <v>641</v>
      </c>
      <c r="H5" s="746"/>
      <c r="I5" s="746"/>
      <c r="J5" s="396">
        <f>IF($T$1=1,K5,IF($T$1=2,L5,IF($T$1=3,M5)))</f>
        <v>39375</v>
      </c>
      <c r="K5" s="397">
        <f>K3*J4</f>
        <v>39375</v>
      </c>
      <c r="L5" s="398">
        <f>+$J$4*L3</f>
        <v>59062.5</v>
      </c>
      <c r="M5" s="399">
        <f>+$J$4*M3</f>
        <v>78750</v>
      </c>
      <c r="O5" s="762" t="s">
        <v>765</v>
      </c>
      <c r="P5" s="763"/>
      <c r="Q5" s="764"/>
      <c r="R5" s="760" t="s">
        <v>632</v>
      </c>
      <c r="S5" s="761"/>
      <c r="T5" s="396">
        <f>IF($T$1=1,U5,IF($T$1=2,V5,IF($T$1=3,W5)))</f>
        <v>442668</v>
      </c>
      <c r="U5" s="397">
        <f>+U4-U6</f>
        <v>442668</v>
      </c>
      <c r="V5" s="398">
        <f>+V4-V6</f>
        <v>403605.5</v>
      </c>
      <c r="W5" s="399">
        <f>+W4-W6</f>
        <v>383918</v>
      </c>
      <c r="AE5" s="504"/>
      <c r="AF5" s="14"/>
      <c r="AG5" s="30" t="s">
        <v>643</v>
      </c>
      <c r="AH5"/>
      <c r="AI5" s="343">
        <f>_xlfn.XLOOKUP(60,AC:AC,$AM:$AM)</f>
        <v>61695.308815935838</v>
      </c>
      <c r="AJ5" s="343">
        <f>_xlfn.XLOOKUP(120,$AC:$AC,$AM:$AM)</f>
        <v>132272.59914705381</v>
      </c>
      <c r="AK5" s="343">
        <f>_xlfn.XLOOKUP(240,$AC:$AC,$AM:$AM)</f>
        <v>227647.99117059269</v>
      </c>
      <c r="AL5" s="343">
        <f>_xlfn.XLOOKUP(360,$AC:$AC,$AM:$AM)</f>
        <v>0</v>
      </c>
      <c r="AM5" s="14"/>
    </row>
    <row r="6" spans="1:42" ht="15.75" thickBot="1" x14ac:dyDescent="0.3">
      <c r="G6" s="745" t="s">
        <v>632</v>
      </c>
      <c r="H6" s="746"/>
      <c r="I6" s="746"/>
      <c r="J6" s="396">
        <f>IF($T$1=1,K6,IF($T$1=2,L6,IF($T$1=3,M6)))</f>
        <v>354375</v>
      </c>
      <c r="K6" s="397">
        <f>+K4-K5</f>
        <v>354375</v>
      </c>
      <c r="L6" s="398">
        <f>+L4-L5</f>
        <v>334687.5</v>
      </c>
      <c r="M6" s="399">
        <f>+M4-M5</f>
        <v>315000</v>
      </c>
      <c r="O6" s="762"/>
      <c r="P6" s="763"/>
      <c r="Q6" s="764"/>
      <c r="R6" s="750" t="s">
        <v>641</v>
      </c>
      <c r="S6" s="751"/>
      <c r="T6" s="396">
        <f>IF($T$1=1,U6,IF($T$1=2,V6,IF($T$1=3,W6)))</f>
        <v>20000</v>
      </c>
      <c r="U6" s="397">
        <v>20000</v>
      </c>
      <c r="V6" s="398">
        <f>+$J$4*V3</f>
        <v>59062.5</v>
      </c>
      <c r="W6" s="399">
        <f>+$J$4*W3</f>
        <v>78750</v>
      </c>
      <c r="Z6" s="522"/>
      <c r="AA6" s="21" t="s">
        <v>752</v>
      </c>
      <c r="AB6" s="21" t="s">
        <v>751</v>
      </c>
      <c r="AF6" s="504"/>
      <c r="AG6" s="30" t="s">
        <v>644</v>
      </c>
      <c r="AH6"/>
      <c r="AI6" s="344">
        <f>SUM(AI3:AI5)</f>
        <v>471621.07881593576</v>
      </c>
      <c r="AJ6" s="344">
        <f>SUM(AJ3:AJ5)</f>
        <v>611588.2191470532</v>
      </c>
      <c r="AK6" s="344">
        <f>SUM(AK3:AK5)</f>
        <v>728665.09117059177</v>
      </c>
      <c r="AL6" s="504">
        <f>SUM(AL3:AL5)</f>
        <v>411904.96000000008</v>
      </c>
      <c r="AM6" s="14"/>
    </row>
    <row r="7" spans="1:42" ht="15.75" thickBot="1" x14ac:dyDescent="0.3">
      <c r="J7" s="469">
        <f>IF($T$1=1,K7,IF($T$1=2,L7,IF($T$1=3,M7)))</f>
        <v>6.7500000000000004E-2</v>
      </c>
      <c r="K7" s="506">
        <f>+$C$3+K2</f>
        <v>6.7500000000000004E-2</v>
      </c>
      <c r="L7" s="455">
        <f>+$C$3+L2</f>
        <v>6.25E-2</v>
      </c>
      <c r="M7" s="456">
        <f>+$C$3+M2</f>
        <v>5.2499999999999998E-2</v>
      </c>
      <c r="O7" s="646"/>
      <c r="P7" s="744"/>
      <c r="Q7" s="647"/>
      <c r="R7" s="750" t="s">
        <v>769</v>
      </c>
      <c r="S7" s="751"/>
      <c r="U7" s="339">
        <f>+$C$3+K2</f>
        <v>6.7500000000000004E-2</v>
      </c>
      <c r="V7" s="455">
        <f>+$C$3+L2</f>
        <v>6.25E-2</v>
      </c>
      <c r="W7" s="456">
        <f>+$C$3+M2</f>
        <v>5.2499999999999998E-2</v>
      </c>
      <c r="Z7" s="341" t="s">
        <v>661</v>
      </c>
      <c r="AB7" s="288">
        <f>_xlfn.XLOOKUP(12,AC:AC,$AJ:$AJ)</f>
        <v>1667.9499999999998</v>
      </c>
      <c r="AF7" s="14"/>
      <c r="AG7" s="288"/>
      <c r="AH7" s="288"/>
      <c r="AI7" s="288"/>
      <c r="AL7"/>
    </row>
    <row r="8" spans="1:42" ht="15.75" thickBot="1" x14ac:dyDescent="0.3">
      <c r="J8" s="507">
        <v>30</v>
      </c>
      <c r="K8" s="496">
        <f>+J8*12</f>
        <v>360</v>
      </c>
      <c r="M8" s="288"/>
      <c r="S8" s="288" t="s">
        <v>222</v>
      </c>
      <c r="U8" s="507">
        <v>30</v>
      </c>
      <c r="Z8" s="341" t="s">
        <v>762</v>
      </c>
      <c r="AB8" s="288">
        <f>+AB7*60</f>
        <v>100076.99999999999</v>
      </c>
      <c r="AF8" s="504"/>
      <c r="AH8" s="495" t="s">
        <v>763</v>
      </c>
      <c r="AI8" s="288">
        <f>-_xlfn.XLOOKUP(5,$I:$I,$G:$G)</f>
        <v>-24915.790000000005</v>
      </c>
      <c r="AJ8" s="504"/>
      <c r="AL8"/>
    </row>
    <row r="9" spans="1:42" ht="15.75" thickBot="1" x14ac:dyDescent="0.3">
      <c r="J9" s="496">
        <f>ROUND(PMT($J$7/12,$K$8,-$J$6,0), 2)</f>
        <v>2298.4699999999998</v>
      </c>
      <c r="M9" s="14">
        <v>134.16999999999999</v>
      </c>
      <c r="R9" s="476"/>
      <c r="S9" s="396">
        <f>ROUND(PMT($T$9/12,$V$9,-$U$9,0), 2)</f>
        <v>2050.06</v>
      </c>
      <c r="T9" s="469">
        <f>+C3</f>
        <v>3.7499999999999999E-2</v>
      </c>
      <c r="U9" s="396">
        <f>+T5</f>
        <v>442668</v>
      </c>
      <c r="V9" s="508">
        <f>+U8*12</f>
        <v>360</v>
      </c>
      <c r="Z9" s="341" t="s">
        <v>663</v>
      </c>
      <c r="AA9" s="288">
        <f>-_xlfn.XLOOKUP(60,AC:AC,$H:$H)</f>
        <v>-66921.229999999981</v>
      </c>
      <c r="AB9" s="288">
        <f>-_xlfn.XLOOKUP(60,AC:AC,$H:$H)</f>
        <v>-66921.229999999981</v>
      </c>
      <c r="AF9" s="14"/>
      <c r="AH9" s="495" t="s">
        <v>764</v>
      </c>
      <c r="AI9" s="343">
        <f>_xlfn.XLOOKUP(5,$I:$I,$O:$O)</f>
        <v>118076.49999999999</v>
      </c>
    </row>
    <row r="10" spans="1:42" ht="15" customHeight="1" thickBot="1" x14ac:dyDescent="0.3">
      <c r="B10" s="477" t="s">
        <v>767</v>
      </c>
      <c r="C10" s="515">
        <f>+Profit!H73</f>
        <v>45397</v>
      </c>
      <c r="H10" s="22"/>
      <c r="J10" s="514">
        <v>45748</v>
      </c>
      <c r="M10" s="14">
        <v>188.55</v>
      </c>
      <c r="R10" s="476"/>
      <c r="S10" s="396">
        <f>ROUND(PMT($T$10/12,$V$10,-$U$10,0), 2)</f>
        <v>3195.22</v>
      </c>
      <c r="T10" s="469">
        <f>IF($T$1=1,U7,IF($T$1=2,V7,IF($T$1=3,W7)))</f>
        <v>6.7500000000000004E-2</v>
      </c>
      <c r="U10" s="513">
        <v>462464.08</v>
      </c>
      <c r="V10" s="508">
        <f>+V9-60</f>
        <v>300</v>
      </c>
      <c r="Z10" s="341" t="s">
        <v>664</v>
      </c>
      <c r="AA10" s="343">
        <f>_xlfn.XLOOKUP(60,AC:AC,$P:$P)</f>
        <v>332244.83000000007</v>
      </c>
      <c r="AB10" s="343">
        <f>_xlfn.XLOOKUP(60,AC:AC,$AB:$AB)</f>
        <v>291136.5300000002</v>
      </c>
      <c r="AF10" s="14"/>
      <c r="AH10" s="495" t="s">
        <v>721</v>
      </c>
      <c r="AI10" s="457">
        <f>SUM(AI8:AI9)</f>
        <v>93160.709999999977</v>
      </c>
    </row>
    <row r="11" spans="1:42" ht="15.75" thickBot="1" x14ac:dyDescent="0.3">
      <c r="R11" s="770"/>
      <c r="S11" s="746"/>
      <c r="V11" s="495"/>
      <c r="Z11" s="341" t="s">
        <v>692</v>
      </c>
      <c r="AA11" s="457">
        <f>SUM(AA8:AA10)</f>
        <v>265323.60000000009</v>
      </c>
      <c r="AB11" s="457">
        <f>SUM(AB8:AB10)</f>
        <v>324292.30000000022</v>
      </c>
      <c r="AF11" s="14"/>
      <c r="AG11" s="457"/>
      <c r="AH11" s="457"/>
      <c r="AI11" s="288"/>
    </row>
    <row r="12" spans="1:42" ht="15.75" thickBot="1" x14ac:dyDescent="0.3">
      <c r="J12" s="755" t="str">
        <f>"Mortgage Fixed at "&amp; TEXT(J7,"#.###%")</f>
        <v>Mortgage Fixed at 6.75%</v>
      </c>
      <c r="K12" s="756"/>
      <c r="L12" s="756"/>
      <c r="M12" s="756"/>
      <c r="N12" s="756"/>
      <c r="O12" s="756"/>
      <c r="P12" s="757"/>
      <c r="R12" s="755" t="str">
        <f>"Mortgage Reduced to " &amp; TEXT(T9,"#.###%") &amp;"% for 1st 5 years then "&amp; TEXT(T10,"#.###%")</f>
        <v>Mortgage Reduced to 3.75%% for 1st 5 years then 6.75%</v>
      </c>
      <c r="S12" s="766"/>
      <c r="T12" s="766"/>
      <c r="U12" s="766"/>
      <c r="V12" s="766"/>
      <c r="W12" s="766"/>
      <c r="X12" s="766"/>
      <c r="Y12" s="766"/>
      <c r="Z12" s="766"/>
      <c r="AA12" s="766"/>
      <c r="AB12" s="766"/>
      <c r="AC12" s="767"/>
      <c r="AD12" s="14"/>
      <c r="AE12" s="14"/>
      <c r="AF12" s="14"/>
    </row>
    <row r="13" spans="1:42" ht="15" customHeight="1" thickBot="1" x14ac:dyDescent="0.3">
      <c r="C13" s="752" t="s">
        <v>768</v>
      </c>
      <c r="D13" s="753"/>
      <c r="E13" s="754"/>
      <c r="F13" s="765" t="s">
        <v>722</v>
      </c>
      <c r="G13" s="740"/>
      <c r="J13" s="509"/>
      <c r="N13" s="758" t="s">
        <v>722</v>
      </c>
      <c r="O13" s="759"/>
      <c r="P13" s="509"/>
      <c r="R13" s="509"/>
      <c r="T13" s="758" t="s">
        <v>726</v>
      </c>
      <c r="U13" s="772"/>
      <c r="V13" s="744"/>
      <c r="W13" s="744"/>
      <c r="X13" s="744"/>
      <c r="Y13" s="647"/>
      <c r="Z13" s="758" t="s">
        <v>722</v>
      </c>
      <c r="AA13" s="759"/>
      <c r="AB13" s="31"/>
      <c r="AC13" s="509"/>
      <c r="AD13" s="765" t="s">
        <v>739</v>
      </c>
      <c r="AE13" s="771"/>
      <c r="AF13" s="740"/>
      <c r="AG13" s="765" t="s">
        <v>753</v>
      </c>
      <c r="AH13" s="740"/>
      <c r="AI13" s="518"/>
      <c r="AJ13" s="773" t="s">
        <v>638</v>
      </c>
      <c r="AK13" s="503" t="s">
        <v>722</v>
      </c>
      <c r="AL13" s="765" t="s">
        <v>737</v>
      </c>
      <c r="AM13" s="740"/>
    </row>
    <row r="14" spans="1:42" ht="15" customHeight="1" thickBot="1" x14ac:dyDescent="0.3">
      <c r="A14" s="501" t="s">
        <v>275</v>
      </c>
      <c r="B14" s="342" t="s">
        <v>733</v>
      </c>
      <c r="C14" s="498" t="s">
        <v>222</v>
      </c>
      <c r="D14" s="505" t="s">
        <v>730</v>
      </c>
      <c r="E14" s="498" t="s">
        <v>724</v>
      </c>
      <c r="F14" s="494" t="s">
        <v>730</v>
      </c>
      <c r="G14" s="494" t="s">
        <v>724</v>
      </c>
      <c r="H14" s="409" t="s">
        <v>736</v>
      </c>
      <c r="I14" s="400" t="s">
        <v>660</v>
      </c>
      <c r="J14" s="342" t="s">
        <v>733</v>
      </c>
      <c r="K14" s="498" t="s">
        <v>222</v>
      </c>
      <c r="L14" s="498" t="s">
        <v>730</v>
      </c>
      <c r="M14" s="498" t="s">
        <v>724</v>
      </c>
      <c r="N14" s="494" t="s">
        <v>723</v>
      </c>
      <c r="O14" s="494" t="s">
        <v>724</v>
      </c>
      <c r="P14" s="498" t="s">
        <v>736</v>
      </c>
      <c r="Q14" s="501" t="s">
        <v>275</v>
      </c>
      <c r="R14" s="498" t="s">
        <v>733</v>
      </c>
      <c r="S14" s="498" t="s">
        <v>725</v>
      </c>
      <c r="T14" s="498" t="s">
        <v>222</v>
      </c>
      <c r="U14" s="498" t="s">
        <v>730</v>
      </c>
      <c r="V14" s="498" t="s">
        <v>724</v>
      </c>
      <c r="W14" s="498" t="s">
        <v>735</v>
      </c>
      <c r="X14" s="498" t="s">
        <v>732</v>
      </c>
      <c r="Y14" s="498" t="s">
        <v>731</v>
      </c>
      <c r="Z14" s="494" t="s">
        <v>723</v>
      </c>
      <c r="AA14" s="494" t="s">
        <v>724</v>
      </c>
      <c r="AB14" s="494" t="s">
        <v>734</v>
      </c>
      <c r="AC14" s="400" t="s">
        <v>634</v>
      </c>
      <c r="AD14" s="494" t="s">
        <v>222</v>
      </c>
      <c r="AE14" s="494" t="s">
        <v>728</v>
      </c>
      <c r="AF14" s="494" t="s">
        <v>729</v>
      </c>
      <c r="AG14" s="494" t="s">
        <v>738</v>
      </c>
      <c r="AH14" s="494" t="s">
        <v>635</v>
      </c>
      <c r="AI14" s="494" t="s">
        <v>637</v>
      </c>
      <c r="AJ14" s="774"/>
      <c r="AK14" s="498" t="s">
        <v>638</v>
      </c>
      <c r="AL14" s="494" t="s">
        <v>726</v>
      </c>
      <c r="AM14" s="342" t="s">
        <v>727</v>
      </c>
    </row>
    <row r="15" spans="1:42" x14ac:dyDescent="0.25">
      <c r="A15" s="499">
        <v>44409</v>
      </c>
      <c r="B15" s="288">
        <f>+C2</f>
        <v>82509.100000000006</v>
      </c>
      <c r="C15" s="14">
        <f t="shared" ref="C15:C78" si="0">IF(+$H14&lt;=0,0,$C$5)</f>
        <v>382.11</v>
      </c>
      <c r="D15" s="14">
        <f>+C15-E15</f>
        <v>124.27000000000004</v>
      </c>
      <c r="E15" s="14">
        <f t="shared" ref="E15:E78" si="1">ROUND($B15*($C$3/12), 2)</f>
        <v>257.83999999999997</v>
      </c>
      <c r="F15" s="288">
        <f>+C15</f>
        <v>382.11</v>
      </c>
      <c r="G15" s="288">
        <f>+E15</f>
        <v>257.83999999999997</v>
      </c>
      <c r="H15" s="288">
        <f t="shared" ref="H15:H78" si="2">+B15-D15</f>
        <v>82384.83</v>
      </c>
      <c r="I15" s="410">
        <f t="shared" ref="I15:I78" si="3">IF(MOD(AC15,12)=0,AC15/12,I14)</f>
        <v>0</v>
      </c>
      <c r="J15" s="288">
        <f>+$J$6</f>
        <v>354375</v>
      </c>
      <c r="K15" s="288">
        <f>IF($J$10&lt;=A15,$J$9,0)</f>
        <v>0</v>
      </c>
      <c r="L15" s="288">
        <f>+K15-M15</f>
        <v>0</v>
      </c>
      <c r="M15" s="288">
        <f>IF($J$10&lt;=$A15,ROUND(J15*(J$7/12),2),0)</f>
        <v>0</v>
      </c>
      <c r="N15" s="288">
        <f>+L15</f>
        <v>0</v>
      </c>
      <c r="O15" s="288">
        <f>+M15</f>
        <v>0</v>
      </c>
      <c r="P15" s="288">
        <f t="shared" ref="P15:P78" si="4">+J15-L15</f>
        <v>354375</v>
      </c>
      <c r="Q15" s="499">
        <f t="shared" ref="Q15:Q78" si="5">+A15</f>
        <v>44409</v>
      </c>
      <c r="R15" s="288">
        <f t="shared" ref="R15:R59" si="6">IF(Q15&gt;$J$10,IF(+AB14&lt;0,0,+AB14),0)</f>
        <v>0</v>
      </c>
      <c r="S15" s="492">
        <f>IF(AC15&gt;60,$T$10,$T$9)</f>
        <v>3.7499999999999999E-2</v>
      </c>
      <c r="T15" s="288">
        <f t="shared" ref="T15:T78" si="7">IF($J$10&lt;=$A15,IF(+AB14&lt;=0,0,IF(S15=$T$9,$S$9,$S$10)),0)</f>
        <v>0</v>
      </c>
      <c r="U15" s="288">
        <f t="shared" ref="U15:U58" si="8">+T15-V15</f>
        <v>0</v>
      </c>
      <c r="V15" s="288">
        <f t="shared" ref="V15:V78" si="9">IF($J$10&lt;=$A15,ROUND(R15*(S15/12),2),0)</f>
        <v>0</v>
      </c>
      <c r="W15" s="288">
        <f t="shared" ref="W15:W59" si="10">IF(T15=0,0,$M$9)</f>
        <v>0</v>
      </c>
      <c r="X15" s="288">
        <f t="shared" ref="X15:X59" si="11">IF(U15=0,0,$M$10)</f>
        <v>0</v>
      </c>
      <c r="Y15" s="288">
        <f t="shared" ref="Y15:Y59" si="12">SUM(U15:X15)</f>
        <v>0</v>
      </c>
      <c r="Z15" s="288">
        <v>0</v>
      </c>
      <c r="AA15" s="288">
        <v>0</v>
      </c>
      <c r="AB15" s="288">
        <f t="shared" ref="AB15:AB78" si="13">IF(Q15&lt;$J$10,$J$6,+R15-U15)</f>
        <v>354375</v>
      </c>
      <c r="AC15" s="410">
        <v>0</v>
      </c>
      <c r="AD15" s="510">
        <f>SUM(U15:V15)-SUM(L15:M15)</f>
        <v>0</v>
      </c>
      <c r="AE15" s="510">
        <f t="shared" ref="AE15:AE59" si="14">AB15-P15</f>
        <v>0</v>
      </c>
      <c r="AF15" s="510"/>
      <c r="AG15" s="510">
        <f>IF($K15=0,0,+T15-$C15)</f>
        <v>0</v>
      </c>
      <c r="AH15" s="510"/>
      <c r="AI15" s="510"/>
      <c r="AJ15" s="14">
        <f>+AG15-AI15</f>
        <v>0</v>
      </c>
      <c r="AK15" s="14">
        <f>+AJ15</f>
        <v>0</v>
      </c>
      <c r="AL15" s="510">
        <f>IF(R15&lt;=0,0,+Profit!$B$4*$AL$1/12)</f>
        <v>0</v>
      </c>
      <c r="AM15" s="14">
        <f>+AL15</f>
        <v>0</v>
      </c>
    </row>
    <row r="16" spans="1:42" x14ac:dyDescent="0.25">
      <c r="A16" s="499">
        <f t="shared" ref="A16:A79" si="15">IF(H16&lt;=0," ",+A15+30)</f>
        <v>44439</v>
      </c>
      <c r="B16" s="288">
        <f t="shared" ref="B16:B79" si="16">IF(+H15&lt;0,0,+H15)</f>
        <v>82384.83</v>
      </c>
      <c r="C16" s="14">
        <f t="shared" si="0"/>
        <v>382.11</v>
      </c>
      <c r="D16" s="14">
        <f>+C16-E16</f>
        <v>124.66000000000003</v>
      </c>
      <c r="E16" s="14">
        <f t="shared" si="1"/>
        <v>257.45</v>
      </c>
      <c r="F16" s="288">
        <f t="shared" ref="F16:F79" si="17">$D16+$F15</f>
        <v>506.77000000000004</v>
      </c>
      <c r="G16" s="288">
        <f t="shared" ref="G16:G79" si="18">$E16+$G15</f>
        <v>515.29</v>
      </c>
      <c r="H16" s="288">
        <f t="shared" si="2"/>
        <v>82260.17</v>
      </c>
      <c r="I16" s="410">
        <f t="shared" si="3"/>
        <v>0</v>
      </c>
      <c r="J16" s="288">
        <f t="shared" ref="J16:J79" si="19">IF(+P15&lt;0,0,+P15)</f>
        <v>354375</v>
      </c>
      <c r="K16" s="288">
        <f t="shared" ref="K16:K57" si="20">IF($J$10&lt;=A16,IF(+$P15&lt;=0,0,$J$9),0)</f>
        <v>0</v>
      </c>
      <c r="L16" s="288">
        <f>+K16-M16</f>
        <v>0</v>
      </c>
      <c r="M16" s="288">
        <f t="shared" ref="M16:M60" si="21">IF($J$10&lt;=A16,ROUND(J16*($J$7/12),2),0)</f>
        <v>0</v>
      </c>
      <c r="N16" s="288">
        <f t="shared" ref="N16:N79" si="22">+L16+N15</f>
        <v>0</v>
      </c>
      <c r="O16" s="288">
        <f t="shared" ref="O16:O79" si="23">+O15+M16</f>
        <v>0</v>
      </c>
      <c r="P16" s="288">
        <f t="shared" si="4"/>
        <v>354375</v>
      </c>
      <c r="Q16" s="499">
        <f t="shared" si="5"/>
        <v>44439</v>
      </c>
      <c r="R16" s="288">
        <f t="shared" si="6"/>
        <v>0</v>
      </c>
      <c r="S16" s="492">
        <f t="shared" ref="S16:S79" si="24">IF(AC16&gt;60,$T$10,$T$9)</f>
        <v>3.7499999999999999E-2</v>
      </c>
      <c r="T16" s="288">
        <f t="shared" si="7"/>
        <v>0</v>
      </c>
      <c r="U16" s="288">
        <f t="shared" si="8"/>
        <v>0</v>
      </c>
      <c r="V16" s="288">
        <f t="shared" si="9"/>
        <v>0</v>
      </c>
      <c r="W16" s="288">
        <f t="shared" si="10"/>
        <v>0</v>
      </c>
      <c r="X16" s="288">
        <f t="shared" si="11"/>
        <v>0</v>
      </c>
      <c r="Y16" s="288">
        <f t="shared" si="12"/>
        <v>0</v>
      </c>
      <c r="Z16" s="288">
        <f>+U16+Z15</f>
        <v>0</v>
      </c>
      <c r="AA16" s="288">
        <f>+AA15+V16</f>
        <v>0</v>
      </c>
      <c r="AB16" s="288">
        <f t="shared" si="13"/>
        <v>354375</v>
      </c>
      <c r="AC16" s="410">
        <f t="shared" ref="AC16:AC79" si="25">IF(J16&lt;&gt;"",IF(J16=$J$6,0,+AC15+1),0)</f>
        <v>0</v>
      </c>
      <c r="AD16" s="510">
        <f t="shared" ref="AD16:AD79" si="26">K16-T16+AD15</f>
        <v>0</v>
      </c>
      <c r="AE16" s="510">
        <f t="shared" si="14"/>
        <v>0</v>
      </c>
      <c r="AF16" s="510"/>
      <c r="AG16" s="510">
        <f t="shared" ref="AG16:AG79" si="27">IF(Q16&lt;=$C$10,0,+T16-$C16)</f>
        <v>0</v>
      </c>
      <c r="AH16" s="510">
        <f t="shared" ref="AH16:AH79" si="28">IF(P16&lt;=0,0,+$T$5-$C$2+F16-Z16)</f>
        <v>360665.67000000004</v>
      </c>
      <c r="AI16" s="510"/>
      <c r="AJ16" s="14">
        <f t="shared" ref="AJ16:AJ60" si="29">+AG16-AI16</f>
        <v>0</v>
      </c>
      <c r="AK16" s="14">
        <f t="shared" ref="AK16:AK62" si="30">IF(P16&lt;=0,0,+AJ16+AK15)</f>
        <v>0</v>
      </c>
      <c r="AL16" s="510">
        <f>IF(R16&lt;=0,0,+(Profit!$B$4+AM15)*$AL$1/12)</f>
        <v>0</v>
      </c>
      <c r="AM16" s="14">
        <f t="shared" ref="AM16:AM79" si="31">IF(P16&lt;=0,0,+AM15+AL16)</f>
        <v>0</v>
      </c>
    </row>
    <row r="17" spans="1:39" x14ac:dyDescent="0.25">
      <c r="A17" s="499">
        <f t="shared" si="15"/>
        <v>44469</v>
      </c>
      <c r="B17" s="288">
        <f t="shared" si="16"/>
        <v>82260.17</v>
      </c>
      <c r="C17" s="14">
        <f t="shared" si="0"/>
        <v>382.11</v>
      </c>
      <c r="D17" s="14">
        <f t="shared" ref="D17:D80" si="32">+C17-E17</f>
        <v>125.05000000000001</v>
      </c>
      <c r="E17" s="14">
        <f t="shared" si="1"/>
        <v>257.06</v>
      </c>
      <c r="F17" s="288">
        <f t="shared" si="17"/>
        <v>631.82000000000005</v>
      </c>
      <c r="G17" s="288">
        <f t="shared" si="18"/>
        <v>772.34999999999991</v>
      </c>
      <c r="H17" s="288">
        <f t="shared" si="2"/>
        <v>82135.12</v>
      </c>
      <c r="I17" s="410">
        <f t="shared" si="3"/>
        <v>0</v>
      </c>
      <c r="J17" s="288">
        <f t="shared" si="19"/>
        <v>354375</v>
      </c>
      <c r="K17" s="288">
        <f t="shared" si="20"/>
        <v>0</v>
      </c>
      <c r="L17" s="288">
        <f t="shared" ref="L17:L80" si="33">+K17-M17</f>
        <v>0</v>
      </c>
      <c r="M17" s="288">
        <f t="shared" si="21"/>
        <v>0</v>
      </c>
      <c r="N17" s="288">
        <f t="shared" si="22"/>
        <v>0</v>
      </c>
      <c r="O17" s="288">
        <f t="shared" si="23"/>
        <v>0</v>
      </c>
      <c r="P17" s="288">
        <f t="shared" si="4"/>
        <v>354375</v>
      </c>
      <c r="Q17" s="499">
        <f t="shared" si="5"/>
        <v>44469</v>
      </c>
      <c r="R17" s="288">
        <f t="shared" si="6"/>
        <v>0</v>
      </c>
      <c r="S17" s="492">
        <f t="shared" si="24"/>
        <v>3.7499999999999999E-2</v>
      </c>
      <c r="T17" s="288">
        <f t="shared" si="7"/>
        <v>0</v>
      </c>
      <c r="U17" s="288">
        <f t="shared" si="8"/>
        <v>0</v>
      </c>
      <c r="V17" s="288">
        <f t="shared" si="9"/>
        <v>0</v>
      </c>
      <c r="W17" s="288">
        <f t="shared" si="10"/>
        <v>0</v>
      </c>
      <c r="X17" s="288">
        <f t="shared" si="11"/>
        <v>0</v>
      </c>
      <c r="Y17" s="288">
        <f t="shared" si="12"/>
        <v>0</v>
      </c>
      <c r="Z17" s="288">
        <f t="shared" ref="Z17:Z58" si="34">+U17+Z16</f>
        <v>0</v>
      </c>
      <c r="AA17" s="288">
        <f t="shared" ref="AA17:AA58" si="35">+AA16+V17</f>
        <v>0</v>
      </c>
      <c r="AB17" s="288">
        <f t="shared" si="13"/>
        <v>354375</v>
      </c>
      <c r="AC17" s="410">
        <f t="shared" si="25"/>
        <v>0</v>
      </c>
      <c r="AD17" s="510">
        <f t="shared" si="26"/>
        <v>0</v>
      </c>
      <c r="AE17" s="510">
        <f t="shared" si="14"/>
        <v>0</v>
      </c>
      <c r="AF17" s="510"/>
      <c r="AG17" s="510">
        <f t="shared" si="27"/>
        <v>0</v>
      </c>
      <c r="AH17" s="510">
        <f t="shared" si="28"/>
        <v>360790.72000000003</v>
      </c>
      <c r="AI17" s="510"/>
      <c r="AJ17" s="14">
        <f t="shared" si="29"/>
        <v>0</v>
      </c>
      <c r="AK17" s="14">
        <f t="shared" si="30"/>
        <v>0</v>
      </c>
      <c r="AL17" s="510">
        <f>IF(R17&lt;=0,0,+(Profit!$B$4+AM16)*$AL$1/12)</f>
        <v>0</v>
      </c>
      <c r="AM17" s="14">
        <f t="shared" si="31"/>
        <v>0</v>
      </c>
    </row>
    <row r="18" spans="1:39" x14ac:dyDescent="0.25">
      <c r="A18" s="499">
        <f t="shared" si="15"/>
        <v>44499</v>
      </c>
      <c r="B18" s="288">
        <f t="shared" si="16"/>
        <v>82135.12</v>
      </c>
      <c r="C18" s="14">
        <f t="shared" si="0"/>
        <v>382.11</v>
      </c>
      <c r="D18" s="14">
        <f t="shared" si="32"/>
        <v>125.44</v>
      </c>
      <c r="E18" s="14">
        <f t="shared" si="1"/>
        <v>256.67</v>
      </c>
      <c r="F18" s="288">
        <f t="shared" si="17"/>
        <v>757.26</v>
      </c>
      <c r="G18" s="288">
        <f t="shared" si="18"/>
        <v>1029.02</v>
      </c>
      <c r="H18" s="288">
        <f t="shared" si="2"/>
        <v>82009.679999999993</v>
      </c>
      <c r="I18" s="410">
        <f t="shared" si="3"/>
        <v>0</v>
      </c>
      <c r="J18" s="288">
        <f t="shared" si="19"/>
        <v>354375</v>
      </c>
      <c r="K18" s="288">
        <f t="shared" si="20"/>
        <v>0</v>
      </c>
      <c r="L18" s="288">
        <f t="shared" si="33"/>
        <v>0</v>
      </c>
      <c r="M18" s="288">
        <f t="shared" si="21"/>
        <v>0</v>
      </c>
      <c r="N18" s="288">
        <f t="shared" si="22"/>
        <v>0</v>
      </c>
      <c r="O18" s="288">
        <f t="shared" si="23"/>
        <v>0</v>
      </c>
      <c r="P18" s="288">
        <f t="shared" si="4"/>
        <v>354375</v>
      </c>
      <c r="Q18" s="499">
        <f t="shared" si="5"/>
        <v>44499</v>
      </c>
      <c r="R18" s="288">
        <f t="shared" si="6"/>
        <v>0</v>
      </c>
      <c r="S18" s="492">
        <f t="shared" si="24"/>
        <v>3.7499999999999999E-2</v>
      </c>
      <c r="T18" s="288">
        <f t="shared" si="7"/>
        <v>0</v>
      </c>
      <c r="U18" s="288">
        <f t="shared" si="8"/>
        <v>0</v>
      </c>
      <c r="V18" s="288">
        <f t="shared" si="9"/>
        <v>0</v>
      </c>
      <c r="W18" s="288">
        <f t="shared" si="10"/>
        <v>0</v>
      </c>
      <c r="X18" s="288">
        <f t="shared" si="11"/>
        <v>0</v>
      </c>
      <c r="Y18" s="288">
        <f t="shared" si="12"/>
        <v>0</v>
      </c>
      <c r="Z18" s="288">
        <f t="shared" si="34"/>
        <v>0</v>
      </c>
      <c r="AA18" s="288">
        <f t="shared" si="35"/>
        <v>0</v>
      </c>
      <c r="AB18" s="288">
        <f t="shared" si="13"/>
        <v>354375</v>
      </c>
      <c r="AC18" s="410">
        <f t="shared" si="25"/>
        <v>0</v>
      </c>
      <c r="AD18" s="510">
        <f>K18-T18+AD17</f>
        <v>0</v>
      </c>
      <c r="AE18" s="510">
        <f t="shared" si="14"/>
        <v>0</v>
      </c>
      <c r="AF18" s="510"/>
      <c r="AG18" s="510">
        <f t="shared" si="27"/>
        <v>0</v>
      </c>
      <c r="AH18" s="510">
        <f t="shared" si="28"/>
        <v>360916.16000000003</v>
      </c>
      <c r="AI18" s="510"/>
      <c r="AJ18" s="14">
        <f t="shared" si="29"/>
        <v>0</v>
      </c>
      <c r="AK18" s="14">
        <f t="shared" si="30"/>
        <v>0</v>
      </c>
      <c r="AL18" s="510">
        <f>IF(R18&lt;=0,0,+(Profit!$B$4+AM17)*$AL$1/12)</f>
        <v>0</v>
      </c>
      <c r="AM18" s="14">
        <f t="shared" si="31"/>
        <v>0</v>
      </c>
    </row>
    <row r="19" spans="1:39" x14ac:dyDescent="0.25">
      <c r="A19" s="499">
        <f t="shared" si="15"/>
        <v>44529</v>
      </c>
      <c r="B19" s="288">
        <f t="shared" si="16"/>
        <v>82009.679999999993</v>
      </c>
      <c r="C19" s="14">
        <f t="shared" si="0"/>
        <v>382.11</v>
      </c>
      <c r="D19" s="14">
        <f t="shared" si="32"/>
        <v>125.83000000000004</v>
      </c>
      <c r="E19" s="14">
        <f t="shared" si="1"/>
        <v>256.27999999999997</v>
      </c>
      <c r="F19" s="288">
        <f t="shared" si="17"/>
        <v>883.09</v>
      </c>
      <c r="G19" s="288">
        <f t="shared" si="18"/>
        <v>1285.3</v>
      </c>
      <c r="H19" s="288">
        <f t="shared" si="2"/>
        <v>81883.849999999991</v>
      </c>
      <c r="I19" s="410">
        <f t="shared" si="3"/>
        <v>0</v>
      </c>
      <c r="J19" s="288">
        <f t="shared" si="19"/>
        <v>354375</v>
      </c>
      <c r="K19" s="288">
        <f t="shared" si="20"/>
        <v>0</v>
      </c>
      <c r="L19" s="288">
        <f t="shared" si="33"/>
        <v>0</v>
      </c>
      <c r="M19" s="288">
        <f t="shared" si="21"/>
        <v>0</v>
      </c>
      <c r="N19" s="288">
        <f t="shared" si="22"/>
        <v>0</v>
      </c>
      <c r="O19" s="288">
        <f t="shared" si="23"/>
        <v>0</v>
      </c>
      <c r="P19" s="288">
        <f t="shared" si="4"/>
        <v>354375</v>
      </c>
      <c r="Q19" s="499">
        <f t="shared" si="5"/>
        <v>44529</v>
      </c>
      <c r="R19" s="288">
        <f t="shared" si="6"/>
        <v>0</v>
      </c>
      <c r="S19" s="492">
        <f t="shared" si="24"/>
        <v>3.7499999999999999E-2</v>
      </c>
      <c r="T19" s="288">
        <f t="shared" si="7"/>
        <v>0</v>
      </c>
      <c r="U19" s="288">
        <f t="shared" si="8"/>
        <v>0</v>
      </c>
      <c r="V19" s="288">
        <f t="shared" si="9"/>
        <v>0</v>
      </c>
      <c r="W19" s="288">
        <f t="shared" si="10"/>
        <v>0</v>
      </c>
      <c r="X19" s="288">
        <f t="shared" si="11"/>
        <v>0</v>
      </c>
      <c r="Y19" s="288">
        <f t="shared" si="12"/>
        <v>0</v>
      </c>
      <c r="Z19" s="288">
        <f t="shared" si="34"/>
        <v>0</v>
      </c>
      <c r="AA19" s="288">
        <f t="shared" si="35"/>
        <v>0</v>
      </c>
      <c r="AB19" s="288">
        <f t="shared" si="13"/>
        <v>354375</v>
      </c>
      <c r="AC19" s="410">
        <f t="shared" si="25"/>
        <v>0</v>
      </c>
      <c r="AD19" s="510">
        <f t="shared" si="26"/>
        <v>0</v>
      </c>
      <c r="AE19" s="510">
        <f t="shared" si="14"/>
        <v>0</v>
      </c>
      <c r="AF19" s="510"/>
      <c r="AG19" s="510">
        <f t="shared" si="27"/>
        <v>0</v>
      </c>
      <c r="AH19" s="510">
        <f t="shared" si="28"/>
        <v>361041.99000000005</v>
      </c>
      <c r="AI19" s="510"/>
      <c r="AJ19" s="14">
        <f t="shared" si="29"/>
        <v>0</v>
      </c>
      <c r="AK19" s="14">
        <f t="shared" si="30"/>
        <v>0</v>
      </c>
      <c r="AL19" s="510">
        <f>IF(R19&lt;=0,0,+(Profit!$B$4+AM18)*$AL$1/12)</f>
        <v>0</v>
      </c>
      <c r="AM19" s="14">
        <f t="shared" si="31"/>
        <v>0</v>
      </c>
    </row>
    <row r="20" spans="1:39" x14ac:dyDescent="0.25">
      <c r="A20" s="499">
        <f t="shared" si="15"/>
        <v>44559</v>
      </c>
      <c r="B20" s="288">
        <f t="shared" si="16"/>
        <v>81883.849999999991</v>
      </c>
      <c r="C20" s="14">
        <f t="shared" si="0"/>
        <v>382.11</v>
      </c>
      <c r="D20" s="14">
        <f t="shared" si="32"/>
        <v>126.22000000000003</v>
      </c>
      <c r="E20" s="14">
        <f t="shared" si="1"/>
        <v>255.89</v>
      </c>
      <c r="F20" s="288">
        <f t="shared" si="17"/>
        <v>1009.3100000000001</v>
      </c>
      <c r="G20" s="288">
        <f t="shared" si="18"/>
        <v>1541.19</v>
      </c>
      <c r="H20" s="288">
        <f t="shared" si="2"/>
        <v>81757.62999999999</v>
      </c>
      <c r="I20" s="410">
        <f t="shared" si="3"/>
        <v>0</v>
      </c>
      <c r="J20" s="288">
        <f t="shared" si="19"/>
        <v>354375</v>
      </c>
      <c r="K20" s="288">
        <f t="shared" si="20"/>
        <v>0</v>
      </c>
      <c r="L20" s="288">
        <f t="shared" si="33"/>
        <v>0</v>
      </c>
      <c r="M20" s="288">
        <f t="shared" si="21"/>
        <v>0</v>
      </c>
      <c r="N20" s="288">
        <f t="shared" si="22"/>
        <v>0</v>
      </c>
      <c r="O20" s="288">
        <f t="shared" si="23"/>
        <v>0</v>
      </c>
      <c r="P20" s="288">
        <f t="shared" si="4"/>
        <v>354375</v>
      </c>
      <c r="Q20" s="499">
        <f t="shared" si="5"/>
        <v>44559</v>
      </c>
      <c r="R20" s="288">
        <f t="shared" si="6"/>
        <v>0</v>
      </c>
      <c r="S20" s="492">
        <f t="shared" si="24"/>
        <v>3.7499999999999999E-2</v>
      </c>
      <c r="T20" s="288">
        <f t="shared" si="7"/>
        <v>0</v>
      </c>
      <c r="U20" s="288">
        <f t="shared" si="8"/>
        <v>0</v>
      </c>
      <c r="V20" s="288">
        <f t="shared" si="9"/>
        <v>0</v>
      </c>
      <c r="W20" s="288">
        <f t="shared" si="10"/>
        <v>0</v>
      </c>
      <c r="X20" s="288">
        <f t="shared" si="11"/>
        <v>0</v>
      </c>
      <c r="Y20" s="288">
        <f t="shared" si="12"/>
        <v>0</v>
      </c>
      <c r="Z20" s="288">
        <f t="shared" si="34"/>
        <v>0</v>
      </c>
      <c r="AA20" s="288">
        <f t="shared" si="35"/>
        <v>0</v>
      </c>
      <c r="AB20" s="288">
        <f t="shared" si="13"/>
        <v>354375</v>
      </c>
      <c r="AC20" s="410">
        <f t="shared" si="25"/>
        <v>0</v>
      </c>
      <c r="AD20" s="510">
        <f t="shared" si="26"/>
        <v>0</v>
      </c>
      <c r="AE20" s="510">
        <f t="shared" si="14"/>
        <v>0</v>
      </c>
      <c r="AF20" s="510"/>
      <c r="AG20" s="510">
        <f t="shared" si="27"/>
        <v>0</v>
      </c>
      <c r="AH20" s="510">
        <f t="shared" si="28"/>
        <v>361168.21</v>
      </c>
      <c r="AI20" s="510"/>
      <c r="AJ20" s="14">
        <f t="shared" si="29"/>
        <v>0</v>
      </c>
      <c r="AK20" s="14">
        <f t="shared" si="30"/>
        <v>0</v>
      </c>
      <c r="AL20" s="510">
        <f>IF(R20&lt;=0,0,+(Profit!$B$4+AM19)*$AL$1/12)</f>
        <v>0</v>
      </c>
      <c r="AM20" s="14">
        <f t="shared" si="31"/>
        <v>0</v>
      </c>
    </row>
    <row r="21" spans="1:39" x14ac:dyDescent="0.25">
      <c r="A21" s="499">
        <f t="shared" si="15"/>
        <v>44589</v>
      </c>
      <c r="B21" s="288">
        <f t="shared" si="16"/>
        <v>81757.62999999999</v>
      </c>
      <c r="C21" s="14">
        <f t="shared" si="0"/>
        <v>382.11</v>
      </c>
      <c r="D21" s="14">
        <f t="shared" si="32"/>
        <v>126.62</v>
      </c>
      <c r="E21" s="14">
        <f t="shared" si="1"/>
        <v>255.49</v>
      </c>
      <c r="F21" s="288">
        <f t="shared" si="17"/>
        <v>1135.93</v>
      </c>
      <c r="G21" s="288">
        <f t="shared" si="18"/>
        <v>1796.68</v>
      </c>
      <c r="H21" s="288">
        <f t="shared" si="2"/>
        <v>81631.009999999995</v>
      </c>
      <c r="I21" s="410">
        <f t="shared" si="3"/>
        <v>0</v>
      </c>
      <c r="J21" s="288">
        <f t="shared" si="19"/>
        <v>354375</v>
      </c>
      <c r="K21" s="288">
        <f t="shared" si="20"/>
        <v>0</v>
      </c>
      <c r="L21" s="288">
        <f t="shared" si="33"/>
        <v>0</v>
      </c>
      <c r="M21" s="288">
        <f t="shared" si="21"/>
        <v>0</v>
      </c>
      <c r="N21" s="288">
        <f t="shared" si="22"/>
        <v>0</v>
      </c>
      <c r="O21" s="288">
        <f t="shared" si="23"/>
        <v>0</v>
      </c>
      <c r="P21" s="288">
        <f t="shared" si="4"/>
        <v>354375</v>
      </c>
      <c r="Q21" s="499">
        <f t="shared" si="5"/>
        <v>44589</v>
      </c>
      <c r="R21" s="288">
        <f t="shared" si="6"/>
        <v>0</v>
      </c>
      <c r="S21" s="492">
        <f t="shared" si="24"/>
        <v>3.7499999999999999E-2</v>
      </c>
      <c r="T21" s="288">
        <f t="shared" si="7"/>
        <v>0</v>
      </c>
      <c r="U21" s="288">
        <f t="shared" si="8"/>
        <v>0</v>
      </c>
      <c r="V21" s="288">
        <f t="shared" si="9"/>
        <v>0</v>
      </c>
      <c r="W21" s="288">
        <f t="shared" si="10"/>
        <v>0</v>
      </c>
      <c r="X21" s="288">
        <f t="shared" si="11"/>
        <v>0</v>
      </c>
      <c r="Y21" s="288">
        <f t="shared" si="12"/>
        <v>0</v>
      </c>
      <c r="Z21" s="288">
        <f t="shared" si="34"/>
        <v>0</v>
      </c>
      <c r="AA21" s="288">
        <f t="shared" si="35"/>
        <v>0</v>
      </c>
      <c r="AB21" s="288">
        <f t="shared" si="13"/>
        <v>354375</v>
      </c>
      <c r="AC21" s="410">
        <f t="shared" si="25"/>
        <v>0</v>
      </c>
      <c r="AD21" s="510">
        <f t="shared" si="26"/>
        <v>0</v>
      </c>
      <c r="AE21" s="510">
        <f t="shared" si="14"/>
        <v>0</v>
      </c>
      <c r="AF21" s="510"/>
      <c r="AG21" s="510">
        <f t="shared" si="27"/>
        <v>0</v>
      </c>
      <c r="AH21" s="510">
        <f t="shared" si="28"/>
        <v>361294.83</v>
      </c>
      <c r="AI21" s="510"/>
      <c r="AJ21" s="14">
        <f t="shared" si="29"/>
        <v>0</v>
      </c>
      <c r="AK21" s="14">
        <f t="shared" si="30"/>
        <v>0</v>
      </c>
      <c r="AL21" s="510">
        <f>IF(R21&lt;=0,0,+(Profit!$B$4+AM20)*$AL$1/12)</f>
        <v>0</v>
      </c>
      <c r="AM21" s="14">
        <f t="shared" si="31"/>
        <v>0</v>
      </c>
    </row>
    <row r="22" spans="1:39" x14ac:dyDescent="0.25">
      <c r="A22" s="499">
        <f t="shared" si="15"/>
        <v>44619</v>
      </c>
      <c r="B22" s="288">
        <f t="shared" si="16"/>
        <v>81631.009999999995</v>
      </c>
      <c r="C22" s="14">
        <f t="shared" si="0"/>
        <v>382.11</v>
      </c>
      <c r="D22" s="14">
        <f t="shared" si="32"/>
        <v>127.01000000000002</v>
      </c>
      <c r="E22" s="14">
        <f t="shared" si="1"/>
        <v>255.1</v>
      </c>
      <c r="F22" s="288">
        <f t="shared" si="17"/>
        <v>1262.94</v>
      </c>
      <c r="G22" s="288">
        <f t="shared" si="18"/>
        <v>2051.7800000000002</v>
      </c>
      <c r="H22" s="288">
        <f t="shared" si="2"/>
        <v>81504</v>
      </c>
      <c r="I22" s="410">
        <f t="shared" si="3"/>
        <v>0</v>
      </c>
      <c r="J22" s="288">
        <f t="shared" si="19"/>
        <v>354375</v>
      </c>
      <c r="K22" s="288">
        <f t="shared" si="20"/>
        <v>0</v>
      </c>
      <c r="L22" s="288">
        <f t="shared" si="33"/>
        <v>0</v>
      </c>
      <c r="M22" s="288">
        <f t="shared" si="21"/>
        <v>0</v>
      </c>
      <c r="N22" s="288">
        <f t="shared" si="22"/>
        <v>0</v>
      </c>
      <c r="O22" s="288">
        <f t="shared" si="23"/>
        <v>0</v>
      </c>
      <c r="P22" s="288">
        <f t="shared" si="4"/>
        <v>354375</v>
      </c>
      <c r="Q22" s="499">
        <f t="shared" si="5"/>
        <v>44619</v>
      </c>
      <c r="R22" s="288">
        <f t="shared" si="6"/>
        <v>0</v>
      </c>
      <c r="S22" s="492">
        <f t="shared" si="24"/>
        <v>3.7499999999999999E-2</v>
      </c>
      <c r="T22" s="288">
        <f t="shared" si="7"/>
        <v>0</v>
      </c>
      <c r="U22" s="288">
        <f t="shared" si="8"/>
        <v>0</v>
      </c>
      <c r="V22" s="288">
        <f t="shared" si="9"/>
        <v>0</v>
      </c>
      <c r="W22" s="288">
        <f t="shared" si="10"/>
        <v>0</v>
      </c>
      <c r="X22" s="288">
        <f t="shared" si="11"/>
        <v>0</v>
      </c>
      <c r="Y22" s="288">
        <f t="shared" si="12"/>
        <v>0</v>
      </c>
      <c r="Z22" s="288">
        <f t="shared" si="34"/>
        <v>0</v>
      </c>
      <c r="AA22" s="288">
        <f t="shared" si="35"/>
        <v>0</v>
      </c>
      <c r="AB22" s="288">
        <f t="shared" si="13"/>
        <v>354375</v>
      </c>
      <c r="AC22" s="410">
        <f t="shared" si="25"/>
        <v>0</v>
      </c>
      <c r="AD22" s="510">
        <f t="shared" si="26"/>
        <v>0</v>
      </c>
      <c r="AE22" s="510">
        <f t="shared" si="14"/>
        <v>0</v>
      </c>
      <c r="AF22" s="510"/>
      <c r="AG22" s="510">
        <f t="shared" si="27"/>
        <v>0</v>
      </c>
      <c r="AH22" s="510">
        <f t="shared" si="28"/>
        <v>361421.84</v>
      </c>
      <c r="AI22" s="510"/>
      <c r="AJ22" s="14">
        <f t="shared" si="29"/>
        <v>0</v>
      </c>
      <c r="AK22" s="14">
        <f t="shared" si="30"/>
        <v>0</v>
      </c>
      <c r="AL22" s="510">
        <f>IF(R22&lt;=0,0,+(Profit!$B$4+AM21)*$AL$1/12)</f>
        <v>0</v>
      </c>
      <c r="AM22" s="14">
        <f t="shared" si="31"/>
        <v>0</v>
      </c>
    </row>
    <row r="23" spans="1:39" x14ac:dyDescent="0.25">
      <c r="A23" s="499">
        <f t="shared" si="15"/>
        <v>44649</v>
      </c>
      <c r="B23" s="288">
        <f t="shared" si="16"/>
        <v>81504</v>
      </c>
      <c r="C23" s="14">
        <f t="shared" si="0"/>
        <v>382.11</v>
      </c>
      <c r="D23" s="14">
        <f t="shared" si="32"/>
        <v>127.41000000000003</v>
      </c>
      <c r="E23" s="14">
        <f t="shared" si="1"/>
        <v>254.7</v>
      </c>
      <c r="F23" s="288">
        <f t="shared" si="17"/>
        <v>1390.3500000000001</v>
      </c>
      <c r="G23" s="288">
        <f t="shared" si="18"/>
        <v>2306.48</v>
      </c>
      <c r="H23" s="288">
        <f t="shared" si="2"/>
        <v>81376.59</v>
      </c>
      <c r="I23" s="410">
        <f t="shared" si="3"/>
        <v>0</v>
      </c>
      <c r="J23" s="288">
        <f t="shared" si="19"/>
        <v>354375</v>
      </c>
      <c r="K23" s="288">
        <f t="shared" si="20"/>
        <v>0</v>
      </c>
      <c r="L23" s="288">
        <f t="shared" si="33"/>
        <v>0</v>
      </c>
      <c r="M23" s="288">
        <f t="shared" si="21"/>
        <v>0</v>
      </c>
      <c r="N23" s="288">
        <f t="shared" si="22"/>
        <v>0</v>
      </c>
      <c r="O23" s="288">
        <f t="shared" si="23"/>
        <v>0</v>
      </c>
      <c r="P23" s="288">
        <f t="shared" si="4"/>
        <v>354375</v>
      </c>
      <c r="Q23" s="499">
        <f t="shared" si="5"/>
        <v>44649</v>
      </c>
      <c r="R23" s="288">
        <f t="shared" si="6"/>
        <v>0</v>
      </c>
      <c r="S23" s="492">
        <f t="shared" si="24"/>
        <v>3.7499999999999999E-2</v>
      </c>
      <c r="T23" s="288">
        <f t="shared" si="7"/>
        <v>0</v>
      </c>
      <c r="U23" s="288">
        <f t="shared" si="8"/>
        <v>0</v>
      </c>
      <c r="V23" s="288">
        <f t="shared" si="9"/>
        <v>0</v>
      </c>
      <c r="W23" s="288">
        <f t="shared" si="10"/>
        <v>0</v>
      </c>
      <c r="X23" s="288">
        <f t="shared" si="11"/>
        <v>0</v>
      </c>
      <c r="Y23" s="288">
        <f t="shared" si="12"/>
        <v>0</v>
      </c>
      <c r="Z23" s="288">
        <f t="shared" si="34"/>
        <v>0</v>
      </c>
      <c r="AA23" s="288">
        <f t="shared" si="35"/>
        <v>0</v>
      </c>
      <c r="AB23" s="288">
        <f t="shared" si="13"/>
        <v>354375</v>
      </c>
      <c r="AC23" s="410">
        <f t="shared" si="25"/>
        <v>0</v>
      </c>
      <c r="AD23" s="510">
        <f t="shared" si="26"/>
        <v>0</v>
      </c>
      <c r="AE23" s="510">
        <f t="shared" si="14"/>
        <v>0</v>
      </c>
      <c r="AF23" s="510"/>
      <c r="AG23" s="510">
        <f t="shared" si="27"/>
        <v>0</v>
      </c>
      <c r="AH23" s="510">
        <f t="shared" si="28"/>
        <v>361549.25</v>
      </c>
      <c r="AI23" s="510"/>
      <c r="AJ23" s="14">
        <f t="shared" si="29"/>
        <v>0</v>
      </c>
      <c r="AK23" s="14">
        <f t="shared" si="30"/>
        <v>0</v>
      </c>
      <c r="AL23" s="510">
        <f>IF(R23&lt;=0,0,+(Profit!$B$4+AM22)*$AL$1/12)</f>
        <v>0</v>
      </c>
      <c r="AM23" s="14">
        <f t="shared" si="31"/>
        <v>0</v>
      </c>
    </row>
    <row r="24" spans="1:39" x14ac:dyDescent="0.25">
      <c r="A24" s="499">
        <f t="shared" si="15"/>
        <v>44679</v>
      </c>
      <c r="B24" s="288">
        <f t="shared" si="16"/>
        <v>81376.59</v>
      </c>
      <c r="C24" s="14">
        <f t="shared" si="0"/>
        <v>382.11</v>
      </c>
      <c r="D24" s="14">
        <f t="shared" si="32"/>
        <v>127.81</v>
      </c>
      <c r="E24" s="14">
        <f t="shared" si="1"/>
        <v>254.3</v>
      </c>
      <c r="F24" s="288">
        <f t="shared" si="17"/>
        <v>1518.16</v>
      </c>
      <c r="G24" s="288">
        <f t="shared" si="18"/>
        <v>2560.7800000000002</v>
      </c>
      <c r="H24" s="288">
        <f t="shared" si="2"/>
        <v>81248.78</v>
      </c>
      <c r="I24" s="410">
        <f t="shared" si="3"/>
        <v>0</v>
      </c>
      <c r="J24" s="288">
        <f t="shared" si="19"/>
        <v>354375</v>
      </c>
      <c r="K24" s="288">
        <f t="shared" si="20"/>
        <v>0</v>
      </c>
      <c r="L24" s="288">
        <f t="shared" si="33"/>
        <v>0</v>
      </c>
      <c r="M24" s="288">
        <f t="shared" si="21"/>
        <v>0</v>
      </c>
      <c r="N24" s="288">
        <f t="shared" si="22"/>
        <v>0</v>
      </c>
      <c r="O24" s="288">
        <f t="shared" si="23"/>
        <v>0</v>
      </c>
      <c r="P24" s="288">
        <f t="shared" si="4"/>
        <v>354375</v>
      </c>
      <c r="Q24" s="499">
        <f t="shared" si="5"/>
        <v>44679</v>
      </c>
      <c r="R24" s="288">
        <f t="shared" si="6"/>
        <v>0</v>
      </c>
      <c r="S24" s="492">
        <f t="shared" si="24"/>
        <v>3.7499999999999999E-2</v>
      </c>
      <c r="T24" s="288">
        <f t="shared" si="7"/>
        <v>0</v>
      </c>
      <c r="U24" s="288">
        <f t="shared" si="8"/>
        <v>0</v>
      </c>
      <c r="V24" s="288">
        <f t="shared" si="9"/>
        <v>0</v>
      </c>
      <c r="W24" s="288">
        <f t="shared" si="10"/>
        <v>0</v>
      </c>
      <c r="X24" s="288">
        <f t="shared" si="11"/>
        <v>0</v>
      </c>
      <c r="Y24" s="288">
        <f t="shared" si="12"/>
        <v>0</v>
      </c>
      <c r="Z24" s="288">
        <f t="shared" si="34"/>
        <v>0</v>
      </c>
      <c r="AA24" s="288">
        <f t="shared" si="35"/>
        <v>0</v>
      </c>
      <c r="AB24" s="288">
        <f t="shared" si="13"/>
        <v>354375</v>
      </c>
      <c r="AC24" s="410">
        <f t="shared" si="25"/>
        <v>0</v>
      </c>
      <c r="AD24" s="510">
        <f t="shared" si="26"/>
        <v>0</v>
      </c>
      <c r="AE24" s="510">
        <f t="shared" si="14"/>
        <v>0</v>
      </c>
      <c r="AF24" s="510"/>
      <c r="AG24" s="510">
        <f t="shared" si="27"/>
        <v>0</v>
      </c>
      <c r="AH24" s="510">
        <f t="shared" si="28"/>
        <v>361677.06</v>
      </c>
      <c r="AI24" s="510"/>
      <c r="AJ24" s="14">
        <f t="shared" si="29"/>
        <v>0</v>
      </c>
      <c r="AK24" s="14">
        <f t="shared" si="30"/>
        <v>0</v>
      </c>
      <c r="AL24" s="510">
        <f>IF(R24&lt;=0,0,+(Profit!$B$4+AM23)*$AL$1/12)</f>
        <v>0</v>
      </c>
      <c r="AM24" s="14">
        <f t="shared" si="31"/>
        <v>0</v>
      </c>
    </row>
    <row r="25" spans="1:39" x14ac:dyDescent="0.25">
      <c r="A25" s="499">
        <f t="shared" si="15"/>
        <v>44709</v>
      </c>
      <c r="B25" s="288">
        <f t="shared" si="16"/>
        <v>81248.78</v>
      </c>
      <c r="C25" s="14">
        <f t="shared" si="0"/>
        <v>382.11</v>
      </c>
      <c r="D25" s="14">
        <f t="shared" si="32"/>
        <v>128.21</v>
      </c>
      <c r="E25" s="14">
        <f t="shared" si="1"/>
        <v>253.9</v>
      </c>
      <c r="F25" s="288">
        <f t="shared" si="17"/>
        <v>1646.3700000000001</v>
      </c>
      <c r="G25" s="288">
        <f t="shared" si="18"/>
        <v>2814.6800000000003</v>
      </c>
      <c r="H25" s="288">
        <f t="shared" si="2"/>
        <v>81120.569999999992</v>
      </c>
      <c r="I25" s="410">
        <f t="shared" si="3"/>
        <v>0</v>
      </c>
      <c r="J25" s="288">
        <f t="shared" si="19"/>
        <v>354375</v>
      </c>
      <c r="K25" s="288">
        <f t="shared" si="20"/>
        <v>0</v>
      </c>
      <c r="L25" s="288">
        <f t="shared" si="33"/>
        <v>0</v>
      </c>
      <c r="M25" s="288">
        <f t="shared" si="21"/>
        <v>0</v>
      </c>
      <c r="N25" s="288">
        <f t="shared" si="22"/>
        <v>0</v>
      </c>
      <c r="O25" s="288">
        <f t="shared" si="23"/>
        <v>0</v>
      </c>
      <c r="P25" s="288">
        <f t="shared" si="4"/>
        <v>354375</v>
      </c>
      <c r="Q25" s="499">
        <f t="shared" si="5"/>
        <v>44709</v>
      </c>
      <c r="R25" s="288">
        <f t="shared" si="6"/>
        <v>0</v>
      </c>
      <c r="S25" s="492">
        <f t="shared" si="24"/>
        <v>3.7499999999999999E-2</v>
      </c>
      <c r="T25" s="288">
        <f t="shared" si="7"/>
        <v>0</v>
      </c>
      <c r="U25" s="288">
        <f t="shared" si="8"/>
        <v>0</v>
      </c>
      <c r="V25" s="288">
        <f t="shared" si="9"/>
        <v>0</v>
      </c>
      <c r="W25" s="288">
        <f t="shared" si="10"/>
        <v>0</v>
      </c>
      <c r="X25" s="288">
        <f t="shared" si="11"/>
        <v>0</v>
      </c>
      <c r="Y25" s="288">
        <f t="shared" si="12"/>
        <v>0</v>
      </c>
      <c r="Z25" s="288">
        <f t="shared" si="34"/>
        <v>0</v>
      </c>
      <c r="AA25" s="288">
        <f t="shared" si="35"/>
        <v>0</v>
      </c>
      <c r="AB25" s="288">
        <f t="shared" si="13"/>
        <v>354375</v>
      </c>
      <c r="AC25" s="410">
        <f t="shared" si="25"/>
        <v>0</v>
      </c>
      <c r="AD25" s="510">
        <f t="shared" si="26"/>
        <v>0</v>
      </c>
      <c r="AE25" s="510">
        <f t="shared" si="14"/>
        <v>0</v>
      </c>
      <c r="AF25" s="510"/>
      <c r="AG25" s="510">
        <f t="shared" si="27"/>
        <v>0</v>
      </c>
      <c r="AH25" s="510">
        <f t="shared" si="28"/>
        <v>361805.27</v>
      </c>
      <c r="AI25" s="510"/>
      <c r="AJ25" s="14">
        <f t="shared" si="29"/>
        <v>0</v>
      </c>
      <c r="AK25" s="14">
        <f t="shared" si="30"/>
        <v>0</v>
      </c>
      <c r="AL25" s="510">
        <f>IF(R25&lt;=0,0,+(Profit!$B$4+AM24)*$AL$1/12)</f>
        <v>0</v>
      </c>
      <c r="AM25" s="14">
        <f t="shared" si="31"/>
        <v>0</v>
      </c>
    </row>
    <row r="26" spans="1:39" ht="15.75" thickBot="1" x14ac:dyDescent="0.3">
      <c r="A26" s="502">
        <f t="shared" si="15"/>
        <v>44739</v>
      </c>
      <c r="B26" s="343">
        <f t="shared" si="16"/>
        <v>81120.569999999992</v>
      </c>
      <c r="C26" s="21">
        <f t="shared" si="0"/>
        <v>382.11</v>
      </c>
      <c r="D26" s="21">
        <f t="shared" si="32"/>
        <v>128.61000000000001</v>
      </c>
      <c r="E26" s="21">
        <f t="shared" si="1"/>
        <v>253.5</v>
      </c>
      <c r="F26" s="343">
        <f t="shared" si="17"/>
        <v>1774.98</v>
      </c>
      <c r="G26" s="343">
        <f t="shared" si="18"/>
        <v>3068.1800000000003</v>
      </c>
      <c r="H26" s="343">
        <f t="shared" si="2"/>
        <v>80991.959999999992</v>
      </c>
      <c r="I26" s="411">
        <f t="shared" si="3"/>
        <v>0</v>
      </c>
      <c r="J26" s="343">
        <f t="shared" si="19"/>
        <v>354375</v>
      </c>
      <c r="K26" s="343">
        <f t="shared" si="20"/>
        <v>0</v>
      </c>
      <c r="L26" s="343">
        <f t="shared" si="33"/>
        <v>0</v>
      </c>
      <c r="M26" s="343">
        <f t="shared" si="21"/>
        <v>0</v>
      </c>
      <c r="N26" s="343">
        <f t="shared" si="22"/>
        <v>0</v>
      </c>
      <c r="O26" s="343">
        <f t="shared" si="23"/>
        <v>0</v>
      </c>
      <c r="P26" s="343">
        <f t="shared" si="4"/>
        <v>354375</v>
      </c>
      <c r="Q26" s="502">
        <f t="shared" si="5"/>
        <v>44739</v>
      </c>
      <c r="R26" s="343">
        <f t="shared" si="6"/>
        <v>0</v>
      </c>
      <c r="S26" s="493">
        <f t="shared" si="24"/>
        <v>3.7499999999999999E-2</v>
      </c>
      <c r="T26" s="343">
        <f t="shared" si="7"/>
        <v>0</v>
      </c>
      <c r="U26" s="343">
        <f t="shared" si="8"/>
        <v>0</v>
      </c>
      <c r="V26" s="343">
        <f t="shared" si="9"/>
        <v>0</v>
      </c>
      <c r="W26" s="343">
        <f t="shared" si="10"/>
        <v>0</v>
      </c>
      <c r="X26" s="343">
        <f t="shared" si="11"/>
        <v>0</v>
      </c>
      <c r="Y26" s="343">
        <f t="shared" si="12"/>
        <v>0</v>
      </c>
      <c r="Z26" s="343">
        <f t="shared" si="34"/>
        <v>0</v>
      </c>
      <c r="AA26" s="343">
        <f t="shared" si="35"/>
        <v>0</v>
      </c>
      <c r="AB26" s="343">
        <f t="shared" si="13"/>
        <v>354375</v>
      </c>
      <c r="AC26" s="411">
        <f t="shared" si="25"/>
        <v>0</v>
      </c>
      <c r="AD26" s="511">
        <f t="shared" si="26"/>
        <v>0</v>
      </c>
      <c r="AE26" s="511">
        <f t="shared" si="14"/>
        <v>0</v>
      </c>
      <c r="AF26" s="511"/>
      <c r="AG26" s="511">
        <f t="shared" si="27"/>
        <v>0</v>
      </c>
      <c r="AH26" s="511">
        <f t="shared" si="28"/>
        <v>361933.88</v>
      </c>
      <c r="AI26" s="511"/>
      <c r="AJ26" s="21">
        <f t="shared" si="29"/>
        <v>0</v>
      </c>
      <c r="AK26" s="21">
        <f t="shared" si="30"/>
        <v>0</v>
      </c>
      <c r="AL26" s="511">
        <f>IF(R26&lt;=0,0,+(Profit!$B$4+AM25)*$AL$1/12)</f>
        <v>0</v>
      </c>
      <c r="AM26" s="21">
        <f t="shared" si="31"/>
        <v>0</v>
      </c>
    </row>
    <row r="27" spans="1:39" x14ac:dyDescent="0.25">
      <c r="A27" s="499">
        <f t="shared" si="15"/>
        <v>44769</v>
      </c>
      <c r="B27" s="288">
        <f t="shared" si="16"/>
        <v>80991.959999999992</v>
      </c>
      <c r="C27" s="14">
        <f t="shared" si="0"/>
        <v>382.11</v>
      </c>
      <c r="D27" s="14">
        <f t="shared" si="32"/>
        <v>129.01000000000002</v>
      </c>
      <c r="E27" s="14">
        <f t="shared" si="1"/>
        <v>253.1</v>
      </c>
      <c r="F27" s="288">
        <f t="shared" si="17"/>
        <v>1903.99</v>
      </c>
      <c r="G27" s="288">
        <f t="shared" si="18"/>
        <v>3321.28</v>
      </c>
      <c r="H27" s="288">
        <f t="shared" si="2"/>
        <v>80862.95</v>
      </c>
      <c r="I27" s="410">
        <f t="shared" si="3"/>
        <v>0</v>
      </c>
      <c r="J27" s="288">
        <f t="shared" si="19"/>
        <v>354375</v>
      </c>
      <c r="K27" s="288">
        <f t="shared" si="20"/>
        <v>0</v>
      </c>
      <c r="L27" s="288">
        <f t="shared" si="33"/>
        <v>0</v>
      </c>
      <c r="M27" s="288">
        <f t="shared" si="21"/>
        <v>0</v>
      </c>
      <c r="N27" s="288">
        <f t="shared" si="22"/>
        <v>0</v>
      </c>
      <c r="O27" s="288">
        <f t="shared" si="23"/>
        <v>0</v>
      </c>
      <c r="P27" s="288">
        <f t="shared" si="4"/>
        <v>354375</v>
      </c>
      <c r="Q27" s="499">
        <f t="shared" si="5"/>
        <v>44769</v>
      </c>
      <c r="R27" s="288">
        <f t="shared" si="6"/>
        <v>0</v>
      </c>
      <c r="S27" s="492">
        <f t="shared" si="24"/>
        <v>3.7499999999999999E-2</v>
      </c>
      <c r="T27" s="288">
        <f t="shared" si="7"/>
        <v>0</v>
      </c>
      <c r="U27" s="288">
        <f t="shared" si="8"/>
        <v>0</v>
      </c>
      <c r="V27" s="288">
        <f t="shared" si="9"/>
        <v>0</v>
      </c>
      <c r="W27" s="288">
        <f t="shared" si="10"/>
        <v>0</v>
      </c>
      <c r="X27" s="288">
        <f t="shared" si="11"/>
        <v>0</v>
      </c>
      <c r="Y27" s="288">
        <f t="shared" si="12"/>
        <v>0</v>
      </c>
      <c r="Z27" s="288">
        <f t="shared" si="34"/>
        <v>0</v>
      </c>
      <c r="AA27" s="288">
        <f t="shared" si="35"/>
        <v>0</v>
      </c>
      <c r="AB27" s="288">
        <f t="shared" si="13"/>
        <v>354375</v>
      </c>
      <c r="AC27" s="410">
        <f t="shared" si="25"/>
        <v>0</v>
      </c>
      <c r="AD27" s="510">
        <f t="shared" si="26"/>
        <v>0</v>
      </c>
      <c r="AE27" s="510">
        <f t="shared" si="14"/>
        <v>0</v>
      </c>
      <c r="AF27" s="510"/>
      <c r="AG27" s="510">
        <f t="shared" si="27"/>
        <v>0</v>
      </c>
      <c r="AH27" s="510">
        <f t="shared" si="28"/>
        <v>362062.89</v>
      </c>
      <c r="AI27" s="510"/>
      <c r="AJ27" s="14">
        <f t="shared" si="29"/>
        <v>0</v>
      </c>
      <c r="AK27" s="14">
        <f t="shared" si="30"/>
        <v>0</v>
      </c>
      <c r="AL27" s="510">
        <f>IF(R27&lt;=0,0,+(Profit!$B$4+AM26)*$AL$1/12)</f>
        <v>0</v>
      </c>
      <c r="AM27" s="14">
        <f t="shared" si="31"/>
        <v>0</v>
      </c>
    </row>
    <row r="28" spans="1:39" x14ac:dyDescent="0.25">
      <c r="A28" s="499">
        <f t="shared" si="15"/>
        <v>44799</v>
      </c>
      <c r="B28" s="288">
        <f t="shared" si="16"/>
        <v>80862.95</v>
      </c>
      <c r="C28" s="14">
        <f t="shared" si="0"/>
        <v>382.11</v>
      </c>
      <c r="D28" s="14">
        <f t="shared" si="32"/>
        <v>129.41000000000003</v>
      </c>
      <c r="E28" s="14">
        <f t="shared" si="1"/>
        <v>252.7</v>
      </c>
      <c r="F28" s="288">
        <f t="shared" si="17"/>
        <v>2033.4</v>
      </c>
      <c r="G28" s="288">
        <f t="shared" si="18"/>
        <v>3573.98</v>
      </c>
      <c r="H28" s="288">
        <f t="shared" si="2"/>
        <v>80733.539999999994</v>
      </c>
      <c r="I28" s="410">
        <f t="shared" si="3"/>
        <v>0</v>
      </c>
      <c r="J28" s="288">
        <f t="shared" si="19"/>
        <v>354375</v>
      </c>
      <c r="K28" s="288">
        <f t="shared" si="20"/>
        <v>0</v>
      </c>
      <c r="L28" s="288">
        <f t="shared" si="33"/>
        <v>0</v>
      </c>
      <c r="M28" s="288">
        <f t="shared" si="21"/>
        <v>0</v>
      </c>
      <c r="N28" s="288">
        <f t="shared" si="22"/>
        <v>0</v>
      </c>
      <c r="O28" s="288">
        <f t="shared" si="23"/>
        <v>0</v>
      </c>
      <c r="P28" s="288">
        <f t="shared" si="4"/>
        <v>354375</v>
      </c>
      <c r="Q28" s="499">
        <f t="shared" si="5"/>
        <v>44799</v>
      </c>
      <c r="R28" s="288">
        <f t="shared" si="6"/>
        <v>0</v>
      </c>
      <c r="S28" s="492">
        <f t="shared" si="24"/>
        <v>3.7499999999999999E-2</v>
      </c>
      <c r="T28" s="288">
        <f t="shared" si="7"/>
        <v>0</v>
      </c>
      <c r="U28" s="288">
        <f t="shared" si="8"/>
        <v>0</v>
      </c>
      <c r="V28" s="288">
        <f t="shared" si="9"/>
        <v>0</v>
      </c>
      <c r="W28" s="288">
        <f t="shared" si="10"/>
        <v>0</v>
      </c>
      <c r="X28" s="288">
        <f t="shared" si="11"/>
        <v>0</v>
      </c>
      <c r="Y28" s="288">
        <f t="shared" si="12"/>
        <v>0</v>
      </c>
      <c r="Z28" s="288">
        <f t="shared" si="34"/>
        <v>0</v>
      </c>
      <c r="AA28" s="288">
        <f t="shared" si="35"/>
        <v>0</v>
      </c>
      <c r="AB28" s="288">
        <f t="shared" si="13"/>
        <v>354375</v>
      </c>
      <c r="AC28" s="410">
        <f t="shared" si="25"/>
        <v>0</v>
      </c>
      <c r="AD28" s="510">
        <f t="shared" si="26"/>
        <v>0</v>
      </c>
      <c r="AE28" s="510">
        <f t="shared" si="14"/>
        <v>0</v>
      </c>
      <c r="AF28" s="510"/>
      <c r="AG28" s="510">
        <f t="shared" si="27"/>
        <v>0</v>
      </c>
      <c r="AH28" s="510">
        <f t="shared" si="28"/>
        <v>362192.30000000005</v>
      </c>
      <c r="AI28" s="510"/>
      <c r="AJ28" s="14">
        <f t="shared" si="29"/>
        <v>0</v>
      </c>
      <c r="AK28" s="14">
        <f t="shared" si="30"/>
        <v>0</v>
      </c>
      <c r="AL28" s="510">
        <f>IF(R28&lt;=0,0,+(Profit!$B$4+AM27)*$AL$1/12)</f>
        <v>0</v>
      </c>
      <c r="AM28" s="14">
        <f t="shared" si="31"/>
        <v>0</v>
      </c>
    </row>
    <row r="29" spans="1:39" x14ac:dyDescent="0.25">
      <c r="A29" s="499">
        <f t="shared" si="15"/>
        <v>44829</v>
      </c>
      <c r="B29" s="288">
        <f t="shared" si="16"/>
        <v>80733.539999999994</v>
      </c>
      <c r="C29" s="14">
        <f t="shared" si="0"/>
        <v>382.11</v>
      </c>
      <c r="D29" s="14">
        <f t="shared" si="32"/>
        <v>129.82000000000002</v>
      </c>
      <c r="E29" s="14">
        <f t="shared" si="1"/>
        <v>252.29</v>
      </c>
      <c r="F29" s="288">
        <f t="shared" si="17"/>
        <v>2163.2200000000003</v>
      </c>
      <c r="G29" s="288">
        <f t="shared" si="18"/>
        <v>3826.27</v>
      </c>
      <c r="H29" s="288">
        <f t="shared" si="2"/>
        <v>80603.719999999987</v>
      </c>
      <c r="I29" s="410">
        <f t="shared" si="3"/>
        <v>0</v>
      </c>
      <c r="J29" s="288">
        <f t="shared" si="19"/>
        <v>354375</v>
      </c>
      <c r="K29" s="288">
        <f t="shared" si="20"/>
        <v>0</v>
      </c>
      <c r="L29" s="288">
        <f t="shared" si="33"/>
        <v>0</v>
      </c>
      <c r="M29" s="288">
        <f t="shared" si="21"/>
        <v>0</v>
      </c>
      <c r="N29" s="288">
        <f t="shared" si="22"/>
        <v>0</v>
      </c>
      <c r="O29" s="288">
        <f t="shared" si="23"/>
        <v>0</v>
      </c>
      <c r="P29" s="288">
        <f t="shared" si="4"/>
        <v>354375</v>
      </c>
      <c r="Q29" s="499">
        <f t="shared" si="5"/>
        <v>44829</v>
      </c>
      <c r="R29" s="288">
        <f t="shared" si="6"/>
        <v>0</v>
      </c>
      <c r="S29" s="492">
        <f t="shared" si="24"/>
        <v>3.7499999999999999E-2</v>
      </c>
      <c r="T29" s="288">
        <f t="shared" si="7"/>
        <v>0</v>
      </c>
      <c r="U29" s="288">
        <f t="shared" si="8"/>
        <v>0</v>
      </c>
      <c r="V29" s="288">
        <f t="shared" si="9"/>
        <v>0</v>
      </c>
      <c r="W29" s="288">
        <f t="shared" si="10"/>
        <v>0</v>
      </c>
      <c r="X29" s="288">
        <f t="shared" si="11"/>
        <v>0</v>
      </c>
      <c r="Y29" s="288">
        <f t="shared" si="12"/>
        <v>0</v>
      </c>
      <c r="Z29" s="288">
        <f t="shared" si="34"/>
        <v>0</v>
      </c>
      <c r="AA29" s="288">
        <f t="shared" si="35"/>
        <v>0</v>
      </c>
      <c r="AB29" s="288">
        <f t="shared" si="13"/>
        <v>354375</v>
      </c>
      <c r="AC29" s="410">
        <f t="shared" si="25"/>
        <v>0</v>
      </c>
      <c r="AD29" s="510">
        <f t="shared" si="26"/>
        <v>0</v>
      </c>
      <c r="AE29" s="510">
        <f t="shared" si="14"/>
        <v>0</v>
      </c>
      <c r="AF29" s="510"/>
      <c r="AG29" s="510">
        <f t="shared" si="27"/>
        <v>0</v>
      </c>
      <c r="AH29" s="510">
        <f t="shared" si="28"/>
        <v>362322.12</v>
      </c>
      <c r="AI29" s="510"/>
      <c r="AJ29" s="14">
        <f t="shared" si="29"/>
        <v>0</v>
      </c>
      <c r="AK29" s="14">
        <f t="shared" si="30"/>
        <v>0</v>
      </c>
      <c r="AL29" s="510">
        <f>IF(R29&lt;=0,0,+(Profit!$B$4+AM28)*$AL$1/12)</f>
        <v>0</v>
      </c>
      <c r="AM29" s="14">
        <f t="shared" si="31"/>
        <v>0</v>
      </c>
    </row>
    <row r="30" spans="1:39" x14ac:dyDescent="0.25">
      <c r="A30" s="499">
        <f t="shared" si="15"/>
        <v>44859</v>
      </c>
      <c r="B30" s="288">
        <f t="shared" si="16"/>
        <v>80603.719999999987</v>
      </c>
      <c r="C30" s="14">
        <f t="shared" si="0"/>
        <v>382.11</v>
      </c>
      <c r="D30" s="14">
        <f t="shared" si="32"/>
        <v>130.22000000000003</v>
      </c>
      <c r="E30" s="14">
        <f t="shared" si="1"/>
        <v>251.89</v>
      </c>
      <c r="F30" s="288">
        <f t="shared" si="17"/>
        <v>2293.4400000000005</v>
      </c>
      <c r="G30" s="288">
        <f t="shared" si="18"/>
        <v>4078.16</v>
      </c>
      <c r="H30" s="288">
        <f t="shared" si="2"/>
        <v>80473.499999999985</v>
      </c>
      <c r="I30" s="410">
        <f t="shared" si="3"/>
        <v>0</v>
      </c>
      <c r="J30" s="288">
        <f t="shared" si="19"/>
        <v>354375</v>
      </c>
      <c r="K30" s="288">
        <f t="shared" si="20"/>
        <v>0</v>
      </c>
      <c r="L30" s="288">
        <f t="shared" si="33"/>
        <v>0</v>
      </c>
      <c r="M30" s="288">
        <f t="shared" si="21"/>
        <v>0</v>
      </c>
      <c r="N30" s="288">
        <f t="shared" si="22"/>
        <v>0</v>
      </c>
      <c r="O30" s="288">
        <f t="shared" si="23"/>
        <v>0</v>
      </c>
      <c r="P30" s="288">
        <f t="shared" si="4"/>
        <v>354375</v>
      </c>
      <c r="Q30" s="499">
        <f t="shared" si="5"/>
        <v>44859</v>
      </c>
      <c r="R30" s="288">
        <f t="shared" si="6"/>
        <v>0</v>
      </c>
      <c r="S30" s="492">
        <f t="shared" si="24"/>
        <v>3.7499999999999999E-2</v>
      </c>
      <c r="T30" s="288">
        <f t="shared" si="7"/>
        <v>0</v>
      </c>
      <c r="U30" s="288">
        <f t="shared" si="8"/>
        <v>0</v>
      </c>
      <c r="V30" s="288">
        <f t="shared" si="9"/>
        <v>0</v>
      </c>
      <c r="W30" s="288">
        <f t="shared" si="10"/>
        <v>0</v>
      </c>
      <c r="X30" s="288">
        <f t="shared" si="11"/>
        <v>0</v>
      </c>
      <c r="Y30" s="288">
        <f t="shared" si="12"/>
        <v>0</v>
      </c>
      <c r="Z30" s="288">
        <f t="shared" si="34"/>
        <v>0</v>
      </c>
      <c r="AA30" s="288">
        <f t="shared" si="35"/>
        <v>0</v>
      </c>
      <c r="AB30" s="288">
        <f t="shared" si="13"/>
        <v>354375</v>
      </c>
      <c r="AC30" s="410">
        <f t="shared" si="25"/>
        <v>0</v>
      </c>
      <c r="AD30" s="510">
        <f t="shared" si="26"/>
        <v>0</v>
      </c>
      <c r="AE30" s="510">
        <f t="shared" si="14"/>
        <v>0</v>
      </c>
      <c r="AF30" s="510"/>
      <c r="AG30" s="510">
        <f t="shared" si="27"/>
        <v>0</v>
      </c>
      <c r="AH30" s="510">
        <f t="shared" si="28"/>
        <v>362452.34</v>
      </c>
      <c r="AI30" s="510"/>
      <c r="AJ30" s="14">
        <f t="shared" si="29"/>
        <v>0</v>
      </c>
      <c r="AK30" s="14">
        <f t="shared" si="30"/>
        <v>0</v>
      </c>
      <c r="AL30" s="510">
        <f>IF(R30&lt;=0,0,+(Profit!$B$4+AM29)*$AL$1/12)</f>
        <v>0</v>
      </c>
      <c r="AM30" s="14">
        <f t="shared" si="31"/>
        <v>0</v>
      </c>
    </row>
    <row r="31" spans="1:39" x14ac:dyDescent="0.25">
      <c r="A31" s="499">
        <f t="shared" si="15"/>
        <v>44889</v>
      </c>
      <c r="B31" s="288">
        <f t="shared" si="16"/>
        <v>80473.499999999985</v>
      </c>
      <c r="C31" s="14">
        <f t="shared" si="0"/>
        <v>382.11</v>
      </c>
      <c r="D31" s="14">
        <f t="shared" si="32"/>
        <v>130.63000000000002</v>
      </c>
      <c r="E31" s="14">
        <f t="shared" si="1"/>
        <v>251.48</v>
      </c>
      <c r="F31" s="288">
        <f t="shared" si="17"/>
        <v>2424.0700000000006</v>
      </c>
      <c r="G31" s="288">
        <f t="shared" si="18"/>
        <v>4329.6399999999994</v>
      </c>
      <c r="H31" s="288">
        <f t="shared" si="2"/>
        <v>80342.869999999981</v>
      </c>
      <c r="I31" s="410">
        <f t="shared" si="3"/>
        <v>0</v>
      </c>
      <c r="J31" s="288">
        <f t="shared" si="19"/>
        <v>354375</v>
      </c>
      <c r="K31" s="288">
        <f t="shared" si="20"/>
        <v>0</v>
      </c>
      <c r="L31" s="288">
        <f t="shared" si="33"/>
        <v>0</v>
      </c>
      <c r="M31" s="288">
        <f t="shared" si="21"/>
        <v>0</v>
      </c>
      <c r="N31" s="288">
        <f t="shared" si="22"/>
        <v>0</v>
      </c>
      <c r="O31" s="288">
        <f t="shared" si="23"/>
        <v>0</v>
      </c>
      <c r="P31" s="288">
        <f t="shared" si="4"/>
        <v>354375</v>
      </c>
      <c r="Q31" s="499">
        <f t="shared" si="5"/>
        <v>44889</v>
      </c>
      <c r="R31" s="288">
        <f t="shared" si="6"/>
        <v>0</v>
      </c>
      <c r="S31" s="492">
        <f t="shared" si="24"/>
        <v>3.7499999999999999E-2</v>
      </c>
      <c r="T31" s="288">
        <f t="shared" si="7"/>
        <v>0</v>
      </c>
      <c r="U31" s="288">
        <f t="shared" si="8"/>
        <v>0</v>
      </c>
      <c r="V31" s="288">
        <f t="shared" si="9"/>
        <v>0</v>
      </c>
      <c r="W31" s="288">
        <f t="shared" si="10"/>
        <v>0</v>
      </c>
      <c r="X31" s="288">
        <f t="shared" si="11"/>
        <v>0</v>
      </c>
      <c r="Y31" s="288">
        <f t="shared" si="12"/>
        <v>0</v>
      </c>
      <c r="Z31" s="288">
        <f t="shared" si="34"/>
        <v>0</v>
      </c>
      <c r="AA31" s="288">
        <f t="shared" si="35"/>
        <v>0</v>
      </c>
      <c r="AB31" s="288">
        <f t="shared" si="13"/>
        <v>354375</v>
      </c>
      <c r="AC31" s="410">
        <f t="shared" si="25"/>
        <v>0</v>
      </c>
      <c r="AD31" s="510">
        <f t="shared" si="26"/>
        <v>0</v>
      </c>
      <c r="AE31" s="510">
        <f t="shared" si="14"/>
        <v>0</v>
      </c>
      <c r="AF31" s="510"/>
      <c r="AG31" s="510">
        <f t="shared" si="27"/>
        <v>0</v>
      </c>
      <c r="AH31" s="510">
        <f t="shared" si="28"/>
        <v>362582.97000000003</v>
      </c>
      <c r="AI31" s="510"/>
      <c r="AJ31" s="14">
        <f t="shared" si="29"/>
        <v>0</v>
      </c>
      <c r="AK31" s="14">
        <f t="shared" si="30"/>
        <v>0</v>
      </c>
      <c r="AL31" s="510">
        <f>IF(R31&lt;=0,0,+(Profit!$B$4+AM30)*$AL$1/12)</f>
        <v>0</v>
      </c>
      <c r="AM31" s="14">
        <f t="shared" si="31"/>
        <v>0</v>
      </c>
    </row>
    <row r="32" spans="1:39" x14ac:dyDescent="0.25">
      <c r="A32" s="499">
        <f t="shared" si="15"/>
        <v>44919</v>
      </c>
      <c r="B32" s="288">
        <f t="shared" si="16"/>
        <v>80342.869999999981</v>
      </c>
      <c r="C32" s="14">
        <f t="shared" si="0"/>
        <v>382.11</v>
      </c>
      <c r="D32" s="14">
        <f t="shared" si="32"/>
        <v>131.04000000000002</v>
      </c>
      <c r="E32" s="14">
        <f t="shared" si="1"/>
        <v>251.07</v>
      </c>
      <c r="F32" s="288">
        <f t="shared" si="17"/>
        <v>2555.1100000000006</v>
      </c>
      <c r="G32" s="288">
        <f t="shared" si="18"/>
        <v>4580.7099999999991</v>
      </c>
      <c r="H32" s="288">
        <f t="shared" si="2"/>
        <v>80211.829999999987</v>
      </c>
      <c r="I32" s="410">
        <f t="shared" si="3"/>
        <v>0</v>
      </c>
      <c r="J32" s="288">
        <f t="shared" si="19"/>
        <v>354375</v>
      </c>
      <c r="K32" s="288">
        <f t="shared" si="20"/>
        <v>0</v>
      </c>
      <c r="L32" s="288">
        <f t="shared" si="33"/>
        <v>0</v>
      </c>
      <c r="M32" s="288">
        <f t="shared" si="21"/>
        <v>0</v>
      </c>
      <c r="N32" s="288">
        <f t="shared" si="22"/>
        <v>0</v>
      </c>
      <c r="O32" s="288">
        <f t="shared" si="23"/>
        <v>0</v>
      </c>
      <c r="P32" s="288">
        <f t="shared" si="4"/>
        <v>354375</v>
      </c>
      <c r="Q32" s="499">
        <f t="shared" si="5"/>
        <v>44919</v>
      </c>
      <c r="R32" s="288">
        <f t="shared" si="6"/>
        <v>0</v>
      </c>
      <c r="S32" s="492">
        <f t="shared" si="24"/>
        <v>3.7499999999999999E-2</v>
      </c>
      <c r="T32" s="288">
        <f t="shared" si="7"/>
        <v>0</v>
      </c>
      <c r="U32" s="288">
        <f t="shared" si="8"/>
        <v>0</v>
      </c>
      <c r="V32" s="288">
        <f t="shared" si="9"/>
        <v>0</v>
      </c>
      <c r="W32" s="288">
        <f t="shared" si="10"/>
        <v>0</v>
      </c>
      <c r="X32" s="288">
        <f t="shared" si="11"/>
        <v>0</v>
      </c>
      <c r="Y32" s="288">
        <f t="shared" si="12"/>
        <v>0</v>
      </c>
      <c r="Z32" s="288">
        <f t="shared" si="34"/>
        <v>0</v>
      </c>
      <c r="AA32" s="288">
        <f t="shared" si="35"/>
        <v>0</v>
      </c>
      <c r="AB32" s="288">
        <f t="shared" si="13"/>
        <v>354375</v>
      </c>
      <c r="AC32" s="410">
        <f t="shared" si="25"/>
        <v>0</v>
      </c>
      <c r="AD32" s="510">
        <f t="shared" si="26"/>
        <v>0</v>
      </c>
      <c r="AE32" s="510">
        <f t="shared" si="14"/>
        <v>0</v>
      </c>
      <c r="AF32" s="510"/>
      <c r="AG32" s="510">
        <f t="shared" si="27"/>
        <v>0</v>
      </c>
      <c r="AH32" s="510">
        <f t="shared" si="28"/>
        <v>362714.01</v>
      </c>
      <c r="AI32" s="510"/>
      <c r="AJ32" s="14">
        <f t="shared" si="29"/>
        <v>0</v>
      </c>
      <c r="AK32" s="14">
        <f t="shared" si="30"/>
        <v>0</v>
      </c>
      <c r="AL32" s="510">
        <f>IF(R32&lt;=0,0,+(Profit!$B$4+AM31)*$AL$1/12)</f>
        <v>0</v>
      </c>
      <c r="AM32" s="14">
        <f t="shared" si="31"/>
        <v>0</v>
      </c>
    </row>
    <row r="33" spans="1:39" x14ac:dyDescent="0.25">
      <c r="A33" s="499">
        <f t="shared" si="15"/>
        <v>44949</v>
      </c>
      <c r="B33" s="288">
        <f t="shared" si="16"/>
        <v>80211.829999999987</v>
      </c>
      <c r="C33" s="14">
        <f t="shared" si="0"/>
        <v>382.11</v>
      </c>
      <c r="D33" s="14">
        <f t="shared" si="32"/>
        <v>131.45000000000002</v>
      </c>
      <c r="E33" s="14">
        <f t="shared" si="1"/>
        <v>250.66</v>
      </c>
      <c r="F33" s="288">
        <f t="shared" si="17"/>
        <v>2686.5600000000004</v>
      </c>
      <c r="G33" s="288">
        <f t="shared" si="18"/>
        <v>4831.369999999999</v>
      </c>
      <c r="H33" s="288">
        <f t="shared" si="2"/>
        <v>80080.37999999999</v>
      </c>
      <c r="I33" s="410">
        <f t="shared" si="3"/>
        <v>0</v>
      </c>
      <c r="J33" s="288">
        <f t="shared" si="19"/>
        <v>354375</v>
      </c>
      <c r="K33" s="288">
        <f t="shared" si="20"/>
        <v>0</v>
      </c>
      <c r="L33" s="288">
        <f t="shared" si="33"/>
        <v>0</v>
      </c>
      <c r="M33" s="288">
        <f t="shared" si="21"/>
        <v>0</v>
      </c>
      <c r="N33" s="288">
        <f t="shared" si="22"/>
        <v>0</v>
      </c>
      <c r="O33" s="288">
        <f t="shared" si="23"/>
        <v>0</v>
      </c>
      <c r="P33" s="288">
        <f t="shared" si="4"/>
        <v>354375</v>
      </c>
      <c r="Q33" s="499">
        <f t="shared" si="5"/>
        <v>44949</v>
      </c>
      <c r="R33" s="288">
        <f t="shared" si="6"/>
        <v>0</v>
      </c>
      <c r="S33" s="492">
        <f t="shared" si="24"/>
        <v>3.7499999999999999E-2</v>
      </c>
      <c r="T33" s="288">
        <f t="shared" si="7"/>
        <v>0</v>
      </c>
      <c r="U33" s="288">
        <f t="shared" si="8"/>
        <v>0</v>
      </c>
      <c r="V33" s="288">
        <f t="shared" si="9"/>
        <v>0</v>
      </c>
      <c r="W33" s="288">
        <f t="shared" si="10"/>
        <v>0</v>
      </c>
      <c r="X33" s="288">
        <f t="shared" si="11"/>
        <v>0</v>
      </c>
      <c r="Y33" s="288">
        <f t="shared" si="12"/>
        <v>0</v>
      </c>
      <c r="Z33" s="288">
        <f t="shared" si="34"/>
        <v>0</v>
      </c>
      <c r="AA33" s="288">
        <f t="shared" si="35"/>
        <v>0</v>
      </c>
      <c r="AB33" s="288">
        <f t="shared" si="13"/>
        <v>354375</v>
      </c>
      <c r="AC33" s="410">
        <f t="shared" si="25"/>
        <v>0</v>
      </c>
      <c r="AD33" s="510">
        <f t="shared" si="26"/>
        <v>0</v>
      </c>
      <c r="AE33" s="510">
        <f t="shared" si="14"/>
        <v>0</v>
      </c>
      <c r="AF33" s="510"/>
      <c r="AG33" s="510">
        <f t="shared" si="27"/>
        <v>0</v>
      </c>
      <c r="AH33" s="510">
        <f t="shared" si="28"/>
        <v>362845.46</v>
      </c>
      <c r="AI33" s="510"/>
      <c r="AJ33" s="14">
        <f t="shared" si="29"/>
        <v>0</v>
      </c>
      <c r="AK33" s="14">
        <f t="shared" si="30"/>
        <v>0</v>
      </c>
      <c r="AL33" s="510">
        <f>IF(R33&lt;=0,0,+(Profit!$B$4+AM32)*$AL$1/12)</f>
        <v>0</v>
      </c>
      <c r="AM33" s="14">
        <f t="shared" si="31"/>
        <v>0</v>
      </c>
    </row>
    <row r="34" spans="1:39" x14ac:dyDescent="0.25">
      <c r="A34" s="499">
        <f t="shared" si="15"/>
        <v>44979</v>
      </c>
      <c r="B34" s="288">
        <f t="shared" si="16"/>
        <v>80080.37999999999</v>
      </c>
      <c r="C34" s="14">
        <f t="shared" si="0"/>
        <v>382.11</v>
      </c>
      <c r="D34" s="14">
        <f t="shared" si="32"/>
        <v>131.86000000000001</v>
      </c>
      <c r="E34" s="14">
        <f t="shared" si="1"/>
        <v>250.25</v>
      </c>
      <c r="F34" s="288">
        <f t="shared" si="17"/>
        <v>2818.4200000000005</v>
      </c>
      <c r="G34" s="288">
        <f t="shared" si="18"/>
        <v>5081.619999999999</v>
      </c>
      <c r="H34" s="288">
        <f t="shared" si="2"/>
        <v>79948.51999999999</v>
      </c>
      <c r="I34" s="410">
        <f t="shared" si="3"/>
        <v>0</v>
      </c>
      <c r="J34" s="288">
        <f t="shared" si="19"/>
        <v>354375</v>
      </c>
      <c r="K34" s="288">
        <f t="shared" si="20"/>
        <v>0</v>
      </c>
      <c r="L34" s="288">
        <f t="shared" si="33"/>
        <v>0</v>
      </c>
      <c r="M34" s="288">
        <f t="shared" si="21"/>
        <v>0</v>
      </c>
      <c r="N34" s="288">
        <f t="shared" si="22"/>
        <v>0</v>
      </c>
      <c r="O34" s="288">
        <f t="shared" si="23"/>
        <v>0</v>
      </c>
      <c r="P34" s="288">
        <f t="shared" si="4"/>
        <v>354375</v>
      </c>
      <c r="Q34" s="499">
        <f t="shared" si="5"/>
        <v>44979</v>
      </c>
      <c r="R34" s="288">
        <f t="shared" si="6"/>
        <v>0</v>
      </c>
      <c r="S34" s="492">
        <f t="shared" si="24"/>
        <v>3.7499999999999999E-2</v>
      </c>
      <c r="T34" s="288">
        <f t="shared" si="7"/>
        <v>0</v>
      </c>
      <c r="U34" s="288">
        <f t="shared" si="8"/>
        <v>0</v>
      </c>
      <c r="V34" s="288">
        <f t="shared" si="9"/>
        <v>0</v>
      </c>
      <c r="W34" s="288">
        <f t="shared" si="10"/>
        <v>0</v>
      </c>
      <c r="X34" s="288">
        <f t="shared" si="11"/>
        <v>0</v>
      </c>
      <c r="Y34" s="288">
        <f t="shared" si="12"/>
        <v>0</v>
      </c>
      <c r="Z34" s="288">
        <f t="shared" si="34"/>
        <v>0</v>
      </c>
      <c r="AA34" s="288">
        <f t="shared" si="35"/>
        <v>0</v>
      </c>
      <c r="AB34" s="288">
        <f t="shared" si="13"/>
        <v>354375</v>
      </c>
      <c r="AC34" s="410">
        <f t="shared" si="25"/>
        <v>0</v>
      </c>
      <c r="AD34" s="510">
        <f t="shared" si="26"/>
        <v>0</v>
      </c>
      <c r="AE34" s="510">
        <f t="shared" si="14"/>
        <v>0</v>
      </c>
      <c r="AF34" s="510"/>
      <c r="AG34" s="510">
        <f t="shared" si="27"/>
        <v>0</v>
      </c>
      <c r="AH34" s="510">
        <f t="shared" si="28"/>
        <v>362977.32</v>
      </c>
      <c r="AI34" s="510"/>
      <c r="AJ34" s="14">
        <f t="shared" si="29"/>
        <v>0</v>
      </c>
      <c r="AK34" s="14">
        <f t="shared" si="30"/>
        <v>0</v>
      </c>
      <c r="AL34" s="510">
        <f>IF(R34&lt;=0,0,+(Profit!$B$4+AM33)*$AL$1/12)</f>
        <v>0</v>
      </c>
      <c r="AM34" s="14">
        <f t="shared" si="31"/>
        <v>0</v>
      </c>
    </row>
    <row r="35" spans="1:39" x14ac:dyDescent="0.25">
      <c r="A35" s="499">
        <f t="shared" si="15"/>
        <v>45009</v>
      </c>
      <c r="B35" s="288">
        <f t="shared" si="16"/>
        <v>79948.51999999999</v>
      </c>
      <c r="C35" s="14">
        <f t="shared" si="0"/>
        <v>382.11</v>
      </c>
      <c r="D35" s="14">
        <f t="shared" si="32"/>
        <v>132.27000000000001</v>
      </c>
      <c r="E35" s="14">
        <f t="shared" si="1"/>
        <v>249.84</v>
      </c>
      <c r="F35" s="288">
        <f t="shared" si="17"/>
        <v>2950.6900000000005</v>
      </c>
      <c r="G35" s="288">
        <f t="shared" si="18"/>
        <v>5331.4599999999991</v>
      </c>
      <c r="H35" s="288">
        <f t="shared" si="2"/>
        <v>79816.249999999985</v>
      </c>
      <c r="I35" s="410">
        <f t="shared" si="3"/>
        <v>0</v>
      </c>
      <c r="J35" s="288">
        <f t="shared" si="19"/>
        <v>354375</v>
      </c>
      <c r="K35" s="288">
        <f t="shared" si="20"/>
        <v>0</v>
      </c>
      <c r="L35" s="288">
        <f t="shared" si="33"/>
        <v>0</v>
      </c>
      <c r="M35" s="288">
        <f t="shared" si="21"/>
        <v>0</v>
      </c>
      <c r="N35" s="288">
        <f t="shared" si="22"/>
        <v>0</v>
      </c>
      <c r="O35" s="288">
        <f t="shared" si="23"/>
        <v>0</v>
      </c>
      <c r="P35" s="288">
        <f t="shared" si="4"/>
        <v>354375</v>
      </c>
      <c r="Q35" s="499">
        <f t="shared" si="5"/>
        <v>45009</v>
      </c>
      <c r="R35" s="288">
        <f t="shared" si="6"/>
        <v>0</v>
      </c>
      <c r="S35" s="492">
        <f t="shared" si="24"/>
        <v>3.7499999999999999E-2</v>
      </c>
      <c r="T35" s="288">
        <f t="shared" si="7"/>
        <v>0</v>
      </c>
      <c r="U35" s="288">
        <f t="shared" si="8"/>
        <v>0</v>
      </c>
      <c r="V35" s="288">
        <f t="shared" si="9"/>
        <v>0</v>
      </c>
      <c r="W35" s="288">
        <f t="shared" si="10"/>
        <v>0</v>
      </c>
      <c r="X35" s="288">
        <f t="shared" si="11"/>
        <v>0</v>
      </c>
      <c r="Y35" s="288">
        <f t="shared" si="12"/>
        <v>0</v>
      </c>
      <c r="Z35" s="288">
        <f t="shared" si="34"/>
        <v>0</v>
      </c>
      <c r="AA35" s="288">
        <f t="shared" si="35"/>
        <v>0</v>
      </c>
      <c r="AB35" s="288">
        <f t="shared" si="13"/>
        <v>354375</v>
      </c>
      <c r="AC35" s="410">
        <f t="shared" si="25"/>
        <v>0</v>
      </c>
      <c r="AD35" s="510">
        <f t="shared" si="26"/>
        <v>0</v>
      </c>
      <c r="AE35" s="510">
        <f t="shared" si="14"/>
        <v>0</v>
      </c>
      <c r="AF35" s="510"/>
      <c r="AG35" s="510">
        <f t="shared" si="27"/>
        <v>0</v>
      </c>
      <c r="AH35" s="510">
        <f t="shared" si="28"/>
        <v>363109.59</v>
      </c>
      <c r="AI35" s="510"/>
      <c r="AJ35" s="14">
        <f t="shared" si="29"/>
        <v>0</v>
      </c>
      <c r="AK35" s="14">
        <f t="shared" si="30"/>
        <v>0</v>
      </c>
      <c r="AL35" s="510">
        <f>IF(R35&lt;=0,0,+(Profit!$B$4+AM34)*$AL$1/12)</f>
        <v>0</v>
      </c>
      <c r="AM35" s="14">
        <f t="shared" si="31"/>
        <v>0</v>
      </c>
    </row>
    <row r="36" spans="1:39" x14ac:dyDescent="0.25">
      <c r="A36" s="499">
        <f t="shared" si="15"/>
        <v>45039</v>
      </c>
      <c r="B36" s="288">
        <f t="shared" si="16"/>
        <v>79816.249999999985</v>
      </c>
      <c r="C36" s="14">
        <f t="shared" si="0"/>
        <v>382.11</v>
      </c>
      <c r="D36" s="14">
        <f t="shared" si="32"/>
        <v>132.68</v>
      </c>
      <c r="E36" s="14">
        <f t="shared" si="1"/>
        <v>249.43</v>
      </c>
      <c r="F36" s="288">
        <f t="shared" si="17"/>
        <v>3083.3700000000003</v>
      </c>
      <c r="G36" s="288">
        <f t="shared" si="18"/>
        <v>5580.8899999999994</v>
      </c>
      <c r="H36" s="288">
        <f t="shared" si="2"/>
        <v>79683.569999999992</v>
      </c>
      <c r="I36" s="410">
        <f t="shared" si="3"/>
        <v>0</v>
      </c>
      <c r="J36" s="288">
        <f t="shared" si="19"/>
        <v>354375</v>
      </c>
      <c r="K36" s="288">
        <f t="shared" si="20"/>
        <v>0</v>
      </c>
      <c r="L36" s="288">
        <f t="shared" si="33"/>
        <v>0</v>
      </c>
      <c r="M36" s="288">
        <f t="shared" si="21"/>
        <v>0</v>
      </c>
      <c r="N36" s="288">
        <f t="shared" si="22"/>
        <v>0</v>
      </c>
      <c r="O36" s="288">
        <f t="shared" si="23"/>
        <v>0</v>
      </c>
      <c r="P36" s="288">
        <f t="shared" si="4"/>
        <v>354375</v>
      </c>
      <c r="Q36" s="499">
        <f t="shared" si="5"/>
        <v>45039</v>
      </c>
      <c r="R36" s="288">
        <f t="shared" si="6"/>
        <v>0</v>
      </c>
      <c r="S36" s="492">
        <f t="shared" si="24"/>
        <v>3.7499999999999999E-2</v>
      </c>
      <c r="T36" s="288">
        <f t="shared" si="7"/>
        <v>0</v>
      </c>
      <c r="U36" s="288">
        <f t="shared" si="8"/>
        <v>0</v>
      </c>
      <c r="V36" s="288">
        <f t="shared" si="9"/>
        <v>0</v>
      </c>
      <c r="W36" s="288">
        <f t="shared" si="10"/>
        <v>0</v>
      </c>
      <c r="X36" s="288">
        <f t="shared" si="11"/>
        <v>0</v>
      </c>
      <c r="Y36" s="288">
        <f t="shared" si="12"/>
        <v>0</v>
      </c>
      <c r="Z36" s="288">
        <f t="shared" si="34"/>
        <v>0</v>
      </c>
      <c r="AA36" s="288">
        <f t="shared" si="35"/>
        <v>0</v>
      </c>
      <c r="AB36" s="288">
        <f t="shared" si="13"/>
        <v>354375</v>
      </c>
      <c r="AC36" s="410">
        <f t="shared" si="25"/>
        <v>0</v>
      </c>
      <c r="AD36" s="510">
        <f t="shared" si="26"/>
        <v>0</v>
      </c>
      <c r="AE36" s="510">
        <f t="shared" si="14"/>
        <v>0</v>
      </c>
      <c r="AF36" s="510"/>
      <c r="AG36" s="510">
        <f t="shared" si="27"/>
        <v>0</v>
      </c>
      <c r="AH36" s="510">
        <f t="shared" si="28"/>
        <v>363242.27</v>
      </c>
      <c r="AI36" s="510"/>
      <c r="AJ36" s="14">
        <f t="shared" si="29"/>
        <v>0</v>
      </c>
      <c r="AK36" s="14">
        <f t="shared" si="30"/>
        <v>0</v>
      </c>
      <c r="AL36" s="510">
        <f>IF(R36&lt;=0,0,+(Profit!$B$4+AM35)*$AL$1/12)</f>
        <v>0</v>
      </c>
      <c r="AM36" s="14">
        <f t="shared" si="31"/>
        <v>0</v>
      </c>
    </row>
    <row r="37" spans="1:39" x14ac:dyDescent="0.25">
      <c r="A37" s="499">
        <f t="shared" si="15"/>
        <v>45069</v>
      </c>
      <c r="B37" s="288">
        <f t="shared" si="16"/>
        <v>79683.569999999992</v>
      </c>
      <c r="C37" s="14">
        <f t="shared" si="0"/>
        <v>382.11</v>
      </c>
      <c r="D37" s="14">
        <f t="shared" si="32"/>
        <v>133.10000000000002</v>
      </c>
      <c r="E37" s="14">
        <f t="shared" si="1"/>
        <v>249.01</v>
      </c>
      <c r="F37" s="288">
        <f t="shared" si="17"/>
        <v>3216.4700000000003</v>
      </c>
      <c r="G37" s="288">
        <f t="shared" si="18"/>
        <v>5829.9</v>
      </c>
      <c r="H37" s="288">
        <f t="shared" si="2"/>
        <v>79550.469999999987</v>
      </c>
      <c r="I37" s="410">
        <f t="shared" si="3"/>
        <v>0</v>
      </c>
      <c r="J37" s="288">
        <f t="shared" si="19"/>
        <v>354375</v>
      </c>
      <c r="K37" s="288">
        <f t="shared" si="20"/>
        <v>0</v>
      </c>
      <c r="L37" s="288">
        <f t="shared" si="33"/>
        <v>0</v>
      </c>
      <c r="M37" s="288">
        <f t="shared" si="21"/>
        <v>0</v>
      </c>
      <c r="N37" s="288">
        <f t="shared" si="22"/>
        <v>0</v>
      </c>
      <c r="O37" s="288">
        <f t="shared" si="23"/>
        <v>0</v>
      </c>
      <c r="P37" s="288">
        <f t="shared" si="4"/>
        <v>354375</v>
      </c>
      <c r="Q37" s="499">
        <f t="shared" si="5"/>
        <v>45069</v>
      </c>
      <c r="R37" s="288">
        <f t="shared" si="6"/>
        <v>0</v>
      </c>
      <c r="S37" s="492">
        <f t="shared" si="24"/>
        <v>3.7499999999999999E-2</v>
      </c>
      <c r="T37" s="288">
        <f t="shared" si="7"/>
        <v>0</v>
      </c>
      <c r="U37" s="288">
        <f t="shared" si="8"/>
        <v>0</v>
      </c>
      <c r="V37" s="288">
        <f t="shared" si="9"/>
        <v>0</v>
      </c>
      <c r="W37" s="288">
        <f t="shared" si="10"/>
        <v>0</v>
      </c>
      <c r="X37" s="288">
        <f t="shared" si="11"/>
        <v>0</v>
      </c>
      <c r="Y37" s="288">
        <f t="shared" si="12"/>
        <v>0</v>
      </c>
      <c r="Z37" s="288">
        <f t="shared" si="34"/>
        <v>0</v>
      </c>
      <c r="AA37" s="288">
        <f t="shared" si="35"/>
        <v>0</v>
      </c>
      <c r="AB37" s="288">
        <f t="shared" si="13"/>
        <v>354375</v>
      </c>
      <c r="AC37" s="410">
        <f t="shared" si="25"/>
        <v>0</v>
      </c>
      <c r="AD37" s="510">
        <f t="shared" si="26"/>
        <v>0</v>
      </c>
      <c r="AE37" s="510">
        <f t="shared" si="14"/>
        <v>0</v>
      </c>
      <c r="AF37" s="510"/>
      <c r="AG37" s="510">
        <f t="shared" si="27"/>
        <v>0</v>
      </c>
      <c r="AH37" s="510">
        <f t="shared" si="28"/>
        <v>363375.37</v>
      </c>
      <c r="AI37" s="510"/>
      <c r="AJ37" s="14">
        <f t="shared" si="29"/>
        <v>0</v>
      </c>
      <c r="AK37" s="14">
        <f t="shared" si="30"/>
        <v>0</v>
      </c>
      <c r="AL37" s="510">
        <f>IF(R37&lt;=0,0,+(Profit!$B$4+AM36)*$AL$1/12)</f>
        <v>0</v>
      </c>
      <c r="AM37" s="14">
        <f t="shared" si="31"/>
        <v>0</v>
      </c>
    </row>
    <row r="38" spans="1:39" ht="15.75" thickBot="1" x14ac:dyDescent="0.3">
      <c r="A38" s="502">
        <f t="shared" si="15"/>
        <v>45099</v>
      </c>
      <c r="B38" s="343">
        <f t="shared" si="16"/>
        <v>79550.469999999987</v>
      </c>
      <c r="C38" s="21">
        <f t="shared" si="0"/>
        <v>382.11</v>
      </c>
      <c r="D38" s="21">
        <f t="shared" si="32"/>
        <v>133.51000000000002</v>
      </c>
      <c r="E38" s="21">
        <f t="shared" si="1"/>
        <v>248.6</v>
      </c>
      <c r="F38" s="343">
        <f t="shared" si="17"/>
        <v>3349.9800000000005</v>
      </c>
      <c r="G38" s="343">
        <f t="shared" si="18"/>
        <v>6078.5</v>
      </c>
      <c r="H38" s="343">
        <f t="shared" si="2"/>
        <v>79416.959999999992</v>
      </c>
      <c r="I38" s="411">
        <f t="shared" si="3"/>
        <v>0</v>
      </c>
      <c r="J38" s="343">
        <f t="shared" si="19"/>
        <v>354375</v>
      </c>
      <c r="K38" s="343">
        <f t="shared" si="20"/>
        <v>0</v>
      </c>
      <c r="L38" s="343">
        <f t="shared" si="33"/>
        <v>0</v>
      </c>
      <c r="M38" s="343">
        <f t="shared" si="21"/>
        <v>0</v>
      </c>
      <c r="N38" s="343">
        <f t="shared" si="22"/>
        <v>0</v>
      </c>
      <c r="O38" s="343">
        <f t="shared" si="23"/>
        <v>0</v>
      </c>
      <c r="P38" s="343">
        <f t="shared" si="4"/>
        <v>354375</v>
      </c>
      <c r="Q38" s="502">
        <f t="shared" si="5"/>
        <v>45099</v>
      </c>
      <c r="R38" s="343">
        <f t="shared" si="6"/>
        <v>0</v>
      </c>
      <c r="S38" s="493">
        <f t="shared" si="24"/>
        <v>3.7499999999999999E-2</v>
      </c>
      <c r="T38" s="343">
        <f t="shared" si="7"/>
        <v>0</v>
      </c>
      <c r="U38" s="343">
        <f t="shared" si="8"/>
        <v>0</v>
      </c>
      <c r="V38" s="343">
        <f t="shared" si="9"/>
        <v>0</v>
      </c>
      <c r="W38" s="343">
        <f t="shared" si="10"/>
        <v>0</v>
      </c>
      <c r="X38" s="343">
        <f t="shared" si="11"/>
        <v>0</v>
      </c>
      <c r="Y38" s="343">
        <f t="shared" si="12"/>
        <v>0</v>
      </c>
      <c r="Z38" s="343">
        <f t="shared" si="34"/>
        <v>0</v>
      </c>
      <c r="AA38" s="343">
        <f t="shared" si="35"/>
        <v>0</v>
      </c>
      <c r="AB38" s="343">
        <f t="shared" si="13"/>
        <v>354375</v>
      </c>
      <c r="AC38" s="411">
        <f t="shared" si="25"/>
        <v>0</v>
      </c>
      <c r="AD38" s="511">
        <f t="shared" si="26"/>
        <v>0</v>
      </c>
      <c r="AE38" s="511">
        <f t="shared" si="14"/>
        <v>0</v>
      </c>
      <c r="AF38" s="511"/>
      <c r="AG38" s="511">
        <f t="shared" si="27"/>
        <v>0</v>
      </c>
      <c r="AH38" s="511">
        <f t="shared" si="28"/>
        <v>363508.88</v>
      </c>
      <c r="AI38" s="511"/>
      <c r="AJ38" s="21">
        <f t="shared" si="29"/>
        <v>0</v>
      </c>
      <c r="AK38" s="21">
        <f t="shared" si="30"/>
        <v>0</v>
      </c>
      <c r="AL38" s="511">
        <f>IF(R38&lt;=0,0,+(Profit!$B$4+AM37)*$AL$1/12)</f>
        <v>0</v>
      </c>
      <c r="AM38" s="21">
        <f t="shared" si="31"/>
        <v>0</v>
      </c>
    </row>
    <row r="39" spans="1:39" x14ac:dyDescent="0.25">
      <c r="A39" s="499">
        <f t="shared" si="15"/>
        <v>45129</v>
      </c>
      <c r="B39" s="288">
        <f t="shared" si="16"/>
        <v>79416.959999999992</v>
      </c>
      <c r="C39" s="14">
        <f t="shared" si="0"/>
        <v>382.11</v>
      </c>
      <c r="D39" s="14">
        <f t="shared" si="32"/>
        <v>133.93</v>
      </c>
      <c r="E39" s="14">
        <f t="shared" si="1"/>
        <v>248.18</v>
      </c>
      <c r="F39" s="288">
        <f t="shared" si="17"/>
        <v>3483.9100000000003</v>
      </c>
      <c r="G39" s="288">
        <f t="shared" si="18"/>
        <v>6326.68</v>
      </c>
      <c r="H39" s="288">
        <f t="shared" si="2"/>
        <v>79283.03</v>
      </c>
      <c r="I39" s="410">
        <f t="shared" si="3"/>
        <v>0</v>
      </c>
      <c r="J39" s="288">
        <f t="shared" si="19"/>
        <v>354375</v>
      </c>
      <c r="K39" s="288">
        <f t="shared" si="20"/>
        <v>0</v>
      </c>
      <c r="L39" s="288">
        <f t="shared" si="33"/>
        <v>0</v>
      </c>
      <c r="M39" s="288">
        <f t="shared" si="21"/>
        <v>0</v>
      </c>
      <c r="N39" s="288">
        <f t="shared" si="22"/>
        <v>0</v>
      </c>
      <c r="O39" s="288">
        <f t="shared" si="23"/>
        <v>0</v>
      </c>
      <c r="P39" s="288">
        <f t="shared" si="4"/>
        <v>354375</v>
      </c>
      <c r="Q39" s="499">
        <f t="shared" si="5"/>
        <v>45129</v>
      </c>
      <c r="R39" s="288">
        <f t="shared" si="6"/>
        <v>0</v>
      </c>
      <c r="S39" s="492">
        <f t="shared" si="24"/>
        <v>3.7499999999999999E-2</v>
      </c>
      <c r="T39" s="288">
        <f t="shared" si="7"/>
        <v>0</v>
      </c>
      <c r="U39" s="288">
        <f t="shared" si="8"/>
        <v>0</v>
      </c>
      <c r="V39" s="288">
        <f t="shared" si="9"/>
        <v>0</v>
      </c>
      <c r="W39" s="288">
        <f t="shared" si="10"/>
        <v>0</v>
      </c>
      <c r="X39" s="288">
        <f t="shared" si="11"/>
        <v>0</v>
      </c>
      <c r="Y39" s="288">
        <f t="shared" si="12"/>
        <v>0</v>
      </c>
      <c r="Z39" s="288">
        <f t="shared" si="34"/>
        <v>0</v>
      </c>
      <c r="AA39" s="288">
        <f t="shared" si="35"/>
        <v>0</v>
      </c>
      <c r="AB39" s="288">
        <f t="shared" si="13"/>
        <v>354375</v>
      </c>
      <c r="AC39" s="410">
        <f t="shared" si="25"/>
        <v>0</v>
      </c>
      <c r="AD39" s="510">
        <f t="shared" si="26"/>
        <v>0</v>
      </c>
      <c r="AE39" s="510">
        <f t="shared" si="14"/>
        <v>0</v>
      </c>
      <c r="AF39" s="510"/>
      <c r="AG39" s="510">
        <f t="shared" si="27"/>
        <v>0</v>
      </c>
      <c r="AH39" s="510">
        <f t="shared" si="28"/>
        <v>363642.81</v>
      </c>
      <c r="AI39" s="510"/>
      <c r="AJ39" s="14">
        <f t="shared" si="29"/>
        <v>0</v>
      </c>
      <c r="AK39" s="14">
        <f t="shared" si="30"/>
        <v>0</v>
      </c>
      <c r="AL39" s="510">
        <f>IF(R39&lt;=0,0,+(Profit!$B$4+AM38)*$AL$1/12)</f>
        <v>0</v>
      </c>
      <c r="AM39" s="14">
        <f t="shared" si="31"/>
        <v>0</v>
      </c>
    </row>
    <row r="40" spans="1:39" x14ac:dyDescent="0.25">
      <c r="A40" s="499">
        <f t="shared" si="15"/>
        <v>45159</v>
      </c>
      <c r="B40" s="288">
        <f t="shared" si="16"/>
        <v>79283.03</v>
      </c>
      <c r="C40" s="14">
        <f t="shared" si="0"/>
        <v>382.11</v>
      </c>
      <c r="D40" s="14">
        <f t="shared" si="32"/>
        <v>134.35000000000002</v>
      </c>
      <c r="E40" s="14">
        <f t="shared" si="1"/>
        <v>247.76</v>
      </c>
      <c r="F40" s="288">
        <f t="shared" si="17"/>
        <v>3618.26</v>
      </c>
      <c r="G40" s="288">
        <f t="shared" si="18"/>
        <v>6574.4400000000005</v>
      </c>
      <c r="H40" s="288">
        <f t="shared" si="2"/>
        <v>79148.679999999993</v>
      </c>
      <c r="I40" s="410">
        <f t="shared" si="3"/>
        <v>0</v>
      </c>
      <c r="J40" s="288">
        <f t="shared" si="19"/>
        <v>354375</v>
      </c>
      <c r="K40" s="288">
        <f t="shared" si="20"/>
        <v>0</v>
      </c>
      <c r="L40" s="288">
        <f t="shared" si="33"/>
        <v>0</v>
      </c>
      <c r="M40" s="288">
        <f t="shared" si="21"/>
        <v>0</v>
      </c>
      <c r="N40" s="288">
        <f t="shared" si="22"/>
        <v>0</v>
      </c>
      <c r="O40" s="288">
        <f t="shared" si="23"/>
        <v>0</v>
      </c>
      <c r="P40" s="288">
        <f t="shared" si="4"/>
        <v>354375</v>
      </c>
      <c r="Q40" s="499">
        <f t="shared" si="5"/>
        <v>45159</v>
      </c>
      <c r="R40" s="288">
        <f t="shared" si="6"/>
        <v>0</v>
      </c>
      <c r="S40" s="492">
        <f t="shared" si="24"/>
        <v>3.7499999999999999E-2</v>
      </c>
      <c r="T40" s="288">
        <f t="shared" si="7"/>
        <v>0</v>
      </c>
      <c r="U40" s="288">
        <f t="shared" si="8"/>
        <v>0</v>
      </c>
      <c r="V40" s="288">
        <f t="shared" si="9"/>
        <v>0</v>
      </c>
      <c r="W40" s="288">
        <f t="shared" si="10"/>
        <v>0</v>
      </c>
      <c r="X40" s="288">
        <f t="shared" si="11"/>
        <v>0</v>
      </c>
      <c r="Y40" s="288">
        <f t="shared" si="12"/>
        <v>0</v>
      </c>
      <c r="Z40" s="288">
        <f t="shared" si="34"/>
        <v>0</v>
      </c>
      <c r="AA40" s="288">
        <f t="shared" si="35"/>
        <v>0</v>
      </c>
      <c r="AB40" s="288">
        <f t="shared" si="13"/>
        <v>354375</v>
      </c>
      <c r="AC40" s="410">
        <f t="shared" si="25"/>
        <v>0</v>
      </c>
      <c r="AD40" s="510">
        <f t="shared" si="26"/>
        <v>0</v>
      </c>
      <c r="AE40" s="510">
        <f t="shared" si="14"/>
        <v>0</v>
      </c>
      <c r="AF40" s="510"/>
      <c r="AG40" s="510">
        <f t="shared" si="27"/>
        <v>0</v>
      </c>
      <c r="AH40" s="510">
        <f t="shared" si="28"/>
        <v>363777.16000000003</v>
      </c>
      <c r="AI40" s="510"/>
      <c r="AJ40" s="14">
        <f t="shared" si="29"/>
        <v>0</v>
      </c>
      <c r="AK40" s="14">
        <f t="shared" si="30"/>
        <v>0</v>
      </c>
      <c r="AL40" s="510">
        <f>IF(R40&lt;=0,0,+(Profit!$B$4+AM39)*$AL$1/12)</f>
        <v>0</v>
      </c>
      <c r="AM40" s="14">
        <f t="shared" si="31"/>
        <v>0</v>
      </c>
    </row>
    <row r="41" spans="1:39" x14ac:dyDescent="0.25">
      <c r="A41" s="499">
        <f t="shared" si="15"/>
        <v>45189</v>
      </c>
      <c r="B41" s="288">
        <f t="shared" si="16"/>
        <v>79148.679999999993</v>
      </c>
      <c r="C41" s="14">
        <f t="shared" si="0"/>
        <v>382.11</v>
      </c>
      <c r="D41" s="14">
        <f t="shared" si="32"/>
        <v>134.77000000000001</v>
      </c>
      <c r="E41" s="14">
        <f t="shared" si="1"/>
        <v>247.34</v>
      </c>
      <c r="F41" s="288">
        <f t="shared" si="17"/>
        <v>3753.03</v>
      </c>
      <c r="G41" s="288">
        <f t="shared" si="18"/>
        <v>6821.7800000000007</v>
      </c>
      <c r="H41" s="288">
        <f t="shared" si="2"/>
        <v>79013.909999999989</v>
      </c>
      <c r="I41" s="410">
        <f t="shared" si="3"/>
        <v>0</v>
      </c>
      <c r="J41" s="288">
        <f t="shared" si="19"/>
        <v>354375</v>
      </c>
      <c r="K41" s="288">
        <f t="shared" si="20"/>
        <v>0</v>
      </c>
      <c r="L41" s="288">
        <f t="shared" si="33"/>
        <v>0</v>
      </c>
      <c r="M41" s="288">
        <f t="shared" si="21"/>
        <v>0</v>
      </c>
      <c r="N41" s="288">
        <f t="shared" si="22"/>
        <v>0</v>
      </c>
      <c r="O41" s="288">
        <f t="shared" si="23"/>
        <v>0</v>
      </c>
      <c r="P41" s="288">
        <f t="shared" si="4"/>
        <v>354375</v>
      </c>
      <c r="Q41" s="499">
        <f t="shared" si="5"/>
        <v>45189</v>
      </c>
      <c r="R41" s="288">
        <f t="shared" si="6"/>
        <v>0</v>
      </c>
      <c r="S41" s="492">
        <f t="shared" si="24"/>
        <v>3.7499999999999999E-2</v>
      </c>
      <c r="T41" s="288">
        <f t="shared" si="7"/>
        <v>0</v>
      </c>
      <c r="U41" s="288">
        <f t="shared" si="8"/>
        <v>0</v>
      </c>
      <c r="V41" s="288">
        <f t="shared" si="9"/>
        <v>0</v>
      </c>
      <c r="W41" s="288">
        <f t="shared" si="10"/>
        <v>0</v>
      </c>
      <c r="X41" s="288">
        <f t="shared" si="11"/>
        <v>0</v>
      </c>
      <c r="Y41" s="288">
        <f t="shared" si="12"/>
        <v>0</v>
      </c>
      <c r="Z41" s="288">
        <f t="shared" si="34"/>
        <v>0</v>
      </c>
      <c r="AA41" s="288">
        <f t="shared" si="35"/>
        <v>0</v>
      </c>
      <c r="AB41" s="288">
        <f t="shared" si="13"/>
        <v>354375</v>
      </c>
      <c r="AC41" s="410">
        <f t="shared" si="25"/>
        <v>0</v>
      </c>
      <c r="AD41" s="510">
        <f t="shared" si="26"/>
        <v>0</v>
      </c>
      <c r="AE41" s="510">
        <f t="shared" si="14"/>
        <v>0</v>
      </c>
      <c r="AF41" s="510"/>
      <c r="AG41" s="510">
        <f t="shared" si="27"/>
        <v>0</v>
      </c>
      <c r="AH41" s="510">
        <f t="shared" si="28"/>
        <v>363911.93000000005</v>
      </c>
      <c r="AI41" s="510"/>
      <c r="AJ41" s="14">
        <f t="shared" si="29"/>
        <v>0</v>
      </c>
      <c r="AK41" s="14">
        <f t="shared" si="30"/>
        <v>0</v>
      </c>
      <c r="AL41" s="510">
        <f>IF(R41&lt;=0,0,+(Profit!$B$4+AM40)*$AL$1/12)</f>
        <v>0</v>
      </c>
      <c r="AM41" s="14">
        <f t="shared" si="31"/>
        <v>0</v>
      </c>
    </row>
    <row r="42" spans="1:39" x14ac:dyDescent="0.25">
      <c r="A42" s="499">
        <f t="shared" si="15"/>
        <v>45219</v>
      </c>
      <c r="B42" s="288">
        <f t="shared" si="16"/>
        <v>79013.909999999989</v>
      </c>
      <c r="C42" s="14">
        <f t="shared" si="0"/>
        <v>382.11</v>
      </c>
      <c r="D42" s="14">
        <f t="shared" si="32"/>
        <v>135.19000000000003</v>
      </c>
      <c r="E42" s="14">
        <f t="shared" si="1"/>
        <v>246.92</v>
      </c>
      <c r="F42" s="288">
        <f t="shared" si="17"/>
        <v>3888.2200000000003</v>
      </c>
      <c r="G42" s="288">
        <f t="shared" si="18"/>
        <v>7068.7000000000007</v>
      </c>
      <c r="H42" s="288">
        <f t="shared" si="2"/>
        <v>78878.719999999987</v>
      </c>
      <c r="I42" s="410">
        <f t="shared" si="3"/>
        <v>0</v>
      </c>
      <c r="J42" s="288">
        <f t="shared" si="19"/>
        <v>354375</v>
      </c>
      <c r="K42" s="288">
        <f t="shared" si="20"/>
        <v>0</v>
      </c>
      <c r="L42" s="288">
        <f t="shared" si="33"/>
        <v>0</v>
      </c>
      <c r="M42" s="288">
        <f t="shared" si="21"/>
        <v>0</v>
      </c>
      <c r="N42" s="288">
        <f t="shared" si="22"/>
        <v>0</v>
      </c>
      <c r="O42" s="288">
        <f t="shared" si="23"/>
        <v>0</v>
      </c>
      <c r="P42" s="288">
        <f t="shared" si="4"/>
        <v>354375</v>
      </c>
      <c r="Q42" s="499">
        <f t="shared" si="5"/>
        <v>45219</v>
      </c>
      <c r="R42" s="288">
        <f t="shared" si="6"/>
        <v>0</v>
      </c>
      <c r="S42" s="492">
        <f t="shared" si="24"/>
        <v>3.7499999999999999E-2</v>
      </c>
      <c r="T42" s="288">
        <f t="shared" si="7"/>
        <v>0</v>
      </c>
      <c r="U42" s="288">
        <f t="shared" si="8"/>
        <v>0</v>
      </c>
      <c r="V42" s="288">
        <f t="shared" si="9"/>
        <v>0</v>
      </c>
      <c r="W42" s="288">
        <f t="shared" si="10"/>
        <v>0</v>
      </c>
      <c r="X42" s="288">
        <f t="shared" si="11"/>
        <v>0</v>
      </c>
      <c r="Y42" s="288">
        <f t="shared" si="12"/>
        <v>0</v>
      </c>
      <c r="Z42" s="288">
        <f t="shared" si="34"/>
        <v>0</v>
      </c>
      <c r="AA42" s="288">
        <f t="shared" si="35"/>
        <v>0</v>
      </c>
      <c r="AB42" s="288">
        <f t="shared" si="13"/>
        <v>354375</v>
      </c>
      <c r="AC42" s="410">
        <f t="shared" si="25"/>
        <v>0</v>
      </c>
      <c r="AD42" s="510">
        <f t="shared" si="26"/>
        <v>0</v>
      </c>
      <c r="AE42" s="510">
        <f t="shared" si="14"/>
        <v>0</v>
      </c>
      <c r="AF42" s="510"/>
      <c r="AG42" s="510">
        <f t="shared" si="27"/>
        <v>0</v>
      </c>
      <c r="AH42" s="510">
        <f t="shared" si="28"/>
        <v>364047.12</v>
      </c>
      <c r="AI42" s="510"/>
      <c r="AJ42" s="14">
        <f t="shared" si="29"/>
        <v>0</v>
      </c>
      <c r="AK42" s="14">
        <f t="shared" si="30"/>
        <v>0</v>
      </c>
      <c r="AL42" s="510">
        <f>IF(R42&lt;=0,0,+(Profit!$B$4+AM41)*$AL$1/12)</f>
        <v>0</v>
      </c>
      <c r="AM42" s="14">
        <f t="shared" si="31"/>
        <v>0</v>
      </c>
    </row>
    <row r="43" spans="1:39" x14ac:dyDescent="0.25">
      <c r="A43" s="499">
        <f t="shared" si="15"/>
        <v>45249</v>
      </c>
      <c r="B43" s="288">
        <f t="shared" si="16"/>
        <v>78878.719999999987</v>
      </c>
      <c r="C43" s="14">
        <f t="shared" si="0"/>
        <v>382.11</v>
      </c>
      <c r="D43" s="14">
        <f t="shared" si="32"/>
        <v>135.61000000000001</v>
      </c>
      <c r="E43" s="14">
        <f t="shared" si="1"/>
        <v>246.5</v>
      </c>
      <c r="F43" s="288">
        <f t="shared" si="17"/>
        <v>4023.8300000000004</v>
      </c>
      <c r="G43" s="288">
        <f t="shared" si="18"/>
        <v>7315.2000000000007</v>
      </c>
      <c r="H43" s="288">
        <f t="shared" si="2"/>
        <v>78743.109999999986</v>
      </c>
      <c r="I43" s="410">
        <f t="shared" si="3"/>
        <v>0</v>
      </c>
      <c r="J43" s="288">
        <f t="shared" si="19"/>
        <v>354375</v>
      </c>
      <c r="K43" s="288">
        <f t="shared" si="20"/>
        <v>0</v>
      </c>
      <c r="L43" s="288">
        <f t="shared" si="33"/>
        <v>0</v>
      </c>
      <c r="M43" s="288">
        <f t="shared" si="21"/>
        <v>0</v>
      </c>
      <c r="N43" s="288">
        <f t="shared" si="22"/>
        <v>0</v>
      </c>
      <c r="O43" s="288">
        <f t="shared" si="23"/>
        <v>0</v>
      </c>
      <c r="P43" s="288">
        <f t="shared" si="4"/>
        <v>354375</v>
      </c>
      <c r="Q43" s="499">
        <f t="shared" si="5"/>
        <v>45249</v>
      </c>
      <c r="R43" s="288">
        <f t="shared" si="6"/>
        <v>0</v>
      </c>
      <c r="S43" s="492">
        <f t="shared" si="24"/>
        <v>3.7499999999999999E-2</v>
      </c>
      <c r="T43" s="288">
        <f t="shared" si="7"/>
        <v>0</v>
      </c>
      <c r="U43" s="288">
        <f t="shared" si="8"/>
        <v>0</v>
      </c>
      <c r="V43" s="288">
        <f t="shared" si="9"/>
        <v>0</v>
      </c>
      <c r="W43" s="288">
        <f t="shared" si="10"/>
        <v>0</v>
      </c>
      <c r="X43" s="288">
        <f t="shared" si="11"/>
        <v>0</v>
      </c>
      <c r="Y43" s="288">
        <f t="shared" si="12"/>
        <v>0</v>
      </c>
      <c r="Z43" s="288">
        <f t="shared" si="34"/>
        <v>0</v>
      </c>
      <c r="AA43" s="288">
        <f t="shared" si="35"/>
        <v>0</v>
      </c>
      <c r="AB43" s="288">
        <f t="shared" si="13"/>
        <v>354375</v>
      </c>
      <c r="AC43" s="410">
        <f t="shared" si="25"/>
        <v>0</v>
      </c>
      <c r="AD43" s="510">
        <f t="shared" si="26"/>
        <v>0</v>
      </c>
      <c r="AE43" s="510">
        <f t="shared" si="14"/>
        <v>0</v>
      </c>
      <c r="AF43" s="510"/>
      <c r="AG43" s="510">
        <f t="shared" si="27"/>
        <v>0</v>
      </c>
      <c r="AH43" s="510">
        <f t="shared" si="28"/>
        <v>364182.73000000004</v>
      </c>
      <c r="AI43" s="510"/>
      <c r="AJ43" s="14">
        <f t="shared" si="29"/>
        <v>0</v>
      </c>
      <c r="AK43" s="14">
        <f t="shared" si="30"/>
        <v>0</v>
      </c>
      <c r="AL43" s="510">
        <f>IF(R43&lt;=0,0,+(Profit!$B$4+AM42)*$AL$1/12)</f>
        <v>0</v>
      </c>
      <c r="AM43" s="14">
        <f t="shared" si="31"/>
        <v>0</v>
      </c>
    </row>
    <row r="44" spans="1:39" x14ac:dyDescent="0.25">
      <c r="A44" s="499">
        <f t="shared" si="15"/>
        <v>45279</v>
      </c>
      <c r="B44" s="288">
        <f t="shared" si="16"/>
        <v>78743.109999999986</v>
      </c>
      <c r="C44" s="14">
        <f t="shared" si="0"/>
        <v>382.11</v>
      </c>
      <c r="D44" s="14">
        <f t="shared" si="32"/>
        <v>136.04000000000002</v>
      </c>
      <c r="E44" s="14">
        <f t="shared" si="1"/>
        <v>246.07</v>
      </c>
      <c r="F44" s="288">
        <f t="shared" si="17"/>
        <v>4159.8700000000008</v>
      </c>
      <c r="G44" s="288">
        <f t="shared" si="18"/>
        <v>7561.27</v>
      </c>
      <c r="H44" s="288">
        <f t="shared" si="2"/>
        <v>78607.069999999992</v>
      </c>
      <c r="I44" s="410">
        <f t="shared" si="3"/>
        <v>0</v>
      </c>
      <c r="J44" s="288">
        <f t="shared" si="19"/>
        <v>354375</v>
      </c>
      <c r="K44" s="288">
        <f t="shared" si="20"/>
        <v>0</v>
      </c>
      <c r="L44" s="288">
        <f t="shared" si="33"/>
        <v>0</v>
      </c>
      <c r="M44" s="288">
        <f t="shared" si="21"/>
        <v>0</v>
      </c>
      <c r="N44" s="288">
        <f t="shared" si="22"/>
        <v>0</v>
      </c>
      <c r="O44" s="288">
        <f t="shared" si="23"/>
        <v>0</v>
      </c>
      <c r="P44" s="288">
        <f t="shared" si="4"/>
        <v>354375</v>
      </c>
      <c r="Q44" s="499">
        <f t="shared" si="5"/>
        <v>45279</v>
      </c>
      <c r="R44" s="288">
        <f t="shared" si="6"/>
        <v>0</v>
      </c>
      <c r="S44" s="492">
        <f t="shared" si="24"/>
        <v>3.7499999999999999E-2</v>
      </c>
      <c r="T44" s="288">
        <f t="shared" si="7"/>
        <v>0</v>
      </c>
      <c r="U44" s="288">
        <f t="shared" si="8"/>
        <v>0</v>
      </c>
      <c r="V44" s="288">
        <f t="shared" si="9"/>
        <v>0</v>
      </c>
      <c r="W44" s="288">
        <f t="shared" si="10"/>
        <v>0</v>
      </c>
      <c r="X44" s="288">
        <f t="shared" si="11"/>
        <v>0</v>
      </c>
      <c r="Y44" s="288">
        <f t="shared" si="12"/>
        <v>0</v>
      </c>
      <c r="Z44" s="288">
        <f t="shared" si="34"/>
        <v>0</v>
      </c>
      <c r="AA44" s="288">
        <f t="shared" si="35"/>
        <v>0</v>
      </c>
      <c r="AB44" s="288">
        <f t="shared" si="13"/>
        <v>354375</v>
      </c>
      <c r="AC44" s="410">
        <f t="shared" si="25"/>
        <v>0</v>
      </c>
      <c r="AD44" s="510">
        <f t="shared" si="26"/>
        <v>0</v>
      </c>
      <c r="AE44" s="510">
        <f t="shared" si="14"/>
        <v>0</v>
      </c>
      <c r="AF44" s="510"/>
      <c r="AG44" s="510">
        <f t="shared" si="27"/>
        <v>0</v>
      </c>
      <c r="AH44" s="510">
        <f t="shared" si="28"/>
        <v>364318.77</v>
      </c>
      <c r="AI44" s="510"/>
      <c r="AJ44" s="14">
        <f t="shared" si="29"/>
        <v>0</v>
      </c>
      <c r="AK44" s="14">
        <f t="shared" si="30"/>
        <v>0</v>
      </c>
      <c r="AL44" s="510">
        <f>IF(R44&lt;=0,0,+(Profit!$B$4+AM43)*$AL$1/12)</f>
        <v>0</v>
      </c>
      <c r="AM44" s="14">
        <f t="shared" si="31"/>
        <v>0</v>
      </c>
    </row>
    <row r="45" spans="1:39" x14ac:dyDescent="0.25">
      <c r="A45" s="499">
        <f t="shared" si="15"/>
        <v>45309</v>
      </c>
      <c r="B45" s="288">
        <f t="shared" si="16"/>
        <v>78607.069999999992</v>
      </c>
      <c r="C45" s="14">
        <f t="shared" si="0"/>
        <v>382.11</v>
      </c>
      <c r="D45" s="14">
        <f t="shared" si="32"/>
        <v>136.46</v>
      </c>
      <c r="E45" s="14">
        <f t="shared" si="1"/>
        <v>245.65</v>
      </c>
      <c r="F45" s="288">
        <f t="shared" si="17"/>
        <v>4296.3300000000008</v>
      </c>
      <c r="G45" s="288">
        <f t="shared" si="18"/>
        <v>7806.92</v>
      </c>
      <c r="H45" s="288">
        <f t="shared" si="2"/>
        <v>78470.609999999986</v>
      </c>
      <c r="I45" s="410">
        <f t="shared" si="3"/>
        <v>0</v>
      </c>
      <c r="J45" s="288">
        <f t="shared" si="19"/>
        <v>354375</v>
      </c>
      <c r="K45" s="288">
        <f t="shared" si="20"/>
        <v>0</v>
      </c>
      <c r="L45" s="288">
        <f t="shared" si="33"/>
        <v>0</v>
      </c>
      <c r="M45" s="288">
        <f t="shared" si="21"/>
        <v>0</v>
      </c>
      <c r="N45" s="288">
        <f t="shared" si="22"/>
        <v>0</v>
      </c>
      <c r="O45" s="288">
        <f t="shared" si="23"/>
        <v>0</v>
      </c>
      <c r="P45" s="288">
        <f t="shared" si="4"/>
        <v>354375</v>
      </c>
      <c r="Q45" s="499">
        <f t="shared" si="5"/>
        <v>45309</v>
      </c>
      <c r="R45" s="288">
        <f t="shared" si="6"/>
        <v>0</v>
      </c>
      <c r="S45" s="492">
        <f t="shared" si="24"/>
        <v>3.7499999999999999E-2</v>
      </c>
      <c r="T45" s="288">
        <f t="shared" si="7"/>
        <v>0</v>
      </c>
      <c r="U45" s="288">
        <f t="shared" si="8"/>
        <v>0</v>
      </c>
      <c r="V45" s="288">
        <f t="shared" si="9"/>
        <v>0</v>
      </c>
      <c r="W45" s="288">
        <f t="shared" si="10"/>
        <v>0</v>
      </c>
      <c r="X45" s="288">
        <f t="shared" si="11"/>
        <v>0</v>
      </c>
      <c r="Y45" s="288">
        <f t="shared" si="12"/>
        <v>0</v>
      </c>
      <c r="Z45" s="288">
        <f t="shared" si="34"/>
        <v>0</v>
      </c>
      <c r="AA45" s="288">
        <f t="shared" si="35"/>
        <v>0</v>
      </c>
      <c r="AB45" s="288">
        <f t="shared" si="13"/>
        <v>354375</v>
      </c>
      <c r="AC45" s="410">
        <f t="shared" si="25"/>
        <v>0</v>
      </c>
      <c r="AD45" s="510">
        <f t="shared" si="26"/>
        <v>0</v>
      </c>
      <c r="AE45" s="510">
        <f t="shared" si="14"/>
        <v>0</v>
      </c>
      <c r="AF45" s="510"/>
      <c r="AG45" s="510">
        <f t="shared" si="27"/>
        <v>0</v>
      </c>
      <c r="AH45" s="510">
        <f t="shared" si="28"/>
        <v>364455.23000000004</v>
      </c>
      <c r="AI45" s="510"/>
      <c r="AJ45" s="14">
        <f t="shared" si="29"/>
        <v>0</v>
      </c>
      <c r="AK45" s="14">
        <f t="shared" si="30"/>
        <v>0</v>
      </c>
      <c r="AL45" s="510">
        <f>IF(R45&lt;=0,0,+(Profit!$B$4+AM44)*$AL$1/12)</f>
        <v>0</v>
      </c>
      <c r="AM45" s="14">
        <f t="shared" si="31"/>
        <v>0</v>
      </c>
    </row>
    <row r="46" spans="1:39" x14ac:dyDescent="0.25">
      <c r="A46" s="499">
        <f t="shared" si="15"/>
        <v>45339</v>
      </c>
      <c r="B46" s="288">
        <f t="shared" si="16"/>
        <v>78470.609999999986</v>
      </c>
      <c r="C46" s="14">
        <f t="shared" si="0"/>
        <v>382.11</v>
      </c>
      <c r="D46" s="14">
        <f t="shared" si="32"/>
        <v>136.89000000000001</v>
      </c>
      <c r="E46" s="14">
        <f t="shared" si="1"/>
        <v>245.22</v>
      </c>
      <c r="F46" s="288">
        <f t="shared" si="17"/>
        <v>4433.2200000000012</v>
      </c>
      <c r="G46" s="288">
        <f t="shared" si="18"/>
        <v>8052.14</v>
      </c>
      <c r="H46" s="288">
        <f t="shared" si="2"/>
        <v>78333.719999999987</v>
      </c>
      <c r="I46" s="410">
        <f t="shared" si="3"/>
        <v>0</v>
      </c>
      <c r="J46" s="288">
        <f t="shared" si="19"/>
        <v>354375</v>
      </c>
      <c r="K46" s="288">
        <f t="shared" si="20"/>
        <v>0</v>
      </c>
      <c r="L46" s="288">
        <f t="shared" si="33"/>
        <v>0</v>
      </c>
      <c r="M46" s="288">
        <f t="shared" si="21"/>
        <v>0</v>
      </c>
      <c r="N46" s="288">
        <f t="shared" si="22"/>
        <v>0</v>
      </c>
      <c r="O46" s="288">
        <f t="shared" si="23"/>
        <v>0</v>
      </c>
      <c r="P46" s="288">
        <f t="shared" si="4"/>
        <v>354375</v>
      </c>
      <c r="Q46" s="499">
        <f t="shared" si="5"/>
        <v>45339</v>
      </c>
      <c r="R46" s="288">
        <f t="shared" si="6"/>
        <v>0</v>
      </c>
      <c r="S46" s="492">
        <f t="shared" si="24"/>
        <v>3.7499999999999999E-2</v>
      </c>
      <c r="T46" s="288">
        <f t="shared" si="7"/>
        <v>0</v>
      </c>
      <c r="U46" s="288">
        <f t="shared" si="8"/>
        <v>0</v>
      </c>
      <c r="V46" s="288">
        <f t="shared" si="9"/>
        <v>0</v>
      </c>
      <c r="W46" s="288">
        <f t="shared" si="10"/>
        <v>0</v>
      </c>
      <c r="X46" s="288">
        <f t="shared" si="11"/>
        <v>0</v>
      </c>
      <c r="Y46" s="288">
        <f t="shared" si="12"/>
        <v>0</v>
      </c>
      <c r="Z46" s="288">
        <f t="shared" si="34"/>
        <v>0</v>
      </c>
      <c r="AA46" s="288">
        <f t="shared" si="35"/>
        <v>0</v>
      </c>
      <c r="AB46" s="288">
        <f t="shared" si="13"/>
        <v>354375</v>
      </c>
      <c r="AC46" s="410">
        <f t="shared" si="25"/>
        <v>0</v>
      </c>
      <c r="AD46" s="510">
        <f t="shared" si="26"/>
        <v>0</v>
      </c>
      <c r="AE46" s="510">
        <f t="shared" si="14"/>
        <v>0</v>
      </c>
      <c r="AF46" s="510"/>
      <c r="AG46" s="510">
        <f t="shared" si="27"/>
        <v>0</v>
      </c>
      <c r="AH46" s="510">
        <f t="shared" si="28"/>
        <v>364592.12</v>
      </c>
      <c r="AI46" s="510"/>
      <c r="AJ46" s="14">
        <f t="shared" si="29"/>
        <v>0</v>
      </c>
      <c r="AK46" s="14">
        <f t="shared" si="30"/>
        <v>0</v>
      </c>
      <c r="AL46" s="510">
        <f>IF(R46&lt;=0,0,+(Profit!$B$4+AM45)*$AL$1/12)</f>
        <v>0</v>
      </c>
      <c r="AM46" s="14">
        <f t="shared" si="31"/>
        <v>0</v>
      </c>
    </row>
    <row r="47" spans="1:39" x14ac:dyDescent="0.25">
      <c r="A47" s="499">
        <f t="shared" si="15"/>
        <v>45369</v>
      </c>
      <c r="B47" s="288">
        <f t="shared" si="16"/>
        <v>78333.719999999987</v>
      </c>
      <c r="C47" s="14">
        <f t="shared" si="0"/>
        <v>382.11</v>
      </c>
      <c r="D47" s="14">
        <f t="shared" si="32"/>
        <v>137.32000000000002</v>
      </c>
      <c r="E47" s="14">
        <f t="shared" si="1"/>
        <v>244.79</v>
      </c>
      <c r="F47" s="288">
        <f t="shared" si="17"/>
        <v>4570.5400000000009</v>
      </c>
      <c r="G47" s="288">
        <f t="shared" si="18"/>
        <v>8296.93</v>
      </c>
      <c r="H47" s="288">
        <f t="shared" si="2"/>
        <v>78196.39999999998</v>
      </c>
      <c r="I47" s="410">
        <f t="shared" si="3"/>
        <v>0</v>
      </c>
      <c r="J47" s="288">
        <f t="shared" si="19"/>
        <v>354375</v>
      </c>
      <c r="K47" s="288">
        <f t="shared" si="20"/>
        <v>0</v>
      </c>
      <c r="L47" s="288">
        <f t="shared" si="33"/>
        <v>0</v>
      </c>
      <c r="M47" s="288">
        <f t="shared" si="21"/>
        <v>0</v>
      </c>
      <c r="N47" s="288">
        <f t="shared" si="22"/>
        <v>0</v>
      </c>
      <c r="O47" s="288">
        <f t="shared" si="23"/>
        <v>0</v>
      </c>
      <c r="P47" s="288">
        <f t="shared" si="4"/>
        <v>354375</v>
      </c>
      <c r="Q47" s="499">
        <f t="shared" si="5"/>
        <v>45369</v>
      </c>
      <c r="R47" s="288">
        <f t="shared" si="6"/>
        <v>0</v>
      </c>
      <c r="S47" s="492">
        <f t="shared" si="24"/>
        <v>3.7499999999999999E-2</v>
      </c>
      <c r="T47" s="288">
        <f t="shared" si="7"/>
        <v>0</v>
      </c>
      <c r="U47" s="288">
        <f t="shared" si="8"/>
        <v>0</v>
      </c>
      <c r="V47" s="288">
        <f t="shared" si="9"/>
        <v>0</v>
      </c>
      <c r="W47" s="288">
        <f t="shared" si="10"/>
        <v>0</v>
      </c>
      <c r="X47" s="288">
        <f t="shared" si="11"/>
        <v>0</v>
      </c>
      <c r="Y47" s="288">
        <f t="shared" si="12"/>
        <v>0</v>
      </c>
      <c r="Z47" s="288">
        <f t="shared" si="34"/>
        <v>0</v>
      </c>
      <c r="AA47" s="288">
        <f t="shared" si="35"/>
        <v>0</v>
      </c>
      <c r="AB47" s="288">
        <f t="shared" si="13"/>
        <v>354375</v>
      </c>
      <c r="AC47" s="410">
        <f t="shared" si="25"/>
        <v>0</v>
      </c>
      <c r="AD47" s="510">
        <f t="shared" si="26"/>
        <v>0</v>
      </c>
      <c r="AE47" s="510">
        <f t="shared" si="14"/>
        <v>0</v>
      </c>
      <c r="AF47" s="510"/>
      <c r="AG47" s="510">
        <f t="shared" si="27"/>
        <v>0</v>
      </c>
      <c r="AH47" s="510">
        <f t="shared" si="28"/>
        <v>364729.44</v>
      </c>
      <c r="AI47" s="510"/>
      <c r="AJ47" s="14">
        <f t="shared" si="29"/>
        <v>0</v>
      </c>
      <c r="AK47" s="14">
        <f t="shared" si="30"/>
        <v>0</v>
      </c>
      <c r="AL47" s="510">
        <f>IF(R47&lt;=0,0,+(Profit!$B$4+AM46)*$AL$1/12)</f>
        <v>0</v>
      </c>
      <c r="AM47" s="14">
        <f t="shared" si="31"/>
        <v>0</v>
      </c>
    </row>
    <row r="48" spans="1:39" x14ac:dyDescent="0.25">
      <c r="A48" s="499">
        <f t="shared" si="15"/>
        <v>45399</v>
      </c>
      <c r="B48" s="288">
        <f t="shared" si="16"/>
        <v>78196.39999999998</v>
      </c>
      <c r="C48" s="14">
        <f t="shared" si="0"/>
        <v>382.11</v>
      </c>
      <c r="D48" s="14">
        <f t="shared" si="32"/>
        <v>137.75</v>
      </c>
      <c r="E48" s="14">
        <f t="shared" si="1"/>
        <v>244.36</v>
      </c>
      <c r="F48" s="288">
        <f t="shared" si="17"/>
        <v>4708.2900000000009</v>
      </c>
      <c r="G48" s="288">
        <f t="shared" si="18"/>
        <v>8541.2900000000009</v>
      </c>
      <c r="H48" s="288">
        <f t="shared" si="2"/>
        <v>78058.64999999998</v>
      </c>
      <c r="I48" s="410">
        <f t="shared" si="3"/>
        <v>0</v>
      </c>
      <c r="J48" s="288">
        <f t="shared" si="19"/>
        <v>354375</v>
      </c>
      <c r="K48" s="288">
        <f t="shared" si="20"/>
        <v>0</v>
      </c>
      <c r="L48" s="288">
        <f t="shared" si="33"/>
        <v>0</v>
      </c>
      <c r="M48" s="288">
        <f t="shared" si="21"/>
        <v>0</v>
      </c>
      <c r="N48" s="288">
        <f t="shared" si="22"/>
        <v>0</v>
      </c>
      <c r="O48" s="288">
        <f t="shared" si="23"/>
        <v>0</v>
      </c>
      <c r="P48" s="288">
        <f t="shared" si="4"/>
        <v>354375</v>
      </c>
      <c r="Q48" s="499">
        <f t="shared" si="5"/>
        <v>45399</v>
      </c>
      <c r="R48" s="288">
        <f t="shared" si="6"/>
        <v>0</v>
      </c>
      <c r="S48" s="492">
        <f t="shared" si="24"/>
        <v>3.7499999999999999E-2</v>
      </c>
      <c r="T48" s="288">
        <f t="shared" si="7"/>
        <v>0</v>
      </c>
      <c r="U48" s="288">
        <f t="shared" si="8"/>
        <v>0</v>
      </c>
      <c r="V48" s="288">
        <f t="shared" si="9"/>
        <v>0</v>
      </c>
      <c r="W48" s="288">
        <f t="shared" si="10"/>
        <v>0</v>
      </c>
      <c r="X48" s="288">
        <f t="shared" si="11"/>
        <v>0</v>
      </c>
      <c r="Y48" s="288">
        <f t="shared" si="12"/>
        <v>0</v>
      </c>
      <c r="Z48" s="288">
        <f t="shared" si="34"/>
        <v>0</v>
      </c>
      <c r="AA48" s="288">
        <f t="shared" si="35"/>
        <v>0</v>
      </c>
      <c r="AB48" s="288">
        <f t="shared" si="13"/>
        <v>354375</v>
      </c>
      <c r="AC48" s="410">
        <f t="shared" si="25"/>
        <v>0</v>
      </c>
      <c r="AD48" s="510">
        <f t="shared" si="26"/>
        <v>0</v>
      </c>
      <c r="AE48" s="510">
        <f t="shared" si="14"/>
        <v>0</v>
      </c>
      <c r="AF48" s="510"/>
      <c r="AG48" s="510">
        <f t="shared" si="27"/>
        <v>-382.11</v>
      </c>
      <c r="AH48" s="510">
        <f t="shared" si="28"/>
        <v>364867.19</v>
      </c>
      <c r="AI48" s="510"/>
      <c r="AJ48" s="14">
        <f t="shared" si="29"/>
        <v>-382.11</v>
      </c>
      <c r="AK48" s="14">
        <f t="shared" si="30"/>
        <v>-382.11</v>
      </c>
      <c r="AL48" s="510">
        <f>IF(R48&lt;=0,0,+(Profit!$B$4+AM47)*$AL$1/12)</f>
        <v>0</v>
      </c>
      <c r="AM48" s="14">
        <f t="shared" si="31"/>
        <v>0</v>
      </c>
    </row>
    <row r="49" spans="1:41" x14ac:dyDescent="0.25">
      <c r="A49" s="499">
        <f t="shared" si="15"/>
        <v>45429</v>
      </c>
      <c r="B49" s="288">
        <f t="shared" si="16"/>
        <v>78058.64999999998</v>
      </c>
      <c r="C49" s="14">
        <f t="shared" si="0"/>
        <v>382.11</v>
      </c>
      <c r="D49" s="14">
        <f t="shared" si="32"/>
        <v>138.18</v>
      </c>
      <c r="E49" s="14">
        <f t="shared" si="1"/>
        <v>243.93</v>
      </c>
      <c r="F49" s="288">
        <f t="shared" si="17"/>
        <v>4846.4700000000012</v>
      </c>
      <c r="G49" s="288">
        <f t="shared" si="18"/>
        <v>8785.2200000000012</v>
      </c>
      <c r="H49" s="288">
        <f t="shared" si="2"/>
        <v>77920.469999999987</v>
      </c>
      <c r="I49" s="410">
        <f t="shared" si="3"/>
        <v>0</v>
      </c>
      <c r="J49" s="288">
        <f t="shared" si="19"/>
        <v>354375</v>
      </c>
      <c r="K49" s="288">
        <f t="shared" si="20"/>
        <v>0</v>
      </c>
      <c r="L49" s="288">
        <f t="shared" si="33"/>
        <v>0</v>
      </c>
      <c r="M49" s="288">
        <f t="shared" si="21"/>
        <v>0</v>
      </c>
      <c r="N49" s="288">
        <f t="shared" si="22"/>
        <v>0</v>
      </c>
      <c r="O49" s="288">
        <f t="shared" si="23"/>
        <v>0</v>
      </c>
      <c r="P49" s="288">
        <f t="shared" si="4"/>
        <v>354375</v>
      </c>
      <c r="Q49" s="499">
        <f t="shared" si="5"/>
        <v>45429</v>
      </c>
      <c r="R49" s="288">
        <f t="shared" si="6"/>
        <v>0</v>
      </c>
      <c r="S49" s="492">
        <f t="shared" si="24"/>
        <v>3.7499999999999999E-2</v>
      </c>
      <c r="T49" s="288">
        <f t="shared" si="7"/>
        <v>0</v>
      </c>
      <c r="U49" s="288">
        <f t="shared" si="8"/>
        <v>0</v>
      </c>
      <c r="V49" s="288">
        <f t="shared" si="9"/>
        <v>0</v>
      </c>
      <c r="W49" s="288">
        <f t="shared" si="10"/>
        <v>0</v>
      </c>
      <c r="X49" s="288">
        <f t="shared" si="11"/>
        <v>0</v>
      </c>
      <c r="Y49" s="288">
        <f t="shared" si="12"/>
        <v>0</v>
      </c>
      <c r="Z49" s="288">
        <f t="shared" si="34"/>
        <v>0</v>
      </c>
      <c r="AA49" s="288">
        <f t="shared" si="35"/>
        <v>0</v>
      </c>
      <c r="AB49" s="288">
        <f t="shared" si="13"/>
        <v>354375</v>
      </c>
      <c r="AC49" s="410">
        <f t="shared" si="25"/>
        <v>0</v>
      </c>
      <c r="AD49" s="510">
        <f t="shared" si="26"/>
        <v>0</v>
      </c>
      <c r="AE49" s="510">
        <f t="shared" si="14"/>
        <v>0</v>
      </c>
      <c r="AF49" s="510"/>
      <c r="AG49" s="510">
        <f t="shared" si="27"/>
        <v>-382.11</v>
      </c>
      <c r="AH49" s="510">
        <f t="shared" si="28"/>
        <v>365005.37</v>
      </c>
      <c r="AI49" s="510"/>
      <c r="AJ49" s="14">
        <f t="shared" si="29"/>
        <v>-382.11</v>
      </c>
      <c r="AK49" s="14">
        <f t="shared" si="30"/>
        <v>-764.22</v>
      </c>
      <c r="AL49" s="510">
        <f>IF(R49&lt;=0,0,+(Profit!$B$4+AM48)*$AL$1/12)</f>
        <v>0</v>
      </c>
      <c r="AM49" s="14">
        <f t="shared" si="31"/>
        <v>0</v>
      </c>
    </row>
    <row r="50" spans="1:41" ht="15.75" thickBot="1" x14ac:dyDescent="0.3">
      <c r="A50" s="502">
        <f t="shared" si="15"/>
        <v>45459</v>
      </c>
      <c r="B50" s="343">
        <f t="shared" si="16"/>
        <v>77920.469999999987</v>
      </c>
      <c r="C50" s="21">
        <f t="shared" si="0"/>
        <v>382.11</v>
      </c>
      <c r="D50" s="21">
        <f t="shared" si="32"/>
        <v>138.61000000000001</v>
      </c>
      <c r="E50" s="21">
        <f t="shared" si="1"/>
        <v>243.5</v>
      </c>
      <c r="F50" s="343">
        <f t="shared" si="17"/>
        <v>4985.0800000000008</v>
      </c>
      <c r="G50" s="343">
        <f t="shared" si="18"/>
        <v>9028.7200000000012</v>
      </c>
      <c r="H50" s="343">
        <f t="shared" si="2"/>
        <v>77781.859999999986</v>
      </c>
      <c r="I50" s="411">
        <f t="shared" si="3"/>
        <v>0</v>
      </c>
      <c r="J50" s="343">
        <f t="shared" si="19"/>
        <v>354375</v>
      </c>
      <c r="K50" s="343">
        <f t="shared" si="20"/>
        <v>0</v>
      </c>
      <c r="L50" s="343">
        <f t="shared" si="33"/>
        <v>0</v>
      </c>
      <c r="M50" s="343">
        <f t="shared" si="21"/>
        <v>0</v>
      </c>
      <c r="N50" s="343">
        <f t="shared" si="22"/>
        <v>0</v>
      </c>
      <c r="O50" s="343">
        <f t="shared" si="23"/>
        <v>0</v>
      </c>
      <c r="P50" s="343">
        <f t="shared" si="4"/>
        <v>354375</v>
      </c>
      <c r="Q50" s="502">
        <f t="shared" si="5"/>
        <v>45459</v>
      </c>
      <c r="R50" s="343">
        <f t="shared" si="6"/>
        <v>0</v>
      </c>
      <c r="S50" s="493">
        <f t="shared" si="24"/>
        <v>3.7499999999999999E-2</v>
      </c>
      <c r="T50" s="343">
        <f t="shared" si="7"/>
        <v>0</v>
      </c>
      <c r="U50" s="343">
        <f t="shared" si="8"/>
        <v>0</v>
      </c>
      <c r="V50" s="343">
        <f t="shared" si="9"/>
        <v>0</v>
      </c>
      <c r="W50" s="343">
        <f t="shared" si="10"/>
        <v>0</v>
      </c>
      <c r="X50" s="343">
        <f t="shared" si="11"/>
        <v>0</v>
      </c>
      <c r="Y50" s="343">
        <f t="shared" si="12"/>
        <v>0</v>
      </c>
      <c r="Z50" s="343">
        <f t="shared" si="34"/>
        <v>0</v>
      </c>
      <c r="AA50" s="343">
        <f t="shared" si="35"/>
        <v>0</v>
      </c>
      <c r="AB50" s="343">
        <f t="shared" si="13"/>
        <v>354375</v>
      </c>
      <c r="AC50" s="411">
        <f t="shared" si="25"/>
        <v>0</v>
      </c>
      <c r="AD50" s="511">
        <f t="shared" si="26"/>
        <v>0</v>
      </c>
      <c r="AE50" s="511">
        <f t="shared" si="14"/>
        <v>0</v>
      </c>
      <c r="AF50" s="511"/>
      <c r="AG50" s="511">
        <f t="shared" si="27"/>
        <v>-382.11</v>
      </c>
      <c r="AH50" s="511">
        <f t="shared" si="28"/>
        <v>365143.98000000004</v>
      </c>
      <c r="AI50" s="511"/>
      <c r="AJ50" s="21">
        <f t="shared" si="29"/>
        <v>-382.11</v>
      </c>
      <c r="AK50" s="21">
        <f t="shared" si="30"/>
        <v>-1146.33</v>
      </c>
      <c r="AL50" s="511">
        <f>IF(R50&lt;=0,0,+(Profit!$B$4+AM49)*$AL$1/12)</f>
        <v>0</v>
      </c>
      <c r="AM50" s="21">
        <f t="shared" si="31"/>
        <v>0</v>
      </c>
    </row>
    <row r="51" spans="1:41" x14ac:dyDescent="0.25">
      <c r="A51" s="499">
        <f t="shared" si="15"/>
        <v>45489</v>
      </c>
      <c r="B51" s="288">
        <f t="shared" si="16"/>
        <v>77781.859999999986</v>
      </c>
      <c r="C51" s="14">
        <f t="shared" si="0"/>
        <v>382.11</v>
      </c>
      <c r="D51" s="14">
        <f t="shared" si="32"/>
        <v>139.04000000000002</v>
      </c>
      <c r="E51" s="14">
        <f t="shared" si="1"/>
        <v>243.07</v>
      </c>
      <c r="F51" s="288">
        <f t="shared" si="17"/>
        <v>5124.1200000000008</v>
      </c>
      <c r="G51" s="288">
        <f t="shared" si="18"/>
        <v>9271.7900000000009</v>
      </c>
      <c r="H51" s="288">
        <f t="shared" si="2"/>
        <v>77642.819999999992</v>
      </c>
      <c r="I51" s="410">
        <f t="shared" si="3"/>
        <v>0</v>
      </c>
      <c r="J51" s="288">
        <f t="shared" si="19"/>
        <v>354375</v>
      </c>
      <c r="K51" s="288">
        <f t="shared" si="20"/>
        <v>0</v>
      </c>
      <c r="L51" s="288">
        <f t="shared" si="33"/>
        <v>0</v>
      </c>
      <c r="M51" s="288">
        <f t="shared" si="21"/>
        <v>0</v>
      </c>
      <c r="N51" s="288">
        <f t="shared" si="22"/>
        <v>0</v>
      </c>
      <c r="O51" s="288">
        <f t="shared" si="23"/>
        <v>0</v>
      </c>
      <c r="P51" s="288">
        <f t="shared" si="4"/>
        <v>354375</v>
      </c>
      <c r="Q51" s="499">
        <f t="shared" si="5"/>
        <v>45489</v>
      </c>
      <c r="R51" s="288">
        <f t="shared" si="6"/>
        <v>0</v>
      </c>
      <c r="S51" s="492">
        <f t="shared" si="24"/>
        <v>3.7499999999999999E-2</v>
      </c>
      <c r="T51" s="288">
        <f t="shared" si="7"/>
        <v>0</v>
      </c>
      <c r="U51" s="288">
        <f t="shared" si="8"/>
        <v>0</v>
      </c>
      <c r="V51" s="288">
        <f t="shared" si="9"/>
        <v>0</v>
      </c>
      <c r="W51" s="288">
        <f t="shared" si="10"/>
        <v>0</v>
      </c>
      <c r="X51" s="288">
        <f t="shared" si="11"/>
        <v>0</v>
      </c>
      <c r="Y51" s="288">
        <f t="shared" si="12"/>
        <v>0</v>
      </c>
      <c r="Z51" s="288">
        <f t="shared" si="34"/>
        <v>0</v>
      </c>
      <c r="AA51" s="288">
        <f t="shared" si="35"/>
        <v>0</v>
      </c>
      <c r="AB51" s="288">
        <f t="shared" si="13"/>
        <v>354375</v>
      </c>
      <c r="AC51" s="410">
        <f t="shared" si="25"/>
        <v>0</v>
      </c>
      <c r="AD51" s="510">
        <f t="shared" si="26"/>
        <v>0</v>
      </c>
      <c r="AE51" s="510">
        <f t="shared" si="14"/>
        <v>0</v>
      </c>
      <c r="AF51" s="510"/>
      <c r="AG51" s="510">
        <f t="shared" si="27"/>
        <v>-382.11</v>
      </c>
      <c r="AH51" s="510">
        <f t="shared" si="28"/>
        <v>365283.02</v>
      </c>
      <c r="AI51" s="510"/>
      <c r="AJ51" s="14">
        <f t="shared" si="29"/>
        <v>-382.11</v>
      </c>
      <c r="AK51" s="14">
        <f t="shared" si="30"/>
        <v>-1528.44</v>
      </c>
      <c r="AL51" s="510">
        <f>IF(R51&lt;=0,0,+(Profit!$B$4+AM50)*$AL$1/12)</f>
        <v>0</v>
      </c>
      <c r="AM51" s="14">
        <f t="shared" si="31"/>
        <v>0</v>
      </c>
    </row>
    <row r="52" spans="1:41" x14ac:dyDescent="0.25">
      <c r="A52" s="499">
        <f t="shared" si="15"/>
        <v>45519</v>
      </c>
      <c r="B52" s="288">
        <f t="shared" si="16"/>
        <v>77642.819999999992</v>
      </c>
      <c r="C52" s="14">
        <f t="shared" si="0"/>
        <v>382.11</v>
      </c>
      <c r="D52" s="14">
        <f t="shared" si="32"/>
        <v>139.48000000000002</v>
      </c>
      <c r="E52" s="14">
        <f t="shared" si="1"/>
        <v>242.63</v>
      </c>
      <c r="F52" s="288">
        <f t="shared" si="17"/>
        <v>5263.6</v>
      </c>
      <c r="G52" s="288">
        <f t="shared" si="18"/>
        <v>9514.42</v>
      </c>
      <c r="H52" s="288">
        <f t="shared" si="2"/>
        <v>77503.34</v>
      </c>
      <c r="I52" s="410">
        <f t="shared" si="3"/>
        <v>0</v>
      </c>
      <c r="J52" s="288">
        <f t="shared" si="19"/>
        <v>354375</v>
      </c>
      <c r="K52" s="288">
        <f t="shared" si="20"/>
        <v>0</v>
      </c>
      <c r="L52" s="288">
        <f t="shared" si="33"/>
        <v>0</v>
      </c>
      <c r="M52" s="288">
        <f t="shared" si="21"/>
        <v>0</v>
      </c>
      <c r="N52" s="288">
        <f t="shared" si="22"/>
        <v>0</v>
      </c>
      <c r="O52" s="288">
        <f t="shared" si="23"/>
        <v>0</v>
      </c>
      <c r="P52" s="288">
        <f t="shared" si="4"/>
        <v>354375</v>
      </c>
      <c r="Q52" s="499">
        <f t="shared" si="5"/>
        <v>45519</v>
      </c>
      <c r="R52" s="288">
        <f t="shared" si="6"/>
        <v>0</v>
      </c>
      <c r="S52" s="492">
        <f t="shared" si="24"/>
        <v>3.7499999999999999E-2</v>
      </c>
      <c r="T52" s="288">
        <f t="shared" si="7"/>
        <v>0</v>
      </c>
      <c r="U52" s="288">
        <f t="shared" si="8"/>
        <v>0</v>
      </c>
      <c r="V52" s="288">
        <f t="shared" si="9"/>
        <v>0</v>
      </c>
      <c r="W52" s="288">
        <f t="shared" si="10"/>
        <v>0</v>
      </c>
      <c r="X52" s="288">
        <f t="shared" si="11"/>
        <v>0</v>
      </c>
      <c r="Y52" s="288">
        <f t="shared" si="12"/>
        <v>0</v>
      </c>
      <c r="Z52" s="288">
        <f t="shared" si="34"/>
        <v>0</v>
      </c>
      <c r="AA52" s="288">
        <f t="shared" si="35"/>
        <v>0</v>
      </c>
      <c r="AB52" s="288">
        <f t="shared" si="13"/>
        <v>354375</v>
      </c>
      <c r="AC52" s="410">
        <f t="shared" si="25"/>
        <v>0</v>
      </c>
      <c r="AD52" s="510">
        <f t="shared" si="26"/>
        <v>0</v>
      </c>
      <c r="AE52" s="510">
        <f t="shared" si="14"/>
        <v>0</v>
      </c>
      <c r="AF52" s="510"/>
      <c r="AG52" s="510">
        <f t="shared" si="27"/>
        <v>-382.11</v>
      </c>
      <c r="AH52" s="510">
        <f t="shared" si="28"/>
        <v>365422.5</v>
      </c>
      <c r="AI52" s="510"/>
      <c r="AJ52" s="14">
        <f t="shared" si="29"/>
        <v>-382.11</v>
      </c>
      <c r="AK52" s="14">
        <f t="shared" si="30"/>
        <v>-1910.5500000000002</v>
      </c>
      <c r="AL52" s="510">
        <f>IF(R52&lt;=0,0,+(Profit!$B$4+AM51)*$AL$1/12)</f>
        <v>0</v>
      </c>
      <c r="AM52" s="14">
        <f t="shared" si="31"/>
        <v>0</v>
      </c>
    </row>
    <row r="53" spans="1:41" x14ac:dyDescent="0.25">
      <c r="A53" s="499">
        <f t="shared" si="15"/>
        <v>45549</v>
      </c>
      <c r="B53" s="288">
        <f t="shared" si="16"/>
        <v>77503.34</v>
      </c>
      <c r="C53" s="14">
        <f t="shared" si="0"/>
        <v>382.11</v>
      </c>
      <c r="D53" s="14">
        <f t="shared" si="32"/>
        <v>139.91000000000003</v>
      </c>
      <c r="E53" s="14">
        <f t="shared" si="1"/>
        <v>242.2</v>
      </c>
      <c r="F53" s="288">
        <f t="shared" si="17"/>
        <v>5403.51</v>
      </c>
      <c r="G53" s="288">
        <f t="shared" si="18"/>
        <v>9756.6200000000008</v>
      </c>
      <c r="H53" s="288">
        <f t="shared" si="2"/>
        <v>77363.429999999993</v>
      </c>
      <c r="I53" s="410">
        <f t="shared" si="3"/>
        <v>0</v>
      </c>
      <c r="J53" s="288">
        <f t="shared" si="19"/>
        <v>354375</v>
      </c>
      <c r="K53" s="288">
        <f t="shared" si="20"/>
        <v>0</v>
      </c>
      <c r="L53" s="288">
        <f t="shared" si="33"/>
        <v>0</v>
      </c>
      <c r="M53" s="288">
        <f t="shared" si="21"/>
        <v>0</v>
      </c>
      <c r="N53" s="288">
        <f t="shared" si="22"/>
        <v>0</v>
      </c>
      <c r="O53" s="288">
        <f t="shared" si="23"/>
        <v>0</v>
      </c>
      <c r="P53" s="288">
        <f t="shared" si="4"/>
        <v>354375</v>
      </c>
      <c r="Q53" s="499">
        <f t="shared" si="5"/>
        <v>45549</v>
      </c>
      <c r="R53" s="288">
        <f t="shared" si="6"/>
        <v>0</v>
      </c>
      <c r="S53" s="492">
        <f t="shared" si="24"/>
        <v>3.7499999999999999E-2</v>
      </c>
      <c r="T53" s="288">
        <f t="shared" si="7"/>
        <v>0</v>
      </c>
      <c r="U53" s="288">
        <f t="shared" si="8"/>
        <v>0</v>
      </c>
      <c r="V53" s="288">
        <f t="shared" si="9"/>
        <v>0</v>
      </c>
      <c r="W53" s="288">
        <f t="shared" si="10"/>
        <v>0</v>
      </c>
      <c r="X53" s="288">
        <f t="shared" si="11"/>
        <v>0</v>
      </c>
      <c r="Y53" s="288">
        <f t="shared" si="12"/>
        <v>0</v>
      </c>
      <c r="Z53" s="288">
        <f t="shared" si="34"/>
        <v>0</v>
      </c>
      <c r="AA53" s="288">
        <f t="shared" si="35"/>
        <v>0</v>
      </c>
      <c r="AB53" s="288">
        <f t="shared" si="13"/>
        <v>354375</v>
      </c>
      <c r="AC53" s="410">
        <f t="shared" si="25"/>
        <v>0</v>
      </c>
      <c r="AD53" s="510">
        <f t="shared" si="26"/>
        <v>0</v>
      </c>
      <c r="AE53" s="510">
        <f t="shared" si="14"/>
        <v>0</v>
      </c>
      <c r="AF53" s="510"/>
      <c r="AG53" s="510">
        <f t="shared" si="27"/>
        <v>-382.11</v>
      </c>
      <c r="AH53" s="510">
        <f t="shared" si="28"/>
        <v>365562.41000000003</v>
      </c>
      <c r="AI53" s="510"/>
      <c r="AJ53" s="14">
        <f t="shared" si="29"/>
        <v>-382.11</v>
      </c>
      <c r="AK53" s="14">
        <f t="shared" si="30"/>
        <v>-2292.6600000000003</v>
      </c>
      <c r="AL53" s="510">
        <f>IF(R53&lt;=0,0,+(Profit!$B$4+AM52)*$AL$1/12)</f>
        <v>0</v>
      </c>
      <c r="AM53" s="14">
        <f t="shared" si="31"/>
        <v>0</v>
      </c>
    </row>
    <row r="54" spans="1:41" x14ac:dyDescent="0.25">
      <c r="A54" s="499">
        <f t="shared" si="15"/>
        <v>45579</v>
      </c>
      <c r="B54" s="288">
        <f t="shared" si="16"/>
        <v>77363.429999999993</v>
      </c>
      <c r="C54" s="14">
        <f t="shared" si="0"/>
        <v>382.11</v>
      </c>
      <c r="D54" s="14">
        <f t="shared" si="32"/>
        <v>140.35000000000002</v>
      </c>
      <c r="E54" s="14">
        <f t="shared" si="1"/>
        <v>241.76</v>
      </c>
      <c r="F54" s="288">
        <f t="shared" si="17"/>
        <v>5543.8600000000006</v>
      </c>
      <c r="G54" s="288">
        <f t="shared" si="18"/>
        <v>9998.380000000001</v>
      </c>
      <c r="H54" s="288">
        <f t="shared" si="2"/>
        <v>77223.079999999987</v>
      </c>
      <c r="I54" s="410">
        <f t="shared" si="3"/>
        <v>0</v>
      </c>
      <c r="J54" s="288">
        <f t="shared" si="19"/>
        <v>354375</v>
      </c>
      <c r="K54" s="288">
        <f t="shared" si="20"/>
        <v>0</v>
      </c>
      <c r="L54" s="288">
        <f t="shared" si="33"/>
        <v>0</v>
      </c>
      <c r="M54" s="288">
        <f t="shared" si="21"/>
        <v>0</v>
      </c>
      <c r="N54" s="288">
        <f t="shared" si="22"/>
        <v>0</v>
      </c>
      <c r="O54" s="288">
        <f t="shared" si="23"/>
        <v>0</v>
      </c>
      <c r="P54" s="288">
        <f t="shared" si="4"/>
        <v>354375</v>
      </c>
      <c r="Q54" s="499">
        <f t="shared" si="5"/>
        <v>45579</v>
      </c>
      <c r="R54" s="288">
        <f t="shared" si="6"/>
        <v>0</v>
      </c>
      <c r="S54" s="492">
        <f t="shared" si="24"/>
        <v>3.7499999999999999E-2</v>
      </c>
      <c r="T54" s="288">
        <f t="shared" si="7"/>
        <v>0</v>
      </c>
      <c r="U54" s="288">
        <f t="shared" si="8"/>
        <v>0</v>
      </c>
      <c r="V54" s="288">
        <f t="shared" si="9"/>
        <v>0</v>
      </c>
      <c r="W54" s="288">
        <f t="shared" si="10"/>
        <v>0</v>
      </c>
      <c r="X54" s="288">
        <f t="shared" si="11"/>
        <v>0</v>
      </c>
      <c r="Y54" s="288">
        <f t="shared" si="12"/>
        <v>0</v>
      </c>
      <c r="Z54" s="288">
        <f t="shared" si="34"/>
        <v>0</v>
      </c>
      <c r="AA54" s="288">
        <f t="shared" si="35"/>
        <v>0</v>
      </c>
      <c r="AB54" s="288">
        <f t="shared" si="13"/>
        <v>354375</v>
      </c>
      <c r="AC54" s="410">
        <f t="shared" si="25"/>
        <v>0</v>
      </c>
      <c r="AD54" s="510">
        <f t="shared" si="26"/>
        <v>0</v>
      </c>
      <c r="AE54" s="510">
        <f t="shared" si="14"/>
        <v>0</v>
      </c>
      <c r="AF54" s="510"/>
      <c r="AG54" s="510">
        <f t="shared" si="27"/>
        <v>-382.11</v>
      </c>
      <c r="AH54" s="510">
        <f t="shared" si="28"/>
        <v>365702.76</v>
      </c>
      <c r="AI54" s="510"/>
      <c r="AJ54" s="14">
        <f t="shared" si="29"/>
        <v>-382.11</v>
      </c>
      <c r="AK54" s="14">
        <f t="shared" si="30"/>
        <v>-2674.7700000000004</v>
      </c>
      <c r="AL54" s="510">
        <f>IF(R54&lt;=0,0,+(Profit!$B$4+AM53)*$AL$1/12)</f>
        <v>0</v>
      </c>
      <c r="AM54" s="14">
        <f t="shared" si="31"/>
        <v>0</v>
      </c>
    </row>
    <row r="55" spans="1:41" x14ac:dyDescent="0.25">
      <c r="A55" s="499">
        <f t="shared" si="15"/>
        <v>45609</v>
      </c>
      <c r="B55" s="288">
        <f t="shared" si="16"/>
        <v>77223.079999999987</v>
      </c>
      <c r="C55" s="14">
        <f t="shared" si="0"/>
        <v>382.11</v>
      </c>
      <c r="D55" s="14">
        <f t="shared" si="32"/>
        <v>140.79000000000002</v>
      </c>
      <c r="E55" s="14">
        <f t="shared" si="1"/>
        <v>241.32</v>
      </c>
      <c r="F55" s="288">
        <f t="shared" si="17"/>
        <v>5684.6500000000005</v>
      </c>
      <c r="G55" s="288">
        <f t="shared" si="18"/>
        <v>10239.700000000001</v>
      </c>
      <c r="H55" s="288">
        <f t="shared" si="2"/>
        <v>77082.289999999994</v>
      </c>
      <c r="I55" s="410">
        <f t="shared" si="3"/>
        <v>0</v>
      </c>
      <c r="J55" s="288">
        <f t="shared" si="19"/>
        <v>354375</v>
      </c>
      <c r="K55" s="288">
        <f t="shared" si="20"/>
        <v>0</v>
      </c>
      <c r="L55" s="288">
        <f t="shared" si="33"/>
        <v>0</v>
      </c>
      <c r="M55" s="288">
        <f t="shared" si="21"/>
        <v>0</v>
      </c>
      <c r="N55" s="288">
        <f t="shared" si="22"/>
        <v>0</v>
      </c>
      <c r="O55" s="288">
        <f t="shared" si="23"/>
        <v>0</v>
      </c>
      <c r="P55" s="288">
        <f t="shared" si="4"/>
        <v>354375</v>
      </c>
      <c r="Q55" s="499">
        <f t="shared" si="5"/>
        <v>45609</v>
      </c>
      <c r="R55" s="288">
        <f t="shared" si="6"/>
        <v>0</v>
      </c>
      <c r="S55" s="492">
        <f t="shared" si="24"/>
        <v>3.7499999999999999E-2</v>
      </c>
      <c r="T55" s="288">
        <f t="shared" si="7"/>
        <v>0</v>
      </c>
      <c r="U55" s="288">
        <f t="shared" si="8"/>
        <v>0</v>
      </c>
      <c r="V55" s="288">
        <f t="shared" si="9"/>
        <v>0</v>
      </c>
      <c r="W55" s="288">
        <f t="shared" si="10"/>
        <v>0</v>
      </c>
      <c r="X55" s="288">
        <f t="shared" si="11"/>
        <v>0</v>
      </c>
      <c r="Y55" s="288">
        <f t="shared" si="12"/>
        <v>0</v>
      </c>
      <c r="Z55" s="288">
        <f t="shared" si="34"/>
        <v>0</v>
      </c>
      <c r="AA55" s="288">
        <f t="shared" si="35"/>
        <v>0</v>
      </c>
      <c r="AB55" s="288">
        <f t="shared" si="13"/>
        <v>354375</v>
      </c>
      <c r="AC55" s="410">
        <f t="shared" si="25"/>
        <v>0</v>
      </c>
      <c r="AD55" s="510">
        <f t="shared" si="26"/>
        <v>0</v>
      </c>
      <c r="AE55" s="510">
        <f t="shared" si="14"/>
        <v>0</v>
      </c>
      <c r="AF55" s="510"/>
      <c r="AG55" s="510">
        <f t="shared" si="27"/>
        <v>-382.11</v>
      </c>
      <c r="AH55" s="510">
        <f t="shared" si="28"/>
        <v>365843.55000000005</v>
      </c>
      <c r="AI55" s="510"/>
      <c r="AJ55" s="14">
        <f t="shared" si="29"/>
        <v>-382.11</v>
      </c>
      <c r="AK55" s="14">
        <f t="shared" si="30"/>
        <v>-3056.8800000000006</v>
      </c>
      <c r="AL55" s="510">
        <f>IF(R55&lt;=0,0,+(Profit!$B$4+AM54)*$AL$1/12)</f>
        <v>0</v>
      </c>
      <c r="AM55" s="14">
        <f t="shared" si="31"/>
        <v>0</v>
      </c>
    </row>
    <row r="56" spans="1:41" x14ac:dyDescent="0.25">
      <c r="A56" s="499">
        <f t="shared" si="15"/>
        <v>45639</v>
      </c>
      <c r="B56" s="288">
        <f t="shared" si="16"/>
        <v>77082.289999999994</v>
      </c>
      <c r="C56" s="14">
        <f t="shared" si="0"/>
        <v>382.11</v>
      </c>
      <c r="D56" s="14">
        <f t="shared" si="32"/>
        <v>141.23000000000002</v>
      </c>
      <c r="E56" s="14">
        <f t="shared" si="1"/>
        <v>240.88</v>
      </c>
      <c r="F56" s="288">
        <f t="shared" si="17"/>
        <v>5825.880000000001</v>
      </c>
      <c r="G56" s="288">
        <f t="shared" si="18"/>
        <v>10480.58</v>
      </c>
      <c r="H56" s="288">
        <f t="shared" si="2"/>
        <v>76941.06</v>
      </c>
      <c r="I56" s="410">
        <f t="shared" si="3"/>
        <v>0</v>
      </c>
      <c r="J56" s="288">
        <f t="shared" si="19"/>
        <v>354375</v>
      </c>
      <c r="K56" s="288">
        <f t="shared" si="20"/>
        <v>0</v>
      </c>
      <c r="L56" s="288">
        <f t="shared" si="33"/>
        <v>0</v>
      </c>
      <c r="M56" s="288">
        <f t="shared" si="21"/>
        <v>0</v>
      </c>
      <c r="N56" s="288">
        <f t="shared" si="22"/>
        <v>0</v>
      </c>
      <c r="O56" s="288">
        <f t="shared" si="23"/>
        <v>0</v>
      </c>
      <c r="P56" s="288">
        <f t="shared" si="4"/>
        <v>354375</v>
      </c>
      <c r="Q56" s="499">
        <f t="shared" si="5"/>
        <v>45639</v>
      </c>
      <c r="R56" s="288">
        <f t="shared" si="6"/>
        <v>0</v>
      </c>
      <c r="S56" s="492">
        <f t="shared" si="24"/>
        <v>3.7499999999999999E-2</v>
      </c>
      <c r="T56" s="288">
        <f t="shared" si="7"/>
        <v>0</v>
      </c>
      <c r="U56" s="288">
        <f t="shared" si="8"/>
        <v>0</v>
      </c>
      <c r="V56" s="288">
        <f t="shared" si="9"/>
        <v>0</v>
      </c>
      <c r="W56" s="288">
        <f t="shared" si="10"/>
        <v>0</v>
      </c>
      <c r="X56" s="288">
        <f t="shared" si="11"/>
        <v>0</v>
      </c>
      <c r="Y56" s="288">
        <f t="shared" si="12"/>
        <v>0</v>
      </c>
      <c r="Z56" s="288">
        <f t="shared" si="34"/>
        <v>0</v>
      </c>
      <c r="AA56" s="288">
        <f t="shared" si="35"/>
        <v>0</v>
      </c>
      <c r="AB56" s="288">
        <f t="shared" si="13"/>
        <v>354375</v>
      </c>
      <c r="AC56" s="410">
        <f t="shared" si="25"/>
        <v>0</v>
      </c>
      <c r="AD56" s="510">
        <f t="shared" si="26"/>
        <v>0</v>
      </c>
      <c r="AE56" s="510">
        <f t="shared" si="14"/>
        <v>0</v>
      </c>
      <c r="AF56" s="510"/>
      <c r="AG56" s="510">
        <f t="shared" si="27"/>
        <v>-382.11</v>
      </c>
      <c r="AH56" s="510">
        <f t="shared" si="28"/>
        <v>365984.78</v>
      </c>
      <c r="AI56" s="510"/>
      <c r="AJ56" s="14">
        <f t="shared" si="29"/>
        <v>-382.11</v>
      </c>
      <c r="AK56" s="14">
        <f t="shared" si="30"/>
        <v>-3438.9900000000007</v>
      </c>
      <c r="AL56" s="510">
        <f>IF(R56&lt;=0,0,+(Profit!$B$4+AM55)*$AL$1/12)</f>
        <v>0</v>
      </c>
      <c r="AM56" s="14">
        <f t="shared" si="31"/>
        <v>0</v>
      </c>
    </row>
    <row r="57" spans="1:41" x14ac:dyDescent="0.25">
      <c r="A57" s="499">
        <f t="shared" si="15"/>
        <v>45669</v>
      </c>
      <c r="B57" s="288">
        <f t="shared" si="16"/>
        <v>76941.06</v>
      </c>
      <c r="C57" s="14">
        <f t="shared" si="0"/>
        <v>382.11</v>
      </c>
      <c r="D57" s="14">
        <f t="shared" si="32"/>
        <v>141.67000000000002</v>
      </c>
      <c r="E57" s="14">
        <f t="shared" si="1"/>
        <v>240.44</v>
      </c>
      <c r="F57" s="288">
        <f t="shared" si="17"/>
        <v>5967.5500000000011</v>
      </c>
      <c r="G57" s="288">
        <f t="shared" si="18"/>
        <v>10721.02</v>
      </c>
      <c r="H57" s="288">
        <f t="shared" si="2"/>
        <v>76799.39</v>
      </c>
      <c r="I57" s="410">
        <f t="shared" si="3"/>
        <v>0</v>
      </c>
      <c r="J57" s="288">
        <f t="shared" si="19"/>
        <v>354375</v>
      </c>
      <c r="K57" s="288">
        <f t="shared" si="20"/>
        <v>0</v>
      </c>
      <c r="L57" s="288">
        <f t="shared" si="33"/>
        <v>0</v>
      </c>
      <c r="M57" s="288">
        <f t="shared" si="21"/>
        <v>0</v>
      </c>
      <c r="N57" s="288">
        <f t="shared" si="22"/>
        <v>0</v>
      </c>
      <c r="O57" s="288">
        <f t="shared" si="23"/>
        <v>0</v>
      </c>
      <c r="P57" s="288">
        <f t="shared" si="4"/>
        <v>354375</v>
      </c>
      <c r="Q57" s="499">
        <f t="shared" si="5"/>
        <v>45669</v>
      </c>
      <c r="R57" s="288">
        <f t="shared" si="6"/>
        <v>0</v>
      </c>
      <c r="S57" s="492">
        <f t="shared" si="24"/>
        <v>3.7499999999999999E-2</v>
      </c>
      <c r="T57" s="288">
        <f t="shared" si="7"/>
        <v>0</v>
      </c>
      <c r="U57" s="288">
        <f t="shared" si="8"/>
        <v>0</v>
      </c>
      <c r="V57" s="288">
        <f t="shared" si="9"/>
        <v>0</v>
      </c>
      <c r="W57" s="288">
        <f t="shared" si="10"/>
        <v>0</v>
      </c>
      <c r="X57" s="288">
        <f t="shared" si="11"/>
        <v>0</v>
      </c>
      <c r="Y57" s="288">
        <f t="shared" si="12"/>
        <v>0</v>
      </c>
      <c r="Z57" s="288">
        <f t="shared" si="34"/>
        <v>0</v>
      </c>
      <c r="AA57" s="288">
        <f t="shared" si="35"/>
        <v>0</v>
      </c>
      <c r="AB57" s="288">
        <f t="shared" si="13"/>
        <v>354375</v>
      </c>
      <c r="AC57" s="410">
        <f t="shared" si="25"/>
        <v>0</v>
      </c>
      <c r="AD57" s="510">
        <f t="shared" si="26"/>
        <v>0</v>
      </c>
      <c r="AE57" s="510">
        <f t="shared" si="14"/>
        <v>0</v>
      </c>
      <c r="AF57" s="510"/>
      <c r="AG57" s="510">
        <f t="shared" si="27"/>
        <v>-382.11</v>
      </c>
      <c r="AH57" s="510">
        <f t="shared" si="28"/>
        <v>366126.45</v>
      </c>
      <c r="AI57" s="510"/>
      <c r="AJ57" s="14">
        <f t="shared" si="29"/>
        <v>-382.11</v>
      </c>
      <c r="AK57" s="14">
        <f t="shared" si="30"/>
        <v>-3821.1000000000008</v>
      </c>
      <c r="AL57" s="510">
        <f>IF(R57&lt;=0,0,+(Profit!$B$4+AM56)*$AL$1/12)</f>
        <v>0</v>
      </c>
      <c r="AM57" s="14">
        <f t="shared" si="31"/>
        <v>0</v>
      </c>
    </row>
    <row r="58" spans="1:41" x14ac:dyDescent="0.25">
      <c r="A58" s="499">
        <f t="shared" si="15"/>
        <v>45699</v>
      </c>
      <c r="B58" s="288">
        <f t="shared" si="16"/>
        <v>76799.39</v>
      </c>
      <c r="C58" s="14">
        <f t="shared" si="0"/>
        <v>382.11</v>
      </c>
      <c r="D58" s="14">
        <f t="shared" si="32"/>
        <v>142.11000000000001</v>
      </c>
      <c r="E58" s="14">
        <f t="shared" si="1"/>
        <v>240</v>
      </c>
      <c r="F58" s="288">
        <f t="shared" si="17"/>
        <v>6109.6600000000008</v>
      </c>
      <c r="G58" s="288">
        <f t="shared" si="18"/>
        <v>10961.02</v>
      </c>
      <c r="H58" s="288">
        <f t="shared" si="2"/>
        <v>76657.279999999999</v>
      </c>
      <c r="I58" s="410">
        <f t="shared" si="3"/>
        <v>0</v>
      </c>
      <c r="J58" s="288">
        <f t="shared" si="19"/>
        <v>354375</v>
      </c>
      <c r="K58" s="288">
        <f>IF($J$10&lt;=$A58,IF(+$P57&lt;=0,0,$J$9),0)</f>
        <v>0</v>
      </c>
      <c r="L58" s="288">
        <f t="shared" si="33"/>
        <v>0</v>
      </c>
      <c r="M58" s="288">
        <f t="shared" si="21"/>
        <v>0</v>
      </c>
      <c r="N58" s="288">
        <f t="shared" si="22"/>
        <v>0</v>
      </c>
      <c r="O58" s="288">
        <f t="shared" si="23"/>
        <v>0</v>
      </c>
      <c r="P58" s="288">
        <f t="shared" si="4"/>
        <v>354375</v>
      </c>
      <c r="Q58" s="499">
        <f t="shared" si="5"/>
        <v>45699</v>
      </c>
      <c r="R58" s="288">
        <f t="shared" si="6"/>
        <v>0</v>
      </c>
      <c r="S58" s="492">
        <f t="shared" si="24"/>
        <v>3.7499999999999999E-2</v>
      </c>
      <c r="T58" s="288">
        <f t="shared" si="7"/>
        <v>0</v>
      </c>
      <c r="U58" s="288">
        <f t="shared" si="8"/>
        <v>0</v>
      </c>
      <c r="V58" s="288">
        <f t="shared" si="9"/>
        <v>0</v>
      </c>
      <c r="W58" s="288">
        <f t="shared" si="10"/>
        <v>0</v>
      </c>
      <c r="X58" s="288">
        <f t="shared" si="11"/>
        <v>0</v>
      </c>
      <c r="Y58" s="288">
        <f t="shared" si="12"/>
        <v>0</v>
      </c>
      <c r="Z58" s="288">
        <f t="shared" si="34"/>
        <v>0</v>
      </c>
      <c r="AA58" s="288">
        <f t="shared" si="35"/>
        <v>0</v>
      </c>
      <c r="AB58" s="288">
        <f t="shared" si="13"/>
        <v>354375</v>
      </c>
      <c r="AC58" s="410">
        <f t="shared" si="25"/>
        <v>0</v>
      </c>
      <c r="AD58" s="510">
        <f t="shared" si="26"/>
        <v>0</v>
      </c>
      <c r="AE58" s="510">
        <f t="shared" si="14"/>
        <v>0</v>
      </c>
      <c r="AF58" s="510"/>
      <c r="AG58" s="510">
        <f t="shared" si="27"/>
        <v>-382.11</v>
      </c>
      <c r="AH58" s="510">
        <f t="shared" si="28"/>
        <v>366268.56</v>
      </c>
      <c r="AI58" s="510"/>
      <c r="AJ58" s="14">
        <f t="shared" si="29"/>
        <v>-382.11</v>
      </c>
      <c r="AK58" s="14">
        <f t="shared" si="30"/>
        <v>-4203.2100000000009</v>
      </c>
      <c r="AL58" s="510">
        <f>IF(R58&lt;=0,0,+(Profit!$B$4+AM57)*$AL$1/12)</f>
        <v>0</v>
      </c>
      <c r="AM58" s="14">
        <f t="shared" si="31"/>
        <v>0</v>
      </c>
    </row>
    <row r="59" spans="1:41" x14ac:dyDescent="0.25">
      <c r="A59" s="499">
        <f t="shared" si="15"/>
        <v>45729</v>
      </c>
      <c r="B59" s="288">
        <f t="shared" si="16"/>
        <v>76657.279999999999</v>
      </c>
      <c r="C59" s="14">
        <f t="shared" si="0"/>
        <v>382.11</v>
      </c>
      <c r="D59" s="14">
        <f t="shared" si="32"/>
        <v>142.56</v>
      </c>
      <c r="E59" s="14">
        <f t="shared" si="1"/>
        <v>239.55</v>
      </c>
      <c r="F59" s="288">
        <f t="shared" si="17"/>
        <v>6252.2200000000012</v>
      </c>
      <c r="G59" s="288">
        <f t="shared" si="18"/>
        <v>11200.57</v>
      </c>
      <c r="H59" s="288">
        <f t="shared" si="2"/>
        <v>76514.720000000001</v>
      </c>
      <c r="I59" s="410">
        <f t="shared" si="3"/>
        <v>0</v>
      </c>
      <c r="J59" s="288">
        <f t="shared" si="19"/>
        <v>354375</v>
      </c>
      <c r="K59" s="288">
        <f>IF($J$10&lt;=A59,IF(+$P58&lt;=0,0,$J$9),0)</f>
        <v>0</v>
      </c>
      <c r="L59" s="288">
        <f t="shared" si="33"/>
        <v>0</v>
      </c>
      <c r="M59" s="288">
        <f t="shared" si="21"/>
        <v>0</v>
      </c>
      <c r="N59" s="288">
        <f t="shared" si="22"/>
        <v>0</v>
      </c>
      <c r="O59" s="288">
        <f t="shared" si="23"/>
        <v>0</v>
      </c>
      <c r="P59" s="288">
        <f t="shared" si="4"/>
        <v>354375</v>
      </c>
      <c r="Q59" s="499">
        <f t="shared" si="5"/>
        <v>45729</v>
      </c>
      <c r="R59" s="288">
        <f t="shared" si="6"/>
        <v>0</v>
      </c>
      <c r="S59" s="492">
        <f t="shared" si="24"/>
        <v>3.7499999999999999E-2</v>
      </c>
      <c r="T59" s="288">
        <f t="shared" si="7"/>
        <v>0</v>
      </c>
      <c r="U59" s="288">
        <f>+T59-V59</f>
        <v>0</v>
      </c>
      <c r="V59" s="288">
        <f t="shared" si="9"/>
        <v>0</v>
      </c>
      <c r="W59" s="288">
        <f t="shared" si="10"/>
        <v>0</v>
      </c>
      <c r="X59" s="288">
        <f t="shared" si="11"/>
        <v>0</v>
      </c>
      <c r="Y59" s="288">
        <f t="shared" si="12"/>
        <v>0</v>
      </c>
      <c r="Z59" s="288">
        <f>+U59+Z58</f>
        <v>0</v>
      </c>
      <c r="AA59" s="288">
        <f>+AA58+V59</f>
        <v>0</v>
      </c>
      <c r="AB59" s="288">
        <f t="shared" si="13"/>
        <v>354375</v>
      </c>
      <c r="AC59" s="410">
        <f t="shared" si="25"/>
        <v>0</v>
      </c>
      <c r="AD59" s="510">
        <f t="shared" si="26"/>
        <v>0</v>
      </c>
      <c r="AE59" s="510">
        <f t="shared" si="14"/>
        <v>0</v>
      </c>
      <c r="AF59" s="510">
        <f>SUM(AD59:AE59)</f>
        <v>0</v>
      </c>
      <c r="AG59" s="510">
        <f t="shared" si="27"/>
        <v>-382.11</v>
      </c>
      <c r="AH59" s="510">
        <f t="shared" si="28"/>
        <v>366411.12</v>
      </c>
      <c r="AI59" s="510"/>
      <c r="AJ59" s="14">
        <f t="shared" si="29"/>
        <v>-382.11</v>
      </c>
      <c r="AK59" s="14">
        <f t="shared" si="30"/>
        <v>-4585.3200000000006</v>
      </c>
      <c r="AL59" s="510">
        <f>IF(R59&lt;=0,0,+(Profit!$B$4+AM58)*$AL$1/12)</f>
        <v>0</v>
      </c>
      <c r="AM59" s="14">
        <f t="shared" si="31"/>
        <v>0</v>
      </c>
      <c r="AO59" s="470"/>
    </row>
    <row r="60" spans="1:41" x14ac:dyDescent="0.25">
      <c r="A60" s="499">
        <f t="shared" si="15"/>
        <v>45759</v>
      </c>
      <c r="B60" s="288">
        <f t="shared" si="16"/>
        <v>76514.720000000001</v>
      </c>
      <c r="C60" s="14">
        <f t="shared" si="0"/>
        <v>382.11</v>
      </c>
      <c r="D60" s="14">
        <f t="shared" si="32"/>
        <v>143</v>
      </c>
      <c r="E60" s="14">
        <f t="shared" si="1"/>
        <v>239.11</v>
      </c>
      <c r="F60" s="288">
        <f t="shared" si="17"/>
        <v>6395.2200000000012</v>
      </c>
      <c r="G60" s="288">
        <f t="shared" si="18"/>
        <v>11439.68</v>
      </c>
      <c r="H60" s="288">
        <f t="shared" si="2"/>
        <v>76371.72</v>
      </c>
      <c r="I60" s="410">
        <f t="shared" si="3"/>
        <v>0</v>
      </c>
      <c r="J60" s="288">
        <f t="shared" si="19"/>
        <v>354375</v>
      </c>
      <c r="K60" s="288">
        <f>IF($J$10&lt;=A60,IF(+$P59&lt;=0,0,$J$9),0)</f>
        <v>2298.4699999999998</v>
      </c>
      <c r="L60" s="288">
        <f t="shared" si="33"/>
        <v>305.1099999999999</v>
      </c>
      <c r="M60" s="288">
        <f t="shared" si="21"/>
        <v>1993.36</v>
      </c>
      <c r="N60" s="288">
        <f t="shared" si="22"/>
        <v>305.1099999999999</v>
      </c>
      <c r="O60" s="288">
        <f t="shared" si="23"/>
        <v>1993.36</v>
      </c>
      <c r="P60" s="288">
        <f t="shared" si="4"/>
        <v>354069.89</v>
      </c>
      <c r="Q60" s="499">
        <f t="shared" si="5"/>
        <v>45759</v>
      </c>
      <c r="R60" s="288">
        <f>IF(Q60&gt;$J$10,IF(+AB59&lt;0,0,+AB59),0)</f>
        <v>354375</v>
      </c>
      <c r="S60" s="492">
        <f t="shared" si="24"/>
        <v>3.7499999999999999E-2</v>
      </c>
      <c r="T60" s="288">
        <f t="shared" si="7"/>
        <v>2050.06</v>
      </c>
      <c r="U60" s="288">
        <f>+T60-V60</f>
        <v>942.63999999999987</v>
      </c>
      <c r="V60" s="288">
        <f t="shared" si="9"/>
        <v>1107.42</v>
      </c>
      <c r="W60" s="288">
        <f t="shared" ref="W60:W123" si="36">+W59</f>
        <v>0</v>
      </c>
      <c r="X60" s="288">
        <f t="shared" ref="X60:X123" si="37">+X59</f>
        <v>0</v>
      </c>
      <c r="Y60" s="288">
        <f>SUM(U60:X60)</f>
        <v>2050.06</v>
      </c>
      <c r="Z60" s="288">
        <f>+U60+Z59</f>
        <v>942.63999999999987</v>
      </c>
      <c r="AA60" s="288">
        <f>+AA59+V60</f>
        <v>1107.42</v>
      </c>
      <c r="AB60" s="288">
        <f t="shared" si="13"/>
        <v>353432.36</v>
      </c>
      <c r="AC60" s="410">
        <f t="shared" si="25"/>
        <v>0</v>
      </c>
      <c r="AD60" s="510">
        <f t="shared" si="26"/>
        <v>248.40999999999985</v>
      </c>
      <c r="AE60" s="510">
        <f t="shared" ref="AE60:AE123" si="38">AB60-H60</f>
        <v>277060.64</v>
      </c>
      <c r="AF60" s="510">
        <f t="shared" ref="AF60:AF123" si="39">SUM(AD60:AE60)</f>
        <v>277309.05</v>
      </c>
      <c r="AG60" s="510">
        <f t="shared" si="27"/>
        <v>1667.9499999999998</v>
      </c>
      <c r="AH60" s="510">
        <f t="shared" si="28"/>
        <v>365611.48</v>
      </c>
      <c r="AI60" s="510"/>
      <c r="AJ60" s="14">
        <f t="shared" si="29"/>
        <v>1667.9499999999998</v>
      </c>
      <c r="AK60" s="14">
        <f t="shared" si="30"/>
        <v>-2917.3700000000008</v>
      </c>
      <c r="AL60" s="510">
        <f>IF(R60&lt;=0,0,+(Profit!$B$4+AM59)*$AL$1/12)</f>
        <v>937.5</v>
      </c>
      <c r="AM60" s="14">
        <f t="shared" si="31"/>
        <v>937.5</v>
      </c>
    </row>
    <row r="61" spans="1:41" x14ac:dyDescent="0.25">
      <c r="A61" s="499">
        <f t="shared" si="15"/>
        <v>45789</v>
      </c>
      <c r="B61" s="288">
        <f t="shared" si="16"/>
        <v>76371.72</v>
      </c>
      <c r="C61" s="14">
        <f t="shared" si="0"/>
        <v>382.11</v>
      </c>
      <c r="D61" s="14">
        <f t="shared" si="32"/>
        <v>143.45000000000002</v>
      </c>
      <c r="E61" s="14">
        <f t="shared" si="1"/>
        <v>238.66</v>
      </c>
      <c r="F61" s="288">
        <f t="shared" si="17"/>
        <v>6538.670000000001</v>
      </c>
      <c r="G61" s="288">
        <f t="shared" si="18"/>
        <v>11678.34</v>
      </c>
      <c r="H61" s="288">
        <f t="shared" si="2"/>
        <v>76228.27</v>
      </c>
      <c r="I61" s="410">
        <f t="shared" si="3"/>
        <v>0</v>
      </c>
      <c r="J61" s="288">
        <f t="shared" si="19"/>
        <v>354069.89</v>
      </c>
      <c r="K61" s="288">
        <f>IF($J10&lt;=$A61,IF(+P60&lt;=0,0,J$9),0)</f>
        <v>2298.4699999999998</v>
      </c>
      <c r="L61" s="288">
        <f t="shared" si="33"/>
        <v>306.8299999999997</v>
      </c>
      <c r="M61" s="288">
        <f>IF($J$10&lt;=$A61,ROUND(J61*(J$7/12),2),0)</f>
        <v>1991.64</v>
      </c>
      <c r="N61" s="288">
        <f t="shared" si="22"/>
        <v>611.9399999999996</v>
      </c>
      <c r="O61" s="288">
        <f t="shared" si="23"/>
        <v>3985</v>
      </c>
      <c r="P61" s="288">
        <f t="shared" si="4"/>
        <v>353763.06</v>
      </c>
      <c r="Q61" s="499">
        <f t="shared" si="5"/>
        <v>45789</v>
      </c>
      <c r="R61" s="288">
        <f t="shared" ref="R61:R124" si="40">IF(Q61&gt;$J$10,IF(+AB60&lt;0,0,+AB60),0)</f>
        <v>353432.36</v>
      </c>
      <c r="S61" s="492">
        <f t="shared" si="24"/>
        <v>3.7499999999999999E-2</v>
      </c>
      <c r="T61" s="288">
        <f t="shared" si="7"/>
        <v>2050.06</v>
      </c>
      <c r="U61" s="288">
        <f>+T61-V61</f>
        <v>945.57999999999993</v>
      </c>
      <c r="V61" s="288">
        <f t="shared" si="9"/>
        <v>1104.48</v>
      </c>
      <c r="W61" s="288">
        <f t="shared" si="36"/>
        <v>0</v>
      </c>
      <c r="X61" s="288">
        <f t="shared" si="37"/>
        <v>0</v>
      </c>
      <c r="Y61" s="288">
        <f>SUM(U61:X61)</f>
        <v>2050.06</v>
      </c>
      <c r="Z61" s="288">
        <f>+U61+Z60</f>
        <v>1888.2199999999998</v>
      </c>
      <c r="AA61" s="288">
        <f>+AA60+V61</f>
        <v>2211.9</v>
      </c>
      <c r="AB61" s="288">
        <f t="shared" si="13"/>
        <v>352486.77999999997</v>
      </c>
      <c r="AC61" s="410">
        <f t="shared" si="25"/>
        <v>1</v>
      </c>
      <c r="AD61" s="510">
        <f t="shared" si="26"/>
        <v>496.81999999999971</v>
      </c>
      <c r="AE61" s="510">
        <f t="shared" si="38"/>
        <v>276258.50999999995</v>
      </c>
      <c r="AF61" s="510">
        <f t="shared" si="39"/>
        <v>276755.32999999996</v>
      </c>
      <c r="AG61" s="510">
        <f t="shared" si="27"/>
        <v>1667.9499999999998</v>
      </c>
      <c r="AH61" s="510">
        <f t="shared" si="28"/>
        <v>364809.35000000003</v>
      </c>
      <c r="AI61" s="510"/>
      <c r="AJ61" s="14">
        <f>+AG61-AI61</f>
        <v>1667.9499999999998</v>
      </c>
      <c r="AK61" s="14">
        <f t="shared" si="30"/>
        <v>-1249.420000000001</v>
      </c>
      <c r="AL61" s="510">
        <f>IF(R61&lt;=0,0,+(Profit!$B$4+AM60)*$AL$1/12)</f>
        <v>939.84375</v>
      </c>
      <c r="AM61" s="14">
        <f t="shared" si="31"/>
        <v>1877.34375</v>
      </c>
    </row>
    <row r="62" spans="1:41" ht="15.75" thickBot="1" x14ac:dyDescent="0.3">
      <c r="A62" s="502">
        <f t="shared" si="15"/>
        <v>45819</v>
      </c>
      <c r="B62" s="343">
        <f t="shared" si="16"/>
        <v>76228.27</v>
      </c>
      <c r="C62" s="21">
        <f t="shared" si="0"/>
        <v>382.11</v>
      </c>
      <c r="D62" s="21">
        <f t="shared" si="32"/>
        <v>143.9</v>
      </c>
      <c r="E62" s="21">
        <f t="shared" si="1"/>
        <v>238.21</v>
      </c>
      <c r="F62" s="343">
        <f t="shared" si="17"/>
        <v>6682.5700000000006</v>
      </c>
      <c r="G62" s="343">
        <f t="shared" si="18"/>
        <v>11916.55</v>
      </c>
      <c r="H62" s="343">
        <f t="shared" si="2"/>
        <v>76084.37000000001</v>
      </c>
      <c r="I62" s="411">
        <f t="shared" si="3"/>
        <v>0</v>
      </c>
      <c r="J62" s="343">
        <f t="shared" si="19"/>
        <v>353763.06</v>
      </c>
      <c r="K62" s="343">
        <f t="shared" ref="K62:K125" si="41">IF($J$10&lt;=A62,IF(+$P61&lt;=0,0,$J$9),0)</f>
        <v>2298.4699999999998</v>
      </c>
      <c r="L62" s="343">
        <f t="shared" si="33"/>
        <v>308.54999999999973</v>
      </c>
      <c r="M62" s="343">
        <f t="shared" ref="M62:M125" si="42">IF($J$10&lt;=A62,ROUND(J62*($J$7/12),2),0)</f>
        <v>1989.92</v>
      </c>
      <c r="N62" s="343">
        <f t="shared" si="22"/>
        <v>920.48999999999933</v>
      </c>
      <c r="O62" s="343">
        <f t="shared" si="23"/>
        <v>5974.92</v>
      </c>
      <c r="P62" s="343">
        <f t="shared" si="4"/>
        <v>353454.51</v>
      </c>
      <c r="Q62" s="502">
        <f t="shared" si="5"/>
        <v>45819</v>
      </c>
      <c r="R62" s="343">
        <f t="shared" si="40"/>
        <v>352486.77999999997</v>
      </c>
      <c r="S62" s="493">
        <f t="shared" si="24"/>
        <v>3.7499999999999999E-2</v>
      </c>
      <c r="T62" s="343">
        <f t="shared" si="7"/>
        <v>2050.06</v>
      </c>
      <c r="U62" s="343">
        <f t="shared" ref="U62:U125" si="43">+T62-V62</f>
        <v>948.54</v>
      </c>
      <c r="V62" s="343">
        <f t="shared" si="9"/>
        <v>1101.52</v>
      </c>
      <c r="W62" s="343">
        <f t="shared" si="36"/>
        <v>0</v>
      </c>
      <c r="X62" s="343">
        <f t="shared" si="37"/>
        <v>0</v>
      </c>
      <c r="Y62" s="343">
        <f t="shared" ref="Y62:Y125" si="44">SUM(U62:X62)</f>
        <v>2050.06</v>
      </c>
      <c r="Z62" s="343">
        <f t="shared" ref="Z62:Z125" si="45">+U62+Z61</f>
        <v>2836.7599999999998</v>
      </c>
      <c r="AA62" s="343">
        <f t="shared" ref="AA62:AA125" si="46">+AA61+V62</f>
        <v>3313.42</v>
      </c>
      <c r="AB62" s="343">
        <f t="shared" si="13"/>
        <v>351538.24</v>
      </c>
      <c r="AC62" s="411">
        <f t="shared" si="25"/>
        <v>2</v>
      </c>
      <c r="AD62" s="511">
        <f t="shared" si="26"/>
        <v>745.22999999999956</v>
      </c>
      <c r="AE62" s="511">
        <f t="shared" si="38"/>
        <v>275453.87</v>
      </c>
      <c r="AF62" s="511">
        <f t="shared" si="39"/>
        <v>276199.09999999998</v>
      </c>
      <c r="AG62" s="511">
        <f t="shared" si="27"/>
        <v>1667.9499999999998</v>
      </c>
      <c r="AH62" s="511">
        <f t="shared" si="28"/>
        <v>364004.71</v>
      </c>
      <c r="AI62" s="511"/>
      <c r="AJ62" s="21">
        <f t="shared" ref="AJ62:AJ125" si="47">+AG62-AI62</f>
        <v>1667.9499999999998</v>
      </c>
      <c r="AK62" s="21">
        <f t="shared" si="30"/>
        <v>418.52999999999884</v>
      </c>
      <c r="AL62" s="511">
        <f>IF(R62&lt;=0,0,+(Profit!$B$4+AM61)*$AL$1/12)</f>
        <v>942.193359375</v>
      </c>
      <c r="AM62" s="21">
        <f t="shared" si="31"/>
        <v>2819.537109375</v>
      </c>
    </row>
    <row r="63" spans="1:41" x14ac:dyDescent="0.25">
      <c r="A63" s="499">
        <f t="shared" si="15"/>
        <v>45849</v>
      </c>
      <c r="B63" s="288">
        <f t="shared" si="16"/>
        <v>76084.37000000001</v>
      </c>
      <c r="C63" s="14">
        <f t="shared" si="0"/>
        <v>382.11</v>
      </c>
      <c r="D63" s="14">
        <f t="shared" si="32"/>
        <v>144.35000000000002</v>
      </c>
      <c r="E63" s="14">
        <f t="shared" si="1"/>
        <v>237.76</v>
      </c>
      <c r="F63" s="288">
        <f t="shared" si="17"/>
        <v>6826.920000000001</v>
      </c>
      <c r="G63" s="288">
        <f t="shared" si="18"/>
        <v>12154.31</v>
      </c>
      <c r="H63" s="288">
        <f t="shared" si="2"/>
        <v>75940.02</v>
      </c>
      <c r="I63" s="410">
        <f t="shared" si="3"/>
        <v>0</v>
      </c>
      <c r="J63" s="288">
        <f t="shared" si="19"/>
        <v>353454.51</v>
      </c>
      <c r="K63" s="288">
        <f t="shared" si="41"/>
        <v>2298.4699999999998</v>
      </c>
      <c r="L63" s="288">
        <f t="shared" si="33"/>
        <v>310.28999999999974</v>
      </c>
      <c r="M63" s="288">
        <f t="shared" si="42"/>
        <v>1988.18</v>
      </c>
      <c r="N63" s="288">
        <f t="shared" si="22"/>
        <v>1230.7799999999991</v>
      </c>
      <c r="O63" s="288">
        <f t="shared" si="23"/>
        <v>7963.1</v>
      </c>
      <c r="P63" s="288">
        <f t="shared" si="4"/>
        <v>353144.22000000003</v>
      </c>
      <c r="Q63" s="499">
        <f t="shared" si="5"/>
        <v>45849</v>
      </c>
      <c r="R63" s="288">
        <f t="shared" si="40"/>
        <v>351538.24</v>
      </c>
      <c r="S63" s="492">
        <f t="shared" si="24"/>
        <v>3.7499999999999999E-2</v>
      </c>
      <c r="T63" s="288">
        <f t="shared" si="7"/>
        <v>2050.06</v>
      </c>
      <c r="U63" s="288">
        <f t="shared" si="43"/>
        <v>951.5</v>
      </c>
      <c r="V63" s="288">
        <f t="shared" si="9"/>
        <v>1098.56</v>
      </c>
      <c r="W63" s="288">
        <f t="shared" si="36"/>
        <v>0</v>
      </c>
      <c r="X63" s="288">
        <f t="shared" si="37"/>
        <v>0</v>
      </c>
      <c r="Y63" s="288">
        <f t="shared" si="44"/>
        <v>2050.06</v>
      </c>
      <c r="Z63" s="288">
        <f t="shared" si="45"/>
        <v>3788.2599999999998</v>
      </c>
      <c r="AA63" s="288">
        <f t="shared" si="46"/>
        <v>4411.9799999999996</v>
      </c>
      <c r="AB63" s="288">
        <f t="shared" si="13"/>
        <v>350586.74</v>
      </c>
      <c r="AC63" s="410">
        <f t="shared" si="25"/>
        <v>3</v>
      </c>
      <c r="AD63" s="510">
        <f t="shared" si="26"/>
        <v>993.63999999999942</v>
      </c>
      <c r="AE63" s="510">
        <f t="shared" si="38"/>
        <v>274646.71999999997</v>
      </c>
      <c r="AF63" s="510">
        <f t="shared" si="39"/>
        <v>275640.36</v>
      </c>
      <c r="AG63" s="510">
        <f t="shared" si="27"/>
        <v>1667.9499999999998</v>
      </c>
      <c r="AH63" s="510">
        <f t="shared" si="28"/>
        <v>363197.56</v>
      </c>
      <c r="AI63" s="510"/>
      <c r="AJ63" s="14">
        <f t="shared" si="47"/>
        <v>1667.9499999999998</v>
      </c>
      <c r="AK63" s="14">
        <f t="shared" ref="AK63:AK65" si="48">IF(P63&lt;=0,0,+AJ63+AK62)</f>
        <v>2086.4799999999987</v>
      </c>
      <c r="AL63" s="510">
        <f>IF(R63&lt;=0,0,+(Profit!$B$4+AM62)*$AL$1/12)</f>
        <v>944.54884277343751</v>
      </c>
      <c r="AM63" s="14">
        <f t="shared" si="31"/>
        <v>3764.0859521484376</v>
      </c>
    </row>
    <row r="64" spans="1:41" x14ac:dyDescent="0.25">
      <c r="A64" s="499">
        <f t="shared" si="15"/>
        <v>45879</v>
      </c>
      <c r="B64" s="288">
        <f t="shared" si="16"/>
        <v>75940.02</v>
      </c>
      <c r="C64" s="14">
        <f t="shared" si="0"/>
        <v>382.11</v>
      </c>
      <c r="D64" s="14">
        <f t="shared" si="32"/>
        <v>144.80000000000001</v>
      </c>
      <c r="E64" s="14">
        <f t="shared" si="1"/>
        <v>237.31</v>
      </c>
      <c r="F64" s="288">
        <f t="shared" si="17"/>
        <v>6971.7200000000012</v>
      </c>
      <c r="G64" s="288">
        <f t="shared" si="18"/>
        <v>12391.619999999999</v>
      </c>
      <c r="H64" s="288">
        <f t="shared" si="2"/>
        <v>75795.22</v>
      </c>
      <c r="I64" s="410">
        <f t="shared" si="3"/>
        <v>0</v>
      </c>
      <c r="J64" s="288">
        <f t="shared" si="19"/>
        <v>353144.22000000003</v>
      </c>
      <c r="K64" s="288">
        <f t="shared" si="41"/>
        <v>2298.4699999999998</v>
      </c>
      <c r="L64" s="288">
        <f t="shared" si="33"/>
        <v>312.02999999999975</v>
      </c>
      <c r="M64" s="288">
        <f t="shared" si="42"/>
        <v>1986.44</v>
      </c>
      <c r="N64" s="288">
        <f t="shared" si="22"/>
        <v>1542.8099999999988</v>
      </c>
      <c r="O64" s="288">
        <f t="shared" si="23"/>
        <v>9949.5400000000009</v>
      </c>
      <c r="P64" s="288">
        <f t="shared" si="4"/>
        <v>352832.19</v>
      </c>
      <c r="Q64" s="499">
        <f t="shared" si="5"/>
        <v>45879</v>
      </c>
      <c r="R64" s="288">
        <f t="shared" si="40"/>
        <v>350586.74</v>
      </c>
      <c r="S64" s="492">
        <f t="shared" si="24"/>
        <v>3.7499999999999999E-2</v>
      </c>
      <c r="T64" s="288">
        <f t="shared" si="7"/>
        <v>2050.06</v>
      </c>
      <c r="U64" s="288">
        <f t="shared" si="43"/>
        <v>954.48</v>
      </c>
      <c r="V64" s="288">
        <f t="shared" si="9"/>
        <v>1095.58</v>
      </c>
      <c r="W64" s="288">
        <f t="shared" si="36"/>
        <v>0</v>
      </c>
      <c r="X64" s="288">
        <f t="shared" si="37"/>
        <v>0</v>
      </c>
      <c r="Y64" s="288">
        <f t="shared" si="44"/>
        <v>2050.06</v>
      </c>
      <c r="Z64" s="288">
        <f t="shared" si="45"/>
        <v>4742.74</v>
      </c>
      <c r="AA64" s="288">
        <f t="shared" si="46"/>
        <v>5507.5599999999995</v>
      </c>
      <c r="AB64" s="288">
        <f t="shared" si="13"/>
        <v>349632.26</v>
      </c>
      <c r="AC64" s="410">
        <f t="shared" si="25"/>
        <v>4</v>
      </c>
      <c r="AD64" s="510">
        <f t="shared" si="26"/>
        <v>1242.0499999999993</v>
      </c>
      <c r="AE64" s="510">
        <f t="shared" si="38"/>
        <v>273837.04000000004</v>
      </c>
      <c r="AF64" s="510">
        <f t="shared" si="39"/>
        <v>275079.09000000003</v>
      </c>
      <c r="AG64" s="510">
        <f t="shared" si="27"/>
        <v>1667.9499999999998</v>
      </c>
      <c r="AH64" s="510">
        <f t="shared" si="28"/>
        <v>362387.88</v>
      </c>
      <c r="AI64" s="510"/>
      <c r="AJ64" s="14">
        <f t="shared" si="47"/>
        <v>1667.9499999999998</v>
      </c>
      <c r="AK64" s="14">
        <f t="shared" si="48"/>
        <v>3754.4299999999985</v>
      </c>
      <c r="AL64" s="510">
        <f>IF(R64&lt;=0,0,+(Profit!$B$4+AM63)*$AL$1/12)</f>
        <v>946.91021488037097</v>
      </c>
      <c r="AM64" s="14">
        <f t="shared" si="31"/>
        <v>4710.9961670288085</v>
      </c>
    </row>
    <row r="65" spans="1:41" x14ac:dyDescent="0.25">
      <c r="A65" s="499">
        <f t="shared" si="15"/>
        <v>45909</v>
      </c>
      <c r="B65" s="288">
        <f t="shared" si="16"/>
        <v>75795.22</v>
      </c>
      <c r="C65" s="14">
        <f t="shared" si="0"/>
        <v>382.11</v>
      </c>
      <c r="D65" s="14">
        <f t="shared" si="32"/>
        <v>145.25</v>
      </c>
      <c r="E65" s="14">
        <f t="shared" si="1"/>
        <v>236.86</v>
      </c>
      <c r="F65" s="288">
        <f t="shared" si="17"/>
        <v>7116.9700000000012</v>
      </c>
      <c r="G65" s="288">
        <f t="shared" si="18"/>
        <v>12628.48</v>
      </c>
      <c r="H65" s="288">
        <f t="shared" si="2"/>
        <v>75649.97</v>
      </c>
      <c r="I65" s="410">
        <f t="shared" si="3"/>
        <v>0</v>
      </c>
      <c r="J65" s="288">
        <f t="shared" si="19"/>
        <v>352832.19</v>
      </c>
      <c r="K65" s="288">
        <f t="shared" si="41"/>
        <v>2298.4699999999998</v>
      </c>
      <c r="L65" s="288">
        <f t="shared" si="33"/>
        <v>313.78999999999974</v>
      </c>
      <c r="M65" s="288">
        <f t="shared" si="42"/>
        <v>1984.68</v>
      </c>
      <c r="N65" s="288">
        <f t="shared" si="22"/>
        <v>1856.5999999999985</v>
      </c>
      <c r="O65" s="288">
        <f t="shared" si="23"/>
        <v>11934.220000000001</v>
      </c>
      <c r="P65" s="288">
        <f t="shared" si="4"/>
        <v>352518.40000000002</v>
      </c>
      <c r="Q65" s="499">
        <f t="shared" si="5"/>
        <v>45909</v>
      </c>
      <c r="R65" s="288">
        <f t="shared" si="40"/>
        <v>349632.26</v>
      </c>
      <c r="S65" s="492">
        <f t="shared" si="24"/>
        <v>3.7499999999999999E-2</v>
      </c>
      <c r="T65" s="288">
        <f t="shared" si="7"/>
        <v>2050.06</v>
      </c>
      <c r="U65" s="288">
        <f t="shared" si="43"/>
        <v>957.46</v>
      </c>
      <c r="V65" s="288">
        <f t="shared" si="9"/>
        <v>1092.5999999999999</v>
      </c>
      <c r="W65" s="288">
        <f t="shared" si="36"/>
        <v>0</v>
      </c>
      <c r="X65" s="288">
        <f t="shared" si="37"/>
        <v>0</v>
      </c>
      <c r="Y65" s="288">
        <f t="shared" si="44"/>
        <v>2050.06</v>
      </c>
      <c r="Z65" s="288">
        <f t="shared" si="45"/>
        <v>5700.2</v>
      </c>
      <c r="AA65" s="288">
        <f t="shared" si="46"/>
        <v>6600.16</v>
      </c>
      <c r="AB65" s="288">
        <f t="shared" si="13"/>
        <v>348674.8</v>
      </c>
      <c r="AC65" s="410">
        <f t="shared" si="25"/>
        <v>5</v>
      </c>
      <c r="AD65" s="510">
        <f t="shared" si="26"/>
        <v>1490.4599999999991</v>
      </c>
      <c r="AE65" s="510">
        <f t="shared" si="38"/>
        <v>273024.82999999996</v>
      </c>
      <c r="AF65" s="510">
        <f t="shared" si="39"/>
        <v>274515.28999999998</v>
      </c>
      <c r="AG65" s="510">
        <f t="shared" si="27"/>
        <v>1667.9499999999998</v>
      </c>
      <c r="AH65" s="510">
        <f t="shared" si="28"/>
        <v>361575.67</v>
      </c>
      <c r="AI65" s="510"/>
      <c r="AJ65" s="14">
        <f t="shared" si="47"/>
        <v>1667.9499999999998</v>
      </c>
      <c r="AK65" s="14">
        <f t="shared" si="48"/>
        <v>5422.3799999999983</v>
      </c>
      <c r="AL65" s="510">
        <f>IF(R65&lt;=0,0,+(Profit!$B$4+AM64)*$AL$1/12)</f>
        <v>949.27749041757204</v>
      </c>
      <c r="AM65" s="14">
        <f t="shared" si="31"/>
        <v>5660.2736574463806</v>
      </c>
    </row>
    <row r="66" spans="1:41" x14ac:dyDescent="0.25">
      <c r="A66" s="499">
        <f t="shared" si="15"/>
        <v>45939</v>
      </c>
      <c r="B66" s="288">
        <f t="shared" si="16"/>
        <v>75649.97</v>
      </c>
      <c r="C66" s="14">
        <f t="shared" si="0"/>
        <v>382.11</v>
      </c>
      <c r="D66" s="14">
        <f t="shared" si="32"/>
        <v>145.70000000000002</v>
      </c>
      <c r="E66" s="14">
        <f t="shared" si="1"/>
        <v>236.41</v>
      </c>
      <c r="F66" s="288">
        <f t="shared" si="17"/>
        <v>7262.670000000001</v>
      </c>
      <c r="G66" s="288">
        <f t="shared" si="18"/>
        <v>12864.89</v>
      </c>
      <c r="H66" s="288">
        <f t="shared" si="2"/>
        <v>75504.27</v>
      </c>
      <c r="I66" s="410">
        <f t="shared" si="3"/>
        <v>0</v>
      </c>
      <c r="J66" s="288">
        <f t="shared" si="19"/>
        <v>352518.40000000002</v>
      </c>
      <c r="K66" s="288">
        <f t="shared" si="41"/>
        <v>2298.4699999999998</v>
      </c>
      <c r="L66" s="288">
        <f t="shared" si="33"/>
        <v>315.54999999999973</v>
      </c>
      <c r="M66" s="288">
        <f t="shared" si="42"/>
        <v>1982.92</v>
      </c>
      <c r="N66" s="288">
        <f t="shared" si="22"/>
        <v>2172.1499999999983</v>
      </c>
      <c r="O66" s="288">
        <f t="shared" si="23"/>
        <v>13917.140000000001</v>
      </c>
      <c r="P66" s="288">
        <f t="shared" si="4"/>
        <v>352202.85000000003</v>
      </c>
      <c r="Q66" s="499">
        <f t="shared" si="5"/>
        <v>45939</v>
      </c>
      <c r="R66" s="288">
        <f t="shared" si="40"/>
        <v>348674.8</v>
      </c>
      <c r="S66" s="492">
        <f t="shared" si="24"/>
        <v>3.7499999999999999E-2</v>
      </c>
      <c r="T66" s="288">
        <f t="shared" si="7"/>
        <v>2050.06</v>
      </c>
      <c r="U66" s="288">
        <f t="shared" si="43"/>
        <v>960.45</v>
      </c>
      <c r="V66" s="288">
        <f t="shared" si="9"/>
        <v>1089.6099999999999</v>
      </c>
      <c r="W66" s="288">
        <f t="shared" si="36"/>
        <v>0</v>
      </c>
      <c r="X66" s="288">
        <f t="shared" si="37"/>
        <v>0</v>
      </c>
      <c r="Y66" s="288">
        <f t="shared" si="44"/>
        <v>2050.06</v>
      </c>
      <c r="Z66" s="288">
        <f t="shared" si="45"/>
        <v>6660.65</v>
      </c>
      <c r="AA66" s="288">
        <f t="shared" si="46"/>
        <v>7689.7699999999995</v>
      </c>
      <c r="AB66" s="288">
        <f t="shared" si="13"/>
        <v>347714.35</v>
      </c>
      <c r="AC66" s="410">
        <f t="shared" si="25"/>
        <v>6</v>
      </c>
      <c r="AD66" s="510">
        <f t="shared" si="26"/>
        <v>1738.869999999999</v>
      </c>
      <c r="AE66" s="510">
        <f t="shared" si="38"/>
        <v>272210.07999999996</v>
      </c>
      <c r="AF66" s="510">
        <f t="shared" si="39"/>
        <v>273948.94999999995</v>
      </c>
      <c r="AG66" s="510">
        <f t="shared" si="27"/>
        <v>1667.9499999999998</v>
      </c>
      <c r="AH66" s="510">
        <f t="shared" si="28"/>
        <v>360760.92</v>
      </c>
      <c r="AI66" s="510"/>
      <c r="AJ66" s="14">
        <f t="shared" si="47"/>
        <v>1667.9499999999998</v>
      </c>
      <c r="AK66" s="14">
        <f t="shared" ref="AK66:AK129" si="49">IF(P66&lt;=0,0,+AJ66+AK65)</f>
        <v>7090.3299999999981</v>
      </c>
      <c r="AL66" s="510">
        <f>IF(R66&lt;=0,0,+(Profit!$B$4+AM65)*$AL$1/12)</f>
        <v>951.65068414361588</v>
      </c>
      <c r="AM66" s="14">
        <f t="shared" si="31"/>
        <v>6611.9243415899964</v>
      </c>
    </row>
    <row r="67" spans="1:41" x14ac:dyDescent="0.25">
      <c r="A67" s="499">
        <f t="shared" si="15"/>
        <v>45969</v>
      </c>
      <c r="B67" s="288">
        <f t="shared" si="16"/>
        <v>75504.27</v>
      </c>
      <c r="C67" s="14">
        <f t="shared" si="0"/>
        <v>382.11</v>
      </c>
      <c r="D67" s="14">
        <f t="shared" si="32"/>
        <v>146.16000000000003</v>
      </c>
      <c r="E67" s="14">
        <f t="shared" si="1"/>
        <v>235.95</v>
      </c>
      <c r="F67" s="288">
        <f t="shared" si="17"/>
        <v>7408.8300000000008</v>
      </c>
      <c r="G67" s="288">
        <f t="shared" si="18"/>
        <v>13100.84</v>
      </c>
      <c r="H67" s="288">
        <f t="shared" si="2"/>
        <v>75358.11</v>
      </c>
      <c r="I67" s="410">
        <f t="shared" si="3"/>
        <v>0</v>
      </c>
      <c r="J67" s="288">
        <f t="shared" si="19"/>
        <v>352202.85000000003</v>
      </c>
      <c r="K67" s="288">
        <f t="shared" si="41"/>
        <v>2298.4699999999998</v>
      </c>
      <c r="L67" s="288">
        <f t="shared" si="33"/>
        <v>317.3299999999997</v>
      </c>
      <c r="M67" s="288">
        <f t="shared" si="42"/>
        <v>1981.14</v>
      </c>
      <c r="N67" s="288">
        <f t="shared" si="22"/>
        <v>2489.4799999999977</v>
      </c>
      <c r="O67" s="288">
        <f t="shared" si="23"/>
        <v>15898.28</v>
      </c>
      <c r="P67" s="288">
        <f t="shared" si="4"/>
        <v>351885.52</v>
      </c>
      <c r="Q67" s="499">
        <f t="shared" si="5"/>
        <v>45969</v>
      </c>
      <c r="R67" s="288">
        <f t="shared" si="40"/>
        <v>347714.35</v>
      </c>
      <c r="S67" s="492">
        <f t="shared" si="24"/>
        <v>3.7499999999999999E-2</v>
      </c>
      <c r="T67" s="288">
        <f t="shared" si="7"/>
        <v>2050.06</v>
      </c>
      <c r="U67" s="288">
        <f t="shared" si="43"/>
        <v>963.45</v>
      </c>
      <c r="V67" s="288">
        <f t="shared" si="9"/>
        <v>1086.6099999999999</v>
      </c>
      <c r="W67" s="288">
        <f t="shared" si="36"/>
        <v>0</v>
      </c>
      <c r="X67" s="288">
        <f t="shared" si="37"/>
        <v>0</v>
      </c>
      <c r="Y67" s="288">
        <f t="shared" si="44"/>
        <v>2050.06</v>
      </c>
      <c r="Z67" s="288">
        <f t="shared" si="45"/>
        <v>7624.0999999999995</v>
      </c>
      <c r="AA67" s="288">
        <f t="shared" si="46"/>
        <v>8776.3799999999992</v>
      </c>
      <c r="AB67" s="288">
        <f t="shared" si="13"/>
        <v>346750.89999999997</v>
      </c>
      <c r="AC67" s="410">
        <f t="shared" si="25"/>
        <v>7</v>
      </c>
      <c r="AD67" s="510">
        <f t="shared" si="26"/>
        <v>1987.2799999999988</v>
      </c>
      <c r="AE67" s="510">
        <f t="shared" si="38"/>
        <v>271392.78999999998</v>
      </c>
      <c r="AF67" s="510">
        <f t="shared" si="39"/>
        <v>273380.06999999995</v>
      </c>
      <c r="AG67" s="510">
        <f t="shared" si="27"/>
        <v>1667.9499999999998</v>
      </c>
      <c r="AH67" s="510">
        <f t="shared" si="28"/>
        <v>359943.63000000006</v>
      </c>
      <c r="AI67" s="510"/>
      <c r="AJ67" s="14">
        <f t="shared" si="47"/>
        <v>1667.9499999999998</v>
      </c>
      <c r="AK67" s="14">
        <f t="shared" si="49"/>
        <v>8758.2799999999988</v>
      </c>
      <c r="AL67" s="510">
        <f>IF(R67&lt;=0,0,+(Profit!$B$4+AM66)*$AL$1/12)</f>
        <v>954.02981085397494</v>
      </c>
      <c r="AM67" s="14">
        <f t="shared" si="31"/>
        <v>7565.954152443971</v>
      </c>
    </row>
    <row r="68" spans="1:41" x14ac:dyDescent="0.25">
      <c r="A68" s="499">
        <f t="shared" si="15"/>
        <v>45999</v>
      </c>
      <c r="B68" s="288">
        <f t="shared" si="16"/>
        <v>75358.11</v>
      </c>
      <c r="C68" s="14">
        <f t="shared" si="0"/>
        <v>382.11</v>
      </c>
      <c r="D68" s="14">
        <f t="shared" si="32"/>
        <v>146.62</v>
      </c>
      <c r="E68" s="14">
        <f t="shared" si="1"/>
        <v>235.49</v>
      </c>
      <c r="F68" s="288">
        <f t="shared" si="17"/>
        <v>7555.4500000000007</v>
      </c>
      <c r="G68" s="288">
        <f t="shared" si="18"/>
        <v>13336.33</v>
      </c>
      <c r="H68" s="288">
        <f t="shared" si="2"/>
        <v>75211.490000000005</v>
      </c>
      <c r="I68" s="410">
        <f t="shared" si="3"/>
        <v>0</v>
      </c>
      <c r="J68" s="288">
        <f t="shared" si="19"/>
        <v>351885.52</v>
      </c>
      <c r="K68" s="288">
        <f t="shared" si="41"/>
        <v>2298.4699999999998</v>
      </c>
      <c r="L68" s="288">
        <f t="shared" si="33"/>
        <v>319.1099999999999</v>
      </c>
      <c r="M68" s="288">
        <f t="shared" si="42"/>
        <v>1979.36</v>
      </c>
      <c r="N68" s="288">
        <f t="shared" si="22"/>
        <v>2808.5899999999974</v>
      </c>
      <c r="O68" s="288">
        <f t="shared" si="23"/>
        <v>17877.64</v>
      </c>
      <c r="P68" s="288">
        <f t="shared" si="4"/>
        <v>351566.41000000003</v>
      </c>
      <c r="Q68" s="499">
        <f t="shared" si="5"/>
        <v>45999</v>
      </c>
      <c r="R68" s="288">
        <f t="shared" si="40"/>
        <v>346750.89999999997</v>
      </c>
      <c r="S68" s="492">
        <f t="shared" si="24"/>
        <v>3.7499999999999999E-2</v>
      </c>
      <c r="T68" s="288">
        <f t="shared" si="7"/>
        <v>2050.06</v>
      </c>
      <c r="U68" s="288">
        <f t="shared" si="43"/>
        <v>966.46</v>
      </c>
      <c r="V68" s="288">
        <f t="shared" si="9"/>
        <v>1083.5999999999999</v>
      </c>
      <c r="W68" s="288">
        <f t="shared" si="36"/>
        <v>0</v>
      </c>
      <c r="X68" s="288">
        <f t="shared" si="37"/>
        <v>0</v>
      </c>
      <c r="Y68" s="288">
        <f t="shared" si="44"/>
        <v>2050.06</v>
      </c>
      <c r="Z68" s="288">
        <f t="shared" si="45"/>
        <v>8590.56</v>
      </c>
      <c r="AA68" s="288">
        <f t="shared" si="46"/>
        <v>9859.98</v>
      </c>
      <c r="AB68" s="288">
        <f t="shared" si="13"/>
        <v>345784.43999999994</v>
      </c>
      <c r="AC68" s="410">
        <f t="shared" si="25"/>
        <v>8</v>
      </c>
      <c r="AD68" s="510">
        <f t="shared" si="26"/>
        <v>2235.6899999999987</v>
      </c>
      <c r="AE68" s="510">
        <f t="shared" si="38"/>
        <v>270572.94999999995</v>
      </c>
      <c r="AF68" s="510">
        <f t="shared" si="39"/>
        <v>272808.63999999996</v>
      </c>
      <c r="AG68" s="510">
        <f t="shared" si="27"/>
        <v>1667.9499999999998</v>
      </c>
      <c r="AH68" s="510">
        <f t="shared" si="28"/>
        <v>359123.79000000004</v>
      </c>
      <c r="AI68" s="510"/>
      <c r="AJ68" s="14">
        <f t="shared" si="47"/>
        <v>1667.9499999999998</v>
      </c>
      <c r="AK68" s="14">
        <f t="shared" si="49"/>
        <v>10426.23</v>
      </c>
      <c r="AL68" s="510">
        <f>IF(R68&lt;=0,0,+(Profit!$B$4+AM67)*$AL$1/12)</f>
        <v>956.41488538110991</v>
      </c>
      <c r="AM68" s="14">
        <f t="shared" si="31"/>
        <v>8522.3690378250813</v>
      </c>
    </row>
    <row r="69" spans="1:41" x14ac:dyDescent="0.25">
      <c r="A69" s="499">
        <f t="shared" si="15"/>
        <v>46029</v>
      </c>
      <c r="B69" s="288">
        <f t="shared" si="16"/>
        <v>75211.490000000005</v>
      </c>
      <c r="C69" s="14">
        <f t="shared" si="0"/>
        <v>382.11</v>
      </c>
      <c r="D69" s="14">
        <f t="shared" si="32"/>
        <v>147.07000000000002</v>
      </c>
      <c r="E69" s="14">
        <f t="shared" si="1"/>
        <v>235.04</v>
      </c>
      <c r="F69" s="288">
        <f t="shared" si="17"/>
        <v>7702.52</v>
      </c>
      <c r="G69" s="288">
        <f t="shared" si="18"/>
        <v>13571.37</v>
      </c>
      <c r="H69" s="288">
        <f t="shared" si="2"/>
        <v>75064.42</v>
      </c>
      <c r="I69" s="410">
        <f t="shared" si="3"/>
        <v>0</v>
      </c>
      <c r="J69" s="288">
        <f t="shared" si="19"/>
        <v>351566.41000000003</v>
      </c>
      <c r="K69" s="288">
        <f t="shared" si="41"/>
        <v>2298.4699999999998</v>
      </c>
      <c r="L69" s="288">
        <f t="shared" si="33"/>
        <v>320.90999999999985</v>
      </c>
      <c r="M69" s="288">
        <f t="shared" si="42"/>
        <v>1977.56</v>
      </c>
      <c r="N69" s="288">
        <f t="shared" si="22"/>
        <v>3129.4999999999973</v>
      </c>
      <c r="O69" s="288">
        <f t="shared" si="23"/>
        <v>19855.2</v>
      </c>
      <c r="P69" s="288">
        <f t="shared" si="4"/>
        <v>351245.50000000006</v>
      </c>
      <c r="Q69" s="499">
        <f t="shared" si="5"/>
        <v>46029</v>
      </c>
      <c r="R69" s="288">
        <f t="shared" si="40"/>
        <v>345784.43999999994</v>
      </c>
      <c r="S69" s="492">
        <f t="shared" si="24"/>
        <v>3.7499999999999999E-2</v>
      </c>
      <c r="T69" s="288">
        <f t="shared" si="7"/>
        <v>2050.06</v>
      </c>
      <c r="U69" s="288">
        <f t="shared" si="43"/>
        <v>969.48</v>
      </c>
      <c r="V69" s="288">
        <f t="shared" si="9"/>
        <v>1080.58</v>
      </c>
      <c r="W69" s="288">
        <f t="shared" si="36"/>
        <v>0</v>
      </c>
      <c r="X69" s="288">
        <f t="shared" si="37"/>
        <v>0</v>
      </c>
      <c r="Y69" s="288">
        <f t="shared" si="44"/>
        <v>2050.06</v>
      </c>
      <c r="Z69" s="288">
        <f t="shared" si="45"/>
        <v>9560.0399999999991</v>
      </c>
      <c r="AA69" s="288">
        <f t="shared" si="46"/>
        <v>10940.56</v>
      </c>
      <c r="AB69" s="288">
        <f t="shared" si="13"/>
        <v>344814.95999999996</v>
      </c>
      <c r="AC69" s="410">
        <f t="shared" si="25"/>
        <v>9</v>
      </c>
      <c r="AD69" s="510">
        <f t="shared" si="26"/>
        <v>2484.0999999999985</v>
      </c>
      <c r="AE69" s="510">
        <f t="shared" si="38"/>
        <v>269750.53999999998</v>
      </c>
      <c r="AF69" s="510">
        <f t="shared" si="39"/>
        <v>272234.63999999996</v>
      </c>
      <c r="AG69" s="510">
        <f t="shared" si="27"/>
        <v>1667.9499999999998</v>
      </c>
      <c r="AH69" s="510">
        <f t="shared" si="28"/>
        <v>358301.38000000006</v>
      </c>
      <c r="AI69" s="510"/>
      <c r="AJ69" s="14">
        <f t="shared" si="47"/>
        <v>1667.9499999999998</v>
      </c>
      <c r="AK69" s="14">
        <f t="shared" si="49"/>
        <v>12094.18</v>
      </c>
      <c r="AL69" s="510">
        <f>IF(R69&lt;=0,0,+(Profit!$B$4+AM68)*$AL$1/12)</f>
        <v>958.80592259456262</v>
      </c>
      <c r="AM69" s="14">
        <f t="shared" si="31"/>
        <v>9481.1749604196448</v>
      </c>
    </row>
    <row r="70" spans="1:41" x14ac:dyDescent="0.25">
      <c r="A70" s="499">
        <f t="shared" si="15"/>
        <v>46059</v>
      </c>
      <c r="B70" s="288">
        <f t="shared" si="16"/>
        <v>75064.42</v>
      </c>
      <c r="C70" s="14">
        <f t="shared" si="0"/>
        <v>382.11</v>
      </c>
      <c r="D70" s="14">
        <f t="shared" si="32"/>
        <v>147.53</v>
      </c>
      <c r="E70" s="14">
        <f t="shared" si="1"/>
        <v>234.58</v>
      </c>
      <c r="F70" s="288">
        <f t="shared" si="17"/>
        <v>7850.05</v>
      </c>
      <c r="G70" s="288">
        <f t="shared" si="18"/>
        <v>13805.95</v>
      </c>
      <c r="H70" s="288">
        <f t="shared" si="2"/>
        <v>74916.89</v>
      </c>
      <c r="I70" s="410">
        <f t="shared" si="3"/>
        <v>0</v>
      </c>
      <c r="J70" s="288">
        <f t="shared" si="19"/>
        <v>351245.50000000006</v>
      </c>
      <c r="K70" s="288">
        <f t="shared" si="41"/>
        <v>2298.4699999999998</v>
      </c>
      <c r="L70" s="288">
        <f t="shared" si="33"/>
        <v>322.70999999999981</v>
      </c>
      <c r="M70" s="288">
        <f t="shared" si="42"/>
        <v>1975.76</v>
      </c>
      <c r="N70" s="288">
        <f t="shared" si="22"/>
        <v>3452.2099999999973</v>
      </c>
      <c r="O70" s="288">
        <f t="shared" si="23"/>
        <v>21830.959999999999</v>
      </c>
      <c r="P70" s="288">
        <f t="shared" si="4"/>
        <v>350922.79000000004</v>
      </c>
      <c r="Q70" s="499">
        <f t="shared" si="5"/>
        <v>46059</v>
      </c>
      <c r="R70" s="288">
        <f t="shared" si="40"/>
        <v>344814.95999999996</v>
      </c>
      <c r="S70" s="492">
        <f t="shared" si="24"/>
        <v>3.7499999999999999E-2</v>
      </c>
      <c r="T70" s="288">
        <f t="shared" si="7"/>
        <v>2050.06</v>
      </c>
      <c r="U70" s="288">
        <f t="shared" si="43"/>
        <v>972.51</v>
      </c>
      <c r="V70" s="288">
        <f t="shared" si="9"/>
        <v>1077.55</v>
      </c>
      <c r="W70" s="288">
        <f t="shared" si="36"/>
        <v>0</v>
      </c>
      <c r="X70" s="288">
        <f t="shared" si="37"/>
        <v>0</v>
      </c>
      <c r="Y70" s="288">
        <f t="shared" si="44"/>
        <v>2050.06</v>
      </c>
      <c r="Z70" s="288">
        <f t="shared" si="45"/>
        <v>10532.55</v>
      </c>
      <c r="AA70" s="288">
        <f t="shared" si="46"/>
        <v>12018.109999999999</v>
      </c>
      <c r="AB70" s="288">
        <f t="shared" si="13"/>
        <v>343842.44999999995</v>
      </c>
      <c r="AC70" s="410">
        <f t="shared" si="25"/>
        <v>10</v>
      </c>
      <c r="AD70" s="510">
        <f t="shared" si="26"/>
        <v>2732.5099999999984</v>
      </c>
      <c r="AE70" s="510">
        <f t="shared" si="38"/>
        <v>268925.55999999994</v>
      </c>
      <c r="AF70" s="510">
        <f t="shared" si="39"/>
        <v>271658.06999999995</v>
      </c>
      <c r="AG70" s="510">
        <f t="shared" si="27"/>
        <v>1667.9499999999998</v>
      </c>
      <c r="AH70" s="510">
        <f t="shared" si="28"/>
        <v>357476.4</v>
      </c>
      <c r="AI70" s="510"/>
      <c r="AJ70" s="14">
        <f t="shared" si="47"/>
        <v>1667.9499999999998</v>
      </c>
      <c r="AK70" s="14">
        <f t="shared" si="49"/>
        <v>13762.130000000001</v>
      </c>
      <c r="AL70" s="510">
        <f>IF(R70&lt;=0,0,+(Profit!$B$4+AM69)*$AL$1/12)</f>
        <v>961.2029374010491</v>
      </c>
      <c r="AM70" s="14">
        <f t="shared" si="31"/>
        <v>10442.377897820694</v>
      </c>
    </row>
    <row r="71" spans="1:41" x14ac:dyDescent="0.25">
      <c r="A71" s="499">
        <f t="shared" si="15"/>
        <v>46089</v>
      </c>
      <c r="B71" s="288">
        <f t="shared" si="16"/>
        <v>74916.89</v>
      </c>
      <c r="C71" s="14">
        <f t="shared" si="0"/>
        <v>382.11</v>
      </c>
      <c r="D71" s="14">
        <f t="shared" si="32"/>
        <v>147.99</v>
      </c>
      <c r="E71" s="14">
        <f t="shared" si="1"/>
        <v>234.12</v>
      </c>
      <c r="F71" s="288">
        <f t="shared" si="17"/>
        <v>7998.04</v>
      </c>
      <c r="G71" s="288">
        <f t="shared" si="18"/>
        <v>14040.070000000002</v>
      </c>
      <c r="H71" s="288">
        <f t="shared" si="2"/>
        <v>74768.899999999994</v>
      </c>
      <c r="I71" s="410">
        <f t="shared" si="3"/>
        <v>0</v>
      </c>
      <c r="J71" s="288">
        <f t="shared" si="19"/>
        <v>350922.79000000004</v>
      </c>
      <c r="K71" s="288">
        <f t="shared" si="41"/>
        <v>2298.4699999999998</v>
      </c>
      <c r="L71" s="288">
        <f t="shared" si="33"/>
        <v>324.52999999999975</v>
      </c>
      <c r="M71" s="288">
        <f t="shared" si="42"/>
        <v>1973.94</v>
      </c>
      <c r="N71" s="288">
        <f t="shared" si="22"/>
        <v>3776.7399999999971</v>
      </c>
      <c r="O71" s="288">
        <f t="shared" si="23"/>
        <v>23804.899999999998</v>
      </c>
      <c r="P71" s="288">
        <f t="shared" si="4"/>
        <v>350598.26</v>
      </c>
      <c r="Q71" s="499">
        <f t="shared" si="5"/>
        <v>46089</v>
      </c>
      <c r="R71" s="288">
        <f t="shared" si="40"/>
        <v>343842.44999999995</v>
      </c>
      <c r="S71" s="492">
        <f t="shared" si="24"/>
        <v>3.7499999999999999E-2</v>
      </c>
      <c r="T71" s="288">
        <f t="shared" si="7"/>
        <v>2050.06</v>
      </c>
      <c r="U71" s="288">
        <f t="shared" si="43"/>
        <v>975.55</v>
      </c>
      <c r="V71" s="288">
        <f t="shared" si="9"/>
        <v>1074.51</v>
      </c>
      <c r="W71" s="288">
        <f t="shared" si="36"/>
        <v>0</v>
      </c>
      <c r="X71" s="288">
        <f t="shared" si="37"/>
        <v>0</v>
      </c>
      <c r="Y71" s="288">
        <f t="shared" si="44"/>
        <v>2050.06</v>
      </c>
      <c r="Z71" s="288">
        <f t="shared" si="45"/>
        <v>11508.099999999999</v>
      </c>
      <c r="AA71" s="288">
        <f t="shared" si="46"/>
        <v>13092.619999999999</v>
      </c>
      <c r="AB71" s="288">
        <f t="shared" si="13"/>
        <v>342866.89999999997</v>
      </c>
      <c r="AC71" s="410">
        <f t="shared" si="25"/>
        <v>11</v>
      </c>
      <c r="AD71" s="510">
        <f t="shared" si="26"/>
        <v>2980.9199999999983</v>
      </c>
      <c r="AE71" s="510">
        <f t="shared" si="38"/>
        <v>268098</v>
      </c>
      <c r="AF71" s="510">
        <f t="shared" si="39"/>
        <v>271078.92</v>
      </c>
      <c r="AG71" s="510">
        <f t="shared" si="27"/>
        <v>1667.9499999999998</v>
      </c>
      <c r="AH71" s="510">
        <f t="shared" si="28"/>
        <v>356648.84</v>
      </c>
      <c r="AI71" s="510"/>
      <c r="AJ71" s="14">
        <f t="shared" si="47"/>
        <v>1667.9499999999998</v>
      </c>
      <c r="AK71" s="14">
        <f t="shared" si="49"/>
        <v>15430.080000000002</v>
      </c>
      <c r="AL71" s="510">
        <f>IF(R71&lt;=0,0,+(Profit!$B$4+AM70)*$AL$1/12)</f>
        <v>963.60594474455172</v>
      </c>
      <c r="AM71" s="14">
        <f t="shared" si="31"/>
        <v>11405.983842565245</v>
      </c>
      <c r="AO71" s="470"/>
    </row>
    <row r="72" spans="1:41" x14ac:dyDescent="0.25">
      <c r="A72" s="499">
        <f t="shared" si="15"/>
        <v>46119</v>
      </c>
      <c r="B72" s="288">
        <f t="shared" si="16"/>
        <v>74768.899999999994</v>
      </c>
      <c r="C72" s="14">
        <f t="shared" si="0"/>
        <v>382.11</v>
      </c>
      <c r="D72" s="14">
        <f t="shared" si="32"/>
        <v>148.46</v>
      </c>
      <c r="E72" s="14">
        <f t="shared" si="1"/>
        <v>233.65</v>
      </c>
      <c r="F72" s="288">
        <f t="shared" si="17"/>
        <v>8146.5</v>
      </c>
      <c r="G72" s="288">
        <f t="shared" si="18"/>
        <v>14273.720000000001</v>
      </c>
      <c r="H72" s="288">
        <f t="shared" si="2"/>
        <v>74620.439999999988</v>
      </c>
      <c r="I72" s="410">
        <f t="shared" si="3"/>
        <v>1</v>
      </c>
      <c r="J72" s="288">
        <f t="shared" si="19"/>
        <v>350598.26</v>
      </c>
      <c r="K72" s="288">
        <f t="shared" si="41"/>
        <v>2298.4699999999998</v>
      </c>
      <c r="L72" s="288">
        <f t="shared" si="33"/>
        <v>326.34999999999991</v>
      </c>
      <c r="M72" s="288">
        <f t="shared" si="42"/>
        <v>1972.12</v>
      </c>
      <c r="N72" s="288">
        <f t="shared" si="22"/>
        <v>4103.0899999999965</v>
      </c>
      <c r="O72" s="288">
        <f t="shared" si="23"/>
        <v>25777.019999999997</v>
      </c>
      <c r="P72" s="288">
        <f t="shared" si="4"/>
        <v>350271.91000000003</v>
      </c>
      <c r="Q72" s="499">
        <f t="shared" si="5"/>
        <v>46119</v>
      </c>
      <c r="R72" s="288">
        <f t="shared" si="40"/>
        <v>342866.89999999997</v>
      </c>
      <c r="S72" s="492">
        <f t="shared" si="24"/>
        <v>3.7499999999999999E-2</v>
      </c>
      <c r="T72" s="288">
        <f t="shared" si="7"/>
        <v>2050.06</v>
      </c>
      <c r="U72" s="288">
        <f t="shared" si="43"/>
        <v>978.59999999999991</v>
      </c>
      <c r="V72" s="288">
        <f t="shared" si="9"/>
        <v>1071.46</v>
      </c>
      <c r="W72" s="288">
        <f t="shared" si="36"/>
        <v>0</v>
      </c>
      <c r="X72" s="288">
        <f t="shared" si="37"/>
        <v>0</v>
      </c>
      <c r="Y72" s="288">
        <f t="shared" si="44"/>
        <v>2050.06</v>
      </c>
      <c r="Z72" s="288">
        <f t="shared" si="45"/>
        <v>12486.699999999999</v>
      </c>
      <c r="AA72" s="288">
        <f t="shared" si="46"/>
        <v>14164.079999999998</v>
      </c>
      <c r="AB72" s="288">
        <f t="shared" si="13"/>
        <v>341888.3</v>
      </c>
      <c r="AC72" s="410">
        <f t="shared" si="25"/>
        <v>12</v>
      </c>
      <c r="AD72" s="510">
        <f t="shared" si="26"/>
        <v>3229.3299999999981</v>
      </c>
      <c r="AE72" s="510">
        <f t="shared" si="38"/>
        <v>267267.86</v>
      </c>
      <c r="AF72" s="510">
        <f t="shared" si="39"/>
        <v>270497.19</v>
      </c>
      <c r="AG72" s="510">
        <f t="shared" si="27"/>
        <v>1667.9499999999998</v>
      </c>
      <c r="AH72" s="510">
        <f t="shared" si="28"/>
        <v>355818.7</v>
      </c>
      <c r="AI72" s="510"/>
      <c r="AJ72" s="14">
        <f t="shared" si="47"/>
        <v>1667.9499999999998</v>
      </c>
      <c r="AK72" s="14">
        <f t="shared" si="49"/>
        <v>17098.030000000002</v>
      </c>
      <c r="AL72" s="510">
        <f>IF(R72&lt;=0,0,+(Profit!$B$4+AM71)*$AL$1/12)</f>
        <v>966.01495960641307</v>
      </c>
      <c r="AM72" s="14">
        <f t="shared" si="31"/>
        <v>12371.998802171658</v>
      </c>
      <c r="AO72" s="470"/>
    </row>
    <row r="73" spans="1:41" x14ac:dyDescent="0.25">
      <c r="A73" s="499">
        <f t="shared" si="15"/>
        <v>46149</v>
      </c>
      <c r="B73" s="288">
        <f t="shared" si="16"/>
        <v>74620.439999999988</v>
      </c>
      <c r="C73" s="14">
        <f t="shared" si="0"/>
        <v>382.11</v>
      </c>
      <c r="D73" s="14">
        <f t="shared" si="32"/>
        <v>148.92000000000002</v>
      </c>
      <c r="E73" s="14">
        <f t="shared" si="1"/>
        <v>233.19</v>
      </c>
      <c r="F73" s="288">
        <f t="shared" si="17"/>
        <v>8295.42</v>
      </c>
      <c r="G73" s="288">
        <f t="shared" si="18"/>
        <v>14506.910000000002</v>
      </c>
      <c r="H73" s="288">
        <f t="shared" si="2"/>
        <v>74471.51999999999</v>
      </c>
      <c r="I73" s="410">
        <f t="shared" si="3"/>
        <v>1</v>
      </c>
      <c r="J73" s="288">
        <f t="shared" si="19"/>
        <v>350271.91000000003</v>
      </c>
      <c r="K73" s="288">
        <f t="shared" si="41"/>
        <v>2298.4699999999998</v>
      </c>
      <c r="L73" s="288">
        <f t="shared" si="33"/>
        <v>328.18999999999983</v>
      </c>
      <c r="M73" s="288">
        <f t="shared" si="42"/>
        <v>1970.28</v>
      </c>
      <c r="N73" s="288">
        <f t="shared" si="22"/>
        <v>4431.2799999999961</v>
      </c>
      <c r="O73" s="288">
        <f t="shared" si="23"/>
        <v>27747.299999999996</v>
      </c>
      <c r="P73" s="288">
        <f t="shared" si="4"/>
        <v>349943.72000000003</v>
      </c>
      <c r="Q73" s="499">
        <f t="shared" si="5"/>
        <v>46149</v>
      </c>
      <c r="R73" s="288">
        <f t="shared" si="40"/>
        <v>341888.3</v>
      </c>
      <c r="S73" s="492">
        <f t="shared" si="24"/>
        <v>3.7499999999999999E-2</v>
      </c>
      <c r="T73" s="288">
        <f t="shared" si="7"/>
        <v>2050.06</v>
      </c>
      <c r="U73" s="288">
        <f t="shared" si="43"/>
        <v>981.65999999999985</v>
      </c>
      <c r="V73" s="288">
        <f t="shared" si="9"/>
        <v>1068.4000000000001</v>
      </c>
      <c r="W73" s="288">
        <f t="shared" si="36"/>
        <v>0</v>
      </c>
      <c r="X73" s="288">
        <f t="shared" si="37"/>
        <v>0</v>
      </c>
      <c r="Y73" s="288">
        <f t="shared" si="44"/>
        <v>2050.06</v>
      </c>
      <c r="Z73" s="288">
        <f t="shared" si="45"/>
        <v>13468.359999999999</v>
      </c>
      <c r="AA73" s="288">
        <f t="shared" si="46"/>
        <v>15232.479999999998</v>
      </c>
      <c r="AB73" s="288">
        <f t="shared" si="13"/>
        <v>340906.64</v>
      </c>
      <c r="AC73" s="410">
        <f t="shared" si="25"/>
        <v>13</v>
      </c>
      <c r="AD73" s="510">
        <f t="shared" si="26"/>
        <v>3477.739999999998</v>
      </c>
      <c r="AE73" s="510">
        <f t="shared" si="38"/>
        <v>266435.12</v>
      </c>
      <c r="AF73" s="510">
        <f t="shared" si="39"/>
        <v>269912.86</v>
      </c>
      <c r="AG73" s="510">
        <f t="shared" si="27"/>
        <v>1667.9499999999998</v>
      </c>
      <c r="AH73" s="510">
        <f t="shared" si="28"/>
        <v>354985.96</v>
      </c>
      <c r="AI73" s="510"/>
      <c r="AJ73" s="14">
        <f t="shared" si="47"/>
        <v>1667.9499999999998</v>
      </c>
      <c r="AK73" s="14">
        <f t="shared" si="49"/>
        <v>18765.980000000003</v>
      </c>
      <c r="AL73" s="510">
        <f>IF(R73&lt;=0,0,+(Profit!$B$4+AM72)*$AL$1/12)</f>
        <v>968.42999700542907</v>
      </c>
      <c r="AM73" s="14">
        <f t="shared" si="31"/>
        <v>13340.428799177087</v>
      </c>
    </row>
    <row r="74" spans="1:41" ht="15.75" thickBot="1" x14ac:dyDescent="0.3">
      <c r="A74" s="502">
        <f t="shared" si="15"/>
        <v>46179</v>
      </c>
      <c r="B74" s="343">
        <f t="shared" si="16"/>
        <v>74471.51999999999</v>
      </c>
      <c r="C74" s="21">
        <f t="shared" si="0"/>
        <v>382.11</v>
      </c>
      <c r="D74" s="21">
        <f t="shared" si="32"/>
        <v>149.39000000000001</v>
      </c>
      <c r="E74" s="21">
        <f t="shared" si="1"/>
        <v>232.72</v>
      </c>
      <c r="F74" s="343">
        <f t="shared" si="17"/>
        <v>8444.81</v>
      </c>
      <c r="G74" s="343">
        <f t="shared" si="18"/>
        <v>14739.630000000001</v>
      </c>
      <c r="H74" s="343">
        <f t="shared" si="2"/>
        <v>74322.12999999999</v>
      </c>
      <c r="I74" s="411">
        <f t="shared" si="3"/>
        <v>1</v>
      </c>
      <c r="J74" s="343">
        <f t="shared" si="19"/>
        <v>349943.72000000003</v>
      </c>
      <c r="K74" s="343">
        <f t="shared" si="41"/>
        <v>2298.4699999999998</v>
      </c>
      <c r="L74" s="343">
        <f t="shared" si="33"/>
        <v>330.03999999999974</v>
      </c>
      <c r="M74" s="343">
        <f t="shared" si="42"/>
        <v>1968.43</v>
      </c>
      <c r="N74" s="343">
        <f t="shared" si="22"/>
        <v>4761.3199999999961</v>
      </c>
      <c r="O74" s="343">
        <f t="shared" si="23"/>
        <v>29715.729999999996</v>
      </c>
      <c r="P74" s="343">
        <f t="shared" si="4"/>
        <v>349613.68000000005</v>
      </c>
      <c r="Q74" s="502">
        <f t="shared" si="5"/>
        <v>46179</v>
      </c>
      <c r="R74" s="343">
        <f t="shared" si="40"/>
        <v>340906.64</v>
      </c>
      <c r="S74" s="493">
        <f t="shared" si="24"/>
        <v>3.7499999999999999E-2</v>
      </c>
      <c r="T74" s="343">
        <f t="shared" si="7"/>
        <v>2050.06</v>
      </c>
      <c r="U74" s="343">
        <f t="shared" si="43"/>
        <v>984.73</v>
      </c>
      <c r="V74" s="343">
        <f t="shared" si="9"/>
        <v>1065.33</v>
      </c>
      <c r="W74" s="343">
        <f t="shared" si="36"/>
        <v>0</v>
      </c>
      <c r="X74" s="343">
        <f t="shared" si="37"/>
        <v>0</v>
      </c>
      <c r="Y74" s="343">
        <f t="shared" si="44"/>
        <v>2050.06</v>
      </c>
      <c r="Z74" s="343">
        <f t="shared" si="45"/>
        <v>14453.089999999998</v>
      </c>
      <c r="AA74" s="343">
        <f t="shared" si="46"/>
        <v>16297.809999999998</v>
      </c>
      <c r="AB74" s="343">
        <f t="shared" si="13"/>
        <v>339921.91000000003</v>
      </c>
      <c r="AC74" s="411">
        <f t="shared" si="25"/>
        <v>14</v>
      </c>
      <c r="AD74" s="511">
        <f t="shared" si="26"/>
        <v>3726.1499999999978</v>
      </c>
      <c r="AE74" s="511">
        <f t="shared" si="38"/>
        <v>265599.78000000003</v>
      </c>
      <c r="AF74" s="511">
        <f t="shared" si="39"/>
        <v>269325.93000000005</v>
      </c>
      <c r="AG74" s="511">
        <f t="shared" si="27"/>
        <v>1667.9499999999998</v>
      </c>
      <c r="AH74" s="511">
        <f t="shared" si="28"/>
        <v>354150.62</v>
      </c>
      <c r="AI74" s="511"/>
      <c r="AJ74" s="21">
        <f t="shared" si="47"/>
        <v>1667.9499999999998</v>
      </c>
      <c r="AK74" s="21">
        <f t="shared" si="49"/>
        <v>20433.930000000004</v>
      </c>
      <c r="AL74" s="511">
        <f>IF(R74&lt;=0,0,+(Profit!$B$4+AM73)*$AL$1/12)</f>
        <v>970.85107199794277</v>
      </c>
      <c r="AM74" s="21">
        <f t="shared" si="31"/>
        <v>14311.279871175029</v>
      </c>
    </row>
    <row r="75" spans="1:41" x14ac:dyDescent="0.25">
      <c r="A75" s="499">
        <f t="shared" si="15"/>
        <v>46209</v>
      </c>
      <c r="B75" s="288">
        <f t="shared" si="16"/>
        <v>74322.12999999999</v>
      </c>
      <c r="C75" s="14">
        <f t="shared" si="0"/>
        <v>382.11</v>
      </c>
      <c r="D75" s="14">
        <f t="shared" si="32"/>
        <v>149.85000000000002</v>
      </c>
      <c r="E75" s="14">
        <f t="shared" si="1"/>
        <v>232.26</v>
      </c>
      <c r="F75" s="288">
        <f t="shared" si="17"/>
        <v>8594.66</v>
      </c>
      <c r="G75" s="288">
        <f t="shared" si="18"/>
        <v>14971.890000000001</v>
      </c>
      <c r="H75" s="288">
        <f t="shared" si="2"/>
        <v>74172.279999999984</v>
      </c>
      <c r="I75" s="410">
        <f t="shared" si="3"/>
        <v>1</v>
      </c>
      <c r="J75" s="288">
        <f t="shared" si="19"/>
        <v>349613.68000000005</v>
      </c>
      <c r="K75" s="288">
        <f t="shared" si="41"/>
        <v>2298.4699999999998</v>
      </c>
      <c r="L75" s="288">
        <f t="shared" si="33"/>
        <v>331.88999999999987</v>
      </c>
      <c r="M75" s="288">
        <f t="shared" si="42"/>
        <v>1966.58</v>
      </c>
      <c r="N75" s="288">
        <f t="shared" si="22"/>
        <v>5093.2099999999955</v>
      </c>
      <c r="O75" s="288">
        <f t="shared" si="23"/>
        <v>31682.309999999998</v>
      </c>
      <c r="P75" s="288">
        <f t="shared" si="4"/>
        <v>349281.79000000004</v>
      </c>
      <c r="Q75" s="499">
        <f t="shared" si="5"/>
        <v>46209</v>
      </c>
      <c r="R75" s="288">
        <f t="shared" si="40"/>
        <v>339921.91000000003</v>
      </c>
      <c r="S75" s="492">
        <f t="shared" si="24"/>
        <v>3.7499999999999999E-2</v>
      </c>
      <c r="T75" s="288">
        <f t="shared" si="7"/>
        <v>2050.06</v>
      </c>
      <c r="U75" s="288">
        <f t="shared" si="43"/>
        <v>987.8</v>
      </c>
      <c r="V75" s="288">
        <f t="shared" si="9"/>
        <v>1062.26</v>
      </c>
      <c r="W75" s="288">
        <f t="shared" si="36"/>
        <v>0</v>
      </c>
      <c r="X75" s="288">
        <f t="shared" si="37"/>
        <v>0</v>
      </c>
      <c r="Y75" s="288">
        <f t="shared" si="44"/>
        <v>2050.06</v>
      </c>
      <c r="Z75" s="288">
        <f t="shared" si="45"/>
        <v>15440.889999999998</v>
      </c>
      <c r="AA75" s="288">
        <f t="shared" si="46"/>
        <v>17360.069999999996</v>
      </c>
      <c r="AB75" s="288">
        <f t="shared" si="13"/>
        <v>338934.11000000004</v>
      </c>
      <c r="AC75" s="410">
        <f t="shared" si="25"/>
        <v>15</v>
      </c>
      <c r="AD75" s="510">
        <f t="shared" si="26"/>
        <v>3974.5599999999977</v>
      </c>
      <c r="AE75" s="510">
        <f t="shared" si="38"/>
        <v>264761.83000000007</v>
      </c>
      <c r="AF75" s="510">
        <f t="shared" si="39"/>
        <v>268736.39000000007</v>
      </c>
      <c r="AG75" s="510">
        <f t="shared" si="27"/>
        <v>1667.9499999999998</v>
      </c>
      <c r="AH75" s="510">
        <f t="shared" si="28"/>
        <v>353312.67</v>
      </c>
      <c r="AI75" s="510"/>
      <c r="AJ75" s="14">
        <f t="shared" si="47"/>
        <v>1667.9499999999998</v>
      </c>
      <c r="AK75" s="14">
        <f t="shared" si="49"/>
        <v>22101.880000000005</v>
      </c>
      <c r="AL75" s="510">
        <f>IF(R75&lt;=0,0,+(Profit!$B$4+AM74)*$AL$1/12)</f>
        <v>973.27819967793755</v>
      </c>
      <c r="AM75" s="14">
        <f t="shared" si="31"/>
        <v>15284.558070852967</v>
      </c>
    </row>
    <row r="76" spans="1:41" x14ac:dyDescent="0.25">
      <c r="A76" s="499">
        <f t="shared" si="15"/>
        <v>46239</v>
      </c>
      <c r="B76" s="288">
        <f t="shared" si="16"/>
        <v>74172.279999999984</v>
      </c>
      <c r="C76" s="14">
        <f t="shared" si="0"/>
        <v>382.11</v>
      </c>
      <c r="D76" s="14">
        <f t="shared" si="32"/>
        <v>150.32000000000002</v>
      </c>
      <c r="E76" s="14">
        <f t="shared" si="1"/>
        <v>231.79</v>
      </c>
      <c r="F76" s="288">
        <f t="shared" si="17"/>
        <v>8744.98</v>
      </c>
      <c r="G76" s="288">
        <f t="shared" si="18"/>
        <v>15203.680000000002</v>
      </c>
      <c r="H76" s="288">
        <f t="shared" si="2"/>
        <v>74021.959999999977</v>
      </c>
      <c r="I76" s="410">
        <f t="shared" si="3"/>
        <v>1</v>
      </c>
      <c r="J76" s="288">
        <f t="shared" si="19"/>
        <v>349281.79000000004</v>
      </c>
      <c r="K76" s="288">
        <f t="shared" si="41"/>
        <v>2298.4699999999998</v>
      </c>
      <c r="L76" s="288">
        <f t="shared" si="33"/>
        <v>333.75999999999976</v>
      </c>
      <c r="M76" s="288">
        <f t="shared" si="42"/>
        <v>1964.71</v>
      </c>
      <c r="N76" s="288">
        <f t="shared" si="22"/>
        <v>5426.9699999999957</v>
      </c>
      <c r="O76" s="288">
        <f t="shared" si="23"/>
        <v>33647.019999999997</v>
      </c>
      <c r="P76" s="288">
        <f t="shared" si="4"/>
        <v>348948.03</v>
      </c>
      <c r="Q76" s="499">
        <f t="shared" si="5"/>
        <v>46239</v>
      </c>
      <c r="R76" s="288">
        <f t="shared" si="40"/>
        <v>338934.11000000004</v>
      </c>
      <c r="S76" s="492">
        <f t="shared" si="24"/>
        <v>3.7499999999999999E-2</v>
      </c>
      <c r="T76" s="288">
        <f t="shared" si="7"/>
        <v>2050.06</v>
      </c>
      <c r="U76" s="288">
        <f t="shared" si="43"/>
        <v>990.88999999999987</v>
      </c>
      <c r="V76" s="288">
        <f t="shared" si="9"/>
        <v>1059.17</v>
      </c>
      <c r="W76" s="288">
        <f t="shared" si="36"/>
        <v>0</v>
      </c>
      <c r="X76" s="288">
        <f t="shared" si="37"/>
        <v>0</v>
      </c>
      <c r="Y76" s="288">
        <f t="shared" si="44"/>
        <v>2050.06</v>
      </c>
      <c r="Z76" s="288">
        <f t="shared" si="45"/>
        <v>16431.78</v>
      </c>
      <c r="AA76" s="288">
        <f t="shared" si="46"/>
        <v>18419.239999999998</v>
      </c>
      <c r="AB76" s="288">
        <f t="shared" si="13"/>
        <v>337943.22000000003</v>
      </c>
      <c r="AC76" s="410">
        <f t="shared" si="25"/>
        <v>16</v>
      </c>
      <c r="AD76" s="510">
        <f t="shared" si="26"/>
        <v>4222.9699999999975</v>
      </c>
      <c r="AE76" s="510">
        <f t="shared" si="38"/>
        <v>263921.26000000007</v>
      </c>
      <c r="AF76" s="510">
        <f t="shared" si="39"/>
        <v>268144.23000000004</v>
      </c>
      <c r="AG76" s="510">
        <f t="shared" si="27"/>
        <v>1667.9499999999998</v>
      </c>
      <c r="AH76" s="510">
        <f t="shared" si="28"/>
        <v>352472.1</v>
      </c>
      <c r="AI76" s="510"/>
      <c r="AJ76" s="14">
        <f t="shared" si="47"/>
        <v>1667.9499999999998</v>
      </c>
      <c r="AK76" s="14">
        <f t="shared" si="49"/>
        <v>23769.830000000005</v>
      </c>
      <c r="AL76" s="510">
        <f>IF(R76&lt;=0,0,+(Profit!$B$4+AM75)*$AL$1/12)</f>
        <v>975.71139517713243</v>
      </c>
      <c r="AM76" s="14">
        <f t="shared" si="31"/>
        <v>16260.269466030099</v>
      </c>
    </row>
    <row r="77" spans="1:41" x14ac:dyDescent="0.25">
      <c r="A77" s="499">
        <f t="shared" si="15"/>
        <v>46269</v>
      </c>
      <c r="B77" s="288">
        <f t="shared" si="16"/>
        <v>74021.959999999977</v>
      </c>
      <c r="C77" s="14">
        <f t="shared" si="0"/>
        <v>382.11</v>
      </c>
      <c r="D77" s="14">
        <f t="shared" si="32"/>
        <v>150.79000000000002</v>
      </c>
      <c r="E77" s="14">
        <f t="shared" si="1"/>
        <v>231.32</v>
      </c>
      <c r="F77" s="288">
        <f t="shared" si="17"/>
        <v>8895.77</v>
      </c>
      <c r="G77" s="288">
        <f t="shared" si="18"/>
        <v>15435.000000000002</v>
      </c>
      <c r="H77" s="288">
        <f t="shared" si="2"/>
        <v>73871.169999999984</v>
      </c>
      <c r="I77" s="410">
        <f t="shared" si="3"/>
        <v>1</v>
      </c>
      <c r="J77" s="288">
        <f t="shared" si="19"/>
        <v>348948.03</v>
      </c>
      <c r="K77" s="288">
        <f t="shared" si="41"/>
        <v>2298.4699999999998</v>
      </c>
      <c r="L77" s="288">
        <f t="shared" si="33"/>
        <v>335.63999999999987</v>
      </c>
      <c r="M77" s="288">
        <f t="shared" si="42"/>
        <v>1962.83</v>
      </c>
      <c r="N77" s="288">
        <f t="shared" si="22"/>
        <v>5762.6099999999951</v>
      </c>
      <c r="O77" s="288">
        <f t="shared" si="23"/>
        <v>35609.85</v>
      </c>
      <c r="P77" s="288">
        <f t="shared" si="4"/>
        <v>348612.39</v>
      </c>
      <c r="Q77" s="499">
        <f t="shared" si="5"/>
        <v>46269</v>
      </c>
      <c r="R77" s="288">
        <f t="shared" si="40"/>
        <v>337943.22000000003</v>
      </c>
      <c r="S77" s="492">
        <f t="shared" si="24"/>
        <v>3.7499999999999999E-2</v>
      </c>
      <c r="T77" s="288">
        <f t="shared" si="7"/>
        <v>2050.06</v>
      </c>
      <c r="U77" s="288">
        <f t="shared" si="43"/>
        <v>993.99</v>
      </c>
      <c r="V77" s="288">
        <f t="shared" si="9"/>
        <v>1056.07</v>
      </c>
      <c r="W77" s="288">
        <f t="shared" si="36"/>
        <v>0</v>
      </c>
      <c r="X77" s="288">
        <f t="shared" si="37"/>
        <v>0</v>
      </c>
      <c r="Y77" s="288">
        <f t="shared" si="44"/>
        <v>2050.06</v>
      </c>
      <c r="Z77" s="288">
        <f t="shared" si="45"/>
        <v>17425.77</v>
      </c>
      <c r="AA77" s="288">
        <f t="shared" si="46"/>
        <v>19475.309999999998</v>
      </c>
      <c r="AB77" s="288">
        <f t="shared" si="13"/>
        <v>336949.23000000004</v>
      </c>
      <c r="AC77" s="410">
        <f t="shared" si="25"/>
        <v>17</v>
      </c>
      <c r="AD77" s="510">
        <f t="shared" si="26"/>
        <v>4471.3799999999974</v>
      </c>
      <c r="AE77" s="510">
        <f t="shared" si="38"/>
        <v>263078.06000000006</v>
      </c>
      <c r="AF77" s="510">
        <f t="shared" si="39"/>
        <v>267549.44000000006</v>
      </c>
      <c r="AG77" s="510">
        <f t="shared" si="27"/>
        <v>1667.9499999999998</v>
      </c>
      <c r="AH77" s="510">
        <f t="shared" si="28"/>
        <v>351628.9</v>
      </c>
      <c r="AI77" s="510"/>
      <c r="AJ77" s="14">
        <f t="shared" si="47"/>
        <v>1667.9499999999998</v>
      </c>
      <c r="AK77" s="14">
        <f t="shared" si="49"/>
        <v>25437.780000000006</v>
      </c>
      <c r="AL77" s="510">
        <f>IF(R77&lt;=0,0,+(Profit!$B$4+AM76)*$AL$1/12)</f>
        <v>978.15067366507526</v>
      </c>
      <c r="AM77" s="14">
        <f t="shared" si="31"/>
        <v>17238.420139695172</v>
      </c>
    </row>
    <row r="78" spans="1:41" x14ac:dyDescent="0.25">
      <c r="A78" s="499">
        <f t="shared" si="15"/>
        <v>46299</v>
      </c>
      <c r="B78" s="288">
        <f t="shared" si="16"/>
        <v>73871.169999999984</v>
      </c>
      <c r="C78" s="14">
        <f t="shared" si="0"/>
        <v>382.11</v>
      </c>
      <c r="D78" s="14">
        <f t="shared" si="32"/>
        <v>151.26000000000002</v>
      </c>
      <c r="E78" s="14">
        <f t="shared" si="1"/>
        <v>230.85</v>
      </c>
      <c r="F78" s="288">
        <f t="shared" si="17"/>
        <v>9047.0300000000007</v>
      </c>
      <c r="G78" s="288">
        <f t="shared" si="18"/>
        <v>15665.850000000002</v>
      </c>
      <c r="H78" s="288">
        <f t="shared" si="2"/>
        <v>73719.909999999989</v>
      </c>
      <c r="I78" s="410">
        <f t="shared" si="3"/>
        <v>1</v>
      </c>
      <c r="J78" s="288">
        <f t="shared" si="19"/>
        <v>348612.39</v>
      </c>
      <c r="K78" s="288">
        <f t="shared" si="41"/>
        <v>2298.4699999999998</v>
      </c>
      <c r="L78" s="288">
        <f t="shared" si="33"/>
        <v>337.52999999999975</v>
      </c>
      <c r="M78" s="288">
        <f t="shared" si="42"/>
        <v>1960.94</v>
      </c>
      <c r="N78" s="288">
        <f t="shared" si="22"/>
        <v>6100.1399999999949</v>
      </c>
      <c r="O78" s="288">
        <f t="shared" si="23"/>
        <v>37570.79</v>
      </c>
      <c r="P78" s="288">
        <f t="shared" si="4"/>
        <v>348274.86</v>
      </c>
      <c r="Q78" s="499">
        <f t="shared" si="5"/>
        <v>46299</v>
      </c>
      <c r="R78" s="288">
        <f t="shared" si="40"/>
        <v>336949.23000000004</v>
      </c>
      <c r="S78" s="492">
        <f t="shared" si="24"/>
        <v>3.7499999999999999E-2</v>
      </c>
      <c r="T78" s="288">
        <f t="shared" si="7"/>
        <v>2050.06</v>
      </c>
      <c r="U78" s="288">
        <f t="shared" si="43"/>
        <v>997.08999999999992</v>
      </c>
      <c r="V78" s="288">
        <f t="shared" si="9"/>
        <v>1052.97</v>
      </c>
      <c r="W78" s="288">
        <f t="shared" si="36"/>
        <v>0</v>
      </c>
      <c r="X78" s="288">
        <f t="shared" si="37"/>
        <v>0</v>
      </c>
      <c r="Y78" s="288">
        <f t="shared" si="44"/>
        <v>2050.06</v>
      </c>
      <c r="Z78" s="288">
        <f t="shared" si="45"/>
        <v>18422.86</v>
      </c>
      <c r="AA78" s="288">
        <f t="shared" si="46"/>
        <v>20528.28</v>
      </c>
      <c r="AB78" s="288">
        <f t="shared" si="13"/>
        <v>335952.14</v>
      </c>
      <c r="AC78" s="410">
        <f t="shared" si="25"/>
        <v>18</v>
      </c>
      <c r="AD78" s="510">
        <f t="shared" si="26"/>
        <v>4719.7899999999972</v>
      </c>
      <c r="AE78" s="510">
        <f t="shared" si="38"/>
        <v>262232.23000000004</v>
      </c>
      <c r="AF78" s="510">
        <f t="shared" si="39"/>
        <v>266952.02</v>
      </c>
      <c r="AG78" s="510">
        <f t="shared" si="27"/>
        <v>1667.9499999999998</v>
      </c>
      <c r="AH78" s="510">
        <f t="shared" si="28"/>
        <v>350783.07000000007</v>
      </c>
      <c r="AI78" s="510"/>
      <c r="AJ78" s="14">
        <f t="shared" si="47"/>
        <v>1667.9499999999998</v>
      </c>
      <c r="AK78" s="14">
        <f t="shared" si="49"/>
        <v>27105.730000000007</v>
      </c>
      <c r="AL78" s="510">
        <f>IF(R78&lt;=0,0,+(Profit!$B$4+AM77)*$AL$1/12)</f>
        <v>980.59605034923788</v>
      </c>
      <c r="AM78" s="14">
        <f t="shared" si="31"/>
        <v>18219.016190044411</v>
      </c>
    </row>
    <row r="79" spans="1:41" x14ac:dyDescent="0.25">
      <c r="A79" s="499">
        <f t="shared" si="15"/>
        <v>46329</v>
      </c>
      <c r="B79" s="288">
        <f t="shared" si="16"/>
        <v>73719.909999999989</v>
      </c>
      <c r="C79" s="14">
        <f t="shared" ref="C79:C142" si="50">IF(+$H78&lt;=0,0,$C$5)</f>
        <v>382.11</v>
      </c>
      <c r="D79" s="14">
        <f t="shared" si="32"/>
        <v>151.74</v>
      </c>
      <c r="E79" s="14">
        <f t="shared" ref="E79:E142" si="51">ROUND($B79*($C$3/12), 2)</f>
        <v>230.37</v>
      </c>
      <c r="F79" s="288">
        <f t="shared" si="17"/>
        <v>9198.77</v>
      </c>
      <c r="G79" s="288">
        <f t="shared" si="18"/>
        <v>15896.220000000003</v>
      </c>
      <c r="H79" s="288">
        <f t="shared" ref="H79:H142" si="52">+B79-D79</f>
        <v>73568.169999999984</v>
      </c>
      <c r="I79" s="410">
        <f t="shared" ref="I79:I142" si="53">IF(MOD(AC79,12)=0,AC79/12,I78)</f>
        <v>1</v>
      </c>
      <c r="J79" s="288">
        <f t="shared" si="19"/>
        <v>348274.86</v>
      </c>
      <c r="K79" s="288">
        <f t="shared" si="41"/>
        <v>2298.4699999999998</v>
      </c>
      <c r="L79" s="288">
        <f t="shared" si="33"/>
        <v>339.41999999999985</v>
      </c>
      <c r="M79" s="288">
        <f t="shared" si="42"/>
        <v>1959.05</v>
      </c>
      <c r="N79" s="288">
        <f t="shared" si="22"/>
        <v>6439.5599999999949</v>
      </c>
      <c r="O79" s="288">
        <f t="shared" si="23"/>
        <v>39529.840000000004</v>
      </c>
      <c r="P79" s="288">
        <f t="shared" ref="P79:P142" si="54">+J79-L79</f>
        <v>347935.44</v>
      </c>
      <c r="Q79" s="499">
        <f t="shared" ref="Q79:Q142" si="55">+A79</f>
        <v>46329</v>
      </c>
      <c r="R79" s="288">
        <f t="shared" si="40"/>
        <v>335952.14</v>
      </c>
      <c r="S79" s="492">
        <f t="shared" si="24"/>
        <v>3.7499999999999999E-2</v>
      </c>
      <c r="T79" s="288">
        <f t="shared" ref="T79:T142" si="56">IF($J$10&lt;=$A79,IF(+AB78&lt;=0,0,IF(S79=$T$9,$S$9,$S$10)),0)</f>
        <v>2050.06</v>
      </c>
      <c r="U79" s="288">
        <f t="shared" si="43"/>
        <v>1000.21</v>
      </c>
      <c r="V79" s="288">
        <f t="shared" ref="V79:V142" si="57">IF($J$10&lt;=$A79,ROUND(R79*(S79/12),2),0)</f>
        <v>1049.8499999999999</v>
      </c>
      <c r="W79" s="288">
        <f t="shared" si="36"/>
        <v>0</v>
      </c>
      <c r="X79" s="288">
        <f t="shared" si="37"/>
        <v>0</v>
      </c>
      <c r="Y79" s="288">
        <f t="shared" si="44"/>
        <v>2050.06</v>
      </c>
      <c r="Z79" s="288">
        <f t="shared" si="45"/>
        <v>19423.07</v>
      </c>
      <c r="AA79" s="288">
        <f t="shared" si="46"/>
        <v>21578.129999999997</v>
      </c>
      <c r="AB79" s="288">
        <f t="shared" ref="AB79:AB142" si="58">IF(Q79&lt;$J$10,$J$6,+R79-U79)</f>
        <v>334951.93</v>
      </c>
      <c r="AC79" s="410">
        <f t="shared" si="25"/>
        <v>19</v>
      </c>
      <c r="AD79" s="510">
        <f t="shared" si="26"/>
        <v>4968.1999999999971</v>
      </c>
      <c r="AE79" s="510">
        <f t="shared" si="38"/>
        <v>261383.76</v>
      </c>
      <c r="AF79" s="510">
        <f t="shared" si="39"/>
        <v>266351.96000000002</v>
      </c>
      <c r="AG79" s="510">
        <f t="shared" si="27"/>
        <v>1667.9499999999998</v>
      </c>
      <c r="AH79" s="510">
        <f t="shared" si="28"/>
        <v>349934.60000000003</v>
      </c>
      <c r="AI79" s="510"/>
      <c r="AJ79" s="14">
        <f t="shared" si="47"/>
        <v>1667.9499999999998</v>
      </c>
      <c r="AK79" s="14">
        <f t="shared" si="49"/>
        <v>28773.680000000008</v>
      </c>
      <c r="AL79" s="510">
        <f>IF(R79&lt;=0,0,+(Profit!$B$4+AM78)*$AL$1/12)</f>
        <v>983.04754047511096</v>
      </c>
      <c r="AM79" s="14">
        <f t="shared" si="31"/>
        <v>19202.063730519523</v>
      </c>
    </row>
    <row r="80" spans="1:41" x14ac:dyDescent="0.25">
      <c r="A80" s="499">
        <f t="shared" ref="A80:A143" si="59">IF(H80&lt;=0," ",+A79+30)</f>
        <v>46359</v>
      </c>
      <c r="B80" s="288">
        <f t="shared" ref="B80:B143" si="60">IF(+H79&lt;0,0,+H79)</f>
        <v>73568.169999999984</v>
      </c>
      <c r="C80" s="14">
        <f t="shared" si="50"/>
        <v>382.11</v>
      </c>
      <c r="D80" s="14">
        <f t="shared" si="32"/>
        <v>152.21</v>
      </c>
      <c r="E80" s="14">
        <f t="shared" si="51"/>
        <v>229.9</v>
      </c>
      <c r="F80" s="288">
        <f t="shared" ref="F80:F143" si="61">$D80+$F79</f>
        <v>9350.98</v>
      </c>
      <c r="G80" s="288">
        <f t="shared" ref="G80:G143" si="62">$E80+$G79</f>
        <v>16126.120000000003</v>
      </c>
      <c r="H80" s="288">
        <f t="shared" si="52"/>
        <v>73415.959999999977</v>
      </c>
      <c r="I80" s="410">
        <f t="shared" si="53"/>
        <v>1</v>
      </c>
      <c r="J80" s="288">
        <f t="shared" ref="J80:J143" si="63">IF(+P79&lt;0,0,+P79)</f>
        <v>347935.44</v>
      </c>
      <c r="K80" s="288">
        <f t="shared" si="41"/>
        <v>2298.4699999999998</v>
      </c>
      <c r="L80" s="288">
        <f t="shared" si="33"/>
        <v>341.3299999999997</v>
      </c>
      <c r="M80" s="288">
        <f t="shared" si="42"/>
        <v>1957.14</v>
      </c>
      <c r="N80" s="288">
        <f t="shared" ref="N80:N143" si="64">+L80+N79</f>
        <v>6780.8899999999949</v>
      </c>
      <c r="O80" s="288">
        <f t="shared" ref="O80:O143" si="65">+O79+M80</f>
        <v>41486.980000000003</v>
      </c>
      <c r="P80" s="288">
        <f t="shared" si="54"/>
        <v>347594.11</v>
      </c>
      <c r="Q80" s="499">
        <f t="shared" si="55"/>
        <v>46359</v>
      </c>
      <c r="R80" s="288">
        <f t="shared" si="40"/>
        <v>334951.93</v>
      </c>
      <c r="S80" s="492">
        <f t="shared" ref="S80:S143" si="66">IF(AC80&gt;60,$T$10,$T$9)</f>
        <v>3.7499999999999999E-2</v>
      </c>
      <c r="T80" s="288">
        <f t="shared" si="56"/>
        <v>2050.06</v>
      </c>
      <c r="U80" s="288">
        <f t="shared" si="43"/>
        <v>1003.3399999999999</v>
      </c>
      <c r="V80" s="288">
        <f t="shared" si="57"/>
        <v>1046.72</v>
      </c>
      <c r="W80" s="288">
        <f t="shared" si="36"/>
        <v>0</v>
      </c>
      <c r="X80" s="288">
        <f t="shared" si="37"/>
        <v>0</v>
      </c>
      <c r="Y80" s="288">
        <f t="shared" si="44"/>
        <v>2050.06</v>
      </c>
      <c r="Z80" s="288">
        <f t="shared" si="45"/>
        <v>20426.41</v>
      </c>
      <c r="AA80" s="288">
        <f t="shared" si="46"/>
        <v>22624.85</v>
      </c>
      <c r="AB80" s="288">
        <f t="shared" si="58"/>
        <v>333948.58999999997</v>
      </c>
      <c r="AC80" s="410">
        <f t="shared" ref="AC80:AC143" si="67">IF(J80&lt;&gt;"",IF(J80=$J$6,0,+AC79+1),0)</f>
        <v>20</v>
      </c>
      <c r="AD80" s="510">
        <f t="shared" ref="AD80:AD143" si="68">K80-T80+AD79</f>
        <v>5216.6099999999969</v>
      </c>
      <c r="AE80" s="510">
        <f t="shared" si="38"/>
        <v>260532.63</v>
      </c>
      <c r="AF80" s="510">
        <f t="shared" si="39"/>
        <v>265749.24</v>
      </c>
      <c r="AG80" s="510">
        <f t="shared" ref="AG80:AG143" si="69">IF(Q80&lt;=$C$10,0,+T80-$C80)</f>
        <v>1667.9499999999998</v>
      </c>
      <c r="AH80" s="510">
        <f t="shared" ref="AH80:AH143" si="70">IF(P80&lt;=0,0,+$T$5-$C$2+F80-Z80)</f>
        <v>349083.47000000003</v>
      </c>
      <c r="AI80" s="510"/>
      <c r="AJ80" s="14">
        <f t="shared" si="47"/>
        <v>1667.9499999999998</v>
      </c>
      <c r="AK80" s="14">
        <f t="shared" si="49"/>
        <v>30441.630000000008</v>
      </c>
      <c r="AL80" s="510">
        <f>IF(R80&lt;=0,0,+(Profit!$B$4+AM79)*$AL$1/12)</f>
        <v>985.50515932629878</v>
      </c>
      <c r="AM80" s="14">
        <f t="shared" ref="AM80:AM143" si="71">IF(P80&lt;=0,0,+AM79+AL80)</f>
        <v>20187.568889845821</v>
      </c>
    </row>
    <row r="81" spans="1:41" x14ac:dyDescent="0.25">
      <c r="A81" s="499">
        <f t="shared" si="59"/>
        <v>46389</v>
      </c>
      <c r="B81" s="288">
        <f t="shared" si="60"/>
        <v>73415.959999999977</v>
      </c>
      <c r="C81" s="14">
        <f t="shared" si="50"/>
        <v>382.11</v>
      </c>
      <c r="D81" s="14">
        <f t="shared" ref="D81:D144" si="72">+C81-E81</f>
        <v>152.69000000000003</v>
      </c>
      <c r="E81" s="14">
        <f t="shared" si="51"/>
        <v>229.42</v>
      </c>
      <c r="F81" s="288">
        <f t="shared" si="61"/>
        <v>9503.67</v>
      </c>
      <c r="G81" s="288">
        <f t="shared" si="62"/>
        <v>16355.540000000003</v>
      </c>
      <c r="H81" s="288">
        <f t="shared" si="52"/>
        <v>73263.269999999975</v>
      </c>
      <c r="I81" s="410">
        <f t="shared" si="53"/>
        <v>1</v>
      </c>
      <c r="J81" s="288">
        <f t="shared" si="63"/>
        <v>347594.11</v>
      </c>
      <c r="K81" s="288">
        <f t="shared" si="41"/>
        <v>2298.4699999999998</v>
      </c>
      <c r="L81" s="288">
        <f t="shared" ref="L81:L144" si="73">+K81-M81</f>
        <v>343.24999999999977</v>
      </c>
      <c r="M81" s="288">
        <f t="shared" si="42"/>
        <v>1955.22</v>
      </c>
      <c r="N81" s="288">
        <f t="shared" si="64"/>
        <v>7124.1399999999949</v>
      </c>
      <c r="O81" s="288">
        <f t="shared" si="65"/>
        <v>43442.200000000004</v>
      </c>
      <c r="P81" s="288">
        <f t="shared" si="54"/>
        <v>347250.86</v>
      </c>
      <c r="Q81" s="499">
        <f t="shared" si="55"/>
        <v>46389</v>
      </c>
      <c r="R81" s="288">
        <f t="shared" si="40"/>
        <v>333948.58999999997</v>
      </c>
      <c r="S81" s="492">
        <f t="shared" si="66"/>
        <v>3.7499999999999999E-2</v>
      </c>
      <c r="T81" s="288">
        <f t="shared" si="56"/>
        <v>2050.06</v>
      </c>
      <c r="U81" s="288">
        <f t="shared" si="43"/>
        <v>1006.47</v>
      </c>
      <c r="V81" s="288">
        <f t="shared" si="57"/>
        <v>1043.5899999999999</v>
      </c>
      <c r="W81" s="288">
        <f t="shared" si="36"/>
        <v>0</v>
      </c>
      <c r="X81" s="288">
        <f t="shared" si="37"/>
        <v>0</v>
      </c>
      <c r="Y81" s="288">
        <f t="shared" si="44"/>
        <v>2050.06</v>
      </c>
      <c r="Z81" s="288">
        <f t="shared" si="45"/>
        <v>21432.880000000001</v>
      </c>
      <c r="AA81" s="288">
        <f t="shared" si="46"/>
        <v>23668.44</v>
      </c>
      <c r="AB81" s="288">
        <f t="shared" si="58"/>
        <v>332942.12</v>
      </c>
      <c r="AC81" s="410">
        <f t="shared" si="67"/>
        <v>21</v>
      </c>
      <c r="AD81" s="510">
        <f t="shared" si="68"/>
        <v>5465.0199999999968</v>
      </c>
      <c r="AE81" s="510">
        <f t="shared" si="38"/>
        <v>259678.85000000003</v>
      </c>
      <c r="AF81" s="510">
        <f t="shared" si="39"/>
        <v>265143.87000000005</v>
      </c>
      <c r="AG81" s="510">
        <f t="shared" si="69"/>
        <v>1667.9499999999998</v>
      </c>
      <c r="AH81" s="510">
        <f t="shared" si="70"/>
        <v>348229.69</v>
      </c>
      <c r="AI81" s="510"/>
      <c r="AJ81" s="14">
        <f t="shared" si="47"/>
        <v>1667.9499999999998</v>
      </c>
      <c r="AK81" s="14">
        <f t="shared" si="49"/>
        <v>32109.580000000009</v>
      </c>
      <c r="AL81" s="510">
        <f>IF(R81&lt;=0,0,+(Profit!$B$4+AM80)*$AL$1/12)</f>
        <v>987.9689222246144</v>
      </c>
      <c r="AM81" s="14">
        <f t="shared" si="71"/>
        <v>21175.537812070437</v>
      </c>
    </row>
    <row r="82" spans="1:41" x14ac:dyDescent="0.25">
      <c r="A82" s="499">
        <f t="shared" si="59"/>
        <v>46419</v>
      </c>
      <c r="B82" s="288">
        <f t="shared" si="60"/>
        <v>73263.269999999975</v>
      </c>
      <c r="C82" s="14">
        <f t="shared" si="50"/>
        <v>382.11</v>
      </c>
      <c r="D82" s="14">
        <f t="shared" si="72"/>
        <v>153.16000000000003</v>
      </c>
      <c r="E82" s="14">
        <f t="shared" si="51"/>
        <v>228.95</v>
      </c>
      <c r="F82" s="288">
        <f t="shared" si="61"/>
        <v>9656.83</v>
      </c>
      <c r="G82" s="288">
        <f t="shared" si="62"/>
        <v>16584.490000000002</v>
      </c>
      <c r="H82" s="288">
        <f t="shared" si="52"/>
        <v>73110.109999999971</v>
      </c>
      <c r="I82" s="410">
        <f t="shared" si="53"/>
        <v>1</v>
      </c>
      <c r="J82" s="288">
        <f t="shared" si="63"/>
        <v>347250.86</v>
      </c>
      <c r="K82" s="288">
        <f t="shared" si="41"/>
        <v>2298.4699999999998</v>
      </c>
      <c r="L82" s="288">
        <f t="shared" si="73"/>
        <v>345.17999999999984</v>
      </c>
      <c r="M82" s="288">
        <f t="shared" si="42"/>
        <v>1953.29</v>
      </c>
      <c r="N82" s="288">
        <f t="shared" si="64"/>
        <v>7469.3199999999943</v>
      </c>
      <c r="O82" s="288">
        <f t="shared" si="65"/>
        <v>45395.490000000005</v>
      </c>
      <c r="P82" s="288">
        <f t="shared" si="54"/>
        <v>346905.68</v>
      </c>
      <c r="Q82" s="499">
        <f t="shared" si="55"/>
        <v>46419</v>
      </c>
      <c r="R82" s="288">
        <f t="shared" si="40"/>
        <v>332942.12</v>
      </c>
      <c r="S82" s="492">
        <f t="shared" si="66"/>
        <v>3.7499999999999999E-2</v>
      </c>
      <c r="T82" s="288">
        <f t="shared" si="56"/>
        <v>2050.06</v>
      </c>
      <c r="U82" s="288">
        <f t="shared" si="43"/>
        <v>1009.6199999999999</v>
      </c>
      <c r="V82" s="288">
        <f t="shared" si="57"/>
        <v>1040.44</v>
      </c>
      <c r="W82" s="288">
        <f t="shared" si="36"/>
        <v>0</v>
      </c>
      <c r="X82" s="288">
        <f t="shared" si="37"/>
        <v>0</v>
      </c>
      <c r="Y82" s="288">
        <f t="shared" si="44"/>
        <v>2050.06</v>
      </c>
      <c r="Z82" s="288">
        <f t="shared" si="45"/>
        <v>22442.5</v>
      </c>
      <c r="AA82" s="288">
        <f t="shared" si="46"/>
        <v>24708.879999999997</v>
      </c>
      <c r="AB82" s="288">
        <f t="shared" si="58"/>
        <v>331932.5</v>
      </c>
      <c r="AC82" s="410">
        <f t="shared" si="67"/>
        <v>22</v>
      </c>
      <c r="AD82" s="510">
        <f t="shared" si="68"/>
        <v>5713.4299999999967</v>
      </c>
      <c r="AE82" s="510">
        <f t="shared" si="38"/>
        <v>258822.39</v>
      </c>
      <c r="AF82" s="510">
        <f t="shared" si="39"/>
        <v>264535.82</v>
      </c>
      <c r="AG82" s="510">
        <f t="shared" si="69"/>
        <v>1667.9499999999998</v>
      </c>
      <c r="AH82" s="510">
        <f t="shared" si="70"/>
        <v>347373.23000000004</v>
      </c>
      <c r="AI82" s="510"/>
      <c r="AJ82" s="14">
        <f t="shared" si="47"/>
        <v>1667.9499999999998</v>
      </c>
      <c r="AK82" s="14">
        <f t="shared" si="49"/>
        <v>33777.530000000006</v>
      </c>
      <c r="AL82" s="510">
        <f>IF(R82&lt;=0,0,+(Profit!$B$4+AM81)*$AL$1/12)</f>
        <v>990.43884453017608</v>
      </c>
      <c r="AM82" s="14">
        <f t="shared" si="71"/>
        <v>22165.976656600615</v>
      </c>
    </row>
    <row r="83" spans="1:41" x14ac:dyDescent="0.25">
      <c r="A83" s="499">
        <f t="shared" si="59"/>
        <v>46449</v>
      </c>
      <c r="B83" s="288">
        <f t="shared" si="60"/>
        <v>73110.109999999971</v>
      </c>
      <c r="C83" s="14">
        <f t="shared" si="50"/>
        <v>382.11</v>
      </c>
      <c r="D83" s="14">
        <f t="shared" si="72"/>
        <v>153.64000000000001</v>
      </c>
      <c r="E83" s="14">
        <f t="shared" si="51"/>
        <v>228.47</v>
      </c>
      <c r="F83" s="288">
        <f t="shared" si="61"/>
        <v>9810.4699999999993</v>
      </c>
      <c r="G83" s="288">
        <f t="shared" si="62"/>
        <v>16812.960000000003</v>
      </c>
      <c r="H83" s="288">
        <f t="shared" si="52"/>
        <v>72956.469999999972</v>
      </c>
      <c r="I83" s="410">
        <f t="shared" si="53"/>
        <v>1</v>
      </c>
      <c r="J83" s="288">
        <f t="shared" si="63"/>
        <v>346905.68</v>
      </c>
      <c r="K83" s="288">
        <f t="shared" si="41"/>
        <v>2298.4699999999998</v>
      </c>
      <c r="L83" s="288">
        <f t="shared" si="73"/>
        <v>347.12999999999988</v>
      </c>
      <c r="M83" s="288">
        <f t="shared" si="42"/>
        <v>1951.34</v>
      </c>
      <c r="N83" s="288">
        <f t="shared" si="64"/>
        <v>7816.4499999999944</v>
      </c>
      <c r="O83" s="288">
        <f t="shared" si="65"/>
        <v>47346.83</v>
      </c>
      <c r="P83" s="288">
        <f t="shared" si="54"/>
        <v>346558.55</v>
      </c>
      <c r="Q83" s="499">
        <f t="shared" si="55"/>
        <v>46449</v>
      </c>
      <c r="R83" s="288">
        <f t="shared" si="40"/>
        <v>331932.5</v>
      </c>
      <c r="S83" s="492">
        <f t="shared" si="66"/>
        <v>3.7499999999999999E-2</v>
      </c>
      <c r="T83" s="288">
        <f t="shared" si="56"/>
        <v>2050.06</v>
      </c>
      <c r="U83" s="288">
        <f t="shared" si="43"/>
        <v>1012.77</v>
      </c>
      <c r="V83" s="288">
        <f t="shared" si="57"/>
        <v>1037.29</v>
      </c>
      <c r="W83" s="288">
        <f t="shared" si="36"/>
        <v>0</v>
      </c>
      <c r="X83" s="288">
        <f t="shared" si="37"/>
        <v>0</v>
      </c>
      <c r="Y83" s="288">
        <f t="shared" si="44"/>
        <v>2050.06</v>
      </c>
      <c r="Z83" s="288">
        <f t="shared" si="45"/>
        <v>23455.27</v>
      </c>
      <c r="AA83" s="288">
        <f t="shared" si="46"/>
        <v>25746.17</v>
      </c>
      <c r="AB83" s="288">
        <f t="shared" si="58"/>
        <v>330919.73</v>
      </c>
      <c r="AC83" s="410">
        <f t="shared" si="67"/>
        <v>23</v>
      </c>
      <c r="AD83" s="510">
        <f t="shared" si="68"/>
        <v>5961.8399999999965</v>
      </c>
      <c r="AE83" s="510">
        <f t="shared" si="38"/>
        <v>257963.26</v>
      </c>
      <c r="AF83" s="510">
        <f t="shared" si="39"/>
        <v>263925.09999999998</v>
      </c>
      <c r="AG83" s="510">
        <f t="shared" si="69"/>
        <v>1667.9499999999998</v>
      </c>
      <c r="AH83" s="510">
        <f t="shared" si="70"/>
        <v>346514.1</v>
      </c>
      <c r="AI83" s="510"/>
      <c r="AJ83" s="14">
        <f t="shared" si="47"/>
        <v>1667.9499999999998</v>
      </c>
      <c r="AK83" s="14">
        <f t="shared" si="49"/>
        <v>35445.480000000003</v>
      </c>
      <c r="AL83" s="510">
        <f>IF(R83&lt;=0,0,+(Profit!$B$4+AM82)*$AL$1/12)</f>
        <v>992.91494164150151</v>
      </c>
      <c r="AM83" s="14">
        <f t="shared" si="71"/>
        <v>23158.891598242117</v>
      </c>
      <c r="AO83" s="470"/>
    </row>
    <row r="84" spans="1:41" x14ac:dyDescent="0.25">
      <c r="A84" s="499">
        <f t="shared" si="59"/>
        <v>46479</v>
      </c>
      <c r="B84" s="288">
        <f t="shared" si="60"/>
        <v>72956.469999999972</v>
      </c>
      <c r="C84" s="14">
        <f t="shared" si="50"/>
        <v>382.11</v>
      </c>
      <c r="D84" s="14">
        <f t="shared" si="72"/>
        <v>154.12</v>
      </c>
      <c r="E84" s="14">
        <f t="shared" si="51"/>
        <v>227.99</v>
      </c>
      <c r="F84" s="288">
        <f t="shared" si="61"/>
        <v>9964.59</v>
      </c>
      <c r="G84" s="288">
        <f t="shared" si="62"/>
        <v>17040.950000000004</v>
      </c>
      <c r="H84" s="288">
        <f t="shared" si="52"/>
        <v>72802.349999999977</v>
      </c>
      <c r="I84" s="410">
        <f t="shared" si="53"/>
        <v>2</v>
      </c>
      <c r="J84" s="288">
        <f t="shared" si="63"/>
        <v>346558.55</v>
      </c>
      <c r="K84" s="288">
        <f t="shared" si="41"/>
        <v>2298.4699999999998</v>
      </c>
      <c r="L84" s="288">
        <f t="shared" si="73"/>
        <v>349.0799999999997</v>
      </c>
      <c r="M84" s="288">
        <f t="shared" si="42"/>
        <v>1949.39</v>
      </c>
      <c r="N84" s="288">
        <f t="shared" si="64"/>
        <v>8165.5299999999943</v>
      </c>
      <c r="O84" s="288">
        <f t="shared" si="65"/>
        <v>49296.22</v>
      </c>
      <c r="P84" s="288">
        <f t="shared" si="54"/>
        <v>346209.47</v>
      </c>
      <c r="Q84" s="499">
        <f t="shared" si="55"/>
        <v>46479</v>
      </c>
      <c r="R84" s="288">
        <f t="shared" si="40"/>
        <v>330919.73</v>
      </c>
      <c r="S84" s="492">
        <f t="shared" si="66"/>
        <v>3.7499999999999999E-2</v>
      </c>
      <c r="T84" s="288">
        <f t="shared" si="56"/>
        <v>2050.06</v>
      </c>
      <c r="U84" s="288">
        <f t="shared" si="43"/>
        <v>1015.94</v>
      </c>
      <c r="V84" s="288">
        <f t="shared" si="57"/>
        <v>1034.1199999999999</v>
      </c>
      <c r="W84" s="288">
        <f t="shared" si="36"/>
        <v>0</v>
      </c>
      <c r="X84" s="288">
        <f t="shared" si="37"/>
        <v>0</v>
      </c>
      <c r="Y84" s="288">
        <f t="shared" si="44"/>
        <v>2050.06</v>
      </c>
      <c r="Z84" s="288">
        <f t="shared" si="45"/>
        <v>24471.21</v>
      </c>
      <c r="AA84" s="288">
        <f t="shared" si="46"/>
        <v>26780.289999999997</v>
      </c>
      <c r="AB84" s="288">
        <f t="shared" si="58"/>
        <v>329903.78999999998</v>
      </c>
      <c r="AC84" s="410">
        <f t="shared" si="67"/>
        <v>24</v>
      </c>
      <c r="AD84" s="510">
        <f t="shared" si="68"/>
        <v>6210.2499999999964</v>
      </c>
      <c r="AE84" s="510">
        <f t="shared" si="38"/>
        <v>257101.44</v>
      </c>
      <c r="AF84" s="510">
        <f t="shared" si="39"/>
        <v>263311.69</v>
      </c>
      <c r="AG84" s="510">
        <f t="shared" si="69"/>
        <v>1667.9499999999998</v>
      </c>
      <c r="AH84" s="510">
        <f t="shared" si="70"/>
        <v>345652.28</v>
      </c>
      <c r="AI84" s="510"/>
      <c r="AJ84" s="14">
        <f t="shared" si="47"/>
        <v>1667.9499999999998</v>
      </c>
      <c r="AK84" s="14">
        <f t="shared" si="49"/>
        <v>37113.43</v>
      </c>
      <c r="AL84" s="510">
        <f>IF(R84&lt;=0,0,+(Profit!$B$4+AM83)*$AL$1/12)</f>
        <v>995.39722899560513</v>
      </c>
      <c r="AM84" s="14">
        <f t="shared" si="71"/>
        <v>24154.28882723772</v>
      </c>
      <c r="AO84" s="470"/>
    </row>
    <row r="85" spans="1:41" x14ac:dyDescent="0.25">
      <c r="A85" s="499">
        <f t="shared" si="59"/>
        <v>46509</v>
      </c>
      <c r="B85" s="288">
        <f t="shared" si="60"/>
        <v>72802.349999999977</v>
      </c>
      <c r="C85" s="14">
        <f t="shared" si="50"/>
        <v>382.11</v>
      </c>
      <c r="D85" s="14">
        <f t="shared" si="72"/>
        <v>154.60000000000002</v>
      </c>
      <c r="E85" s="14">
        <f t="shared" si="51"/>
        <v>227.51</v>
      </c>
      <c r="F85" s="288">
        <f t="shared" si="61"/>
        <v>10119.19</v>
      </c>
      <c r="G85" s="288">
        <f t="shared" si="62"/>
        <v>17268.460000000003</v>
      </c>
      <c r="H85" s="288">
        <f t="shared" si="52"/>
        <v>72647.749999999971</v>
      </c>
      <c r="I85" s="410">
        <f t="shared" si="53"/>
        <v>2</v>
      </c>
      <c r="J85" s="288">
        <f t="shared" si="63"/>
        <v>346209.47</v>
      </c>
      <c r="K85" s="288">
        <f t="shared" si="41"/>
        <v>2298.4699999999998</v>
      </c>
      <c r="L85" s="288">
        <f t="shared" si="73"/>
        <v>351.03999999999974</v>
      </c>
      <c r="M85" s="288">
        <f t="shared" si="42"/>
        <v>1947.43</v>
      </c>
      <c r="N85" s="288">
        <f t="shared" si="64"/>
        <v>8516.5699999999943</v>
      </c>
      <c r="O85" s="288">
        <f t="shared" si="65"/>
        <v>51243.65</v>
      </c>
      <c r="P85" s="288">
        <f t="shared" si="54"/>
        <v>345858.43</v>
      </c>
      <c r="Q85" s="499">
        <f t="shared" si="55"/>
        <v>46509</v>
      </c>
      <c r="R85" s="288">
        <f t="shared" si="40"/>
        <v>329903.78999999998</v>
      </c>
      <c r="S85" s="492">
        <f t="shared" si="66"/>
        <v>3.7499999999999999E-2</v>
      </c>
      <c r="T85" s="288">
        <f t="shared" si="56"/>
        <v>2050.06</v>
      </c>
      <c r="U85" s="288">
        <f t="shared" si="43"/>
        <v>1019.1099999999999</v>
      </c>
      <c r="V85" s="288">
        <f t="shared" si="57"/>
        <v>1030.95</v>
      </c>
      <c r="W85" s="288">
        <f t="shared" si="36"/>
        <v>0</v>
      </c>
      <c r="X85" s="288">
        <f t="shared" si="37"/>
        <v>0</v>
      </c>
      <c r="Y85" s="288">
        <f t="shared" si="44"/>
        <v>2050.06</v>
      </c>
      <c r="Z85" s="288">
        <f t="shared" si="45"/>
        <v>25490.32</v>
      </c>
      <c r="AA85" s="288">
        <f t="shared" si="46"/>
        <v>27811.239999999998</v>
      </c>
      <c r="AB85" s="288">
        <f t="shared" si="58"/>
        <v>328884.68</v>
      </c>
      <c r="AC85" s="410">
        <f t="shared" si="67"/>
        <v>25</v>
      </c>
      <c r="AD85" s="510">
        <f t="shared" si="68"/>
        <v>6458.6599999999962</v>
      </c>
      <c r="AE85" s="510">
        <f t="shared" si="38"/>
        <v>256236.93000000002</v>
      </c>
      <c r="AF85" s="510">
        <f t="shared" si="39"/>
        <v>262695.59000000003</v>
      </c>
      <c r="AG85" s="510">
        <f t="shared" si="69"/>
        <v>1667.9499999999998</v>
      </c>
      <c r="AH85" s="510">
        <f t="shared" si="70"/>
        <v>344787.77</v>
      </c>
      <c r="AI85" s="510"/>
      <c r="AJ85" s="14">
        <f t="shared" si="47"/>
        <v>1667.9499999999998</v>
      </c>
      <c r="AK85" s="14">
        <f t="shared" si="49"/>
        <v>38781.379999999997</v>
      </c>
      <c r="AL85" s="510">
        <f>IF(R85&lt;=0,0,+(Profit!$B$4+AM84)*$AL$1/12)</f>
        <v>997.88572206809431</v>
      </c>
      <c r="AM85" s="14">
        <f t="shared" si="71"/>
        <v>25152.174549305815</v>
      </c>
    </row>
    <row r="86" spans="1:41" ht="15.75" thickBot="1" x14ac:dyDescent="0.3">
      <c r="A86" s="502">
        <f t="shared" si="59"/>
        <v>46539</v>
      </c>
      <c r="B86" s="343">
        <f t="shared" si="60"/>
        <v>72647.749999999971</v>
      </c>
      <c r="C86" s="21">
        <f t="shared" si="50"/>
        <v>382.11</v>
      </c>
      <c r="D86" s="21">
        <f t="shared" si="72"/>
        <v>155.09</v>
      </c>
      <c r="E86" s="21">
        <f t="shared" si="51"/>
        <v>227.02</v>
      </c>
      <c r="F86" s="343">
        <f t="shared" si="61"/>
        <v>10274.280000000001</v>
      </c>
      <c r="G86" s="343">
        <f t="shared" si="62"/>
        <v>17495.480000000003</v>
      </c>
      <c r="H86" s="343">
        <f t="shared" si="52"/>
        <v>72492.659999999974</v>
      </c>
      <c r="I86" s="411">
        <f t="shared" si="53"/>
        <v>2</v>
      </c>
      <c r="J86" s="343">
        <f t="shared" si="63"/>
        <v>345858.43</v>
      </c>
      <c r="K86" s="343">
        <f t="shared" si="41"/>
        <v>2298.4699999999998</v>
      </c>
      <c r="L86" s="343">
        <f t="shared" si="73"/>
        <v>353.01999999999975</v>
      </c>
      <c r="M86" s="343">
        <f t="shared" si="42"/>
        <v>1945.45</v>
      </c>
      <c r="N86" s="343">
        <f t="shared" si="64"/>
        <v>8869.5899999999947</v>
      </c>
      <c r="O86" s="343">
        <f t="shared" si="65"/>
        <v>53189.1</v>
      </c>
      <c r="P86" s="343">
        <f t="shared" si="54"/>
        <v>345505.41</v>
      </c>
      <c r="Q86" s="502">
        <f t="shared" si="55"/>
        <v>46539</v>
      </c>
      <c r="R86" s="343">
        <f t="shared" si="40"/>
        <v>328884.68</v>
      </c>
      <c r="S86" s="493">
        <f t="shared" si="66"/>
        <v>3.7499999999999999E-2</v>
      </c>
      <c r="T86" s="343">
        <f t="shared" si="56"/>
        <v>2050.06</v>
      </c>
      <c r="U86" s="343">
        <f t="shared" si="43"/>
        <v>1022.3</v>
      </c>
      <c r="V86" s="343">
        <f t="shared" si="57"/>
        <v>1027.76</v>
      </c>
      <c r="W86" s="343">
        <f t="shared" si="36"/>
        <v>0</v>
      </c>
      <c r="X86" s="343">
        <f t="shared" si="37"/>
        <v>0</v>
      </c>
      <c r="Y86" s="343">
        <f t="shared" si="44"/>
        <v>2050.06</v>
      </c>
      <c r="Z86" s="343">
        <f t="shared" si="45"/>
        <v>26512.62</v>
      </c>
      <c r="AA86" s="343">
        <f t="shared" si="46"/>
        <v>28838.999999999996</v>
      </c>
      <c r="AB86" s="343">
        <f t="shared" si="58"/>
        <v>327862.38</v>
      </c>
      <c r="AC86" s="411">
        <f t="shared" si="67"/>
        <v>26</v>
      </c>
      <c r="AD86" s="511">
        <f t="shared" si="68"/>
        <v>6707.0699999999961</v>
      </c>
      <c r="AE86" s="511">
        <f t="shared" si="38"/>
        <v>255369.72000000003</v>
      </c>
      <c r="AF86" s="511">
        <f t="shared" si="39"/>
        <v>262076.79000000004</v>
      </c>
      <c r="AG86" s="511">
        <f t="shared" si="69"/>
        <v>1667.9499999999998</v>
      </c>
      <c r="AH86" s="511">
        <f t="shared" si="70"/>
        <v>343920.56000000006</v>
      </c>
      <c r="AI86" s="511"/>
      <c r="AJ86" s="21">
        <f t="shared" si="47"/>
        <v>1667.9499999999998</v>
      </c>
      <c r="AK86" s="21">
        <f t="shared" si="49"/>
        <v>40449.329999999994</v>
      </c>
      <c r="AL86" s="511">
        <f>IF(R86&lt;=0,0,+(Profit!$B$4+AM85)*$AL$1/12)</f>
        <v>1000.3804363732644</v>
      </c>
      <c r="AM86" s="21">
        <f t="shared" si="71"/>
        <v>26152.554985679079</v>
      </c>
    </row>
    <row r="87" spans="1:41" x14ac:dyDescent="0.25">
      <c r="A87" s="499">
        <f t="shared" si="59"/>
        <v>46569</v>
      </c>
      <c r="B87" s="288">
        <f t="shared" si="60"/>
        <v>72492.659999999974</v>
      </c>
      <c r="C87" s="14">
        <f t="shared" si="50"/>
        <v>382.11</v>
      </c>
      <c r="D87" s="14">
        <f t="shared" si="72"/>
        <v>155.57000000000002</v>
      </c>
      <c r="E87" s="14">
        <f t="shared" si="51"/>
        <v>226.54</v>
      </c>
      <c r="F87" s="288">
        <f t="shared" si="61"/>
        <v>10429.85</v>
      </c>
      <c r="G87" s="288">
        <f t="shared" si="62"/>
        <v>17722.020000000004</v>
      </c>
      <c r="H87" s="288">
        <f t="shared" si="52"/>
        <v>72337.089999999967</v>
      </c>
      <c r="I87" s="410">
        <f t="shared" si="53"/>
        <v>2</v>
      </c>
      <c r="J87" s="288">
        <f t="shared" si="63"/>
        <v>345505.41</v>
      </c>
      <c r="K87" s="288">
        <f t="shared" si="41"/>
        <v>2298.4699999999998</v>
      </c>
      <c r="L87" s="288">
        <f t="shared" si="73"/>
        <v>354.99999999999977</v>
      </c>
      <c r="M87" s="288">
        <f t="shared" si="42"/>
        <v>1943.47</v>
      </c>
      <c r="N87" s="288">
        <f t="shared" si="64"/>
        <v>9224.5899999999947</v>
      </c>
      <c r="O87" s="288">
        <f t="shared" si="65"/>
        <v>55132.57</v>
      </c>
      <c r="P87" s="288">
        <f t="shared" si="54"/>
        <v>345150.41</v>
      </c>
      <c r="Q87" s="499">
        <f t="shared" si="55"/>
        <v>46569</v>
      </c>
      <c r="R87" s="288">
        <f t="shared" si="40"/>
        <v>327862.38</v>
      </c>
      <c r="S87" s="492">
        <f t="shared" si="66"/>
        <v>3.7499999999999999E-2</v>
      </c>
      <c r="T87" s="288">
        <f t="shared" si="56"/>
        <v>2050.06</v>
      </c>
      <c r="U87" s="288">
        <f t="shared" si="43"/>
        <v>1025.49</v>
      </c>
      <c r="V87" s="288">
        <f t="shared" si="57"/>
        <v>1024.57</v>
      </c>
      <c r="W87" s="288">
        <f t="shared" si="36"/>
        <v>0</v>
      </c>
      <c r="X87" s="288">
        <f t="shared" si="37"/>
        <v>0</v>
      </c>
      <c r="Y87" s="288">
        <f t="shared" si="44"/>
        <v>2050.06</v>
      </c>
      <c r="Z87" s="288">
        <f t="shared" si="45"/>
        <v>27538.11</v>
      </c>
      <c r="AA87" s="288">
        <f t="shared" si="46"/>
        <v>29863.569999999996</v>
      </c>
      <c r="AB87" s="288">
        <f t="shared" si="58"/>
        <v>326836.89</v>
      </c>
      <c r="AC87" s="410">
        <f t="shared" si="67"/>
        <v>27</v>
      </c>
      <c r="AD87" s="510">
        <f t="shared" si="68"/>
        <v>6955.4799999999959</v>
      </c>
      <c r="AE87" s="510">
        <f t="shared" si="38"/>
        <v>254499.80000000005</v>
      </c>
      <c r="AF87" s="510">
        <f t="shared" si="39"/>
        <v>261455.28000000003</v>
      </c>
      <c r="AG87" s="510">
        <f t="shared" si="69"/>
        <v>1667.9499999999998</v>
      </c>
      <c r="AH87" s="510">
        <f t="shared" si="70"/>
        <v>343050.64</v>
      </c>
      <c r="AI87" s="510"/>
      <c r="AJ87" s="14">
        <f t="shared" si="47"/>
        <v>1667.9499999999998</v>
      </c>
      <c r="AK87" s="14">
        <f t="shared" si="49"/>
        <v>42117.279999999992</v>
      </c>
      <c r="AL87" s="510">
        <f>IF(R87&lt;=0,0,+(Profit!$B$4+AM86)*$AL$1/12)</f>
        <v>1002.8813874641977</v>
      </c>
      <c r="AM87" s="14">
        <f t="shared" si="71"/>
        <v>27155.436373143275</v>
      </c>
    </row>
    <row r="88" spans="1:41" x14ac:dyDescent="0.25">
      <c r="A88" s="499">
        <f t="shared" si="59"/>
        <v>46599</v>
      </c>
      <c r="B88" s="288">
        <f t="shared" si="60"/>
        <v>72337.089999999967</v>
      </c>
      <c r="C88" s="14">
        <f t="shared" si="50"/>
        <v>382.11</v>
      </c>
      <c r="D88" s="14">
        <f t="shared" si="72"/>
        <v>156.06</v>
      </c>
      <c r="E88" s="14">
        <f t="shared" si="51"/>
        <v>226.05</v>
      </c>
      <c r="F88" s="288">
        <f t="shared" si="61"/>
        <v>10585.91</v>
      </c>
      <c r="G88" s="288">
        <f t="shared" si="62"/>
        <v>17948.070000000003</v>
      </c>
      <c r="H88" s="288">
        <f t="shared" si="52"/>
        <v>72181.02999999997</v>
      </c>
      <c r="I88" s="410">
        <f t="shared" si="53"/>
        <v>2</v>
      </c>
      <c r="J88" s="288">
        <f t="shared" si="63"/>
        <v>345150.41</v>
      </c>
      <c r="K88" s="288">
        <f t="shared" si="41"/>
        <v>2298.4699999999998</v>
      </c>
      <c r="L88" s="288">
        <f t="shared" si="73"/>
        <v>356.99999999999977</v>
      </c>
      <c r="M88" s="288">
        <f t="shared" si="42"/>
        <v>1941.47</v>
      </c>
      <c r="N88" s="288">
        <f t="shared" si="64"/>
        <v>9581.5899999999947</v>
      </c>
      <c r="O88" s="288">
        <f t="shared" si="65"/>
        <v>57074.04</v>
      </c>
      <c r="P88" s="288">
        <f t="shared" si="54"/>
        <v>344793.41</v>
      </c>
      <c r="Q88" s="499">
        <f t="shared" si="55"/>
        <v>46599</v>
      </c>
      <c r="R88" s="288">
        <f t="shared" si="40"/>
        <v>326836.89</v>
      </c>
      <c r="S88" s="492">
        <f t="shared" si="66"/>
        <v>3.7499999999999999E-2</v>
      </c>
      <c r="T88" s="288">
        <f t="shared" si="56"/>
        <v>2050.06</v>
      </c>
      <c r="U88" s="288">
        <f t="shared" si="43"/>
        <v>1028.69</v>
      </c>
      <c r="V88" s="288">
        <f t="shared" si="57"/>
        <v>1021.37</v>
      </c>
      <c r="W88" s="288">
        <f t="shared" si="36"/>
        <v>0</v>
      </c>
      <c r="X88" s="288">
        <f t="shared" si="37"/>
        <v>0</v>
      </c>
      <c r="Y88" s="288">
        <f t="shared" si="44"/>
        <v>2050.06</v>
      </c>
      <c r="Z88" s="288">
        <f t="shared" si="45"/>
        <v>28566.799999999999</v>
      </c>
      <c r="AA88" s="288">
        <f t="shared" si="46"/>
        <v>30884.939999999995</v>
      </c>
      <c r="AB88" s="288">
        <f t="shared" si="58"/>
        <v>325808.2</v>
      </c>
      <c r="AC88" s="410">
        <f t="shared" si="67"/>
        <v>28</v>
      </c>
      <c r="AD88" s="510">
        <f t="shared" si="68"/>
        <v>7203.8899999999958</v>
      </c>
      <c r="AE88" s="510">
        <f t="shared" si="38"/>
        <v>253627.17000000004</v>
      </c>
      <c r="AF88" s="510">
        <f t="shared" si="39"/>
        <v>260831.06000000003</v>
      </c>
      <c r="AG88" s="510">
        <f t="shared" si="69"/>
        <v>1667.9499999999998</v>
      </c>
      <c r="AH88" s="510">
        <f t="shared" si="70"/>
        <v>342178.01</v>
      </c>
      <c r="AI88" s="510"/>
      <c r="AJ88" s="14">
        <f t="shared" si="47"/>
        <v>1667.9499999999998</v>
      </c>
      <c r="AK88" s="14">
        <f t="shared" si="49"/>
        <v>43785.229999999989</v>
      </c>
      <c r="AL88" s="510">
        <f>IF(R88&lt;=0,0,+(Profit!$B$4+AM87)*$AL$1/12)</f>
        <v>1005.3885909328582</v>
      </c>
      <c r="AM88" s="14">
        <f t="shared" si="71"/>
        <v>28160.824964076131</v>
      </c>
    </row>
    <row r="89" spans="1:41" x14ac:dyDescent="0.25">
      <c r="A89" s="499">
        <f t="shared" si="59"/>
        <v>46629</v>
      </c>
      <c r="B89" s="288">
        <f t="shared" si="60"/>
        <v>72181.02999999997</v>
      </c>
      <c r="C89" s="14">
        <f t="shared" si="50"/>
        <v>382.11</v>
      </c>
      <c r="D89" s="14">
        <f t="shared" si="72"/>
        <v>156.54000000000002</v>
      </c>
      <c r="E89" s="14">
        <f t="shared" si="51"/>
        <v>225.57</v>
      </c>
      <c r="F89" s="288">
        <f t="shared" si="61"/>
        <v>10742.45</v>
      </c>
      <c r="G89" s="288">
        <f t="shared" si="62"/>
        <v>18173.640000000003</v>
      </c>
      <c r="H89" s="288">
        <f t="shared" si="52"/>
        <v>72024.489999999976</v>
      </c>
      <c r="I89" s="410">
        <f t="shared" si="53"/>
        <v>2</v>
      </c>
      <c r="J89" s="288">
        <f t="shared" si="63"/>
        <v>344793.41</v>
      </c>
      <c r="K89" s="288">
        <f t="shared" si="41"/>
        <v>2298.4699999999998</v>
      </c>
      <c r="L89" s="288">
        <f t="shared" si="73"/>
        <v>359.00999999999976</v>
      </c>
      <c r="M89" s="288">
        <f t="shared" si="42"/>
        <v>1939.46</v>
      </c>
      <c r="N89" s="288">
        <f t="shared" si="64"/>
        <v>9940.5999999999949</v>
      </c>
      <c r="O89" s="288">
        <f t="shared" si="65"/>
        <v>59013.5</v>
      </c>
      <c r="P89" s="288">
        <f t="shared" si="54"/>
        <v>344434.39999999997</v>
      </c>
      <c r="Q89" s="499">
        <f t="shared" si="55"/>
        <v>46629</v>
      </c>
      <c r="R89" s="288">
        <f t="shared" si="40"/>
        <v>325808.2</v>
      </c>
      <c r="S89" s="492">
        <f t="shared" si="66"/>
        <v>3.7499999999999999E-2</v>
      </c>
      <c r="T89" s="288">
        <f t="shared" si="56"/>
        <v>2050.06</v>
      </c>
      <c r="U89" s="288">
        <f t="shared" si="43"/>
        <v>1031.9099999999999</v>
      </c>
      <c r="V89" s="288">
        <f t="shared" si="57"/>
        <v>1018.15</v>
      </c>
      <c r="W89" s="288">
        <f t="shared" si="36"/>
        <v>0</v>
      </c>
      <c r="X89" s="288">
        <f t="shared" si="37"/>
        <v>0</v>
      </c>
      <c r="Y89" s="288">
        <f t="shared" si="44"/>
        <v>2050.06</v>
      </c>
      <c r="Z89" s="288">
        <f t="shared" si="45"/>
        <v>29598.71</v>
      </c>
      <c r="AA89" s="288">
        <f t="shared" si="46"/>
        <v>31903.089999999997</v>
      </c>
      <c r="AB89" s="288">
        <f t="shared" si="58"/>
        <v>324776.29000000004</v>
      </c>
      <c r="AC89" s="410">
        <f t="shared" si="67"/>
        <v>29</v>
      </c>
      <c r="AD89" s="510">
        <f t="shared" si="68"/>
        <v>7452.2999999999956</v>
      </c>
      <c r="AE89" s="510">
        <f t="shared" si="38"/>
        <v>252751.80000000005</v>
      </c>
      <c r="AF89" s="510">
        <f t="shared" si="39"/>
        <v>260204.10000000003</v>
      </c>
      <c r="AG89" s="510">
        <f t="shared" si="69"/>
        <v>1667.9499999999998</v>
      </c>
      <c r="AH89" s="510">
        <f t="shared" si="70"/>
        <v>341302.64</v>
      </c>
      <c r="AI89" s="510"/>
      <c r="AJ89" s="14">
        <f t="shared" si="47"/>
        <v>1667.9499999999998</v>
      </c>
      <c r="AK89" s="14">
        <f t="shared" si="49"/>
        <v>45453.179999999986</v>
      </c>
      <c r="AL89" s="510">
        <f>IF(R89&lt;=0,0,+(Profit!$B$4+AM88)*$AL$1/12)</f>
        <v>1007.9020624101903</v>
      </c>
      <c r="AM89" s="14">
        <f t="shared" si="71"/>
        <v>29168.727026486322</v>
      </c>
    </row>
    <row r="90" spans="1:41" x14ac:dyDescent="0.25">
      <c r="A90" s="499">
        <f t="shared" si="59"/>
        <v>46659</v>
      </c>
      <c r="B90" s="288">
        <f t="shared" si="60"/>
        <v>72024.489999999976</v>
      </c>
      <c r="C90" s="14">
        <f t="shared" si="50"/>
        <v>382.11</v>
      </c>
      <c r="D90" s="14">
        <f t="shared" si="72"/>
        <v>157.03</v>
      </c>
      <c r="E90" s="14">
        <f t="shared" si="51"/>
        <v>225.08</v>
      </c>
      <c r="F90" s="288">
        <f t="shared" si="61"/>
        <v>10899.480000000001</v>
      </c>
      <c r="G90" s="288">
        <f t="shared" si="62"/>
        <v>18398.720000000005</v>
      </c>
      <c r="H90" s="288">
        <f t="shared" si="52"/>
        <v>71867.459999999977</v>
      </c>
      <c r="I90" s="410">
        <f t="shared" si="53"/>
        <v>2</v>
      </c>
      <c r="J90" s="288">
        <f t="shared" si="63"/>
        <v>344434.39999999997</v>
      </c>
      <c r="K90" s="288">
        <f t="shared" si="41"/>
        <v>2298.4699999999998</v>
      </c>
      <c r="L90" s="288">
        <f t="shared" si="73"/>
        <v>361.02999999999975</v>
      </c>
      <c r="M90" s="288">
        <f t="shared" si="42"/>
        <v>1937.44</v>
      </c>
      <c r="N90" s="288">
        <f t="shared" si="64"/>
        <v>10301.629999999994</v>
      </c>
      <c r="O90" s="288">
        <f t="shared" si="65"/>
        <v>60950.94</v>
      </c>
      <c r="P90" s="288">
        <f t="shared" si="54"/>
        <v>344073.36999999994</v>
      </c>
      <c r="Q90" s="499">
        <f t="shared" si="55"/>
        <v>46659</v>
      </c>
      <c r="R90" s="288">
        <f t="shared" si="40"/>
        <v>324776.29000000004</v>
      </c>
      <c r="S90" s="492">
        <f t="shared" si="66"/>
        <v>3.7499999999999999E-2</v>
      </c>
      <c r="T90" s="288">
        <f t="shared" si="56"/>
        <v>2050.06</v>
      </c>
      <c r="U90" s="288">
        <f t="shared" si="43"/>
        <v>1035.1300000000001</v>
      </c>
      <c r="V90" s="288">
        <f t="shared" si="57"/>
        <v>1014.93</v>
      </c>
      <c r="W90" s="288">
        <f t="shared" si="36"/>
        <v>0</v>
      </c>
      <c r="X90" s="288">
        <f t="shared" si="37"/>
        <v>0</v>
      </c>
      <c r="Y90" s="288">
        <f t="shared" si="44"/>
        <v>2050.06</v>
      </c>
      <c r="Z90" s="288">
        <f t="shared" si="45"/>
        <v>30633.84</v>
      </c>
      <c r="AA90" s="288">
        <f t="shared" si="46"/>
        <v>32918.019999999997</v>
      </c>
      <c r="AB90" s="288">
        <f t="shared" si="58"/>
        <v>323741.16000000003</v>
      </c>
      <c r="AC90" s="410">
        <f t="shared" si="67"/>
        <v>30</v>
      </c>
      <c r="AD90" s="510">
        <f t="shared" si="68"/>
        <v>7700.7099999999955</v>
      </c>
      <c r="AE90" s="510">
        <f t="shared" si="38"/>
        <v>251873.70000000007</v>
      </c>
      <c r="AF90" s="510">
        <f t="shared" si="39"/>
        <v>259574.41000000006</v>
      </c>
      <c r="AG90" s="510">
        <f t="shared" si="69"/>
        <v>1667.9499999999998</v>
      </c>
      <c r="AH90" s="510">
        <f t="shared" si="70"/>
        <v>340424.54</v>
      </c>
      <c r="AI90" s="510"/>
      <c r="AJ90" s="14">
        <f t="shared" si="47"/>
        <v>1667.9499999999998</v>
      </c>
      <c r="AK90" s="14">
        <f t="shared" si="49"/>
        <v>47121.129999999983</v>
      </c>
      <c r="AL90" s="510">
        <f>IF(R90&lt;=0,0,+(Profit!$B$4+AM89)*$AL$1/12)</f>
        <v>1010.4218175662157</v>
      </c>
      <c r="AM90" s="14">
        <f t="shared" si="71"/>
        <v>30179.148844052539</v>
      </c>
    </row>
    <row r="91" spans="1:41" x14ac:dyDescent="0.25">
      <c r="A91" s="499">
        <f t="shared" si="59"/>
        <v>46689</v>
      </c>
      <c r="B91" s="288">
        <f t="shared" si="60"/>
        <v>71867.459999999977</v>
      </c>
      <c r="C91" s="14">
        <f t="shared" si="50"/>
        <v>382.11</v>
      </c>
      <c r="D91" s="14">
        <f t="shared" si="72"/>
        <v>157.52000000000001</v>
      </c>
      <c r="E91" s="14">
        <f t="shared" si="51"/>
        <v>224.59</v>
      </c>
      <c r="F91" s="288">
        <f t="shared" si="61"/>
        <v>11057.000000000002</v>
      </c>
      <c r="G91" s="288">
        <f t="shared" si="62"/>
        <v>18623.310000000005</v>
      </c>
      <c r="H91" s="288">
        <f t="shared" si="52"/>
        <v>71709.939999999973</v>
      </c>
      <c r="I91" s="410">
        <f t="shared" si="53"/>
        <v>2</v>
      </c>
      <c r="J91" s="288">
        <f t="shared" si="63"/>
        <v>344073.36999999994</v>
      </c>
      <c r="K91" s="288">
        <f t="shared" si="41"/>
        <v>2298.4699999999998</v>
      </c>
      <c r="L91" s="288">
        <f t="shared" si="73"/>
        <v>363.05999999999972</v>
      </c>
      <c r="M91" s="288">
        <f t="shared" si="42"/>
        <v>1935.41</v>
      </c>
      <c r="N91" s="288">
        <f t="shared" si="64"/>
        <v>10664.689999999993</v>
      </c>
      <c r="O91" s="288">
        <f t="shared" si="65"/>
        <v>62886.350000000006</v>
      </c>
      <c r="P91" s="288">
        <f t="shared" si="54"/>
        <v>343710.30999999994</v>
      </c>
      <c r="Q91" s="499">
        <f t="shared" si="55"/>
        <v>46689</v>
      </c>
      <c r="R91" s="288">
        <f t="shared" si="40"/>
        <v>323741.16000000003</v>
      </c>
      <c r="S91" s="492">
        <f t="shared" si="66"/>
        <v>3.7499999999999999E-2</v>
      </c>
      <c r="T91" s="288">
        <f t="shared" si="56"/>
        <v>2050.06</v>
      </c>
      <c r="U91" s="288">
        <f t="shared" si="43"/>
        <v>1038.3699999999999</v>
      </c>
      <c r="V91" s="288">
        <f t="shared" si="57"/>
        <v>1011.69</v>
      </c>
      <c r="W91" s="288">
        <f t="shared" si="36"/>
        <v>0</v>
      </c>
      <c r="X91" s="288">
        <f t="shared" si="37"/>
        <v>0</v>
      </c>
      <c r="Y91" s="288">
        <f t="shared" si="44"/>
        <v>2050.06</v>
      </c>
      <c r="Z91" s="288">
        <f t="shared" si="45"/>
        <v>31672.21</v>
      </c>
      <c r="AA91" s="288">
        <f t="shared" si="46"/>
        <v>33929.71</v>
      </c>
      <c r="AB91" s="288">
        <f t="shared" si="58"/>
        <v>322702.79000000004</v>
      </c>
      <c r="AC91" s="410">
        <f t="shared" si="67"/>
        <v>31</v>
      </c>
      <c r="AD91" s="510">
        <f t="shared" si="68"/>
        <v>7949.1199999999953</v>
      </c>
      <c r="AE91" s="510">
        <f t="shared" si="38"/>
        <v>250992.85000000006</v>
      </c>
      <c r="AF91" s="510">
        <f t="shared" si="39"/>
        <v>258941.97000000006</v>
      </c>
      <c r="AG91" s="510">
        <f t="shared" si="69"/>
        <v>1667.9499999999998</v>
      </c>
      <c r="AH91" s="510">
        <f t="shared" si="70"/>
        <v>339543.69</v>
      </c>
      <c r="AI91" s="510"/>
      <c r="AJ91" s="14">
        <f t="shared" si="47"/>
        <v>1667.9499999999998</v>
      </c>
      <c r="AK91" s="14">
        <f t="shared" si="49"/>
        <v>48789.07999999998</v>
      </c>
      <c r="AL91" s="510">
        <f>IF(R91&lt;=0,0,+(Profit!$B$4+AM90)*$AL$1/12)</f>
        <v>1012.9478721101312</v>
      </c>
      <c r="AM91" s="14">
        <f t="shared" si="71"/>
        <v>31192.096716162669</v>
      </c>
    </row>
    <row r="92" spans="1:41" x14ac:dyDescent="0.25">
      <c r="A92" s="499">
        <f t="shared" si="59"/>
        <v>46719</v>
      </c>
      <c r="B92" s="288">
        <f t="shared" si="60"/>
        <v>71709.939999999973</v>
      </c>
      <c r="C92" s="14">
        <f t="shared" si="50"/>
        <v>382.11</v>
      </c>
      <c r="D92" s="14">
        <f t="shared" si="72"/>
        <v>158.02000000000001</v>
      </c>
      <c r="E92" s="14">
        <f t="shared" si="51"/>
        <v>224.09</v>
      </c>
      <c r="F92" s="288">
        <f t="shared" si="61"/>
        <v>11215.020000000002</v>
      </c>
      <c r="G92" s="288">
        <f t="shared" si="62"/>
        <v>18847.400000000005</v>
      </c>
      <c r="H92" s="288">
        <f t="shared" si="52"/>
        <v>71551.919999999969</v>
      </c>
      <c r="I92" s="410">
        <f t="shared" si="53"/>
        <v>2</v>
      </c>
      <c r="J92" s="288">
        <f t="shared" si="63"/>
        <v>343710.30999999994</v>
      </c>
      <c r="K92" s="288">
        <f t="shared" si="41"/>
        <v>2298.4699999999998</v>
      </c>
      <c r="L92" s="288">
        <f t="shared" si="73"/>
        <v>365.09999999999991</v>
      </c>
      <c r="M92" s="288">
        <f t="shared" si="42"/>
        <v>1933.37</v>
      </c>
      <c r="N92" s="288">
        <f t="shared" si="64"/>
        <v>11029.789999999994</v>
      </c>
      <c r="O92" s="288">
        <f t="shared" si="65"/>
        <v>64819.720000000008</v>
      </c>
      <c r="P92" s="288">
        <f t="shared" si="54"/>
        <v>343345.20999999996</v>
      </c>
      <c r="Q92" s="499">
        <f t="shared" si="55"/>
        <v>46719</v>
      </c>
      <c r="R92" s="288">
        <f t="shared" si="40"/>
        <v>322702.79000000004</v>
      </c>
      <c r="S92" s="492">
        <f t="shared" si="66"/>
        <v>3.7499999999999999E-2</v>
      </c>
      <c r="T92" s="288">
        <f t="shared" si="56"/>
        <v>2050.06</v>
      </c>
      <c r="U92" s="288">
        <f t="shared" si="43"/>
        <v>1041.6099999999999</v>
      </c>
      <c r="V92" s="288">
        <f t="shared" si="57"/>
        <v>1008.45</v>
      </c>
      <c r="W92" s="288">
        <f t="shared" si="36"/>
        <v>0</v>
      </c>
      <c r="X92" s="288">
        <f t="shared" si="37"/>
        <v>0</v>
      </c>
      <c r="Y92" s="288">
        <f t="shared" si="44"/>
        <v>2050.06</v>
      </c>
      <c r="Z92" s="288">
        <f t="shared" si="45"/>
        <v>32713.82</v>
      </c>
      <c r="AA92" s="288">
        <f t="shared" si="46"/>
        <v>34938.159999999996</v>
      </c>
      <c r="AB92" s="288">
        <f t="shared" si="58"/>
        <v>321661.18000000005</v>
      </c>
      <c r="AC92" s="410">
        <f t="shared" si="67"/>
        <v>32</v>
      </c>
      <c r="AD92" s="510">
        <f t="shared" si="68"/>
        <v>8197.5299999999952</v>
      </c>
      <c r="AE92" s="510">
        <f t="shared" si="38"/>
        <v>250109.26000000007</v>
      </c>
      <c r="AF92" s="510">
        <f t="shared" si="39"/>
        <v>258306.79000000007</v>
      </c>
      <c r="AG92" s="510">
        <f t="shared" si="69"/>
        <v>1667.9499999999998</v>
      </c>
      <c r="AH92" s="510">
        <f t="shared" si="70"/>
        <v>338660.10000000003</v>
      </c>
      <c r="AI92" s="510"/>
      <c r="AJ92" s="14">
        <f t="shared" si="47"/>
        <v>1667.9499999999998</v>
      </c>
      <c r="AK92" s="14">
        <f t="shared" si="49"/>
        <v>50457.029999999977</v>
      </c>
      <c r="AL92" s="510">
        <f>IF(R92&lt;=0,0,+(Profit!$B$4+AM91)*$AL$1/12)</f>
        <v>1015.4802417904067</v>
      </c>
      <c r="AM92" s="14">
        <f t="shared" si="71"/>
        <v>32207.576957953075</v>
      </c>
    </row>
    <row r="93" spans="1:41" x14ac:dyDescent="0.25">
      <c r="A93" s="499">
        <f t="shared" si="59"/>
        <v>46749</v>
      </c>
      <c r="B93" s="288">
        <f t="shared" si="60"/>
        <v>71551.919999999969</v>
      </c>
      <c r="C93" s="14">
        <f t="shared" si="50"/>
        <v>382.11</v>
      </c>
      <c r="D93" s="14">
        <f t="shared" si="72"/>
        <v>158.51000000000002</v>
      </c>
      <c r="E93" s="14">
        <f t="shared" si="51"/>
        <v>223.6</v>
      </c>
      <c r="F93" s="288">
        <f t="shared" si="61"/>
        <v>11373.530000000002</v>
      </c>
      <c r="G93" s="288">
        <f t="shared" si="62"/>
        <v>19071.000000000004</v>
      </c>
      <c r="H93" s="288">
        <f t="shared" si="52"/>
        <v>71393.409999999974</v>
      </c>
      <c r="I93" s="410">
        <f t="shared" si="53"/>
        <v>2</v>
      </c>
      <c r="J93" s="288">
        <f t="shared" si="63"/>
        <v>343345.20999999996</v>
      </c>
      <c r="K93" s="288">
        <f t="shared" si="41"/>
        <v>2298.4699999999998</v>
      </c>
      <c r="L93" s="288">
        <f t="shared" si="73"/>
        <v>367.14999999999986</v>
      </c>
      <c r="M93" s="288">
        <f t="shared" si="42"/>
        <v>1931.32</v>
      </c>
      <c r="N93" s="288">
        <f t="shared" si="64"/>
        <v>11396.939999999993</v>
      </c>
      <c r="O93" s="288">
        <f t="shared" si="65"/>
        <v>66751.040000000008</v>
      </c>
      <c r="P93" s="288">
        <f t="shared" si="54"/>
        <v>342978.05999999994</v>
      </c>
      <c r="Q93" s="499">
        <f t="shared" si="55"/>
        <v>46749</v>
      </c>
      <c r="R93" s="288">
        <f t="shared" si="40"/>
        <v>321661.18000000005</v>
      </c>
      <c r="S93" s="492">
        <f t="shared" si="66"/>
        <v>3.7499999999999999E-2</v>
      </c>
      <c r="T93" s="288">
        <f t="shared" si="56"/>
        <v>2050.06</v>
      </c>
      <c r="U93" s="288">
        <f t="shared" si="43"/>
        <v>1044.8699999999999</v>
      </c>
      <c r="V93" s="288">
        <f t="shared" si="57"/>
        <v>1005.19</v>
      </c>
      <c r="W93" s="288">
        <f t="shared" si="36"/>
        <v>0</v>
      </c>
      <c r="X93" s="288">
        <f t="shared" si="37"/>
        <v>0</v>
      </c>
      <c r="Y93" s="288">
        <f t="shared" si="44"/>
        <v>2050.06</v>
      </c>
      <c r="Z93" s="288">
        <f t="shared" si="45"/>
        <v>33758.69</v>
      </c>
      <c r="AA93" s="288">
        <f t="shared" si="46"/>
        <v>35943.35</v>
      </c>
      <c r="AB93" s="288">
        <f t="shared" si="58"/>
        <v>320616.31000000006</v>
      </c>
      <c r="AC93" s="410">
        <f t="shared" si="67"/>
        <v>33</v>
      </c>
      <c r="AD93" s="510">
        <f t="shared" si="68"/>
        <v>8445.9399999999951</v>
      </c>
      <c r="AE93" s="510">
        <f t="shared" si="38"/>
        <v>249222.90000000008</v>
      </c>
      <c r="AF93" s="510">
        <f t="shared" si="39"/>
        <v>257668.84000000008</v>
      </c>
      <c r="AG93" s="510">
        <f t="shared" si="69"/>
        <v>1667.9499999999998</v>
      </c>
      <c r="AH93" s="510">
        <f t="shared" si="70"/>
        <v>337773.74000000005</v>
      </c>
      <c r="AI93" s="510"/>
      <c r="AJ93" s="14">
        <f t="shared" si="47"/>
        <v>1667.9499999999998</v>
      </c>
      <c r="AK93" s="14">
        <f t="shared" si="49"/>
        <v>52124.979999999974</v>
      </c>
      <c r="AL93" s="510">
        <f>IF(R93&lt;=0,0,+(Profit!$B$4+AM92)*$AL$1/12)</f>
        <v>1018.0189423948826</v>
      </c>
      <c r="AM93" s="14">
        <f t="shared" si="71"/>
        <v>33225.595900347958</v>
      </c>
    </row>
    <row r="94" spans="1:41" x14ac:dyDescent="0.25">
      <c r="A94" s="499">
        <f t="shared" si="59"/>
        <v>46779</v>
      </c>
      <c r="B94" s="288">
        <f t="shared" si="60"/>
        <v>71393.409999999974</v>
      </c>
      <c r="C94" s="14">
        <f t="shared" si="50"/>
        <v>382.11</v>
      </c>
      <c r="D94" s="14">
        <f t="shared" si="72"/>
        <v>159.01000000000002</v>
      </c>
      <c r="E94" s="14">
        <f t="shared" si="51"/>
        <v>223.1</v>
      </c>
      <c r="F94" s="288">
        <f t="shared" si="61"/>
        <v>11532.540000000003</v>
      </c>
      <c r="G94" s="288">
        <f t="shared" si="62"/>
        <v>19294.100000000002</v>
      </c>
      <c r="H94" s="288">
        <f t="shared" si="52"/>
        <v>71234.39999999998</v>
      </c>
      <c r="I94" s="410">
        <f t="shared" si="53"/>
        <v>2</v>
      </c>
      <c r="J94" s="288">
        <f t="shared" si="63"/>
        <v>342978.05999999994</v>
      </c>
      <c r="K94" s="288">
        <f t="shared" si="41"/>
        <v>2298.4699999999998</v>
      </c>
      <c r="L94" s="288">
        <f t="shared" si="73"/>
        <v>369.2199999999998</v>
      </c>
      <c r="M94" s="288">
        <f t="shared" si="42"/>
        <v>1929.25</v>
      </c>
      <c r="N94" s="288">
        <f t="shared" si="64"/>
        <v>11766.159999999993</v>
      </c>
      <c r="O94" s="288">
        <f t="shared" si="65"/>
        <v>68680.290000000008</v>
      </c>
      <c r="P94" s="288">
        <f t="shared" si="54"/>
        <v>342608.83999999997</v>
      </c>
      <c r="Q94" s="499">
        <f t="shared" si="55"/>
        <v>46779</v>
      </c>
      <c r="R94" s="288">
        <f t="shared" si="40"/>
        <v>320616.31000000006</v>
      </c>
      <c r="S94" s="492">
        <f t="shared" si="66"/>
        <v>3.7499999999999999E-2</v>
      </c>
      <c r="T94" s="288">
        <f t="shared" si="56"/>
        <v>2050.06</v>
      </c>
      <c r="U94" s="288">
        <f t="shared" si="43"/>
        <v>1048.1300000000001</v>
      </c>
      <c r="V94" s="288">
        <f t="shared" si="57"/>
        <v>1001.93</v>
      </c>
      <c r="W94" s="288">
        <f t="shared" si="36"/>
        <v>0</v>
      </c>
      <c r="X94" s="288">
        <f t="shared" si="37"/>
        <v>0</v>
      </c>
      <c r="Y94" s="288">
        <f t="shared" si="44"/>
        <v>2050.06</v>
      </c>
      <c r="Z94" s="288">
        <f t="shared" si="45"/>
        <v>34806.82</v>
      </c>
      <c r="AA94" s="288">
        <f t="shared" si="46"/>
        <v>36945.279999999999</v>
      </c>
      <c r="AB94" s="288">
        <f t="shared" si="58"/>
        <v>319568.18000000005</v>
      </c>
      <c r="AC94" s="410">
        <f t="shared" si="67"/>
        <v>34</v>
      </c>
      <c r="AD94" s="510">
        <f t="shared" si="68"/>
        <v>8694.3499999999949</v>
      </c>
      <c r="AE94" s="510">
        <f t="shared" si="38"/>
        <v>248333.78000000009</v>
      </c>
      <c r="AF94" s="510">
        <f t="shared" si="39"/>
        <v>257028.13000000009</v>
      </c>
      <c r="AG94" s="510">
        <f t="shared" si="69"/>
        <v>1667.9499999999998</v>
      </c>
      <c r="AH94" s="510">
        <f t="shared" si="70"/>
        <v>336884.62</v>
      </c>
      <c r="AI94" s="510"/>
      <c r="AJ94" s="14">
        <f t="shared" si="47"/>
        <v>1667.9499999999998</v>
      </c>
      <c r="AK94" s="14">
        <f t="shared" si="49"/>
        <v>53792.929999999971</v>
      </c>
      <c r="AL94" s="510">
        <f>IF(R94&lt;=0,0,+(Profit!$B$4+AM93)*$AL$1/12)</f>
        <v>1020.56398975087</v>
      </c>
      <c r="AM94" s="14">
        <f t="shared" si="71"/>
        <v>34246.159890098832</v>
      </c>
    </row>
    <row r="95" spans="1:41" x14ac:dyDescent="0.25">
      <c r="A95" s="499">
        <f t="shared" si="59"/>
        <v>46809</v>
      </c>
      <c r="B95" s="288">
        <f t="shared" si="60"/>
        <v>71234.39999999998</v>
      </c>
      <c r="C95" s="14">
        <f t="shared" si="50"/>
        <v>382.11</v>
      </c>
      <c r="D95" s="14">
        <f t="shared" si="72"/>
        <v>159.5</v>
      </c>
      <c r="E95" s="14">
        <f t="shared" si="51"/>
        <v>222.61</v>
      </c>
      <c r="F95" s="288">
        <f t="shared" si="61"/>
        <v>11692.040000000003</v>
      </c>
      <c r="G95" s="288">
        <f t="shared" si="62"/>
        <v>19516.710000000003</v>
      </c>
      <c r="H95" s="288">
        <f t="shared" si="52"/>
        <v>71074.89999999998</v>
      </c>
      <c r="I95" s="410">
        <f t="shared" si="53"/>
        <v>2</v>
      </c>
      <c r="J95" s="288">
        <f t="shared" si="63"/>
        <v>342608.83999999997</v>
      </c>
      <c r="K95" s="288">
        <f t="shared" si="41"/>
        <v>2298.4699999999998</v>
      </c>
      <c r="L95" s="288">
        <f t="shared" si="73"/>
        <v>371.29999999999973</v>
      </c>
      <c r="M95" s="288">
        <f t="shared" si="42"/>
        <v>1927.17</v>
      </c>
      <c r="N95" s="288">
        <f t="shared" si="64"/>
        <v>12137.459999999992</v>
      </c>
      <c r="O95" s="288">
        <f t="shared" si="65"/>
        <v>70607.460000000006</v>
      </c>
      <c r="P95" s="288">
        <f t="shared" si="54"/>
        <v>342237.54</v>
      </c>
      <c r="Q95" s="499">
        <f t="shared" si="55"/>
        <v>46809</v>
      </c>
      <c r="R95" s="288">
        <f t="shared" si="40"/>
        <v>319568.18000000005</v>
      </c>
      <c r="S95" s="492">
        <f t="shared" si="66"/>
        <v>3.7499999999999999E-2</v>
      </c>
      <c r="T95" s="288">
        <f t="shared" si="56"/>
        <v>2050.06</v>
      </c>
      <c r="U95" s="288">
        <f t="shared" si="43"/>
        <v>1051.4099999999999</v>
      </c>
      <c r="V95" s="288">
        <f t="shared" si="57"/>
        <v>998.65</v>
      </c>
      <c r="W95" s="288">
        <f t="shared" si="36"/>
        <v>0</v>
      </c>
      <c r="X95" s="288">
        <f t="shared" si="37"/>
        <v>0</v>
      </c>
      <c r="Y95" s="288">
        <f t="shared" si="44"/>
        <v>2050.06</v>
      </c>
      <c r="Z95" s="288">
        <f t="shared" si="45"/>
        <v>35858.229999999996</v>
      </c>
      <c r="AA95" s="288">
        <f t="shared" si="46"/>
        <v>37943.93</v>
      </c>
      <c r="AB95" s="288">
        <f t="shared" si="58"/>
        <v>318516.77000000008</v>
      </c>
      <c r="AC95" s="410">
        <f t="shared" si="67"/>
        <v>35</v>
      </c>
      <c r="AD95" s="510">
        <f t="shared" si="68"/>
        <v>8942.7599999999948</v>
      </c>
      <c r="AE95" s="510">
        <f t="shared" si="38"/>
        <v>247441.87000000011</v>
      </c>
      <c r="AF95" s="510">
        <f t="shared" si="39"/>
        <v>256384.63000000012</v>
      </c>
      <c r="AG95" s="510">
        <f t="shared" si="69"/>
        <v>1667.9499999999998</v>
      </c>
      <c r="AH95" s="510">
        <f t="shared" si="70"/>
        <v>335992.71</v>
      </c>
      <c r="AI95" s="510"/>
      <c r="AJ95" s="14">
        <f t="shared" si="47"/>
        <v>1667.9499999999998</v>
      </c>
      <c r="AK95" s="14">
        <f t="shared" si="49"/>
        <v>55460.879999999968</v>
      </c>
      <c r="AL95" s="510">
        <f>IF(R95&lt;=0,0,+(Profit!$B$4+AM94)*$AL$1/12)</f>
        <v>1023.1153997252471</v>
      </c>
      <c r="AM95" s="14">
        <f t="shared" si="71"/>
        <v>35269.27528982408</v>
      </c>
      <c r="AO95" s="470"/>
    </row>
    <row r="96" spans="1:41" x14ac:dyDescent="0.25">
      <c r="A96" s="499">
        <f t="shared" si="59"/>
        <v>46839</v>
      </c>
      <c r="B96" s="288">
        <f t="shared" si="60"/>
        <v>71074.89999999998</v>
      </c>
      <c r="C96" s="14">
        <f t="shared" si="50"/>
        <v>382.11</v>
      </c>
      <c r="D96" s="14">
        <f t="shared" si="72"/>
        <v>160</v>
      </c>
      <c r="E96" s="14">
        <f t="shared" si="51"/>
        <v>222.11</v>
      </c>
      <c r="F96" s="288">
        <f t="shared" si="61"/>
        <v>11852.040000000003</v>
      </c>
      <c r="G96" s="288">
        <f t="shared" si="62"/>
        <v>19738.820000000003</v>
      </c>
      <c r="H96" s="288">
        <f t="shared" si="52"/>
        <v>70914.89999999998</v>
      </c>
      <c r="I96" s="410">
        <f t="shared" si="53"/>
        <v>3</v>
      </c>
      <c r="J96" s="288">
        <f t="shared" si="63"/>
        <v>342237.54</v>
      </c>
      <c r="K96" s="288">
        <f t="shared" si="41"/>
        <v>2298.4699999999998</v>
      </c>
      <c r="L96" s="288">
        <f t="shared" si="73"/>
        <v>373.37999999999988</v>
      </c>
      <c r="M96" s="288">
        <f t="shared" si="42"/>
        <v>1925.09</v>
      </c>
      <c r="N96" s="288">
        <f t="shared" si="64"/>
        <v>12510.839999999991</v>
      </c>
      <c r="O96" s="288">
        <f t="shared" si="65"/>
        <v>72532.55</v>
      </c>
      <c r="P96" s="288">
        <f t="shared" si="54"/>
        <v>341864.16</v>
      </c>
      <c r="Q96" s="499">
        <f t="shared" si="55"/>
        <v>46839</v>
      </c>
      <c r="R96" s="288">
        <f t="shared" si="40"/>
        <v>318516.77000000008</v>
      </c>
      <c r="S96" s="492">
        <f t="shared" si="66"/>
        <v>3.7499999999999999E-2</v>
      </c>
      <c r="T96" s="288">
        <f t="shared" si="56"/>
        <v>2050.06</v>
      </c>
      <c r="U96" s="288">
        <f t="shared" si="43"/>
        <v>1054.6999999999998</v>
      </c>
      <c r="V96" s="288">
        <f t="shared" si="57"/>
        <v>995.36</v>
      </c>
      <c r="W96" s="288">
        <f t="shared" si="36"/>
        <v>0</v>
      </c>
      <c r="X96" s="288">
        <f t="shared" si="37"/>
        <v>0</v>
      </c>
      <c r="Y96" s="288">
        <f t="shared" si="44"/>
        <v>2050.06</v>
      </c>
      <c r="Z96" s="288">
        <f t="shared" si="45"/>
        <v>36912.929999999993</v>
      </c>
      <c r="AA96" s="288">
        <f t="shared" si="46"/>
        <v>38939.29</v>
      </c>
      <c r="AB96" s="288">
        <f t="shared" si="58"/>
        <v>317462.07000000007</v>
      </c>
      <c r="AC96" s="410">
        <f t="shared" si="67"/>
        <v>36</v>
      </c>
      <c r="AD96" s="510">
        <f t="shared" si="68"/>
        <v>9191.1699999999946</v>
      </c>
      <c r="AE96" s="510">
        <f t="shared" si="38"/>
        <v>246547.1700000001</v>
      </c>
      <c r="AF96" s="510">
        <f t="shared" si="39"/>
        <v>255738.34000000008</v>
      </c>
      <c r="AG96" s="510">
        <f t="shared" si="69"/>
        <v>1667.9499999999998</v>
      </c>
      <c r="AH96" s="510">
        <f t="shared" si="70"/>
        <v>335098.01</v>
      </c>
      <c r="AI96" s="510"/>
      <c r="AJ96" s="14">
        <f t="shared" si="47"/>
        <v>1667.9499999999998</v>
      </c>
      <c r="AK96" s="14">
        <f t="shared" si="49"/>
        <v>57128.829999999965</v>
      </c>
      <c r="AL96" s="510">
        <f>IF(R96&lt;=0,0,+(Profit!$B$4+AM95)*$AL$1/12)</f>
        <v>1025.6731882245601</v>
      </c>
      <c r="AM96" s="14">
        <f t="shared" si="71"/>
        <v>36294.948478048638</v>
      </c>
      <c r="AO96" s="470"/>
    </row>
    <row r="97" spans="1:41" x14ac:dyDescent="0.25">
      <c r="A97" s="499">
        <f t="shared" si="59"/>
        <v>46869</v>
      </c>
      <c r="B97" s="288">
        <f t="shared" si="60"/>
        <v>70914.89999999998</v>
      </c>
      <c r="C97" s="14">
        <f t="shared" si="50"/>
        <v>382.11</v>
      </c>
      <c r="D97" s="14">
        <f t="shared" si="72"/>
        <v>160.5</v>
      </c>
      <c r="E97" s="14">
        <f t="shared" si="51"/>
        <v>221.61</v>
      </c>
      <c r="F97" s="288">
        <f t="shared" si="61"/>
        <v>12012.540000000003</v>
      </c>
      <c r="G97" s="288">
        <f t="shared" si="62"/>
        <v>19960.430000000004</v>
      </c>
      <c r="H97" s="288">
        <f t="shared" si="52"/>
        <v>70754.39999999998</v>
      </c>
      <c r="I97" s="410">
        <f t="shared" si="53"/>
        <v>3</v>
      </c>
      <c r="J97" s="288">
        <f t="shared" si="63"/>
        <v>341864.16</v>
      </c>
      <c r="K97" s="288">
        <f t="shared" si="41"/>
        <v>2298.4699999999998</v>
      </c>
      <c r="L97" s="288">
        <f t="shared" si="73"/>
        <v>375.47999999999979</v>
      </c>
      <c r="M97" s="288">
        <f t="shared" si="42"/>
        <v>1922.99</v>
      </c>
      <c r="N97" s="288">
        <f t="shared" si="64"/>
        <v>12886.319999999991</v>
      </c>
      <c r="O97" s="288">
        <f t="shared" si="65"/>
        <v>74455.540000000008</v>
      </c>
      <c r="P97" s="288">
        <f t="shared" si="54"/>
        <v>341488.68</v>
      </c>
      <c r="Q97" s="499">
        <f t="shared" si="55"/>
        <v>46869</v>
      </c>
      <c r="R97" s="288">
        <f t="shared" si="40"/>
        <v>317462.07000000007</v>
      </c>
      <c r="S97" s="492">
        <f t="shared" si="66"/>
        <v>3.7499999999999999E-2</v>
      </c>
      <c r="T97" s="288">
        <f t="shared" si="56"/>
        <v>2050.06</v>
      </c>
      <c r="U97" s="288">
        <f t="shared" si="43"/>
        <v>1057.9899999999998</v>
      </c>
      <c r="V97" s="288">
        <f t="shared" si="57"/>
        <v>992.07</v>
      </c>
      <c r="W97" s="288">
        <f t="shared" si="36"/>
        <v>0</v>
      </c>
      <c r="X97" s="288">
        <f t="shared" si="37"/>
        <v>0</v>
      </c>
      <c r="Y97" s="288">
        <f t="shared" si="44"/>
        <v>2050.06</v>
      </c>
      <c r="Z97" s="288">
        <f t="shared" si="45"/>
        <v>37970.919999999991</v>
      </c>
      <c r="AA97" s="288">
        <f t="shared" si="46"/>
        <v>39931.360000000001</v>
      </c>
      <c r="AB97" s="288">
        <f t="shared" si="58"/>
        <v>316404.08000000007</v>
      </c>
      <c r="AC97" s="410">
        <f t="shared" si="67"/>
        <v>37</v>
      </c>
      <c r="AD97" s="510">
        <f t="shared" si="68"/>
        <v>9439.5799999999945</v>
      </c>
      <c r="AE97" s="510">
        <f t="shared" si="38"/>
        <v>245649.68000000011</v>
      </c>
      <c r="AF97" s="510">
        <f t="shared" si="39"/>
        <v>255089.2600000001</v>
      </c>
      <c r="AG97" s="510">
        <f t="shared" si="69"/>
        <v>1667.9499999999998</v>
      </c>
      <c r="AH97" s="510">
        <f t="shared" si="70"/>
        <v>334200.52</v>
      </c>
      <c r="AI97" s="510"/>
      <c r="AJ97" s="14">
        <f t="shared" si="47"/>
        <v>1667.9499999999998</v>
      </c>
      <c r="AK97" s="14">
        <f t="shared" si="49"/>
        <v>58796.779999999962</v>
      </c>
      <c r="AL97" s="510">
        <f>IF(R97&lt;=0,0,+(Profit!$B$4+AM96)*$AL$1/12)</f>
        <v>1028.2373711951216</v>
      </c>
      <c r="AM97" s="14">
        <f t="shared" si="71"/>
        <v>37323.18584924376</v>
      </c>
    </row>
    <row r="98" spans="1:41" ht="15.75" thickBot="1" x14ac:dyDescent="0.3">
      <c r="A98" s="502">
        <f t="shared" si="59"/>
        <v>46899</v>
      </c>
      <c r="B98" s="343">
        <f t="shared" si="60"/>
        <v>70754.39999999998</v>
      </c>
      <c r="C98" s="21">
        <f t="shared" si="50"/>
        <v>382.11</v>
      </c>
      <c r="D98" s="21">
        <f t="shared" si="72"/>
        <v>161</v>
      </c>
      <c r="E98" s="21">
        <f t="shared" si="51"/>
        <v>221.11</v>
      </c>
      <c r="F98" s="343">
        <f t="shared" si="61"/>
        <v>12173.540000000003</v>
      </c>
      <c r="G98" s="343">
        <f t="shared" si="62"/>
        <v>20181.540000000005</v>
      </c>
      <c r="H98" s="343">
        <f t="shared" si="52"/>
        <v>70593.39999999998</v>
      </c>
      <c r="I98" s="411">
        <f t="shared" si="53"/>
        <v>3</v>
      </c>
      <c r="J98" s="343">
        <f t="shared" si="63"/>
        <v>341488.68</v>
      </c>
      <c r="K98" s="343">
        <f t="shared" si="41"/>
        <v>2298.4699999999998</v>
      </c>
      <c r="L98" s="343">
        <f t="shared" si="73"/>
        <v>377.59999999999991</v>
      </c>
      <c r="M98" s="343">
        <f t="shared" si="42"/>
        <v>1920.87</v>
      </c>
      <c r="N98" s="343">
        <f t="shared" si="64"/>
        <v>13263.919999999991</v>
      </c>
      <c r="O98" s="343">
        <f t="shared" si="65"/>
        <v>76376.41</v>
      </c>
      <c r="P98" s="343">
        <f t="shared" si="54"/>
        <v>341111.08</v>
      </c>
      <c r="Q98" s="502">
        <f t="shared" si="55"/>
        <v>46899</v>
      </c>
      <c r="R98" s="343">
        <f t="shared" si="40"/>
        <v>316404.08000000007</v>
      </c>
      <c r="S98" s="493">
        <f t="shared" si="66"/>
        <v>3.7499999999999999E-2</v>
      </c>
      <c r="T98" s="343">
        <f t="shared" si="56"/>
        <v>2050.06</v>
      </c>
      <c r="U98" s="343">
        <f t="shared" si="43"/>
        <v>1061.3</v>
      </c>
      <c r="V98" s="343">
        <f t="shared" si="57"/>
        <v>988.76</v>
      </c>
      <c r="W98" s="343">
        <f t="shared" si="36"/>
        <v>0</v>
      </c>
      <c r="X98" s="343">
        <f t="shared" si="37"/>
        <v>0</v>
      </c>
      <c r="Y98" s="343">
        <f t="shared" si="44"/>
        <v>2050.06</v>
      </c>
      <c r="Z98" s="343">
        <f t="shared" si="45"/>
        <v>39032.219999999994</v>
      </c>
      <c r="AA98" s="343">
        <f t="shared" si="46"/>
        <v>40920.120000000003</v>
      </c>
      <c r="AB98" s="343">
        <f t="shared" si="58"/>
        <v>315342.78000000009</v>
      </c>
      <c r="AC98" s="411">
        <f t="shared" si="67"/>
        <v>38</v>
      </c>
      <c r="AD98" s="511">
        <f t="shared" si="68"/>
        <v>9687.9899999999943</v>
      </c>
      <c r="AE98" s="511">
        <f t="shared" si="38"/>
        <v>244749.38000000012</v>
      </c>
      <c r="AF98" s="511">
        <f t="shared" si="39"/>
        <v>254437.37000000011</v>
      </c>
      <c r="AG98" s="511">
        <f t="shared" si="69"/>
        <v>1667.9499999999998</v>
      </c>
      <c r="AH98" s="511">
        <f t="shared" si="70"/>
        <v>333300.22000000003</v>
      </c>
      <c r="AI98" s="511"/>
      <c r="AJ98" s="21">
        <f t="shared" si="47"/>
        <v>1667.9499999999998</v>
      </c>
      <c r="AK98" s="21">
        <f t="shared" si="49"/>
        <v>60464.72999999996</v>
      </c>
      <c r="AL98" s="511">
        <f>IF(R98&lt;=0,0,+(Profit!$B$4+AM97)*$AL$1/12)</f>
        <v>1030.8079646231095</v>
      </c>
      <c r="AM98" s="21">
        <f t="shared" si="71"/>
        <v>38353.993813866873</v>
      </c>
    </row>
    <row r="99" spans="1:41" x14ac:dyDescent="0.25">
      <c r="A99" s="499">
        <f t="shared" si="59"/>
        <v>46929</v>
      </c>
      <c r="B99" s="288">
        <f t="shared" si="60"/>
        <v>70593.39999999998</v>
      </c>
      <c r="C99" s="14">
        <f t="shared" si="50"/>
        <v>382.11</v>
      </c>
      <c r="D99" s="14">
        <f t="shared" si="72"/>
        <v>161.51000000000002</v>
      </c>
      <c r="E99" s="14">
        <f t="shared" si="51"/>
        <v>220.6</v>
      </c>
      <c r="F99" s="288">
        <f t="shared" si="61"/>
        <v>12335.050000000003</v>
      </c>
      <c r="G99" s="288">
        <f t="shared" si="62"/>
        <v>20402.140000000003</v>
      </c>
      <c r="H99" s="288">
        <f t="shared" si="52"/>
        <v>70431.889999999985</v>
      </c>
      <c r="I99" s="410">
        <f t="shared" si="53"/>
        <v>3</v>
      </c>
      <c r="J99" s="288">
        <f t="shared" si="63"/>
        <v>341111.08</v>
      </c>
      <c r="K99" s="288">
        <f t="shared" si="41"/>
        <v>2298.4699999999998</v>
      </c>
      <c r="L99" s="288">
        <f t="shared" si="73"/>
        <v>379.7199999999998</v>
      </c>
      <c r="M99" s="288">
        <f t="shared" si="42"/>
        <v>1918.75</v>
      </c>
      <c r="N99" s="288">
        <f t="shared" si="64"/>
        <v>13643.63999999999</v>
      </c>
      <c r="O99" s="288">
        <f t="shared" si="65"/>
        <v>78295.16</v>
      </c>
      <c r="P99" s="288">
        <f t="shared" si="54"/>
        <v>340731.36000000004</v>
      </c>
      <c r="Q99" s="499">
        <f t="shared" si="55"/>
        <v>46929</v>
      </c>
      <c r="R99" s="288">
        <f t="shared" si="40"/>
        <v>315342.78000000009</v>
      </c>
      <c r="S99" s="492">
        <f t="shared" si="66"/>
        <v>3.7499999999999999E-2</v>
      </c>
      <c r="T99" s="288">
        <f t="shared" si="56"/>
        <v>2050.06</v>
      </c>
      <c r="U99" s="288">
        <f t="shared" si="43"/>
        <v>1064.6099999999999</v>
      </c>
      <c r="V99" s="288">
        <f t="shared" si="57"/>
        <v>985.45</v>
      </c>
      <c r="W99" s="288">
        <f t="shared" si="36"/>
        <v>0</v>
      </c>
      <c r="X99" s="288">
        <f t="shared" si="37"/>
        <v>0</v>
      </c>
      <c r="Y99" s="288">
        <f t="shared" si="44"/>
        <v>2050.06</v>
      </c>
      <c r="Z99" s="288">
        <f t="shared" si="45"/>
        <v>40096.829999999994</v>
      </c>
      <c r="AA99" s="288">
        <f t="shared" si="46"/>
        <v>41905.57</v>
      </c>
      <c r="AB99" s="288">
        <f t="shared" si="58"/>
        <v>314278.1700000001</v>
      </c>
      <c r="AC99" s="410">
        <f t="shared" si="67"/>
        <v>39</v>
      </c>
      <c r="AD99" s="510">
        <f t="shared" si="68"/>
        <v>9936.3999999999942</v>
      </c>
      <c r="AE99" s="510">
        <f t="shared" si="38"/>
        <v>243846.28000000012</v>
      </c>
      <c r="AF99" s="510">
        <f t="shared" si="39"/>
        <v>253782.68000000011</v>
      </c>
      <c r="AG99" s="510">
        <f t="shared" si="69"/>
        <v>1667.9499999999998</v>
      </c>
      <c r="AH99" s="510">
        <f t="shared" si="70"/>
        <v>332397.12</v>
      </c>
      <c r="AI99" s="510"/>
      <c r="AJ99" s="14">
        <f t="shared" si="47"/>
        <v>1667.9499999999998</v>
      </c>
      <c r="AK99" s="14">
        <f t="shared" si="49"/>
        <v>62132.679999999957</v>
      </c>
      <c r="AL99" s="510">
        <f>IF(R99&lt;=0,0,+(Profit!$B$4+AM98)*$AL$1/12)</f>
        <v>1033.3849845346672</v>
      </c>
      <c r="AM99" s="14">
        <f t="shared" si="71"/>
        <v>39387.378798401543</v>
      </c>
    </row>
    <row r="100" spans="1:41" x14ac:dyDescent="0.25">
      <c r="A100" s="499">
        <f t="shared" si="59"/>
        <v>46959</v>
      </c>
      <c r="B100" s="288">
        <f t="shared" si="60"/>
        <v>70431.889999999985</v>
      </c>
      <c r="C100" s="14">
        <f t="shared" si="50"/>
        <v>382.11</v>
      </c>
      <c r="D100" s="14">
        <f t="shared" si="72"/>
        <v>162.01000000000002</v>
      </c>
      <c r="E100" s="14">
        <f t="shared" si="51"/>
        <v>220.1</v>
      </c>
      <c r="F100" s="288">
        <f t="shared" si="61"/>
        <v>12497.060000000003</v>
      </c>
      <c r="G100" s="288">
        <f t="shared" si="62"/>
        <v>20622.240000000002</v>
      </c>
      <c r="H100" s="288">
        <f t="shared" si="52"/>
        <v>70269.87999999999</v>
      </c>
      <c r="I100" s="410">
        <f t="shared" si="53"/>
        <v>3</v>
      </c>
      <c r="J100" s="288">
        <f t="shared" si="63"/>
        <v>340731.36000000004</v>
      </c>
      <c r="K100" s="288">
        <f t="shared" si="41"/>
        <v>2298.4699999999998</v>
      </c>
      <c r="L100" s="288">
        <f t="shared" si="73"/>
        <v>381.8599999999999</v>
      </c>
      <c r="M100" s="288">
        <f t="shared" si="42"/>
        <v>1916.61</v>
      </c>
      <c r="N100" s="288">
        <f t="shared" si="64"/>
        <v>14025.499999999991</v>
      </c>
      <c r="O100" s="288">
        <f t="shared" si="65"/>
        <v>80211.77</v>
      </c>
      <c r="P100" s="288">
        <f t="shared" si="54"/>
        <v>340349.50000000006</v>
      </c>
      <c r="Q100" s="499">
        <f t="shared" si="55"/>
        <v>46959</v>
      </c>
      <c r="R100" s="288">
        <f t="shared" si="40"/>
        <v>314278.1700000001</v>
      </c>
      <c r="S100" s="492">
        <f t="shared" si="66"/>
        <v>3.7499999999999999E-2</v>
      </c>
      <c r="T100" s="288">
        <f t="shared" si="56"/>
        <v>2050.06</v>
      </c>
      <c r="U100" s="288">
        <f t="shared" si="43"/>
        <v>1067.94</v>
      </c>
      <c r="V100" s="288">
        <f t="shared" si="57"/>
        <v>982.12</v>
      </c>
      <c r="W100" s="288">
        <f t="shared" si="36"/>
        <v>0</v>
      </c>
      <c r="X100" s="288">
        <f t="shared" si="37"/>
        <v>0</v>
      </c>
      <c r="Y100" s="288">
        <f t="shared" si="44"/>
        <v>2050.06</v>
      </c>
      <c r="Z100" s="288">
        <f t="shared" si="45"/>
        <v>41164.769999999997</v>
      </c>
      <c r="AA100" s="288">
        <f t="shared" si="46"/>
        <v>42887.69</v>
      </c>
      <c r="AB100" s="288">
        <f t="shared" si="58"/>
        <v>313210.2300000001</v>
      </c>
      <c r="AC100" s="410">
        <f t="shared" si="67"/>
        <v>40</v>
      </c>
      <c r="AD100" s="510">
        <f t="shared" si="68"/>
        <v>10184.809999999994</v>
      </c>
      <c r="AE100" s="510">
        <f t="shared" si="38"/>
        <v>242940.35000000009</v>
      </c>
      <c r="AF100" s="510">
        <f t="shared" si="39"/>
        <v>253125.16000000009</v>
      </c>
      <c r="AG100" s="510">
        <f t="shared" si="69"/>
        <v>1667.9499999999998</v>
      </c>
      <c r="AH100" s="510">
        <f t="shared" si="70"/>
        <v>331491.19</v>
      </c>
      <c r="AI100" s="510"/>
      <c r="AJ100" s="14">
        <f t="shared" si="47"/>
        <v>1667.9499999999998</v>
      </c>
      <c r="AK100" s="14">
        <f t="shared" si="49"/>
        <v>63800.629999999954</v>
      </c>
      <c r="AL100" s="510">
        <f>IF(R100&lt;=0,0,+(Profit!$B$4+AM99)*$AL$1/12)</f>
        <v>1035.9684469960039</v>
      </c>
      <c r="AM100" s="14">
        <f t="shared" si="71"/>
        <v>40423.347245397548</v>
      </c>
    </row>
    <row r="101" spans="1:41" x14ac:dyDescent="0.25">
      <c r="A101" s="499">
        <f t="shared" si="59"/>
        <v>46989</v>
      </c>
      <c r="B101" s="288">
        <f t="shared" si="60"/>
        <v>70269.87999999999</v>
      </c>
      <c r="C101" s="14">
        <f t="shared" si="50"/>
        <v>382.11</v>
      </c>
      <c r="D101" s="14">
        <f t="shared" si="72"/>
        <v>162.52000000000001</v>
      </c>
      <c r="E101" s="14">
        <f t="shared" si="51"/>
        <v>219.59</v>
      </c>
      <c r="F101" s="288">
        <f t="shared" si="61"/>
        <v>12659.580000000004</v>
      </c>
      <c r="G101" s="288">
        <f t="shared" si="62"/>
        <v>20841.830000000002</v>
      </c>
      <c r="H101" s="288">
        <f t="shared" si="52"/>
        <v>70107.359999999986</v>
      </c>
      <c r="I101" s="410">
        <f t="shared" si="53"/>
        <v>3</v>
      </c>
      <c r="J101" s="288">
        <f t="shared" si="63"/>
        <v>340349.50000000006</v>
      </c>
      <c r="K101" s="288">
        <f t="shared" si="41"/>
        <v>2298.4699999999998</v>
      </c>
      <c r="L101" s="288">
        <f t="shared" si="73"/>
        <v>383.99999999999977</v>
      </c>
      <c r="M101" s="288">
        <f t="shared" si="42"/>
        <v>1914.47</v>
      </c>
      <c r="N101" s="288">
        <f t="shared" si="64"/>
        <v>14409.499999999991</v>
      </c>
      <c r="O101" s="288">
        <f t="shared" si="65"/>
        <v>82126.240000000005</v>
      </c>
      <c r="P101" s="288">
        <f t="shared" si="54"/>
        <v>339965.50000000006</v>
      </c>
      <c r="Q101" s="499">
        <f t="shared" si="55"/>
        <v>46989</v>
      </c>
      <c r="R101" s="288">
        <f t="shared" si="40"/>
        <v>313210.2300000001</v>
      </c>
      <c r="S101" s="492">
        <f t="shared" si="66"/>
        <v>3.7499999999999999E-2</v>
      </c>
      <c r="T101" s="288">
        <f t="shared" si="56"/>
        <v>2050.06</v>
      </c>
      <c r="U101" s="288">
        <f t="shared" si="43"/>
        <v>1071.28</v>
      </c>
      <c r="V101" s="288">
        <f t="shared" si="57"/>
        <v>978.78</v>
      </c>
      <c r="W101" s="288">
        <f t="shared" si="36"/>
        <v>0</v>
      </c>
      <c r="X101" s="288">
        <f t="shared" si="37"/>
        <v>0</v>
      </c>
      <c r="Y101" s="288">
        <f t="shared" si="44"/>
        <v>2050.06</v>
      </c>
      <c r="Z101" s="288">
        <f t="shared" si="45"/>
        <v>42236.049999999996</v>
      </c>
      <c r="AA101" s="288">
        <f t="shared" si="46"/>
        <v>43866.47</v>
      </c>
      <c r="AB101" s="288">
        <f t="shared" si="58"/>
        <v>312138.95000000007</v>
      </c>
      <c r="AC101" s="410">
        <f t="shared" si="67"/>
        <v>41</v>
      </c>
      <c r="AD101" s="510">
        <f t="shared" si="68"/>
        <v>10433.219999999994</v>
      </c>
      <c r="AE101" s="510">
        <f t="shared" si="38"/>
        <v>242031.59000000008</v>
      </c>
      <c r="AF101" s="510">
        <f t="shared" si="39"/>
        <v>252464.81000000008</v>
      </c>
      <c r="AG101" s="510">
        <f t="shared" si="69"/>
        <v>1667.9499999999998</v>
      </c>
      <c r="AH101" s="510">
        <f t="shared" si="70"/>
        <v>330582.43000000005</v>
      </c>
      <c r="AI101" s="510"/>
      <c r="AJ101" s="14">
        <f t="shared" si="47"/>
        <v>1667.9499999999998</v>
      </c>
      <c r="AK101" s="14">
        <f t="shared" si="49"/>
        <v>65468.579999999951</v>
      </c>
      <c r="AL101" s="510">
        <f>IF(R101&lt;=0,0,+(Profit!$B$4+AM100)*$AL$1/12)</f>
        <v>1038.5583681134938</v>
      </c>
      <c r="AM101" s="14">
        <f t="shared" si="71"/>
        <v>41461.905613511044</v>
      </c>
    </row>
    <row r="102" spans="1:41" x14ac:dyDescent="0.25">
      <c r="A102" s="499">
        <f t="shared" si="59"/>
        <v>47019</v>
      </c>
      <c r="B102" s="288">
        <f t="shared" si="60"/>
        <v>70107.359999999986</v>
      </c>
      <c r="C102" s="14">
        <f t="shared" si="50"/>
        <v>382.11</v>
      </c>
      <c r="D102" s="14">
        <f t="shared" si="72"/>
        <v>163.02000000000001</v>
      </c>
      <c r="E102" s="14">
        <f t="shared" si="51"/>
        <v>219.09</v>
      </c>
      <c r="F102" s="288">
        <f t="shared" si="61"/>
        <v>12822.600000000004</v>
      </c>
      <c r="G102" s="288">
        <f t="shared" si="62"/>
        <v>21060.920000000002</v>
      </c>
      <c r="H102" s="288">
        <f t="shared" si="52"/>
        <v>69944.339999999982</v>
      </c>
      <c r="I102" s="410">
        <f t="shared" si="53"/>
        <v>3</v>
      </c>
      <c r="J102" s="288">
        <f t="shared" si="63"/>
        <v>339965.50000000006</v>
      </c>
      <c r="K102" s="288">
        <f t="shared" si="41"/>
        <v>2298.4699999999998</v>
      </c>
      <c r="L102" s="288">
        <f t="shared" si="73"/>
        <v>386.15999999999985</v>
      </c>
      <c r="M102" s="288">
        <f t="shared" si="42"/>
        <v>1912.31</v>
      </c>
      <c r="N102" s="288">
        <f t="shared" si="64"/>
        <v>14795.659999999991</v>
      </c>
      <c r="O102" s="288">
        <f t="shared" si="65"/>
        <v>84038.55</v>
      </c>
      <c r="P102" s="288">
        <f t="shared" si="54"/>
        <v>339579.34000000008</v>
      </c>
      <c r="Q102" s="499">
        <f t="shared" si="55"/>
        <v>47019</v>
      </c>
      <c r="R102" s="288">
        <f t="shared" si="40"/>
        <v>312138.95000000007</v>
      </c>
      <c r="S102" s="492">
        <f t="shared" si="66"/>
        <v>3.7499999999999999E-2</v>
      </c>
      <c r="T102" s="288">
        <f t="shared" si="56"/>
        <v>2050.06</v>
      </c>
      <c r="U102" s="288">
        <f t="shared" si="43"/>
        <v>1074.6300000000001</v>
      </c>
      <c r="V102" s="288">
        <f t="shared" si="57"/>
        <v>975.43</v>
      </c>
      <c r="W102" s="288">
        <f t="shared" si="36"/>
        <v>0</v>
      </c>
      <c r="X102" s="288">
        <f t="shared" si="37"/>
        <v>0</v>
      </c>
      <c r="Y102" s="288">
        <f t="shared" si="44"/>
        <v>2050.06</v>
      </c>
      <c r="Z102" s="288">
        <f t="shared" si="45"/>
        <v>43310.679999999993</v>
      </c>
      <c r="AA102" s="288">
        <f t="shared" si="46"/>
        <v>44841.9</v>
      </c>
      <c r="AB102" s="288">
        <f t="shared" si="58"/>
        <v>311064.32000000007</v>
      </c>
      <c r="AC102" s="410">
        <f t="shared" si="67"/>
        <v>42</v>
      </c>
      <c r="AD102" s="510">
        <f t="shared" si="68"/>
        <v>10681.629999999994</v>
      </c>
      <c r="AE102" s="510">
        <f t="shared" si="38"/>
        <v>241119.9800000001</v>
      </c>
      <c r="AF102" s="510">
        <f t="shared" si="39"/>
        <v>251801.6100000001</v>
      </c>
      <c r="AG102" s="510">
        <f t="shared" si="69"/>
        <v>1667.9499999999998</v>
      </c>
      <c r="AH102" s="510">
        <f t="shared" si="70"/>
        <v>329670.82</v>
      </c>
      <c r="AI102" s="510"/>
      <c r="AJ102" s="14">
        <f t="shared" si="47"/>
        <v>1667.9499999999998</v>
      </c>
      <c r="AK102" s="14">
        <f t="shared" si="49"/>
        <v>67136.529999999955</v>
      </c>
      <c r="AL102" s="510">
        <f>IF(R102&lt;=0,0,+(Profit!$B$4+AM101)*$AL$1/12)</f>
        <v>1041.1547640337776</v>
      </c>
      <c r="AM102" s="14">
        <f t="shared" si="71"/>
        <v>42503.060377544825</v>
      </c>
    </row>
    <row r="103" spans="1:41" x14ac:dyDescent="0.25">
      <c r="A103" s="499">
        <f t="shared" si="59"/>
        <v>47049</v>
      </c>
      <c r="B103" s="288">
        <f t="shared" si="60"/>
        <v>69944.339999999982</v>
      </c>
      <c r="C103" s="14">
        <f t="shared" si="50"/>
        <v>382.11</v>
      </c>
      <c r="D103" s="14">
        <f t="shared" si="72"/>
        <v>163.53</v>
      </c>
      <c r="E103" s="14">
        <f t="shared" si="51"/>
        <v>218.58</v>
      </c>
      <c r="F103" s="288">
        <f t="shared" si="61"/>
        <v>12986.130000000005</v>
      </c>
      <c r="G103" s="288">
        <f t="shared" si="62"/>
        <v>21279.500000000004</v>
      </c>
      <c r="H103" s="288">
        <f t="shared" si="52"/>
        <v>69780.809999999983</v>
      </c>
      <c r="I103" s="410">
        <f t="shared" si="53"/>
        <v>3</v>
      </c>
      <c r="J103" s="288">
        <f t="shared" si="63"/>
        <v>339579.34000000008</v>
      </c>
      <c r="K103" s="288">
        <f t="shared" si="41"/>
        <v>2298.4699999999998</v>
      </c>
      <c r="L103" s="288">
        <f t="shared" si="73"/>
        <v>388.33999999999969</v>
      </c>
      <c r="M103" s="288">
        <f t="shared" si="42"/>
        <v>1910.13</v>
      </c>
      <c r="N103" s="288">
        <f t="shared" si="64"/>
        <v>15183.999999999991</v>
      </c>
      <c r="O103" s="288">
        <f t="shared" si="65"/>
        <v>85948.680000000008</v>
      </c>
      <c r="P103" s="288">
        <f t="shared" si="54"/>
        <v>339191.00000000006</v>
      </c>
      <c r="Q103" s="499">
        <f t="shared" si="55"/>
        <v>47049</v>
      </c>
      <c r="R103" s="288">
        <f t="shared" si="40"/>
        <v>311064.32000000007</v>
      </c>
      <c r="S103" s="492">
        <f t="shared" si="66"/>
        <v>3.7499999999999999E-2</v>
      </c>
      <c r="T103" s="288">
        <f t="shared" si="56"/>
        <v>2050.06</v>
      </c>
      <c r="U103" s="288">
        <f t="shared" si="43"/>
        <v>1077.98</v>
      </c>
      <c r="V103" s="288">
        <f t="shared" si="57"/>
        <v>972.08</v>
      </c>
      <c r="W103" s="288">
        <f t="shared" si="36"/>
        <v>0</v>
      </c>
      <c r="X103" s="288">
        <f t="shared" si="37"/>
        <v>0</v>
      </c>
      <c r="Y103" s="288">
        <f t="shared" si="44"/>
        <v>2050.06</v>
      </c>
      <c r="Z103" s="288">
        <f t="shared" si="45"/>
        <v>44388.659999999996</v>
      </c>
      <c r="AA103" s="288">
        <f t="shared" si="46"/>
        <v>45813.98</v>
      </c>
      <c r="AB103" s="288">
        <f t="shared" si="58"/>
        <v>309986.34000000008</v>
      </c>
      <c r="AC103" s="410">
        <f t="shared" si="67"/>
        <v>43</v>
      </c>
      <c r="AD103" s="510">
        <f t="shared" si="68"/>
        <v>10930.039999999994</v>
      </c>
      <c r="AE103" s="510">
        <f t="shared" si="38"/>
        <v>240205.53000000009</v>
      </c>
      <c r="AF103" s="510">
        <f t="shared" si="39"/>
        <v>251135.57000000007</v>
      </c>
      <c r="AG103" s="510">
        <f t="shared" si="69"/>
        <v>1667.9499999999998</v>
      </c>
      <c r="AH103" s="510">
        <f t="shared" si="70"/>
        <v>328756.37000000005</v>
      </c>
      <c r="AI103" s="510"/>
      <c r="AJ103" s="14">
        <f t="shared" si="47"/>
        <v>1667.9499999999998</v>
      </c>
      <c r="AK103" s="14">
        <f t="shared" si="49"/>
        <v>68804.479999999952</v>
      </c>
      <c r="AL103" s="510">
        <f>IF(R103&lt;=0,0,+(Profit!$B$4+AM102)*$AL$1/12)</f>
        <v>1043.757650943862</v>
      </c>
      <c r="AM103" s="14">
        <f t="shared" si="71"/>
        <v>43546.818028488684</v>
      </c>
    </row>
    <row r="104" spans="1:41" x14ac:dyDescent="0.25">
      <c r="A104" s="499">
        <f t="shared" si="59"/>
        <v>47079</v>
      </c>
      <c r="B104" s="288">
        <f t="shared" si="60"/>
        <v>69780.809999999983</v>
      </c>
      <c r="C104" s="14">
        <f t="shared" si="50"/>
        <v>382.11</v>
      </c>
      <c r="D104" s="14">
        <f t="shared" si="72"/>
        <v>164.04000000000002</v>
      </c>
      <c r="E104" s="14">
        <f t="shared" si="51"/>
        <v>218.07</v>
      </c>
      <c r="F104" s="288">
        <f t="shared" si="61"/>
        <v>13150.170000000006</v>
      </c>
      <c r="G104" s="288">
        <f t="shared" si="62"/>
        <v>21497.570000000003</v>
      </c>
      <c r="H104" s="288">
        <f t="shared" si="52"/>
        <v>69616.76999999999</v>
      </c>
      <c r="I104" s="410">
        <f t="shared" si="53"/>
        <v>3</v>
      </c>
      <c r="J104" s="288">
        <f t="shared" si="63"/>
        <v>339191.00000000006</v>
      </c>
      <c r="K104" s="288">
        <f t="shared" si="41"/>
        <v>2298.4699999999998</v>
      </c>
      <c r="L104" s="288">
        <f t="shared" si="73"/>
        <v>390.51999999999975</v>
      </c>
      <c r="M104" s="288">
        <f t="shared" si="42"/>
        <v>1907.95</v>
      </c>
      <c r="N104" s="288">
        <f t="shared" si="64"/>
        <v>15574.519999999991</v>
      </c>
      <c r="O104" s="288">
        <f t="shared" si="65"/>
        <v>87856.63</v>
      </c>
      <c r="P104" s="288">
        <f t="shared" si="54"/>
        <v>338800.48000000004</v>
      </c>
      <c r="Q104" s="499">
        <f t="shared" si="55"/>
        <v>47079</v>
      </c>
      <c r="R104" s="288">
        <f t="shared" si="40"/>
        <v>309986.34000000008</v>
      </c>
      <c r="S104" s="492">
        <f t="shared" si="66"/>
        <v>3.7499999999999999E-2</v>
      </c>
      <c r="T104" s="288">
        <f t="shared" si="56"/>
        <v>2050.06</v>
      </c>
      <c r="U104" s="288">
        <f t="shared" si="43"/>
        <v>1081.3499999999999</v>
      </c>
      <c r="V104" s="288">
        <f t="shared" si="57"/>
        <v>968.71</v>
      </c>
      <c r="W104" s="288">
        <f t="shared" si="36"/>
        <v>0</v>
      </c>
      <c r="X104" s="288">
        <f t="shared" si="37"/>
        <v>0</v>
      </c>
      <c r="Y104" s="288">
        <f t="shared" si="44"/>
        <v>2050.06</v>
      </c>
      <c r="Z104" s="288">
        <f t="shared" si="45"/>
        <v>45470.009999999995</v>
      </c>
      <c r="AA104" s="288">
        <f t="shared" si="46"/>
        <v>46782.69</v>
      </c>
      <c r="AB104" s="288">
        <f t="shared" si="58"/>
        <v>308904.99000000011</v>
      </c>
      <c r="AC104" s="410">
        <f t="shared" si="67"/>
        <v>44</v>
      </c>
      <c r="AD104" s="510">
        <f t="shared" si="68"/>
        <v>11178.449999999993</v>
      </c>
      <c r="AE104" s="510">
        <f t="shared" si="38"/>
        <v>239288.22000000012</v>
      </c>
      <c r="AF104" s="510">
        <f t="shared" si="39"/>
        <v>250466.6700000001</v>
      </c>
      <c r="AG104" s="510">
        <f t="shared" si="69"/>
        <v>1667.9499999999998</v>
      </c>
      <c r="AH104" s="510">
        <f t="shared" si="70"/>
        <v>327839.06</v>
      </c>
      <c r="AI104" s="510"/>
      <c r="AJ104" s="14">
        <f t="shared" si="47"/>
        <v>1667.9499999999998</v>
      </c>
      <c r="AK104" s="14">
        <f t="shared" si="49"/>
        <v>70472.429999999949</v>
      </c>
      <c r="AL104" s="510">
        <f>IF(R104&lt;=0,0,+(Profit!$B$4+AM103)*$AL$1/12)</f>
        <v>1046.3670450712216</v>
      </c>
      <c r="AM104" s="14">
        <f t="shared" si="71"/>
        <v>44593.185073559907</v>
      </c>
    </row>
    <row r="105" spans="1:41" x14ac:dyDescent="0.25">
      <c r="A105" s="499">
        <f t="shared" si="59"/>
        <v>47109</v>
      </c>
      <c r="B105" s="288">
        <f t="shared" si="60"/>
        <v>69616.76999999999</v>
      </c>
      <c r="C105" s="14">
        <f t="shared" si="50"/>
        <v>382.11</v>
      </c>
      <c r="D105" s="14">
        <f t="shared" si="72"/>
        <v>164.56</v>
      </c>
      <c r="E105" s="14">
        <f t="shared" si="51"/>
        <v>217.55</v>
      </c>
      <c r="F105" s="288">
        <f t="shared" si="61"/>
        <v>13314.730000000005</v>
      </c>
      <c r="G105" s="288">
        <f t="shared" si="62"/>
        <v>21715.120000000003</v>
      </c>
      <c r="H105" s="288">
        <f t="shared" si="52"/>
        <v>69452.209999999992</v>
      </c>
      <c r="I105" s="410">
        <f t="shared" si="53"/>
        <v>3</v>
      </c>
      <c r="J105" s="288">
        <f t="shared" si="63"/>
        <v>338800.48000000004</v>
      </c>
      <c r="K105" s="288">
        <f t="shared" si="41"/>
        <v>2298.4699999999998</v>
      </c>
      <c r="L105" s="288">
        <f t="shared" si="73"/>
        <v>392.7199999999998</v>
      </c>
      <c r="M105" s="288">
        <f t="shared" si="42"/>
        <v>1905.75</v>
      </c>
      <c r="N105" s="288">
        <f t="shared" si="64"/>
        <v>15967.239999999991</v>
      </c>
      <c r="O105" s="288">
        <f t="shared" si="65"/>
        <v>89762.38</v>
      </c>
      <c r="P105" s="288">
        <f t="shared" si="54"/>
        <v>338407.76000000007</v>
      </c>
      <c r="Q105" s="499">
        <f t="shared" si="55"/>
        <v>47109</v>
      </c>
      <c r="R105" s="288">
        <f t="shared" si="40"/>
        <v>308904.99000000011</v>
      </c>
      <c r="S105" s="492">
        <f t="shared" si="66"/>
        <v>3.7499999999999999E-2</v>
      </c>
      <c r="T105" s="288">
        <f t="shared" si="56"/>
        <v>2050.06</v>
      </c>
      <c r="U105" s="288">
        <f t="shared" si="43"/>
        <v>1084.73</v>
      </c>
      <c r="V105" s="288">
        <f t="shared" si="57"/>
        <v>965.33</v>
      </c>
      <c r="W105" s="288">
        <f t="shared" si="36"/>
        <v>0</v>
      </c>
      <c r="X105" s="288">
        <f t="shared" si="37"/>
        <v>0</v>
      </c>
      <c r="Y105" s="288">
        <f t="shared" si="44"/>
        <v>2050.06</v>
      </c>
      <c r="Z105" s="288">
        <f t="shared" si="45"/>
        <v>46554.74</v>
      </c>
      <c r="AA105" s="288">
        <f t="shared" si="46"/>
        <v>47748.020000000004</v>
      </c>
      <c r="AB105" s="288">
        <f t="shared" si="58"/>
        <v>307820.26000000013</v>
      </c>
      <c r="AC105" s="410">
        <f t="shared" si="67"/>
        <v>45</v>
      </c>
      <c r="AD105" s="510">
        <f t="shared" si="68"/>
        <v>11426.859999999993</v>
      </c>
      <c r="AE105" s="510">
        <f t="shared" si="38"/>
        <v>238368.05000000013</v>
      </c>
      <c r="AF105" s="510">
        <f t="shared" si="39"/>
        <v>249794.91000000012</v>
      </c>
      <c r="AG105" s="510">
        <f t="shared" si="69"/>
        <v>1667.9499999999998</v>
      </c>
      <c r="AH105" s="510">
        <f t="shared" si="70"/>
        <v>326918.89</v>
      </c>
      <c r="AI105" s="510"/>
      <c r="AJ105" s="14">
        <f t="shared" si="47"/>
        <v>1667.9499999999998</v>
      </c>
      <c r="AK105" s="14">
        <f t="shared" si="49"/>
        <v>72140.379999999946</v>
      </c>
      <c r="AL105" s="510">
        <f>IF(R105&lt;=0,0,+(Profit!$B$4+AM104)*$AL$1/12)</f>
        <v>1048.9829626838998</v>
      </c>
      <c r="AM105" s="14">
        <f t="shared" si="71"/>
        <v>45642.168036243806</v>
      </c>
    </row>
    <row r="106" spans="1:41" x14ac:dyDescent="0.25">
      <c r="A106" s="499">
        <f t="shared" si="59"/>
        <v>47139</v>
      </c>
      <c r="B106" s="288">
        <f t="shared" si="60"/>
        <v>69452.209999999992</v>
      </c>
      <c r="C106" s="14">
        <f t="shared" si="50"/>
        <v>382.11</v>
      </c>
      <c r="D106" s="14">
        <f t="shared" si="72"/>
        <v>165.07000000000002</v>
      </c>
      <c r="E106" s="14">
        <f t="shared" si="51"/>
        <v>217.04</v>
      </c>
      <c r="F106" s="288">
        <f t="shared" si="61"/>
        <v>13479.800000000005</v>
      </c>
      <c r="G106" s="288">
        <f t="shared" si="62"/>
        <v>21932.160000000003</v>
      </c>
      <c r="H106" s="288">
        <f t="shared" si="52"/>
        <v>69287.139999999985</v>
      </c>
      <c r="I106" s="410">
        <f t="shared" si="53"/>
        <v>3</v>
      </c>
      <c r="J106" s="288">
        <f t="shared" si="63"/>
        <v>338407.76000000007</v>
      </c>
      <c r="K106" s="288">
        <f t="shared" si="41"/>
        <v>2298.4699999999998</v>
      </c>
      <c r="L106" s="288">
        <f t="shared" si="73"/>
        <v>394.92999999999984</v>
      </c>
      <c r="M106" s="288">
        <f t="shared" si="42"/>
        <v>1903.54</v>
      </c>
      <c r="N106" s="288">
        <f t="shared" si="64"/>
        <v>16362.169999999991</v>
      </c>
      <c r="O106" s="288">
        <f t="shared" si="65"/>
        <v>91665.919999999998</v>
      </c>
      <c r="P106" s="288">
        <f t="shared" si="54"/>
        <v>338012.83000000007</v>
      </c>
      <c r="Q106" s="499">
        <f t="shared" si="55"/>
        <v>47139</v>
      </c>
      <c r="R106" s="288">
        <f t="shared" si="40"/>
        <v>307820.26000000013</v>
      </c>
      <c r="S106" s="492">
        <f t="shared" si="66"/>
        <v>3.7499999999999999E-2</v>
      </c>
      <c r="T106" s="288">
        <f t="shared" si="56"/>
        <v>2050.06</v>
      </c>
      <c r="U106" s="288">
        <f t="shared" si="43"/>
        <v>1088.1199999999999</v>
      </c>
      <c r="V106" s="288">
        <f t="shared" si="57"/>
        <v>961.94</v>
      </c>
      <c r="W106" s="288">
        <f t="shared" si="36"/>
        <v>0</v>
      </c>
      <c r="X106" s="288">
        <f t="shared" si="37"/>
        <v>0</v>
      </c>
      <c r="Y106" s="288">
        <f t="shared" si="44"/>
        <v>2050.06</v>
      </c>
      <c r="Z106" s="288">
        <f t="shared" si="45"/>
        <v>47642.86</v>
      </c>
      <c r="AA106" s="288">
        <f t="shared" si="46"/>
        <v>48709.960000000006</v>
      </c>
      <c r="AB106" s="288">
        <f t="shared" si="58"/>
        <v>306732.14000000013</v>
      </c>
      <c r="AC106" s="410">
        <f t="shared" si="67"/>
        <v>46</v>
      </c>
      <c r="AD106" s="510">
        <f t="shared" si="68"/>
        <v>11675.269999999993</v>
      </c>
      <c r="AE106" s="510">
        <f t="shared" si="38"/>
        <v>237445.00000000015</v>
      </c>
      <c r="AF106" s="510">
        <f t="shared" si="39"/>
        <v>249120.27000000014</v>
      </c>
      <c r="AG106" s="510">
        <f t="shared" si="69"/>
        <v>1667.9499999999998</v>
      </c>
      <c r="AH106" s="510">
        <f t="shared" si="70"/>
        <v>325995.84000000003</v>
      </c>
      <c r="AI106" s="510"/>
      <c r="AJ106" s="14">
        <f t="shared" si="47"/>
        <v>1667.9499999999998</v>
      </c>
      <c r="AK106" s="14">
        <f t="shared" si="49"/>
        <v>73808.329999999944</v>
      </c>
      <c r="AL106" s="510">
        <f>IF(R106&lt;=0,0,+(Profit!$B$4+AM105)*$AL$1/12)</f>
        <v>1051.6054200906094</v>
      </c>
      <c r="AM106" s="14">
        <f t="shared" si="71"/>
        <v>46693.773456334413</v>
      </c>
    </row>
    <row r="107" spans="1:41" x14ac:dyDescent="0.25">
      <c r="A107" s="499">
        <f t="shared" si="59"/>
        <v>47169</v>
      </c>
      <c r="B107" s="288">
        <f t="shared" si="60"/>
        <v>69287.139999999985</v>
      </c>
      <c r="C107" s="14">
        <f t="shared" si="50"/>
        <v>382.11</v>
      </c>
      <c r="D107" s="14">
        <f t="shared" si="72"/>
        <v>165.59</v>
      </c>
      <c r="E107" s="14">
        <f t="shared" si="51"/>
        <v>216.52</v>
      </c>
      <c r="F107" s="288">
        <f t="shared" si="61"/>
        <v>13645.390000000005</v>
      </c>
      <c r="G107" s="288">
        <f t="shared" si="62"/>
        <v>22148.680000000004</v>
      </c>
      <c r="H107" s="288">
        <f t="shared" si="52"/>
        <v>69121.549999999988</v>
      </c>
      <c r="I107" s="410">
        <f t="shared" si="53"/>
        <v>3</v>
      </c>
      <c r="J107" s="288">
        <f t="shared" si="63"/>
        <v>338012.83000000007</v>
      </c>
      <c r="K107" s="288">
        <f t="shared" si="41"/>
        <v>2298.4699999999998</v>
      </c>
      <c r="L107" s="288">
        <f t="shared" si="73"/>
        <v>397.14999999999986</v>
      </c>
      <c r="M107" s="288">
        <f t="shared" si="42"/>
        <v>1901.32</v>
      </c>
      <c r="N107" s="288">
        <f t="shared" si="64"/>
        <v>16759.319999999992</v>
      </c>
      <c r="O107" s="288">
        <f t="shared" si="65"/>
        <v>93567.24</v>
      </c>
      <c r="P107" s="288">
        <f t="shared" si="54"/>
        <v>337615.68000000005</v>
      </c>
      <c r="Q107" s="499">
        <f t="shared" si="55"/>
        <v>47169</v>
      </c>
      <c r="R107" s="288">
        <f t="shared" si="40"/>
        <v>306732.14000000013</v>
      </c>
      <c r="S107" s="492">
        <f t="shared" si="66"/>
        <v>3.7499999999999999E-2</v>
      </c>
      <c r="T107" s="288">
        <f t="shared" si="56"/>
        <v>2050.06</v>
      </c>
      <c r="U107" s="288">
        <f t="shared" si="43"/>
        <v>1091.52</v>
      </c>
      <c r="V107" s="288">
        <f t="shared" si="57"/>
        <v>958.54</v>
      </c>
      <c r="W107" s="288">
        <f t="shared" si="36"/>
        <v>0</v>
      </c>
      <c r="X107" s="288">
        <f t="shared" si="37"/>
        <v>0</v>
      </c>
      <c r="Y107" s="288">
        <f t="shared" si="44"/>
        <v>2050.06</v>
      </c>
      <c r="Z107" s="288">
        <f t="shared" si="45"/>
        <v>48734.38</v>
      </c>
      <c r="AA107" s="288">
        <f t="shared" si="46"/>
        <v>49668.500000000007</v>
      </c>
      <c r="AB107" s="288">
        <f t="shared" si="58"/>
        <v>305640.62000000011</v>
      </c>
      <c r="AC107" s="410">
        <f t="shared" si="67"/>
        <v>47</v>
      </c>
      <c r="AD107" s="510">
        <f t="shared" si="68"/>
        <v>11923.679999999993</v>
      </c>
      <c r="AE107" s="510">
        <f t="shared" si="38"/>
        <v>236519.07000000012</v>
      </c>
      <c r="AF107" s="510">
        <f t="shared" si="39"/>
        <v>248442.75000000012</v>
      </c>
      <c r="AG107" s="510">
        <f t="shared" si="69"/>
        <v>1667.9499999999998</v>
      </c>
      <c r="AH107" s="510">
        <f t="shared" si="70"/>
        <v>325069.91000000003</v>
      </c>
      <c r="AI107" s="510"/>
      <c r="AJ107" s="14">
        <f t="shared" si="47"/>
        <v>1667.9499999999998</v>
      </c>
      <c r="AK107" s="14">
        <f t="shared" si="49"/>
        <v>75476.279999999941</v>
      </c>
      <c r="AL107" s="510">
        <f>IF(R107&lt;=0,0,+(Profit!$B$4+AM106)*$AL$1/12)</f>
        <v>1054.234433640836</v>
      </c>
      <c r="AM107" s="14">
        <f t="shared" si="71"/>
        <v>47748.007889975248</v>
      </c>
      <c r="AO107" s="470"/>
    </row>
    <row r="108" spans="1:41" x14ac:dyDescent="0.25">
      <c r="A108" s="499">
        <f t="shared" si="59"/>
        <v>47199</v>
      </c>
      <c r="B108" s="288">
        <f t="shared" si="60"/>
        <v>69121.549999999988</v>
      </c>
      <c r="C108" s="14">
        <f t="shared" si="50"/>
        <v>382.11</v>
      </c>
      <c r="D108" s="14">
        <f t="shared" si="72"/>
        <v>166.11</v>
      </c>
      <c r="E108" s="14">
        <f t="shared" si="51"/>
        <v>216</v>
      </c>
      <c r="F108" s="288">
        <f t="shared" si="61"/>
        <v>13811.500000000005</v>
      </c>
      <c r="G108" s="288">
        <f t="shared" si="62"/>
        <v>22364.680000000004</v>
      </c>
      <c r="H108" s="288">
        <f t="shared" si="52"/>
        <v>68955.439999999988</v>
      </c>
      <c r="I108" s="410">
        <f t="shared" si="53"/>
        <v>4</v>
      </c>
      <c r="J108" s="288">
        <f t="shared" si="63"/>
        <v>337615.68000000005</v>
      </c>
      <c r="K108" s="288">
        <f t="shared" si="41"/>
        <v>2298.4699999999998</v>
      </c>
      <c r="L108" s="288">
        <f t="shared" si="73"/>
        <v>399.37999999999988</v>
      </c>
      <c r="M108" s="288">
        <f t="shared" si="42"/>
        <v>1899.09</v>
      </c>
      <c r="N108" s="288">
        <f t="shared" si="64"/>
        <v>17158.699999999993</v>
      </c>
      <c r="O108" s="288">
        <f t="shared" si="65"/>
        <v>95466.33</v>
      </c>
      <c r="P108" s="288">
        <f t="shared" si="54"/>
        <v>337216.30000000005</v>
      </c>
      <c r="Q108" s="499">
        <f t="shared" si="55"/>
        <v>47199</v>
      </c>
      <c r="R108" s="288">
        <f t="shared" si="40"/>
        <v>305640.62000000011</v>
      </c>
      <c r="S108" s="492">
        <f t="shared" si="66"/>
        <v>3.7499999999999999E-2</v>
      </c>
      <c r="T108" s="288">
        <f t="shared" si="56"/>
        <v>2050.06</v>
      </c>
      <c r="U108" s="288">
        <f t="shared" si="43"/>
        <v>1094.9299999999998</v>
      </c>
      <c r="V108" s="288">
        <f t="shared" si="57"/>
        <v>955.13</v>
      </c>
      <c r="W108" s="288">
        <f t="shared" si="36"/>
        <v>0</v>
      </c>
      <c r="X108" s="288">
        <f t="shared" si="37"/>
        <v>0</v>
      </c>
      <c r="Y108" s="288">
        <f t="shared" si="44"/>
        <v>2050.06</v>
      </c>
      <c r="Z108" s="288">
        <f t="shared" si="45"/>
        <v>49829.31</v>
      </c>
      <c r="AA108" s="288">
        <f t="shared" si="46"/>
        <v>50623.630000000005</v>
      </c>
      <c r="AB108" s="288">
        <f t="shared" si="58"/>
        <v>304545.69000000012</v>
      </c>
      <c r="AC108" s="410">
        <f t="shared" si="67"/>
        <v>48</v>
      </c>
      <c r="AD108" s="510">
        <f t="shared" si="68"/>
        <v>12172.089999999993</v>
      </c>
      <c r="AE108" s="510">
        <f t="shared" si="38"/>
        <v>235590.25000000012</v>
      </c>
      <c r="AF108" s="510">
        <f t="shared" si="39"/>
        <v>247762.34000000011</v>
      </c>
      <c r="AG108" s="510">
        <f t="shared" si="69"/>
        <v>1667.9499999999998</v>
      </c>
      <c r="AH108" s="510">
        <f t="shared" si="70"/>
        <v>324141.09000000003</v>
      </c>
      <c r="AI108" s="510"/>
      <c r="AJ108" s="14">
        <f t="shared" si="47"/>
        <v>1667.9499999999998</v>
      </c>
      <c r="AK108" s="14">
        <f t="shared" si="49"/>
        <v>77144.229999999938</v>
      </c>
      <c r="AL108" s="510">
        <f>IF(R108&lt;=0,0,+(Profit!$B$4+AM107)*$AL$1/12)</f>
        <v>1056.8700197249382</v>
      </c>
      <c r="AM108" s="14">
        <f t="shared" si="71"/>
        <v>48804.877909700182</v>
      </c>
      <c r="AO108" s="470"/>
    </row>
    <row r="109" spans="1:41" x14ac:dyDescent="0.25">
      <c r="A109" s="499">
        <f t="shared" si="59"/>
        <v>47229</v>
      </c>
      <c r="B109" s="288">
        <f t="shared" si="60"/>
        <v>68955.439999999988</v>
      </c>
      <c r="C109" s="14">
        <f t="shared" si="50"/>
        <v>382.11</v>
      </c>
      <c r="D109" s="14">
        <f t="shared" si="72"/>
        <v>166.62</v>
      </c>
      <c r="E109" s="14">
        <f t="shared" si="51"/>
        <v>215.49</v>
      </c>
      <c r="F109" s="288">
        <f t="shared" si="61"/>
        <v>13978.120000000006</v>
      </c>
      <c r="G109" s="288">
        <f t="shared" si="62"/>
        <v>22580.170000000006</v>
      </c>
      <c r="H109" s="288">
        <f t="shared" si="52"/>
        <v>68788.819999999992</v>
      </c>
      <c r="I109" s="410">
        <f t="shared" si="53"/>
        <v>4</v>
      </c>
      <c r="J109" s="288">
        <f t="shared" si="63"/>
        <v>337216.30000000005</v>
      </c>
      <c r="K109" s="288">
        <f t="shared" si="41"/>
        <v>2298.4699999999998</v>
      </c>
      <c r="L109" s="288">
        <f t="shared" si="73"/>
        <v>401.62999999999988</v>
      </c>
      <c r="M109" s="288">
        <f t="shared" si="42"/>
        <v>1896.84</v>
      </c>
      <c r="N109" s="288">
        <f t="shared" si="64"/>
        <v>17560.329999999994</v>
      </c>
      <c r="O109" s="288">
        <f t="shared" si="65"/>
        <v>97363.17</v>
      </c>
      <c r="P109" s="288">
        <f t="shared" si="54"/>
        <v>336814.67000000004</v>
      </c>
      <c r="Q109" s="499">
        <f t="shared" si="55"/>
        <v>47229</v>
      </c>
      <c r="R109" s="288">
        <f t="shared" si="40"/>
        <v>304545.69000000012</v>
      </c>
      <c r="S109" s="492">
        <f t="shared" si="66"/>
        <v>3.7499999999999999E-2</v>
      </c>
      <c r="T109" s="288">
        <f t="shared" si="56"/>
        <v>2050.06</v>
      </c>
      <c r="U109" s="288">
        <f t="shared" si="43"/>
        <v>1098.3499999999999</v>
      </c>
      <c r="V109" s="288">
        <f t="shared" si="57"/>
        <v>951.71</v>
      </c>
      <c r="W109" s="288">
        <f t="shared" si="36"/>
        <v>0</v>
      </c>
      <c r="X109" s="288">
        <f t="shared" si="37"/>
        <v>0</v>
      </c>
      <c r="Y109" s="288">
        <f t="shared" si="44"/>
        <v>2050.06</v>
      </c>
      <c r="Z109" s="288">
        <f t="shared" si="45"/>
        <v>50927.659999999996</v>
      </c>
      <c r="AA109" s="288">
        <f t="shared" si="46"/>
        <v>51575.340000000004</v>
      </c>
      <c r="AB109" s="288">
        <f t="shared" si="58"/>
        <v>303447.34000000014</v>
      </c>
      <c r="AC109" s="410">
        <f t="shared" si="67"/>
        <v>49</v>
      </c>
      <c r="AD109" s="510">
        <f t="shared" si="68"/>
        <v>12420.499999999993</v>
      </c>
      <c r="AE109" s="510">
        <f t="shared" si="38"/>
        <v>234658.52000000014</v>
      </c>
      <c r="AF109" s="510">
        <f t="shared" si="39"/>
        <v>247079.02000000014</v>
      </c>
      <c r="AG109" s="510">
        <f t="shared" si="69"/>
        <v>1667.9499999999998</v>
      </c>
      <c r="AH109" s="510">
        <f t="shared" si="70"/>
        <v>323209.36000000004</v>
      </c>
      <c r="AI109" s="510"/>
      <c r="AJ109" s="14">
        <f t="shared" si="47"/>
        <v>1667.9499999999998</v>
      </c>
      <c r="AK109" s="14">
        <f t="shared" si="49"/>
        <v>78812.179999999935</v>
      </c>
      <c r="AL109" s="510">
        <f>IF(R109&lt;=0,0,+(Profit!$B$4+AM108)*$AL$1/12)</f>
        <v>1059.5121947742502</v>
      </c>
      <c r="AM109" s="14">
        <f t="shared" si="71"/>
        <v>49864.390104474434</v>
      </c>
    </row>
    <row r="110" spans="1:41" ht="15.75" thickBot="1" x14ac:dyDescent="0.3">
      <c r="A110" s="502">
        <f t="shared" si="59"/>
        <v>47259</v>
      </c>
      <c r="B110" s="343">
        <f t="shared" si="60"/>
        <v>68788.819999999992</v>
      </c>
      <c r="C110" s="21">
        <f t="shared" si="50"/>
        <v>382.11</v>
      </c>
      <c r="D110" s="21">
        <f t="shared" si="72"/>
        <v>167.14000000000001</v>
      </c>
      <c r="E110" s="21">
        <f t="shared" si="51"/>
        <v>214.97</v>
      </c>
      <c r="F110" s="343">
        <f t="shared" si="61"/>
        <v>14145.260000000006</v>
      </c>
      <c r="G110" s="343">
        <f t="shared" si="62"/>
        <v>22795.140000000007</v>
      </c>
      <c r="H110" s="343">
        <f t="shared" si="52"/>
        <v>68621.679999999993</v>
      </c>
      <c r="I110" s="411">
        <f t="shared" si="53"/>
        <v>4</v>
      </c>
      <c r="J110" s="343">
        <f t="shared" si="63"/>
        <v>336814.67000000004</v>
      </c>
      <c r="K110" s="343">
        <f t="shared" si="41"/>
        <v>2298.4699999999998</v>
      </c>
      <c r="L110" s="343">
        <f t="shared" si="73"/>
        <v>403.88999999999987</v>
      </c>
      <c r="M110" s="343">
        <f t="shared" si="42"/>
        <v>1894.58</v>
      </c>
      <c r="N110" s="343">
        <f t="shared" si="64"/>
        <v>17964.219999999994</v>
      </c>
      <c r="O110" s="343">
        <f t="shared" si="65"/>
        <v>99257.75</v>
      </c>
      <c r="P110" s="343">
        <f t="shared" si="54"/>
        <v>336410.78</v>
      </c>
      <c r="Q110" s="502">
        <f t="shared" si="55"/>
        <v>47259</v>
      </c>
      <c r="R110" s="343">
        <f t="shared" si="40"/>
        <v>303447.34000000014</v>
      </c>
      <c r="S110" s="493">
        <f t="shared" si="66"/>
        <v>3.7499999999999999E-2</v>
      </c>
      <c r="T110" s="343">
        <f t="shared" si="56"/>
        <v>2050.06</v>
      </c>
      <c r="U110" s="343">
        <f t="shared" si="43"/>
        <v>1101.79</v>
      </c>
      <c r="V110" s="343">
        <f t="shared" si="57"/>
        <v>948.27</v>
      </c>
      <c r="W110" s="343">
        <f t="shared" si="36"/>
        <v>0</v>
      </c>
      <c r="X110" s="343">
        <f t="shared" si="37"/>
        <v>0</v>
      </c>
      <c r="Y110" s="343">
        <f t="shared" si="44"/>
        <v>2050.06</v>
      </c>
      <c r="Z110" s="343">
        <f t="shared" si="45"/>
        <v>52029.45</v>
      </c>
      <c r="AA110" s="343">
        <f t="shared" si="46"/>
        <v>52523.61</v>
      </c>
      <c r="AB110" s="343">
        <f t="shared" si="58"/>
        <v>302345.55000000016</v>
      </c>
      <c r="AC110" s="411">
        <f t="shared" si="67"/>
        <v>50</v>
      </c>
      <c r="AD110" s="511">
        <f t="shared" si="68"/>
        <v>12668.909999999993</v>
      </c>
      <c r="AE110" s="511">
        <f t="shared" si="38"/>
        <v>233723.87000000017</v>
      </c>
      <c r="AF110" s="511">
        <f t="shared" si="39"/>
        <v>246392.78000000017</v>
      </c>
      <c r="AG110" s="511">
        <f t="shared" si="69"/>
        <v>1667.9499999999998</v>
      </c>
      <c r="AH110" s="511">
        <f t="shared" si="70"/>
        <v>322274.71000000002</v>
      </c>
      <c r="AI110" s="511"/>
      <c r="AJ110" s="21">
        <f t="shared" si="47"/>
        <v>1667.9499999999998</v>
      </c>
      <c r="AK110" s="21">
        <f t="shared" si="49"/>
        <v>80480.129999999932</v>
      </c>
      <c r="AL110" s="511">
        <f>IF(R110&lt;=0,0,+(Profit!$B$4+AM109)*$AL$1/12)</f>
        <v>1062.160975261186</v>
      </c>
      <c r="AM110" s="21">
        <f t="shared" si="71"/>
        <v>50926.551079735618</v>
      </c>
      <c r="AO110" s="470"/>
    </row>
    <row r="111" spans="1:41" x14ac:dyDescent="0.25">
      <c r="A111" s="499">
        <f t="shared" si="59"/>
        <v>47289</v>
      </c>
      <c r="B111" s="288">
        <f t="shared" si="60"/>
        <v>68621.679999999993</v>
      </c>
      <c r="C111" s="14">
        <f t="shared" si="50"/>
        <v>382.11</v>
      </c>
      <c r="D111" s="14">
        <f t="shared" si="72"/>
        <v>167.67000000000002</v>
      </c>
      <c r="E111" s="14">
        <f t="shared" si="51"/>
        <v>214.44</v>
      </c>
      <c r="F111" s="288">
        <f t="shared" si="61"/>
        <v>14312.930000000006</v>
      </c>
      <c r="G111" s="288">
        <f t="shared" si="62"/>
        <v>23009.580000000005</v>
      </c>
      <c r="H111" s="288">
        <f t="shared" si="52"/>
        <v>68454.009999999995</v>
      </c>
      <c r="I111" s="410">
        <f t="shared" si="53"/>
        <v>4</v>
      </c>
      <c r="J111" s="288">
        <f t="shared" si="63"/>
        <v>336410.78</v>
      </c>
      <c r="K111" s="288">
        <f t="shared" si="41"/>
        <v>2298.4699999999998</v>
      </c>
      <c r="L111" s="288">
        <f t="shared" si="73"/>
        <v>406.15999999999985</v>
      </c>
      <c r="M111" s="288">
        <f t="shared" si="42"/>
        <v>1892.31</v>
      </c>
      <c r="N111" s="288">
        <f t="shared" si="64"/>
        <v>18370.379999999994</v>
      </c>
      <c r="O111" s="288">
        <f t="shared" si="65"/>
        <v>101150.06</v>
      </c>
      <c r="P111" s="288">
        <f t="shared" si="54"/>
        <v>336004.62000000005</v>
      </c>
      <c r="Q111" s="499">
        <f t="shared" si="55"/>
        <v>47289</v>
      </c>
      <c r="R111" s="288">
        <f t="shared" si="40"/>
        <v>302345.55000000016</v>
      </c>
      <c r="S111" s="492">
        <f t="shared" si="66"/>
        <v>3.7499999999999999E-2</v>
      </c>
      <c r="T111" s="288">
        <f t="shared" si="56"/>
        <v>2050.06</v>
      </c>
      <c r="U111" s="288">
        <f t="shared" si="43"/>
        <v>1105.23</v>
      </c>
      <c r="V111" s="288">
        <f t="shared" si="57"/>
        <v>944.83</v>
      </c>
      <c r="W111" s="288">
        <f t="shared" si="36"/>
        <v>0</v>
      </c>
      <c r="X111" s="288">
        <f t="shared" si="37"/>
        <v>0</v>
      </c>
      <c r="Y111" s="288">
        <f t="shared" si="44"/>
        <v>2050.06</v>
      </c>
      <c r="Z111" s="288">
        <f t="shared" si="45"/>
        <v>53134.68</v>
      </c>
      <c r="AA111" s="288">
        <f t="shared" si="46"/>
        <v>53468.44</v>
      </c>
      <c r="AB111" s="288">
        <f t="shared" si="58"/>
        <v>301240.32000000018</v>
      </c>
      <c r="AC111" s="410">
        <f t="shared" si="67"/>
        <v>51</v>
      </c>
      <c r="AD111" s="510">
        <f t="shared" si="68"/>
        <v>12917.319999999992</v>
      </c>
      <c r="AE111" s="510">
        <f t="shared" si="38"/>
        <v>232786.31000000017</v>
      </c>
      <c r="AF111" s="510">
        <f t="shared" si="39"/>
        <v>245703.63000000018</v>
      </c>
      <c r="AG111" s="510">
        <f t="shared" si="69"/>
        <v>1667.9499999999998</v>
      </c>
      <c r="AH111" s="510">
        <f t="shared" si="70"/>
        <v>321337.15000000002</v>
      </c>
      <c r="AI111" s="510"/>
      <c r="AJ111" s="14">
        <f t="shared" si="47"/>
        <v>1667.9499999999998</v>
      </c>
      <c r="AK111" s="14">
        <f t="shared" si="49"/>
        <v>82148.079999999929</v>
      </c>
      <c r="AL111" s="510">
        <f>IF(R111&lt;=0,0,+(Profit!$B$4+AM110)*$AL$1/12)</f>
        <v>1064.816377699339</v>
      </c>
      <c r="AM111" s="14">
        <f t="shared" si="71"/>
        <v>51991.367457434957</v>
      </c>
    </row>
    <row r="112" spans="1:41" x14ac:dyDescent="0.25">
      <c r="A112" s="499">
        <f t="shared" si="59"/>
        <v>47319</v>
      </c>
      <c r="B112" s="288">
        <f t="shared" si="60"/>
        <v>68454.009999999995</v>
      </c>
      <c r="C112" s="14">
        <f t="shared" si="50"/>
        <v>382.11</v>
      </c>
      <c r="D112" s="14">
        <f t="shared" si="72"/>
        <v>168.19000000000003</v>
      </c>
      <c r="E112" s="14">
        <f t="shared" si="51"/>
        <v>213.92</v>
      </c>
      <c r="F112" s="288">
        <f t="shared" si="61"/>
        <v>14481.120000000006</v>
      </c>
      <c r="G112" s="288">
        <f t="shared" si="62"/>
        <v>23223.500000000004</v>
      </c>
      <c r="H112" s="288">
        <f t="shared" si="52"/>
        <v>68285.819999999992</v>
      </c>
      <c r="I112" s="410">
        <f t="shared" si="53"/>
        <v>4</v>
      </c>
      <c r="J112" s="288">
        <f t="shared" si="63"/>
        <v>336004.62000000005</v>
      </c>
      <c r="K112" s="288">
        <f t="shared" si="41"/>
        <v>2298.4699999999998</v>
      </c>
      <c r="L112" s="288">
        <f t="shared" si="73"/>
        <v>408.43999999999983</v>
      </c>
      <c r="M112" s="288">
        <f t="shared" si="42"/>
        <v>1890.03</v>
      </c>
      <c r="N112" s="288">
        <f t="shared" si="64"/>
        <v>18778.819999999992</v>
      </c>
      <c r="O112" s="288">
        <f t="shared" si="65"/>
        <v>103040.09</v>
      </c>
      <c r="P112" s="288">
        <f t="shared" si="54"/>
        <v>335596.18000000005</v>
      </c>
      <c r="Q112" s="499">
        <f t="shared" si="55"/>
        <v>47319</v>
      </c>
      <c r="R112" s="288">
        <f t="shared" si="40"/>
        <v>301240.32000000018</v>
      </c>
      <c r="S112" s="492">
        <f t="shared" si="66"/>
        <v>3.7499999999999999E-2</v>
      </c>
      <c r="T112" s="288">
        <f t="shared" si="56"/>
        <v>2050.06</v>
      </c>
      <c r="U112" s="288">
        <f t="shared" si="43"/>
        <v>1108.6799999999998</v>
      </c>
      <c r="V112" s="288">
        <f t="shared" si="57"/>
        <v>941.38</v>
      </c>
      <c r="W112" s="288">
        <f t="shared" si="36"/>
        <v>0</v>
      </c>
      <c r="X112" s="288">
        <f t="shared" si="37"/>
        <v>0</v>
      </c>
      <c r="Y112" s="288">
        <f t="shared" si="44"/>
        <v>2050.06</v>
      </c>
      <c r="Z112" s="288">
        <f t="shared" si="45"/>
        <v>54243.360000000001</v>
      </c>
      <c r="AA112" s="288">
        <f t="shared" si="46"/>
        <v>54409.82</v>
      </c>
      <c r="AB112" s="288">
        <f t="shared" si="58"/>
        <v>300131.64000000019</v>
      </c>
      <c r="AC112" s="410">
        <f t="shared" si="67"/>
        <v>52</v>
      </c>
      <c r="AD112" s="510">
        <f t="shared" si="68"/>
        <v>13165.729999999992</v>
      </c>
      <c r="AE112" s="510">
        <f t="shared" si="38"/>
        <v>231845.82000000018</v>
      </c>
      <c r="AF112" s="510">
        <f t="shared" si="39"/>
        <v>245011.55000000016</v>
      </c>
      <c r="AG112" s="510">
        <f t="shared" si="69"/>
        <v>1667.9499999999998</v>
      </c>
      <c r="AH112" s="510">
        <f t="shared" si="70"/>
        <v>320396.66000000003</v>
      </c>
      <c r="AI112" s="510"/>
      <c r="AJ112" s="14">
        <f t="shared" si="47"/>
        <v>1667.9499999999998</v>
      </c>
      <c r="AK112" s="14">
        <f t="shared" si="49"/>
        <v>83816.029999999926</v>
      </c>
      <c r="AL112" s="510">
        <f>IF(R112&lt;=0,0,+(Profit!$B$4+AM111)*$AL$1/12)</f>
        <v>1067.4784186435872</v>
      </c>
      <c r="AM112" s="14">
        <f t="shared" si="71"/>
        <v>53058.845876078543</v>
      </c>
    </row>
    <row r="113" spans="1:41" x14ac:dyDescent="0.25">
      <c r="A113" s="499">
        <f t="shared" si="59"/>
        <v>47349</v>
      </c>
      <c r="B113" s="288">
        <f t="shared" si="60"/>
        <v>68285.819999999992</v>
      </c>
      <c r="C113" s="14">
        <f t="shared" si="50"/>
        <v>382.11</v>
      </c>
      <c r="D113" s="14">
        <f t="shared" si="72"/>
        <v>168.72000000000003</v>
      </c>
      <c r="E113" s="14">
        <f t="shared" si="51"/>
        <v>213.39</v>
      </c>
      <c r="F113" s="288">
        <f t="shared" si="61"/>
        <v>14649.840000000006</v>
      </c>
      <c r="G113" s="288">
        <f t="shared" si="62"/>
        <v>23436.890000000003</v>
      </c>
      <c r="H113" s="288">
        <f t="shared" si="52"/>
        <v>68117.099999999991</v>
      </c>
      <c r="I113" s="410">
        <f t="shared" si="53"/>
        <v>4</v>
      </c>
      <c r="J113" s="288">
        <f t="shared" si="63"/>
        <v>335596.18000000005</v>
      </c>
      <c r="K113" s="288">
        <f t="shared" si="41"/>
        <v>2298.4699999999998</v>
      </c>
      <c r="L113" s="288">
        <f t="shared" si="73"/>
        <v>410.73999999999978</v>
      </c>
      <c r="M113" s="288">
        <f t="shared" si="42"/>
        <v>1887.73</v>
      </c>
      <c r="N113" s="288">
        <f t="shared" si="64"/>
        <v>19189.55999999999</v>
      </c>
      <c r="O113" s="288">
        <f t="shared" si="65"/>
        <v>104927.81999999999</v>
      </c>
      <c r="P113" s="288">
        <f t="shared" si="54"/>
        <v>335185.44000000006</v>
      </c>
      <c r="Q113" s="499">
        <f t="shared" si="55"/>
        <v>47349</v>
      </c>
      <c r="R113" s="288">
        <f t="shared" si="40"/>
        <v>300131.64000000019</v>
      </c>
      <c r="S113" s="492">
        <f t="shared" si="66"/>
        <v>3.7499999999999999E-2</v>
      </c>
      <c r="T113" s="288">
        <f t="shared" si="56"/>
        <v>2050.06</v>
      </c>
      <c r="U113" s="288">
        <f t="shared" si="43"/>
        <v>1112.1500000000001</v>
      </c>
      <c r="V113" s="288">
        <f t="shared" si="57"/>
        <v>937.91</v>
      </c>
      <c r="W113" s="288">
        <f t="shared" si="36"/>
        <v>0</v>
      </c>
      <c r="X113" s="288">
        <f t="shared" si="37"/>
        <v>0</v>
      </c>
      <c r="Y113" s="288">
        <f t="shared" si="44"/>
        <v>2050.06</v>
      </c>
      <c r="Z113" s="288">
        <f t="shared" si="45"/>
        <v>55355.51</v>
      </c>
      <c r="AA113" s="288">
        <f t="shared" si="46"/>
        <v>55347.73</v>
      </c>
      <c r="AB113" s="288">
        <f t="shared" si="58"/>
        <v>299019.49000000017</v>
      </c>
      <c r="AC113" s="410">
        <f t="shared" si="67"/>
        <v>53</v>
      </c>
      <c r="AD113" s="510">
        <f t="shared" si="68"/>
        <v>13414.139999999992</v>
      </c>
      <c r="AE113" s="510">
        <f t="shared" si="38"/>
        <v>230902.39000000019</v>
      </c>
      <c r="AF113" s="510">
        <f t="shared" si="39"/>
        <v>244316.53000000017</v>
      </c>
      <c r="AG113" s="510">
        <f t="shared" si="69"/>
        <v>1667.9499999999998</v>
      </c>
      <c r="AH113" s="510">
        <f t="shared" si="70"/>
        <v>319453.23000000004</v>
      </c>
      <c r="AI113" s="510"/>
      <c r="AJ113" s="14">
        <f t="shared" si="47"/>
        <v>1667.9499999999998</v>
      </c>
      <c r="AK113" s="14">
        <f t="shared" si="49"/>
        <v>85483.979999999923</v>
      </c>
      <c r="AL113" s="510">
        <f>IF(R113&lt;=0,0,+(Profit!$B$4+AM112)*$AL$1/12)</f>
        <v>1070.1471146901963</v>
      </c>
      <c r="AM113" s="14">
        <f t="shared" si="71"/>
        <v>54128.99299076874</v>
      </c>
    </row>
    <row r="114" spans="1:41" x14ac:dyDescent="0.25">
      <c r="A114" s="499">
        <f t="shared" si="59"/>
        <v>47379</v>
      </c>
      <c r="B114" s="288">
        <f t="shared" si="60"/>
        <v>68117.099999999991</v>
      </c>
      <c r="C114" s="14">
        <f t="shared" si="50"/>
        <v>382.11</v>
      </c>
      <c r="D114" s="14">
        <f t="shared" si="72"/>
        <v>169.24</v>
      </c>
      <c r="E114" s="14">
        <f t="shared" si="51"/>
        <v>212.87</v>
      </c>
      <c r="F114" s="288">
        <f t="shared" si="61"/>
        <v>14819.080000000005</v>
      </c>
      <c r="G114" s="288">
        <f t="shared" si="62"/>
        <v>23649.760000000002</v>
      </c>
      <c r="H114" s="288">
        <f t="shared" si="52"/>
        <v>67947.859999999986</v>
      </c>
      <c r="I114" s="410">
        <f t="shared" si="53"/>
        <v>4</v>
      </c>
      <c r="J114" s="288">
        <f t="shared" si="63"/>
        <v>335185.44000000006</v>
      </c>
      <c r="K114" s="288">
        <f t="shared" si="41"/>
        <v>2298.4699999999998</v>
      </c>
      <c r="L114" s="288">
        <f t="shared" si="73"/>
        <v>413.04999999999973</v>
      </c>
      <c r="M114" s="288">
        <f t="shared" si="42"/>
        <v>1885.42</v>
      </c>
      <c r="N114" s="288">
        <f t="shared" si="64"/>
        <v>19602.60999999999</v>
      </c>
      <c r="O114" s="288">
        <f t="shared" si="65"/>
        <v>106813.23999999999</v>
      </c>
      <c r="P114" s="288">
        <f t="shared" si="54"/>
        <v>334772.39000000007</v>
      </c>
      <c r="Q114" s="499">
        <f t="shared" si="55"/>
        <v>47379</v>
      </c>
      <c r="R114" s="288">
        <f t="shared" si="40"/>
        <v>299019.49000000017</v>
      </c>
      <c r="S114" s="492">
        <f t="shared" si="66"/>
        <v>3.7499999999999999E-2</v>
      </c>
      <c r="T114" s="288">
        <f t="shared" si="56"/>
        <v>2050.06</v>
      </c>
      <c r="U114" s="288">
        <f t="shared" si="43"/>
        <v>1115.6199999999999</v>
      </c>
      <c r="V114" s="288">
        <f t="shared" si="57"/>
        <v>934.44</v>
      </c>
      <c r="W114" s="288">
        <f t="shared" si="36"/>
        <v>0</v>
      </c>
      <c r="X114" s="288">
        <f t="shared" si="37"/>
        <v>0</v>
      </c>
      <c r="Y114" s="288">
        <f t="shared" si="44"/>
        <v>2050.06</v>
      </c>
      <c r="Z114" s="288">
        <f t="shared" si="45"/>
        <v>56471.130000000005</v>
      </c>
      <c r="AA114" s="288">
        <f t="shared" si="46"/>
        <v>56282.170000000006</v>
      </c>
      <c r="AB114" s="288">
        <f t="shared" si="58"/>
        <v>297903.87000000017</v>
      </c>
      <c r="AC114" s="410">
        <f t="shared" si="67"/>
        <v>54</v>
      </c>
      <c r="AD114" s="510">
        <f t="shared" si="68"/>
        <v>13662.549999999992</v>
      </c>
      <c r="AE114" s="510">
        <f t="shared" si="38"/>
        <v>229956.01000000018</v>
      </c>
      <c r="AF114" s="510">
        <f t="shared" si="39"/>
        <v>243618.56000000017</v>
      </c>
      <c r="AG114" s="510">
        <f t="shared" si="69"/>
        <v>1667.9499999999998</v>
      </c>
      <c r="AH114" s="510">
        <f t="shared" si="70"/>
        <v>318506.85000000003</v>
      </c>
      <c r="AI114" s="510"/>
      <c r="AJ114" s="14">
        <f t="shared" si="47"/>
        <v>1667.9499999999998</v>
      </c>
      <c r="AK114" s="14">
        <f t="shared" si="49"/>
        <v>87151.92999999992</v>
      </c>
      <c r="AL114" s="510">
        <f>IF(R114&lt;=0,0,+(Profit!$B$4+AM113)*$AL$1/12)</f>
        <v>1072.8224824769218</v>
      </c>
      <c r="AM114" s="14">
        <f t="shared" si="71"/>
        <v>55201.815473245661</v>
      </c>
    </row>
    <row r="115" spans="1:41" x14ac:dyDescent="0.25">
      <c r="A115" s="499">
        <f t="shared" si="59"/>
        <v>47409</v>
      </c>
      <c r="B115" s="288">
        <f t="shared" si="60"/>
        <v>67947.859999999986</v>
      </c>
      <c r="C115" s="14">
        <f t="shared" si="50"/>
        <v>382.11</v>
      </c>
      <c r="D115" s="14">
        <f t="shared" si="72"/>
        <v>169.77</v>
      </c>
      <c r="E115" s="14">
        <f t="shared" si="51"/>
        <v>212.34</v>
      </c>
      <c r="F115" s="288">
        <f t="shared" si="61"/>
        <v>14988.850000000006</v>
      </c>
      <c r="G115" s="288">
        <f t="shared" si="62"/>
        <v>23862.100000000002</v>
      </c>
      <c r="H115" s="288">
        <f t="shared" si="52"/>
        <v>67778.089999999982</v>
      </c>
      <c r="I115" s="410">
        <f t="shared" si="53"/>
        <v>4</v>
      </c>
      <c r="J115" s="288">
        <f t="shared" si="63"/>
        <v>334772.39000000007</v>
      </c>
      <c r="K115" s="288">
        <f t="shared" si="41"/>
        <v>2298.4699999999998</v>
      </c>
      <c r="L115" s="288">
        <f t="shared" si="73"/>
        <v>415.37999999999988</v>
      </c>
      <c r="M115" s="288">
        <f t="shared" si="42"/>
        <v>1883.09</v>
      </c>
      <c r="N115" s="288">
        <f t="shared" si="64"/>
        <v>20017.989999999991</v>
      </c>
      <c r="O115" s="288">
        <f t="shared" si="65"/>
        <v>108696.32999999999</v>
      </c>
      <c r="P115" s="288">
        <f t="shared" si="54"/>
        <v>334357.01000000007</v>
      </c>
      <c r="Q115" s="499">
        <f t="shared" si="55"/>
        <v>47409</v>
      </c>
      <c r="R115" s="288">
        <f t="shared" si="40"/>
        <v>297903.87000000017</v>
      </c>
      <c r="S115" s="492">
        <f t="shared" si="66"/>
        <v>3.7499999999999999E-2</v>
      </c>
      <c r="T115" s="288">
        <f t="shared" si="56"/>
        <v>2050.06</v>
      </c>
      <c r="U115" s="288">
        <f t="shared" si="43"/>
        <v>1119.1099999999999</v>
      </c>
      <c r="V115" s="288">
        <f t="shared" si="57"/>
        <v>930.95</v>
      </c>
      <c r="W115" s="288">
        <f t="shared" si="36"/>
        <v>0</v>
      </c>
      <c r="X115" s="288">
        <f t="shared" si="37"/>
        <v>0</v>
      </c>
      <c r="Y115" s="288">
        <f t="shared" si="44"/>
        <v>2050.06</v>
      </c>
      <c r="Z115" s="288">
        <f t="shared" si="45"/>
        <v>57590.240000000005</v>
      </c>
      <c r="AA115" s="288">
        <f t="shared" si="46"/>
        <v>57213.120000000003</v>
      </c>
      <c r="AB115" s="288">
        <f t="shared" si="58"/>
        <v>296784.76000000018</v>
      </c>
      <c r="AC115" s="410">
        <f t="shared" si="67"/>
        <v>55</v>
      </c>
      <c r="AD115" s="510">
        <f t="shared" si="68"/>
        <v>13910.959999999992</v>
      </c>
      <c r="AE115" s="510">
        <f t="shared" si="38"/>
        <v>229006.67000000022</v>
      </c>
      <c r="AF115" s="510">
        <f t="shared" si="39"/>
        <v>242917.63000000021</v>
      </c>
      <c r="AG115" s="510">
        <f t="shared" si="69"/>
        <v>1667.9499999999998</v>
      </c>
      <c r="AH115" s="510">
        <f t="shared" si="70"/>
        <v>317557.51</v>
      </c>
      <c r="AI115" s="510"/>
      <c r="AJ115" s="14">
        <f t="shared" si="47"/>
        <v>1667.9499999999998</v>
      </c>
      <c r="AK115" s="14">
        <f t="shared" si="49"/>
        <v>88819.879999999917</v>
      </c>
      <c r="AL115" s="510">
        <f>IF(R115&lt;=0,0,+(Profit!$B$4+AM114)*$AL$1/12)</f>
        <v>1075.5045386831141</v>
      </c>
      <c r="AM115" s="14">
        <f t="shared" si="71"/>
        <v>56277.320011928772</v>
      </c>
    </row>
    <row r="116" spans="1:41" x14ac:dyDescent="0.25">
      <c r="A116" s="499">
        <f t="shared" si="59"/>
        <v>47439</v>
      </c>
      <c r="B116" s="288">
        <f t="shared" si="60"/>
        <v>67778.089999999982</v>
      </c>
      <c r="C116" s="14">
        <f t="shared" si="50"/>
        <v>382.11</v>
      </c>
      <c r="D116" s="14">
        <f t="shared" si="72"/>
        <v>170.3</v>
      </c>
      <c r="E116" s="14">
        <f t="shared" si="51"/>
        <v>211.81</v>
      </c>
      <c r="F116" s="288">
        <f t="shared" si="61"/>
        <v>15159.150000000005</v>
      </c>
      <c r="G116" s="288">
        <f t="shared" si="62"/>
        <v>24073.910000000003</v>
      </c>
      <c r="H116" s="288">
        <f t="shared" si="52"/>
        <v>67607.789999999979</v>
      </c>
      <c r="I116" s="410">
        <f t="shared" si="53"/>
        <v>4</v>
      </c>
      <c r="J116" s="288">
        <f t="shared" si="63"/>
        <v>334357.01000000007</v>
      </c>
      <c r="K116" s="288">
        <f t="shared" si="41"/>
        <v>2298.4699999999998</v>
      </c>
      <c r="L116" s="288">
        <f t="shared" si="73"/>
        <v>417.70999999999981</v>
      </c>
      <c r="M116" s="288">
        <f t="shared" si="42"/>
        <v>1880.76</v>
      </c>
      <c r="N116" s="288">
        <f t="shared" si="64"/>
        <v>20435.69999999999</v>
      </c>
      <c r="O116" s="288">
        <f t="shared" si="65"/>
        <v>110577.08999999998</v>
      </c>
      <c r="P116" s="288">
        <f t="shared" si="54"/>
        <v>333939.30000000005</v>
      </c>
      <c r="Q116" s="499">
        <f t="shared" si="55"/>
        <v>47439</v>
      </c>
      <c r="R116" s="288">
        <f t="shared" si="40"/>
        <v>296784.76000000018</v>
      </c>
      <c r="S116" s="492">
        <f t="shared" si="66"/>
        <v>3.7499999999999999E-2</v>
      </c>
      <c r="T116" s="288">
        <f t="shared" si="56"/>
        <v>2050.06</v>
      </c>
      <c r="U116" s="288">
        <f t="shared" si="43"/>
        <v>1122.6099999999999</v>
      </c>
      <c r="V116" s="288">
        <f t="shared" si="57"/>
        <v>927.45</v>
      </c>
      <c r="W116" s="288">
        <f t="shared" si="36"/>
        <v>0</v>
      </c>
      <c r="X116" s="288">
        <f t="shared" si="37"/>
        <v>0</v>
      </c>
      <c r="Y116" s="288">
        <f t="shared" si="44"/>
        <v>2050.06</v>
      </c>
      <c r="Z116" s="288">
        <f t="shared" si="45"/>
        <v>58712.850000000006</v>
      </c>
      <c r="AA116" s="288">
        <f t="shared" si="46"/>
        <v>58140.57</v>
      </c>
      <c r="AB116" s="288">
        <f t="shared" si="58"/>
        <v>295662.1500000002</v>
      </c>
      <c r="AC116" s="410">
        <f t="shared" si="67"/>
        <v>56</v>
      </c>
      <c r="AD116" s="510">
        <f t="shared" si="68"/>
        <v>14159.369999999992</v>
      </c>
      <c r="AE116" s="510">
        <f t="shared" si="38"/>
        <v>228054.36000000022</v>
      </c>
      <c r="AF116" s="510">
        <f t="shared" si="39"/>
        <v>242213.73000000021</v>
      </c>
      <c r="AG116" s="510">
        <f t="shared" si="69"/>
        <v>1667.9499999999998</v>
      </c>
      <c r="AH116" s="510">
        <f t="shared" si="70"/>
        <v>316605.20000000007</v>
      </c>
      <c r="AI116" s="510"/>
      <c r="AJ116" s="14">
        <f t="shared" si="47"/>
        <v>1667.9499999999998</v>
      </c>
      <c r="AK116" s="14">
        <f t="shared" si="49"/>
        <v>90487.829999999914</v>
      </c>
      <c r="AL116" s="510">
        <f>IF(R116&lt;=0,0,+(Profit!$B$4+AM115)*$AL$1/12)</f>
        <v>1078.193300029822</v>
      </c>
      <c r="AM116" s="14">
        <f t="shared" si="71"/>
        <v>57355.513311958595</v>
      </c>
    </row>
    <row r="117" spans="1:41" x14ac:dyDescent="0.25">
      <c r="A117" s="499">
        <f t="shared" si="59"/>
        <v>47469</v>
      </c>
      <c r="B117" s="288">
        <f t="shared" si="60"/>
        <v>67607.789999999979</v>
      </c>
      <c r="C117" s="14">
        <f t="shared" si="50"/>
        <v>382.11</v>
      </c>
      <c r="D117" s="14">
        <f t="shared" si="72"/>
        <v>170.84</v>
      </c>
      <c r="E117" s="14">
        <f t="shared" si="51"/>
        <v>211.27</v>
      </c>
      <c r="F117" s="288">
        <f t="shared" si="61"/>
        <v>15329.990000000005</v>
      </c>
      <c r="G117" s="288">
        <f t="shared" si="62"/>
        <v>24285.180000000004</v>
      </c>
      <c r="H117" s="288">
        <f t="shared" si="52"/>
        <v>67436.949999999983</v>
      </c>
      <c r="I117" s="410">
        <f t="shared" si="53"/>
        <v>4</v>
      </c>
      <c r="J117" s="288">
        <f t="shared" si="63"/>
        <v>333939.30000000005</v>
      </c>
      <c r="K117" s="288">
        <f t="shared" si="41"/>
        <v>2298.4699999999998</v>
      </c>
      <c r="L117" s="288">
        <f t="shared" si="73"/>
        <v>420.05999999999972</v>
      </c>
      <c r="M117" s="288">
        <f t="shared" si="42"/>
        <v>1878.41</v>
      </c>
      <c r="N117" s="288">
        <f t="shared" si="64"/>
        <v>20855.759999999991</v>
      </c>
      <c r="O117" s="288">
        <f t="shared" si="65"/>
        <v>112455.49999999999</v>
      </c>
      <c r="P117" s="288">
        <f t="shared" si="54"/>
        <v>333519.24000000005</v>
      </c>
      <c r="Q117" s="499">
        <f t="shared" si="55"/>
        <v>47469</v>
      </c>
      <c r="R117" s="288">
        <f t="shared" si="40"/>
        <v>295662.1500000002</v>
      </c>
      <c r="S117" s="492">
        <f t="shared" si="66"/>
        <v>3.7499999999999999E-2</v>
      </c>
      <c r="T117" s="288">
        <f t="shared" si="56"/>
        <v>2050.06</v>
      </c>
      <c r="U117" s="288">
        <f t="shared" si="43"/>
        <v>1126.1199999999999</v>
      </c>
      <c r="V117" s="288">
        <f t="shared" si="57"/>
        <v>923.94</v>
      </c>
      <c r="W117" s="288">
        <f t="shared" si="36"/>
        <v>0</v>
      </c>
      <c r="X117" s="288">
        <f t="shared" si="37"/>
        <v>0</v>
      </c>
      <c r="Y117" s="288">
        <f t="shared" si="44"/>
        <v>2050.06</v>
      </c>
      <c r="Z117" s="288">
        <f t="shared" si="45"/>
        <v>59838.970000000008</v>
      </c>
      <c r="AA117" s="288">
        <f t="shared" si="46"/>
        <v>59064.51</v>
      </c>
      <c r="AB117" s="288">
        <f t="shared" si="58"/>
        <v>294536.0300000002</v>
      </c>
      <c r="AC117" s="410">
        <f t="shared" si="67"/>
        <v>57</v>
      </c>
      <c r="AD117" s="510">
        <f t="shared" si="68"/>
        <v>14407.779999999992</v>
      </c>
      <c r="AE117" s="510">
        <f t="shared" si="38"/>
        <v>227099.08000000022</v>
      </c>
      <c r="AF117" s="510">
        <f t="shared" si="39"/>
        <v>241506.86000000022</v>
      </c>
      <c r="AG117" s="510">
        <f t="shared" si="69"/>
        <v>1667.9499999999998</v>
      </c>
      <c r="AH117" s="510">
        <f t="shared" si="70"/>
        <v>315649.91999999998</v>
      </c>
      <c r="AI117" s="510"/>
      <c r="AJ117" s="14">
        <f t="shared" si="47"/>
        <v>1667.9499999999998</v>
      </c>
      <c r="AK117" s="14">
        <f t="shared" si="49"/>
        <v>92155.779999999912</v>
      </c>
      <c r="AL117" s="510">
        <f>IF(R117&lt;=0,0,+(Profit!$B$4+AM116)*$AL$1/12)</f>
        <v>1080.8887832798964</v>
      </c>
      <c r="AM117" s="14">
        <f t="shared" si="71"/>
        <v>58436.402095238489</v>
      </c>
      <c r="AO117" s="470"/>
    </row>
    <row r="118" spans="1:41" x14ac:dyDescent="0.25">
      <c r="A118" s="499">
        <f t="shared" si="59"/>
        <v>47499</v>
      </c>
      <c r="B118" s="288">
        <f t="shared" si="60"/>
        <v>67436.949999999983</v>
      </c>
      <c r="C118" s="14">
        <f t="shared" si="50"/>
        <v>382.11</v>
      </c>
      <c r="D118" s="14">
        <f t="shared" si="72"/>
        <v>171.37</v>
      </c>
      <c r="E118" s="14">
        <f t="shared" si="51"/>
        <v>210.74</v>
      </c>
      <c r="F118" s="288">
        <f t="shared" si="61"/>
        <v>15501.360000000006</v>
      </c>
      <c r="G118" s="288">
        <f t="shared" si="62"/>
        <v>24495.920000000006</v>
      </c>
      <c r="H118" s="288">
        <f t="shared" si="52"/>
        <v>67265.579999999987</v>
      </c>
      <c r="I118" s="410">
        <f t="shared" si="53"/>
        <v>4</v>
      </c>
      <c r="J118" s="288">
        <f t="shared" si="63"/>
        <v>333519.24000000005</v>
      </c>
      <c r="K118" s="288">
        <f t="shared" si="41"/>
        <v>2298.4699999999998</v>
      </c>
      <c r="L118" s="288">
        <f t="shared" si="73"/>
        <v>422.41999999999985</v>
      </c>
      <c r="M118" s="288">
        <f t="shared" si="42"/>
        <v>1876.05</v>
      </c>
      <c r="N118" s="288">
        <f t="shared" si="64"/>
        <v>21278.179999999989</v>
      </c>
      <c r="O118" s="288">
        <f t="shared" si="65"/>
        <v>114331.54999999999</v>
      </c>
      <c r="P118" s="288">
        <f t="shared" si="54"/>
        <v>333096.82000000007</v>
      </c>
      <c r="Q118" s="499">
        <f t="shared" si="55"/>
        <v>47499</v>
      </c>
      <c r="R118" s="288">
        <f t="shared" si="40"/>
        <v>294536.0300000002</v>
      </c>
      <c r="S118" s="492">
        <f t="shared" si="66"/>
        <v>3.7499999999999999E-2</v>
      </c>
      <c r="T118" s="288">
        <f t="shared" si="56"/>
        <v>2050.06</v>
      </c>
      <c r="U118" s="288">
        <f t="shared" si="43"/>
        <v>1129.6300000000001</v>
      </c>
      <c r="V118" s="288">
        <f t="shared" si="57"/>
        <v>920.43</v>
      </c>
      <c r="W118" s="288">
        <f t="shared" si="36"/>
        <v>0</v>
      </c>
      <c r="X118" s="288">
        <f t="shared" si="37"/>
        <v>0</v>
      </c>
      <c r="Y118" s="288">
        <f t="shared" si="44"/>
        <v>2050.06</v>
      </c>
      <c r="Z118" s="288">
        <f t="shared" si="45"/>
        <v>60968.600000000006</v>
      </c>
      <c r="AA118" s="288">
        <f t="shared" si="46"/>
        <v>59984.94</v>
      </c>
      <c r="AB118" s="288">
        <f t="shared" si="58"/>
        <v>293406.4000000002</v>
      </c>
      <c r="AC118" s="410">
        <f t="shared" si="67"/>
        <v>58</v>
      </c>
      <c r="AD118" s="510">
        <f t="shared" si="68"/>
        <v>14656.189999999991</v>
      </c>
      <c r="AE118" s="510">
        <f t="shared" si="38"/>
        <v>226140.82000000021</v>
      </c>
      <c r="AF118" s="510">
        <f t="shared" si="39"/>
        <v>240797.01000000021</v>
      </c>
      <c r="AG118" s="510">
        <f t="shared" si="69"/>
        <v>1667.9499999999998</v>
      </c>
      <c r="AH118" s="510">
        <f t="shared" si="70"/>
        <v>314691.66000000003</v>
      </c>
      <c r="AI118" s="510"/>
      <c r="AJ118" s="14">
        <f t="shared" si="47"/>
        <v>1667.9499999999998</v>
      </c>
      <c r="AK118" s="14">
        <f t="shared" si="49"/>
        <v>93823.729999999909</v>
      </c>
      <c r="AL118" s="510">
        <f>IF(R118&lt;=0,0,+(Profit!$B$4+AM117)*$AL$1/12)</f>
        <v>1083.5910052380962</v>
      </c>
      <c r="AM118" s="14">
        <f t="shared" si="71"/>
        <v>59519.993100476582</v>
      </c>
      <c r="AO118" s="470"/>
    </row>
    <row r="119" spans="1:41" x14ac:dyDescent="0.25">
      <c r="A119" s="499">
        <f t="shared" si="59"/>
        <v>47529</v>
      </c>
      <c r="B119" s="288">
        <f t="shared" si="60"/>
        <v>67265.579999999987</v>
      </c>
      <c r="C119" s="14">
        <f t="shared" si="50"/>
        <v>382.11</v>
      </c>
      <c r="D119" s="14">
        <f t="shared" si="72"/>
        <v>171.91000000000003</v>
      </c>
      <c r="E119" s="14">
        <f t="shared" si="51"/>
        <v>210.2</v>
      </c>
      <c r="F119" s="288">
        <f t="shared" si="61"/>
        <v>15673.270000000006</v>
      </c>
      <c r="G119" s="288">
        <f t="shared" si="62"/>
        <v>24706.120000000006</v>
      </c>
      <c r="H119" s="288">
        <f t="shared" si="52"/>
        <v>67093.669999999984</v>
      </c>
      <c r="I119" s="410">
        <f t="shared" si="53"/>
        <v>4</v>
      </c>
      <c r="J119" s="288">
        <f t="shared" si="63"/>
        <v>333096.82000000007</v>
      </c>
      <c r="K119" s="288">
        <f t="shared" si="41"/>
        <v>2298.4699999999998</v>
      </c>
      <c r="L119" s="288">
        <f t="shared" si="73"/>
        <v>424.79999999999973</v>
      </c>
      <c r="M119" s="288">
        <f t="shared" si="42"/>
        <v>1873.67</v>
      </c>
      <c r="N119" s="288">
        <f t="shared" si="64"/>
        <v>21702.979999999989</v>
      </c>
      <c r="O119" s="288">
        <f t="shared" si="65"/>
        <v>116205.21999999999</v>
      </c>
      <c r="P119" s="288">
        <f t="shared" si="54"/>
        <v>332672.02000000008</v>
      </c>
      <c r="Q119" s="499">
        <f t="shared" si="55"/>
        <v>47529</v>
      </c>
      <c r="R119" s="288">
        <f t="shared" si="40"/>
        <v>293406.4000000002</v>
      </c>
      <c r="S119" s="492">
        <f t="shared" si="66"/>
        <v>3.7499999999999999E-2</v>
      </c>
      <c r="T119" s="288">
        <f t="shared" si="56"/>
        <v>2050.06</v>
      </c>
      <c r="U119" s="288">
        <f t="shared" si="43"/>
        <v>1133.1599999999999</v>
      </c>
      <c r="V119" s="288">
        <f t="shared" si="57"/>
        <v>916.9</v>
      </c>
      <c r="W119" s="288">
        <f t="shared" si="36"/>
        <v>0</v>
      </c>
      <c r="X119" s="288">
        <f t="shared" si="37"/>
        <v>0</v>
      </c>
      <c r="Y119" s="288">
        <f t="shared" si="44"/>
        <v>2050.06</v>
      </c>
      <c r="Z119" s="288">
        <f t="shared" si="45"/>
        <v>62101.760000000009</v>
      </c>
      <c r="AA119" s="288">
        <f t="shared" si="46"/>
        <v>60901.840000000004</v>
      </c>
      <c r="AB119" s="288">
        <f t="shared" si="58"/>
        <v>292273.24000000022</v>
      </c>
      <c r="AC119" s="410">
        <f t="shared" si="67"/>
        <v>59</v>
      </c>
      <c r="AD119" s="510">
        <f t="shared" si="68"/>
        <v>14904.599999999991</v>
      </c>
      <c r="AE119" s="510">
        <f t="shared" si="38"/>
        <v>225179.57000000024</v>
      </c>
      <c r="AF119" s="510">
        <f t="shared" si="39"/>
        <v>240084.17000000022</v>
      </c>
      <c r="AG119" s="510">
        <f t="shared" si="69"/>
        <v>1667.9499999999998</v>
      </c>
      <c r="AH119" s="510">
        <f t="shared" si="70"/>
        <v>313730.41000000003</v>
      </c>
      <c r="AI119" s="510"/>
      <c r="AJ119" s="14">
        <f t="shared" si="47"/>
        <v>1667.9499999999998</v>
      </c>
      <c r="AK119" s="14">
        <f t="shared" si="49"/>
        <v>95491.679999999906</v>
      </c>
      <c r="AL119" s="510">
        <f>IF(R119&lt;=0,0,+(Profit!$B$4+AM118)*$AL$1/12)</f>
        <v>1086.2999827511915</v>
      </c>
      <c r="AM119" s="14">
        <f t="shared" si="71"/>
        <v>60606.293083227771</v>
      </c>
      <c r="AO119" s="470"/>
    </row>
    <row r="120" spans="1:41" x14ac:dyDescent="0.25">
      <c r="A120" s="499">
        <f t="shared" si="59"/>
        <v>47559</v>
      </c>
      <c r="B120" s="288">
        <f t="shared" si="60"/>
        <v>67093.669999999984</v>
      </c>
      <c r="C120" s="14">
        <f t="shared" si="50"/>
        <v>382.11</v>
      </c>
      <c r="D120" s="14">
        <f t="shared" si="72"/>
        <v>172.44000000000003</v>
      </c>
      <c r="E120" s="14">
        <f t="shared" si="51"/>
        <v>209.67</v>
      </c>
      <c r="F120" s="288">
        <f t="shared" si="61"/>
        <v>15845.710000000006</v>
      </c>
      <c r="G120" s="288">
        <f t="shared" si="62"/>
        <v>24915.790000000005</v>
      </c>
      <c r="H120" s="288">
        <f t="shared" si="52"/>
        <v>66921.229999999981</v>
      </c>
      <c r="I120" s="410">
        <f t="shared" si="53"/>
        <v>5</v>
      </c>
      <c r="J120" s="288">
        <f t="shared" si="63"/>
        <v>332672.02000000008</v>
      </c>
      <c r="K120" s="288">
        <f t="shared" si="41"/>
        <v>2298.4699999999998</v>
      </c>
      <c r="L120" s="288">
        <f t="shared" si="73"/>
        <v>427.18999999999983</v>
      </c>
      <c r="M120" s="288">
        <f t="shared" si="42"/>
        <v>1871.28</v>
      </c>
      <c r="N120" s="288">
        <f t="shared" si="64"/>
        <v>22130.169999999987</v>
      </c>
      <c r="O120" s="288">
        <f t="shared" si="65"/>
        <v>118076.49999999999</v>
      </c>
      <c r="P120" s="288">
        <f t="shared" si="54"/>
        <v>332244.83000000007</v>
      </c>
      <c r="Q120" s="499">
        <f t="shared" si="55"/>
        <v>47559</v>
      </c>
      <c r="R120" s="288">
        <f t="shared" si="40"/>
        <v>292273.24000000022</v>
      </c>
      <c r="S120" s="492">
        <f t="shared" si="66"/>
        <v>3.7499999999999999E-2</v>
      </c>
      <c r="T120" s="288">
        <f t="shared" si="56"/>
        <v>2050.06</v>
      </c>
      <c r="U120" s="288">
        <f t="shared" si="43"/>
        <v>1136.71</v>
      </c>
      <c r="V120" s="288">
        <f t="shared" si="57"/>
        <v>913.35</v>
      </c>
      <c r="W120" s="288">
        <f t="shared" si="36"/>
        <v>0</v>
      </c>
      <c r="X120" s="288">
        <f t="shared" si="37"/>
        <v>0</v>
      </c>
      <c r="Y120" s="288">
        <f t="shared" si="44"/>
        <v>2050.06</v>
      </c>
      <c r="Z120" s="288">
        <f t="shared" si="45"/>
        <v>63238.470000000008</v>
      </c>
      <c r="AA120" s="288">
        <f t="shared" si="46"/>
        <v>61815.19</v>
      </c>
      <c r="AB120" s="288">
        <f t="shared" si="58"/>
        <v>291136.5300000002</v>
      </c>
      <c r="AC120" s="410">
        <f t="shared" si="67"/>
        <v>60</v>
      </c>
      <c r="AD120" s="510">
        <f t="shared" si="68"/>
        <v>15153.009999999991</v>
      </c>
      <c r="AE120" s="510">
        <f t="shared" si="38"/>
        <v>224215.30000000022</v>
      </c>
      <c r="AF120" s="510">
        <f t="shared" si="39"/>
        <v>239368.3100000002</v>
      </c>
      <c r="AG120" s="510">
        <f t="shared" si="69"/>
        <v>1667.9499999999998</v>
      </c>
      <c r="AH120" s="510">
        <f t="shared" si="70"/>
        <v>312766.14</v>
      </c>
      <c r="AI120" s="510"/>
      <c r="AJ120" s="14">
        <f t="shared" si="47"/>
        <v>1667.9499999999998</v>
      </c>
      <c r="AK120" s="14">
        <f t="shared" si="49"/>
        <v>97159.629999999903</v>
      </c>
      <c r="AL120" s="510">
        <f>IF(R120&lt;=0,0,+(Profit!$B$4+AM119)*$AL$1/12)</f>
        <v>1089.0157327080694</v>
      </c>
      <c r="AM120" s="14">
        <f t="shared" si="71"/>
        <v>61695.308815935838</v>
      </c>
    </row>
    <row r="121" spans="1:41" x14ac:dyDescent="0.25">
      <c r="A121" s="499">
        <f t="shared" si="59"/>
        <v>47589</v>
      </c>
      <c r="B121" s="288">
        <f t="shared" si="60"/>
        <v>66921.229999999981</v>
      </c>
      <c r="C121" s="14">
        <f t="shared" si="50"/>
        <v>382.11</v>
      </c>
      <c r="D121" s="14">
        <f t="shared" si="72"/>
        <v>172.98000000000002</v>
      </c>
      <c r="E121" s="14">
        <f t="shared" si="51"/>
        <v>209.13</v>
      </c>
      <c r="F121" s="288">
        <f t="shared" si="61"/>
        <v>16018.690000000006</v>
      </c>
      <c r="G121" s="288">
        <f t="shared" si="62"/>
        <v>25124.920000000006</v>
      </c>
      <c r="H121" s="288">
        <f t="shared" si="52"/>
        <v>66748.249999999985</v>
      </c>
      <c r="I121" s="410">
        <f t="shared" si="53"/>
        <v>5</v>
      </c>
      <c r="J121" s="288">
        <f t="shared" si="63"/>
        <v>332244.83000000007</v>
      </c>
      <c r="K121" s="288">
        <f t="shared" si="41"/>
        <v>2298.4699999999998</v>
      </c>
      <c r="L121" s="288">
        <f>+K121-M121</f>
        <v>429.58999999999969</v>
      </c>
      <c r="M121" s="288">
        <f t="shared" si="42"/>
        <v>1868.88</v>
      </c>
      <c r="N121" s="288">
        <f t="shared" si="64"/>
        <v>22559.759999999987</v>
      </c>
      <c r="O121" s="288">
        <f t="shared" si="65"/>
        <v>119945.37999999999</v>
      </c>
      <c r="P121" s="288">
        <f t="shared" si="54"/>
        <v>331815.24000000005</v>
      </c>
      <c r="Q121" s="499">
        <f t="shared" si="55"/>
        <v>47589</v>
      </c>
      <c r="R121" s="288">
        <f t="shared" si="40"/>
        <v>291136.5300000002</v>
      </c>
      <c r="S121" s="492">
        <f t="shared" si="66"/>
        <v>6.7500000000000004E-2</v>
      </c>
      <c r="T121" s="288">
        <f t="shared" si="56"/>
        <v>3195.22</v>
      </c>
      <c r="U121" s="288">
        <f t="shared" si="43"/>
        <v>1557.5799999999997</v>
      </c>
      <c r="V121" s="288">
        <f t="shared" si="57"/>
        <v>1637.64</v>
      </c>
      <c r="W121" s="288">
        <f t="shared" si="36"/>
        <v>0</v>
      </c>
      <c r="X121" s="288">
        <f t="shared" si="37"/>
        <v>0</v>
      </c>
      <c r="Y121" s="288">
        <f t="shared" si="44"/>
        <v>3195.22</v>
      </c>
      <c r="Z121" s="288">
        <f t="shared" si="45"/>
        <v>64796.05000000001</v>
      </c>
      <c r="AA121" s="288">
        <f t="shared" si="46"/>
        <v>63452.83</v>
      </c>
      <c r="AB121" s="288">
        <f t="shared" si="58"/>
        <v>289578.95000000019</v>
      </c>
      <c r="AC121" s="410">
        <f t="shared" si="67"/>
        <v>61</v>
      </c>
      <c r="AD121" s="510">
        <f t="shared" si="68"/>
        <v>14256.259999999991</v>
      </c>
      <c r="AE121" s="510">
        <f t="shared" si="38"/>
        <v>222830.70000000019</v>
      </c>
      <c r="AF121" s="510">
        <f t="shared" si="39"/>
        <v>237086.96000000017</v>
      </c>
      <c r="AG121" s="510">
        <f t="shared" si="69"/>
        <v>2813.1099999999997</v>
      </c>
      <c r="AH121" s="510">
        <f t="shared" si="70"/>
        <v>311381.54000000004</v>
      </c>
      <c r="AI121" s="510"/>
      <c r="AJ121" s="14">
        <f t="shared" si="47"/>
        <v>2813.1099999999997</v>
      </c>
      <c r="AK121" s="14">
        <f t="shared" si="49"/>
        <v>99972.739999999903</v>
      </c>
      <c r="AL121" s="510">
        <f>IF(R121&lt;=0,0,+(Profit!$B$4+AM120)*$AL$1/12)</f>
        <v>1091.7382720398396</v>
      </c>
      <c r="AM121" s="14">
        <f t="shared" si="71"/>
        <v>62787.047087975676</v>
      </c>
    </row>
    <row r="122" spans="1:41" ht="15.75" thickBot="1" x14ac:dyDescent="0.3">
      <c r="A122" s="502">
        <f t="shared" si="59"/>
        <v>47619</v>
      </c>
      <c r="B122" s="343">
        <f t="shared" si="60"/>
        <v>66748.249999999985</v>
      </c>
      <c r="C122" s="21">
        <f t="shared" si="50"/>
        <v>382.11</v>
      </c>
      <c r="D122" s="21">
        <f t="shared" si="72"/>
        <v>173.52</v>
      </c>
      <c r="E122" s="21">
        <f t="shared" si="51"/>
        <v>208.59</v>
      </c>
      <c r="F122" s="343">
        <f t="shared" si="61"/>
        <v>16192.210000000006</v>
      </c>
      <c r="G122" s="343">
        <f t="shared" si="62"/>
        <v>25333.510000000006</v>
      </c>
      <c r="H122" s="343">
        <f t="shared" si="52"/>
        <v>66574.729999999981</v>
      </c>
      <c r="I122" s="411">
        <f t="shared" si="53"/>
        <v>5</v>
      </c>
      <c r="J122" s="343">
        <f t="shared" si="63"/>
        <v>331815.24000000005</v>
      </c>
      <c r="K122" s="343">
        <f t="shared" si="41"/>
        <v>2298.4699999999998</v>
      </c>
      <c r="L122" s="343">
        <f t="shared" si="73"/>
        <v>432.00999999999976</v>
      </c>
      <c r="M122" s="343">
        <f t="shared" si="42"/>
        <v>1866.46</v>
      </c>
      <c r="N122" s="343">
        <f t="shared" si="64"/>
        <v>22991.769999999986</v>
      </c>
      <c r="O122" s="343">
        <f t="shared" si="65"/>
        <v>121811.84</v>
      </c>
      <c r="P122" s="343">
        <f t="shared" si="54"/>
        <v>331383.23000000004</v>
      </c>
      <c r="Q122" s="502">
        <f t="shared" si="55"/>
        <v>47619</v>
      </c>
      <c r="R122" s="343">
        <f t="shared" si="40"/>
        <v>289578.95000000019</v>
      </c>
      <c r="S122" s="493">
        <f t="shared" si="66"/>
        <v>6.7500000000000004E-2</v>
      </c>
      <c r="T122" s="343">
        <f t="shared" si="56"/>
        <v>3195.22</v>
      </c>
      <c r="U122" s="343">
        <f t="shared" si="43"/>
        <v>1566.3399999999997</v>
      </c>
      <c r="V122" s="343">
        <f t="shared" si="57"/>
        <v>1628.88</v>
      </c>
      <c r="W122" s="343">
        <f t="shared" si="36"/>
        <v>0</v>
      </c>
      <c r="X122" s="343">
        <f t="shared" si="37"/>
        <v>0</v>
      </c>
      <c r="Y122" s="343">
        <f t="shared" si="44"/>
        <v>3195.22</v>
      </c>
      <c r="Z122" s="343">
        <f t="shared" si="45"/>
        <v>66362.390000000014</v>
      </c>
      <c r="AA122" s="343">
        <f t="shared" si="46"/>
        <v>65081.71</v>
      </c>
      <c r="AB122" s="343">
        <f t="shared" si="58"/>
        <v>288012.61000000016</v>
      </c>
      <c r="AC122" s="411">
        <f t="shared" si="67"/>
        <v>62</v>
      </c>
      <c r="AD122" s="511">
        <f t="shared" si="68"/>
        <v>13359.509999999991</v>
      </c>
      <c r="AE122" s="511">
        <f t="shared" si="38"/>
        <v>221437.88000000018</v>
      </c>
      <c r="AF122" s="511">
        <f t="shared" si="39"/>
        <v>234797.39000000016</v>
      </c>
      <c r="AG122" s="511">
        <f t="shared" si="69"/>
        <v>2813.1099999999997</v>
      </c>
      <c r="AH122" s="511">
        <f t="shared" si="70"/>
        <v>309988.72000000003</v>
      </c>
      <c r="AI122" s="511"/>
      <c r="AJ122" s="21">
        <f t="shared" si="47"/>
        <v>2813.1099999999997</v>
      </c>
      <c r="AK122" s="21">
        <f t="shared" si="49"/>
        <v>102785.8499999999</v>
      </c>
      <c r="AL122" s="511">
        <f>IF(R122&lt;=0,0,+(Profit!$B$4+AM121)*$AL$1/12)</f>
        <v>1094.4676177199392</v>
      </c>
      <c r="AM122" s="21">
        <f t="shared" si="71"/>
        <v>63881.514705695612</v>
      </c>
    </row>
    <row r="123" spans="1:41" x14ac:dyDescent="0.25">
      <c r="A123" s="499">
        <f t="shared" si="59"/>
        <v>47649</v>
      </c>
      <c r="B123" s="288">
        <f t="shared" si="60"/>
        <v>66574.729999999981</v>
      </c>
      <c r="C123" s="14">
        <f t="shared" si="50"/>
        <v>382.11</v>
      </c>
      <c r="D123" s="14">
        <f t="shared" si="72"/>
        <v>174.06</v>
      </c>
      <c r="E123" s="14">
        <f t="shared" si="51"/>
        <v>208.05</v>
      </c>
      <c r="F123" s="288">
        <f t="shared" si="61"/>
        <v>16366.270000000006</v>
      </c>
      <c r="G123" s="288">
        <f t="shared" si="62"/>
        <v>25541.560000000005</v>
      </c>
      <c r="H123" s="288">
        <f t="shared" si="52"/>
        <v>66400.669999999984</v>
      </c>
      <c r="I123" s="410">
        <f t="shared" si="53"/>
        <v>5</v>
      </c>
      <c r="J123" s="288">
        <f t="shared" si="63"/>
        <v>331383.23000000004</v>
      </c>
      <c r="K123" s="288">
        <f t="shared" si="41"/>
        <v>2298.4699999999998</v>
      </c>
      <c r="L123" s="288">
        <f t="shared" si="73"/>
        <v>434.43999999999983</v>
      </c>
      <c r="M123" s="288">
        <f t="shared" si="42"/>
        <v>1864.03</v>
      </c>
      <c r="N123" s="288">
        <f t="shared" si="64"/>
        <v>23426.209999999985</v>
      </c>
      <c r="O123" s="288">
        <f t="shared" si="65"/>
        <v>123675.87</v>
      </c>
      <c r="P123" s="288">
        <f t="shared" si="54"/>
        <v>330948.79000000004</v>
      </c>
      <c r="Q123" s="499">
        <f t="shared" si="55"/>
        <v>47649</v>
      </c>
      <c r="R123" s="288">
        <f t="shared" si="40"/>
        <v>288012.61000000016</v>
      </c>
      <c r="S123" s="492">
        <f t="shared" si="66"/>
        <v>6.7500000000000004E-2</v>
      </c>
      <c r="T123" s="288">
        <f t="shared" si="56"/>
        <v>3195.22</v>
      </c>
      <c r="U123" s="288">
        <f t="shared" si="43"/>
        <v>1575.1499999999999</v>
      </c>
      <c r="V123" s="288">
        <f t="shared" si="57"/>
        <v>1620.07</v>
      </c>
      <c r="W123" s="288">
        <f t="shared" si="36"/>
        <v>0</v>
      </c>
      <c r="X123" s="288">
        <f t="shared" si="37"/>
        <v>0</v>
      </c>
      <c r="Y123" s="288">
        <f t="shared" si="44"/>
        <v>3195.22</v>
      </c>
      <c r="Z123" s="288">
        <f t="shared" si="45"/>
        <v>67937.540000000008</v>
      </c>
      <c r="AA123" s="288">
        <f t="shared" si="46"/>
        <v>66701.78</v>
      </c>
      <c r="AB123" s="288">
        <f t="shared" si="58"/>
        <v>286437.46000000014</v>
      </c>
      <c r="AC123" s="410">
        <f t="shared" si="67"/>
        <v>63</v>
      </c>
      <c r="AD123" s="510">
        <f t="shared" si="68"/>
        <v>12462.759999999991</v>
      </c>
      <c r="AE123" s="510">
        <f t="shared" si="38"/>
        <v>220036.79000000015</v>
      </c>
      <c r="AF123" s="510">
        <f t="shared" si="39"/>
        <v>232499.55000000013</v>
      </c>
      <c r="AG123" s="510">
        <f t="shared" si="69"/>
        <v>2813.1099999999997</v>
      </c>
      <c r="AH123" s="510">
        <f t="shared" si="70"/>
        <v>308587.63</v>
      </c>
      <c r="AI123" s="510"/>
      <c r="AJ123" s="14">
        <f t="shared" si="47"/>
        <v>2813.1099999999997</v>
      </c>
      <c r="AK123" s="14">
        <f t="shared" si="49"/>
        <v>105598.9599999999</v>
      </c>
      <c r="AL123" s="510">
        <f>IF(R123&lt;=0,0,+(Profit!$B$4+AM122)*$AL$1/12)</f>
        <v>1097.2037867642391</v>
      </c>
      <c r="AM123" s="14">
        <f t="shared" si="71"/>
        <v>64978.718492459848</v>
      </c>
    </row>
    <row r="124" spans="1:41" x14ac:dyDescent="0.25">
      <c r="A124" s="499">
        <f t="shared" si="59"/>
        <v>47679</v>
      </c>
      <c r="B124" s="288">
        <f t="shared" si="60"/>
        <v>66400.669999999984</v>
      </c>
      <c r="C124" s="14">
        <f t="shared" si="50"/>
        <v>382.11</v>
      </c>
      <c r="D124" s="14">
        <f t="shared" si="72"/>
        <v>174.61</v>
      </c>
      <c r="E124" s="14">
        <f t="shared" si="51"/>
        <v>207.5</v>
      </c>
      <c r="F124" s="288">
        <f t="shared" si="61"/>
        <v>16540.880000000005</v>
      </c>
      <c r="G124" s="288">
        <f t="shared" si="62"/>
        <v>25749.060000000005</v>
      </c>
      <c r="H124" s="288">
        <f t="shared" si="52"/>
        <v>66226.059999999983</v>
      </c>
      <c r="I124" s="410">
        <f t="shared" si="53"/>
        <v>5</v>
      </c>
      <c r="J124" s="288">
        <f t="shared" si="63"/>
        <v>330948.79000000004</v>
      </c>
      <c r="K124" s="288">
        <f t="shared" si="41"/>
        <v>2298.4699999999998</v>
      </c>
      <c r="L124" s="288">
        <f t="shared" si="73"/>
        <v>436.87999999999988</v>
      </c>
      <c r="M124" s="288">
        <f t="shared" si="42"/>
        <v>1861.59</v>
      </c>
      <c r="N124" s="288">
        <f t="shared" si="64"/>
        <v>23863.089999999986</v>
      </c>
      <c r="O124" s="288">
        <f t="shared" si="65"/>
        <v>125537.45999999999</v>
      </c>
      <c r="P124" s="288">
        <f t="shared" si="54"/>
        <v>330511.91000000003</v>
      </c>
      <c r="Q124" s="499">
        <f t="shared" si="55"/>
        <v>47679</v>
      </c>
      <c r="R124" s="288">
        <f t="shared" si="40"/>
        <v>286437.46000000014</v>
      </c>
      <c r="S124" s="492">
        <f t="shared" si="66"/>
        <v>6.7500000000000004E-2</v>
      </c>
      <c r="T124" s="288">
        <f t="shared" si="56"/>
        <v>3195.22</v>
      </c>
      <c r="U124" s="288">
        <f t="shared" si="43"/>
        <v>1584.0099999999998</v>
      </c>
      <c r="V124" s="288">
        <f t="shared" si="57"/>
        <v>1611.21</v>
      </c>
      <c r="W124" s="288">
        <f t="shared" ref="W124:W187" si="74">+W123</f>
        <v>0</v>
      </c>
      <c r="X124" s="288">
        <f t="shared" ref="X124:X187" si="75">+X123</f>
        <v>0</v>
      </c>
      <c r="Y124" s="288">
        <f t="shared" si="44"/>
        <v>3195.22</v>
      </c>
      <c r="Z124" s="288">
        <f t="shared" si="45"/>
        <v>69521.55</v>
      </c>
      <c r="AA124" s="288">
        <f t="shared" si="46"/>
        <v>68312.990000000005</v>
      </c>
      <c r="AB124" s="288">
        <f t="shared" si="58"/>
        <v>284853.45000000013</v>
      </c>
      <c r="AC124" s="410">
        <f t="shared" si="67"/>
        <v>64</v>
      </c>
      <c r="AD124" s="510">
        <f t="shared" si="68"/>
        <v>11566.009999999991</v>
      </c>
      <c r="AE124" s="510">
        <f t="shared" ref="AE124:AE187" si="76">AB124-H124</f>
        <v>218627.39000000013</v>
      </c>
      <c r="AF124" s="510">
        <f t="shared" ref="AF124:AF187" si="77">SUM(AD124:AE124)</f>
        <v>230193.40000000011</v>
      </c>
      <c r="AG124" s="510">
        <f t="shared" si="69"/>
        <v>2813.1099999999997</v>
      </c>
      <c r="AH124" s="510">
        <f t="shared" si="70"/>
        <v>307178.23000000004</v>
      </c>
      <c r="AI124" s="510"/>
      <c r="AJ124" s="14">
        <f t="shared" si="47"/>
        <v>2813.1099999999997</v>
      </c>
      <c r="AK124" s="14">
        <f t="shared" si="49"/>
        <v>108412.06999999991</v>
      </c>
      <c r="AL124" s="510">
        <f>IF(R124&lt;=0,0,+(Profit!$B$4+AM123)*$AL$1/12)</f>
        <v>1099.9467962311496</v>
      </c>
      <c r="AM124" s="14">
        <f t="shared" si="71"/>
        <v>66078.665288691001</v>
      </c>
    </row>
    <row r="125" spans="1:41" x14ac:dyDescent="0.25">
      <c r="A125" s="499">
        <f t="shared" si="59"/>
        <v>47709</v>
      </c>
      <c r="B125" s="288">
        <f t="shared" si="60"/>
        <v>66226.059999999983</v>
      </c>
      <c r="C125" s="14">
        <f t="shared" si="50"/>
        <v>382.11</v>
      </c>
      <c r="D125" s="14">
        <f t="shared" si="72"/>
        <v>175.15</v>
      </c>
      <c r="E125" s="14">
        <f t="shared" si="51"/>
        <v>206.96</v>
      </c>
      <c r="F125" s="288">
        <f t="shared" si="61"/>
        <v>16716.030000000006</v>
      </c>
      <c r="G125" s="288">
        <f t="shared" si="62"/>
        <v>25956.020000000004</v>
      </c>
      <c r="H125" s="288">
        <f t="shared" si="52"/>
        <v>66050.909999999989</v>
      </c>
      <c r="I125" s="410">
        <f t="shared" si="53"/>
        <v>5</v>
      </c>
      <c r="J125" s="288">
        <f t="shared" si="63"/>
        <v>330511.91000000003</v>
      </c>
      <c r="K125" s="288">
        <f t="shared" si="41"/>
        <v>2298.4699999999998</v>
      </c>
      <c r="L125" s="288">
        <f t="shared" si="73"/>
        <v>439.33999999999969</v>
      </c>
      <c r="M125" s="288">
        <f t="shared" si="42"/>
        <v>1859.13</v>
      </c>
      <c r="N125" s="288">
        <f t="shared" si="64"/>
        <v>24302.429999999986</v>
      </c>
      <c r="O125" s="288">
        <f t="shared" si="65"/>
        <v>127396.59</v>
      </c>
      <c r="P125" s="288">
        <f t="shared" si="54"/>
        <v>330072.57</v>
      </c>
      <c r="Q125" s="499">
        <f t="shared" si="55"/>
        <v>47709</v>
      </c>
      <c r="R125" s="288">
        <f t="shared" ref="R125:R188" si="78">IF(Q125&gt;$J$10,IF(+AB124&lt;0,0,+AB124),0)</f>
        <v>284853.45000000013</v>
      </c>
      <c r="S125" s="492">
        <f t="shared" si="66"/>
        <v>6.7500000000000004E-2</v>
      </c>
      <c r="T125" s="288">
        <f t="shared" si="56"/>
        <v>3195.22</v>
      </c>
      <c r="U125" s="288">
        <f t="shared" si="43"/>
        <v>1592.9199999999998</v>
      </c>
      <c r="V125" s="288">
        <f t="shared" si="57"/>
        <v>1602.3</v>
      </c>
      <c r="W125" s="288">
        <f t="shared" si="74"/>
        <v>0</v>
      </c>
      <c r="X125" s="288">
        <f t="shared" si="75"/>
        <v>0</v>
      </c>
      <c r="Y125" s="288">
        <f t="shared" si="44"/>
        <v>3195.22</v>
      </c>
      <c r="Z125" s="288">
        <f t="shared" si="45"/>
        <v>71114.47</v>
      </c>
      <c r="AA125" s="288">
        <f t="shared" si="46"/>
        <v>69915.290000000008</v>
      </c>
      <c r="AB125" s="288">
        <f t="shared" si="58"/>
        <v>283260.53000000014</v>
      </c>
      <c r="AC125" s="410">
        <f t="shared" si="67"/>
        <v>65</v>
      </c>
      <c r="AD125" s="510">
        <f t="shared" si="68"/>
        <v>10669.259999999991</v>
      </c>
      <c r="AE125" s="510">
        <f t="shared" si="76"/>
        <v>217209.62000000017</v>
      </c>
      <c r="AF125" s="510">
        <f t="shared" si="77"/>
        <v>227878.88000000015</v>
      </c>
      <c r="AG125" s="510">
        <f t="shared" si="69"/>
        <v>2813.1099999999997</v>
      </c>
      <c r="AH125" s="510">
        <f t="shared" si="70"/>
        <v>305760.46000000008</v>
      </c>
      <c r="AI125" s="510"/>
      <c r="AJ125" s="14">
        <f t="shared" si="47"/>
        <v>2813.1099999999997</v>
      </c>
      <c r="AK125" s="14">
        <f t="shared" si="49"/>
        <v>111225.17999999991</v>
      </c>
      <c r="AL125" s="510">
        <f>IF(R125&lt;=0,0,+(Profit!$B$4+AM124)*$AL$1/12)</f>
        <v>1102.6966632217275</v>
      </c>
      <c r="AM125" s="14">
        <f t="shared" si="71"/>
        <v>67181.361951912724</v>
      </c>
    </row>
    <row r="126" spans="1:41" x14ac:dyDescent="0.25">
      <c r="A126" s="499">
        <f t="shared" si="59"/>
        <v>47739</v>
      </c>
      <c r="B126" s="288">
        <f t="shared" si="60"/>
        <v>66050.909999999989</v>
      </c>
      <c r="C126" s="14">
        <f t="shared" si="50"/>
        <v>382.11</v>
      </c>
      <c r="D126" s="14">
        <f t="shared" si="72"/>
        <v>175.70000000000002</v>
      </c>
      <c r="E126" s="14">
        <f t="shared" si="51"/>
        <v>206.41</v>
      </c>
      <c r="F126" s="288">
        <f t="shared" si="61"/>
        <v>16891.730000000007</v>
      </c>
      <c r="G126" s="288">
        <f t="shared" si="62"/>
        <v>26162.430000000004</v>
      </c>
      <c r="H126" s="288">
        <f t="shared" si="52"/>
        <v>65875.209999999992</v>
      </c>
      <c r="I126" s="410">
        <f t="shared" si="53"/>
        <v>5</v>
      </c>
      <c r="J126" s="288">
        <f t="shared" si="63"/>
        <v>330072.57</v>
      </c>
      <c r="K126" s="288">
        <f t="shared" ref="K126:K189" si="79">IF($J$10&lt;=A126,IF(+$P125&lt;=0,0,$J$9),0)</f>
        <v>2298.4699999999998</v>
      </c>
      <c r="L126" s="288">
        <f t="shared" si="73"/>
        <v>441.80999999999972</v>
      </c>
      <c r="M126" s="288">
        <f t="shared" ref="M126:M189" si="80">IF($J$10&lt;=A126,ROUND(J126*($J$7/12),2),0)</f>
        <v>1856.66</v>
      </c>
      <c r="N126" s="288">
        <f t="shared" si="64"/>
        <v>24744.239999999987</v>
      </c>
      <c r="O126" s="288">
        <f t="shared" si="65"/>
        <v>129253.25</v>
      </c>
      <c r="P126" s="288">
        <f t="shared" si="54"/>
        <v>329630.76</v>
      </c>
      <c r="Q126" s="499">
        <f t="shared" si="55"/>
        <v>47739</v>
      </c>
      <c r="R126" s="288">
        <f t="shared" si="78"/>
        <v>283260.53000000014</v>
      </c>
      <c r="S126" s="492">
        <f t="shared" si="66"/>
        <v>6.7500000000000004E-2</v>
      </c>
      <c r="T126" s="288">
        <f t="shared" si="56"/>
        <v>3195.22</v>
      </c>
      <c r="U126" s="288">
        <f t="shared" ref="U126:U189" si="81">+T126-V126</f>
        <v>1601.8799999999999</v>
      </c>
      <c r="V126" s="288">
        <f t="shared" si="57"/>
        <v>1593.34</v>
      </c>
      <c r="W126" s="288">
        <f t="shared" si="74"/>
        <v>0</v>
      </c>
      <c r="X126" s="288">
        <f t="shared" si="75"/>
        <v>0</v>
      </c>
      <c r="Y126" s="288">
        <f t="shared" ref="Y126:Y189" si="82">SUM(U126:X126)</f>
        <v>3195.22</v>
      </c>
      <c r="Z126" s="288">
        <f t="shared" ref="Z126:Z189" si="83">+U126+Z125</f>
        <v>72716.350000000006</v>
      </c>
      <c r="AA126" s="288">
        <f t="shared" ref="AA126:AA189" si="84">+AA125+V126</f>
        <v>71508.63</v>
      </c>
      <c r="AB126" s="288">
        <f t="shared" si="58"/>
        <v>281658.65000000014</v>
      </c>
      <c r="AC126" s="410">
        <f t="shared" si="67"/>
        <v>66</v>
      </c>
      <c r="AD126" s="510">
        <f t="shared" si="68"/>
        <v>9772.5099999999911</v>
      </c>
      <c r="AE126" s="510">
        <f t="shared" si="76"/>
        <v>215783.44000000015</v>
      </c>
      <c r="AF126" s="510">
        <f t="shared" si="77"/>
        <v>225555.95000000013</v>
      </c>
      <c r="AG126" s="510">
        <f t="shared" si="69"/>
        <v>2813.1099999999997</v>
      </c>
      <c r="AH126" s="510">
        <f t="shared" si="70"/>
        <v>304334.28000000003</v>
      </c>
      <c r="AI126" s="510"/>
      <c r="AJ126" s="14">
        <f t="shared" ref="AJ126:AJ189" si="85">+AG126-AI126</f>
        <v>2813.1099999999997</v>
      </c>
      <c r="AK126" s="14">
        <f t="shared" si="49"/>
        <v>114038.28999999991</v>
      </c>
      <c r="AL126" s="510">
        <f>IF(R126&lt;=0,0,+(Profit!$B$4+AM125)*$AL$1/12)</f>
        <v>1105.4534048797818</v>
      </c>
      <c r="AM126" s="14">
        <f t="shared" si="71"/>
        <v>68286.815356792504</v>
      </c>
    </row>
    <row r="127" spans="1:41" x14ac:dyDescent="0.25">
      <c r="A127" s="499">
        <f t="shared" si="59"/>
        <v>47769</v>
      </c>
      <c r="B127" s="288">
        <f t="shared" si="60"/>
        <v>65875.209999999992</v>
      </c>
      <c r="C127" s="14">
        <f t="shared" si="50"/>
        <v>382.11</v>
      </c>
      <c r="D127" s="14">
        <f t="shared" si="72"/>
        <v>176.25</v>
      </c>
      <c r="E127" s="14">
        <f t="shared" si="51"/>
        <v>205.86</v>
      </c>
      <c r="F127" s="288">
        <f t="shared" si="61"/>
        <v>17067.980000000007</v>
      </c>
      <c r="G127" s="288">
        <f t="shared" si="62"/>
        <v>26368.290000000005</v>
      </c>
      <c r="H127" s="288">
        <f t="shared" si="52"/>
        <v>65698.959999999992</v>
      </c>
      <c r="I127" s="410">
        <f t="shared" si="53"/>
        <v>5</v>
      </c>
      <c r="J127" s="288">
        <f t="shared" si="63"/>
        <v>329630.76</v>
      </c>
      <c r="K127" s="288">
        <f t="shared" si="79"/>
        <v>2298.4699999999998</v>
      </c>
      <c r="L127" s="288">
        <f t="shared" si="73"/>
        <v>444.29999999999973</v>
      </c>
      <c r="M127" s="288">
        <f t="shared" si="80"/>
        <v>1854.17</v>
      </c>
      <c r="N127" s="288">
        <f t="shared" si="64"/>
        <v>25188.539999999986</v>
      </c>
      <c r="O127" s="288">
        <f t="shared" si="65"/>
        <v>131107.42000000001</v>
      </c>
      <c r="P127" s="288">
        <f t="shared" si="54"/>
        <v>329186.46000000002</v>
      </c>
      <c r="Q127" s="499">
        <f t="shared" si="55"/>
        <v>47769</v>
      </c>
      <c r="R127" s="288">
        <f t="shared" si="78"/>
        <v>281658.65000000014</v>
      </c>
      <c r="S127" s="492">
        <f t="shared" si="66"/>
        <v>6.7500000000000004E-2</v>
      </c>
      <c r="T127" s="288">
        <f t="shared" si="56"/>
        <v>3195.22</v>
      </c>
      <c r="U127" s="288">
        <f t="shared" si="81"/>
        <v>1610.8899999999999</v>
      </c>
      <c r="V127" s="288">
        <f t="shared" si="57"/>
        <v>1584.33</v>
      </c>
      <c r="W127" s="288">
        <f t="shared" si="74"/>
        <v>0</v>
      </c>
      <c r="X127" s="288">
        <f t="shared" si="75"/>
        <v>0</v>
      </c>
      <c r="Y127" s="288">
        <f t="shared" si="82"/>
        <v>3195.22</v>
      </c>
      <c r="Z127" s="288">
        <f t="shared" si="83"/>
        <v>74327.240000000005</v>
      </c>
      <c r="AA127" s="288">
        <f t="shared" si="84"/>
        <v>73092.960000000006</v>
      </c>
      <c r="AB127" s="288">
        <f t="shared" si="58"/>
        <v>280047.76000000013</v>
      </c>
      <c r="AC127" s="410">
        <f t="shared" si="67"/>
        <v>67</v>
      </c>
      <c r="AD127" s="510">
        <f t="shared" si="68"/>
        <v>8875.7599999999911</v>
      </c>
      <c r="AE127" s="510">
        <f t="shared" si="76"/>
        <v>214348.80000000013</v>
      </c>
      <c r="AF127" s="510">
        <f t="shared" si="77"/>
        <v>223224.56000000011</v>
      </c>
      <c r="AG127" s="510">
        <f t="shared" si="69"/>
        <v>2813.1099999999997</v>
      </c>
      <c r="AH127" s="510">
        <f t="shared" si="70"/>
        <v>302899.64</v>
      </c>
      <c r="AI127" s="510"/>
      <c r="AJ127" s="14">
        <f t="shared" si="85"/>
        <v>2813.1099999999997</v>
      </c>
      <c r="AK127" s="14">
        <f t="shared" si="49"/>
        <v>116851.39999999991</v>
      </c>
      <c r="AL127" s="510">
        <f>IF(R127&lt;=0,0,+(Profit!$B$4+AM126)*$AL$1/12)</f>
        <v>1108.2170383919813</v>
      </c>
      <c r="AM127" s="14">
        <f t="shared" si="71"/>
        <v>69395.032395184491</v>
      </c>
    </row>
    <row r="128" spans="1:41" x14ac:dyDescent="0.25">
      <c r="A128" s="499">
        <f t="shared" si="59"/>
        <v>47799</v>
      </c>
      <c r="B128" s="288">
        <f t="shared" si="60"/>
        <v>65698.959999999992</v>
      </c>
      <c r="C128" s="14">
        <f t="shared" si="50"/>
        <v>382.11</v>
      </c>
      <c r="D128" s="14">
        <f t="shared" si="72"/>
        <v>176.8</v>
      </c>
      <c r="E128" s="14">
        <f t="shared" si="51"/>
        <v>205.31</v>
      </c>
      <c r="F128" s="288">
        <f t="shared" si="61"/>
        <v>17244.780000000006</v>
      </c>
      <c r="G128" s="288">
        <f t="shared" si="62"/>
        <v>26573.600000000006</v>
      </c>
      <c r="H128" s="288">
        <f t="shared" si="52"/>
        <v>65522.159999999989</v>
      </c>
      <c r="I128" s="410">
        <f t="shared" si="53"/>
        <v>5</v>
      </c>
      <c r="J128" s="288">
        <f t="shared" si="63"/>
        <v>329186.46000000002</v>
      </c>
      <c r="K128" s="288">
        <f t="shared" si="79"/>
        <v>2298.4699999999998</v>
      </c>
      <c r="L128" s="288">
        <f t="shared" si="73"/>
        <v>446.79999999999973</v>
      </c>
      <c r="M128" s="288">
        <f t="shared" si="80"/>
        <v>1851.67</v>
      </c>
      <c r="N128" s="288">
        <f t="shared" si="64"/>
        <v>25635.339999999986</v>
      </c>
      <c r="O128" s="288">
        <f t="shared" si="65"/>
        <v>132959.09000000003</v>
      </c>
      <c r="P128" s="288">
        <f t="shared" si="54"/>
        <v>328739.66000000003</v>
      </c>
      <c r="Q128" s="499">
        <f t="shared" si="55"/>
        <v>47799</v>
      </c>
      <c r="R128" s="288">
        <f t="shared" si="78"/>
        <v>280047.76000000013</v>
      </c>
      <c r="S128" s="492">
        <f t="shared" si="66"/>
        <v>6.7500000000000004E-2</v>
      </c>
      <c r="T128" s="288">
        <f t="shared" si="56"/>
        <v>3195.22</v>
      </c>
      <c r="U128" s="288">
        <f t="shared" si="81"/>
        <v>1619.9499999999998</v>
      </c>
      <c r="V128" s="288">
        <f t="shared" si="57"/>
        <v>1575.27</v>
      </c>
      <c r="W128" s="288">
        <f t="shared" si="74"/>
        <v>0</v>
      </c>
      <c r="X128" s="288">
        <f t="shared" si="75"/>
        <v>0</v>
      </c>
      <c r="Y128" s="288">
        <f t="shared" si="82"/>
        <v>3195.22</v>
      </c>
      <c r="Z128" s="288">
        <f t="shared" si="83"/>
        <v>75947.19</v>
      </c>
      <c r="AA128" s="288">
        <f t="shared" si="84"/>
        <v>74668.23000000001</v>
      </c>
      <c r="AB128" s="288">
        <f t="shared" si="58"/>
        <v>278427.81000000011</v>
      </c>
      <c r="AC128" s="410">
        <f t="shared" si="67"/>
        <v>68</v>
      </c>
      <c r="AD128" s="510">
        <f t="shared" si="68"/>
        <v>7979.0099999999911</v>
      </c>
      <c r="AE128" s="510">
        <f t="shared" si="76"/>
        <v>212905.65000000014</v>
      </c>
      <c r="AF128" s="510">
        <f t="shared" si="77"/>
        <v>220884.66000000012</v>
      </c>
      <c r="AG128" s="510">
        <f t="shared" si="69"/>
        <v>2813.1099999999997</v>
      </c>
      <c r="AH128" s="510">
        <f t="shared" si="70"/>
        <v>301456.49000000005</v>
      </c>
      <c r="AI128" s="510"/>
      <c r="AJ128" s="14">
        <f t="shared" si="85"/>
        <v>2813.1099999999997</v>
      </c>
      <c r="AK128" s="14">
        <f t="shared" si="49"/>
        <v>119664.50999999991</v>
      </c>
      <c r="AL128" s="510">
        <f>IF(R128&lt;=0,0,+(Profit!$B$4+AM127)*$AL$1/12)</f>
        <v>1110.9875809879611</v>
      </c>
      <c r="AM128" s="14">
        <f t="shared" si="71"/>
        <v>70506.019976172451</v>
      </c>
    </row>
    <row r="129" spans="1:39" x14ac:dyDescent="0.25">
      <c r="A129" s="499">
        <f t="shared" si="59"/>
        <v>47829</v>
      </c>
      <c r="B129" s="288">
        <f t="shared" si="60"/>
        <v>65522.159999999989</v>
      </c>
      <c r="C129" s="14">
        <f t="shared" si="50"/>
        <v>382.11</v>
      </c>
      <c r="D129" s="14">
        <f t="shared" si="72"/>
        <v>177.35000000000002</v>
      </c>
      <c r="E129" s="14">
        <f t="shared" si="51"/>
        <v>204.76</v>
      </c>
      <c r="F129" s="288">
        <f t="shared" si="61"/>
        <v>17422.130000000005</v>
      </c>
      <c r="G129" s="288">
        <f t="shared" si="62"/>
        <v>26778.360000000004</v>
      </c>
      <c r="H129" s="288">
        <f t="shared" si="52"/>
        <v>65344.80999999999</v>
      </c>
      <c r="I129" s="410">
        <f t="shared" si="53"/>
        <v>5</v>
      </c>
      <c r="J129" s="288">
        <f t="shared" si="63"/>
        <v>328739.66000000003</v>
      </c>
      <c r="K129" s="288">
        <f t="shared" si="79"/>
        <v>2298.4699999999998</v>
      </c>
      <c r="L129" s="288">
        <f t="shared" si="73"/>
        <v>449.30999999999972</v>
      </c>
      <c r="M129" s="288">
        <f t="shared" si="80"/>
        <v>1849.16</v>
      </c>
      <c r="N129" s="288">
        <f t="shared" si="64"/>
        <v>26084.649999999987</v>
      </c>
      <c r="O129" s="288">
        <f t="shared" si="65"/>
        <v>134808.25000000003</v>
      </c>
      <c r="P129" s="288">
        <f t="shared" si="54"/>
        <v>328290.35000000003</v>
      </c>
      <c r="Q129" s="499">
        <f t="shared" si="55"/>
        <v>47829</v>
      </c>
      <c r="R129" s="288">
        <f t="shared" si="78"/>
        <v>278427.81000000011</v>
      </c>
      <c r="S129" s="492">
        <f t="shared" si="66"/>
        <v>6.7500000000000004E-2</v>
      </c>
      <c r="T129" s="288">
        <f t="shared" si="56"/>
        <v>3195.22</v>
      </c>
      <c r="U129" s="288">
        <f t="shared" si="81"/>
        <v>1629.0599999999997</v>
      </c>
      <c r="V129" s="288">
        <f t="shared" si="57"/>
        <v>1566.16</v>
      </c>
      <c r="W129" s="288">
        <f t="shared" si="74"/>
        <v>0</v>
      </c>
      <c r="X129" s="288">
        <f t="shared" si="75"/>
        <v>0</v>
      </c>
      <c r="Y129" s="288">
        <f t="shared" si="82"/>
        <v>3195.22</v>
      </c>
      <c r="Z129" s="288">
        <f t="shared" si="83"/>
        <v>77576.25</v>
      </c>
      <c r="AA129" s="288">
        <f t="shared" si="84"/>
        <v>76234.390000000014</v>
      </c>
      <c r="AB129" s="288">
        <f t="shared" si="58"/>
        <v>276798.75000000012</v>
      </c>
      <c r="AC129" s="410">
        <f t="shared" si="67"/>
        <v>69</v>
      </c>
      <c r="AD129" s="510">
        <f t="shared" si="68"/>
        <v>7082.2599999999911</v>
      </c>
      <c r="AE129" s="510">
        <f t="shared" si="76"/>
        <v>211453.94000000012</v>
      </c>
      <c r="AF129" s="510">
        <f t="shared" si="77"/>
        <v>218536.2000000001</v>
      </c>
      <c r="AG129" s="510">
        <f t="shared" si="69"/>
        <v>2813.1099999999997</v>
      </c>
      <c r="AH129" s="510">
        <f t="shared" si="70"/>
        <v>300004.78000000003</v>
      </c>
      <c r="AI129" s="510"/>
      <c r="AJ129" s="14">
        <f t="shared" si="85"/>
        <v>2813.1099999999997</v>
      </c>
      <c r="AK129" s="14">
        <f t="shared" si="49"/>
        <v>122477.61999999991</v>
      </c>
      <c r="AL129" s="510">
        <f>IF(R129&lt;=0,0,+(Profit!$B$4+AM128)*$AL$1/12)</f>
        <v>1113.765049940431</v>
      </c>
      <c r="AM129" s="14">
        <f t="shared" si="71"/>
        <v>71619.785026112877</v>
      </c>
    </row>
    <row r="130" spans="1:39" x14ac:dyDescent="0.25">
      <c r="A130" s="499">
        <f t="shared" si="59"/>
        <v>47859</v>
      </c>
      <c r="B130" s="288">
        <f t="shared" si="60"/>
        <v>65344.80999999999</v>
      </c>
      <c r="C130" s="14">
        <f t="shared" si="50"/>
        <v>382.11</v>
      </c>
      <c r="D130" s="14">
        <f t="shared" si="72"/>
        <v>177.91000000000003</v>
      </c>
      <c r="E130" s="14">
        <f t="shared" si="51"/>
        <v>204.2</v>
      </c>
      <c r="F130" s="288">
        <f t="shared" si="61"/>
        <v>17600.040000000005</v>
      </c>
      <c r="G130" s="288">
        <f t="shared" si="62"/>
        <v>26982.560000000005</v>
      </c>
      <c r="H130" s="288">
        <f t="shared" si="52"/>
        <v>65166.899999999987</v>
      </c>
      <c r="I130" s="410">
        <f t="shared" si="53"/>
        <v>5</v>
      </c>
      <c r="J130" s="288">
        <f t="shared" si="63"/>
        <v>328290.35000000003</v>
      </c>
      <c r="K130" s="288">
        <f t="shared" si="79"/>
        <v>2298.4699999999998</v>
      </c>
      <c r="L130" s="288">
        <f t="shared" si="73"/>
        <v>451.83999999999969</v>
      </c>
      <c r="M130" s="288">
        <f t="shared" si="80"/>
        <v>1846.63</v>
      </c>
      <c r="N130" s="288">
        <f t="shared" si="64"/>
        <v>26536.489999999987</v>
      </c>
      <c r="O130" s="288">
        <f t="shared" si="65"/>
        <v>136654.88000000003</v>
      </c>
      <c r="P130" s="288">
        <f t="shared" si="54"/>
        <v>327838.51</v>
      </c>
      <c r="Q130" s="499">
        <f t="shared" si="55"/>
        <v>47859</v>
      </c>
      <c r="R130" s="288">
        <f t="shared" si="78"/>
        <v>276798.75000000012</v>
      </c>
      <c r="S130" s="492">
        <f t="shared" si="66"/>
        <v>6.7500000000000004E-2</v>
      </c>
      <c r="T130" s="288">
        <f t="shared" si="56"/>
        <v>3195.22</v>
      </c>
      <c r="U130" s="288">
        <f t="shared" si="81"/>
        <v>1638.2299999999998</v>
      </c>
      <c r="V130" s="288">
        <f t="shared" si="57"/>
        <v>1556.99</v>
      </c>
      <c r="W130" s="288">
        <f t="shared" si="74"/>
        <v>0</v>
      </c>
      <c r="X130" s="288">
        <f t="shared" si="75"/>
        <v>0</v>
      </c>
      <c r="Y130" s="288">
        <f t="shared" si="82"/>
        <v>3195.22</v>
      </c>
      <c r="Z130" s="288">
        <f t="shared" si="83"/>
        <v>79214.48</v>
      </c>
      <c r="AA130" s="288">
        <f t="shared" si="84"/>
        <v>77791.380000000019</v>
      </c>
      <c r="AB130" s="288">
        <f t="shared" si="58"/>
        <v>275160.52000000014</v>
      </c>
      <c r="AC130" s="410">
        <f t="shared" si="67"/>
        <v>70</v>
      </c>
      <c r="AD130" s="510">
        <f t="shared" si="68"/>
        <v>6185.5099999999911</v>
      </c>
      <c r="AE130" s="510">
        <f t="shared" si="76"/>
        <v>209993.62000000014</v>
      </c>
      <c r="AF130" s="510">
        <f t="shared" si="77"/>
        <v>216179.13000000012</v>
      </c>
      <c r="AG130" s="510">
        <f t="shared" si="69"/>
        <v>2813.1099999999997</v>
      </c>
      <c r="AH130" s="510">
        <f t="shared" si="70"/>
        <v>298544.46000000002</v>
      </c>
      <c r="AI130" s="510"/>
      <c r="AJ130" s="14">
        <f t="shared" si="85"/>
        <v>2813.1099999999997</v>
      </c>
      <c r="AK130" s="14">
        <f t="shared" ref="AK130:AK193" si="86">IF(P130&lt;=0,0,+AJ130+AK129)</f>
        <v>125290.72999999991</v>
      </c>
      <c r="AL130" s="510">
        <f>IF(R130&lt;=0,0,+(Profit!$B$4+AM129)*$AL$1/12)</f>
        <v>1116.5494625652821</v>
      </c>
      <c r="AM130" s="14">
        <f t="shared" si="71"/>
        <v>72736.334488678156</v>
      </c>
    </row>
    <row r="131" spans="1:39" x14ac:dyDescent="0.25">
      <c r="A131" s="499">
        <f t="shared" si="59"/>
        <v>47889</v>
      </c>
      <c r="B131" s="288">
        <f t="shared" si="60"/>
        <v>65166.899999999987</v>
      </c>
      <c r="C131" s="14">
        <f t="shared" si="50"/>
        <v>382.11</v>
      </c>
      <c r="D131" s="14">
        <f t="shared" si="72"/>
        <v>178.46</v>
      </c>
      <c r="E131" s="14">
        <f t="shared" si="51"/>
        <v>203.65</v>
      </c>
      <c r="F131" s="288">
        <f t="shared" si="61"/>
        <v>17778.500000000004</v>
      </c>
      <c r="G131" s="288">
        <f t="shared" si="62"/>
        <v>27186.210000000006</v>
      </c>
      <c r="H131" s="288">
        <f t="shared" si="52"/>
        <v>64988.439999999988</v>
      </c>
      <c r="I131" s="410">
        <f t="shared" si="53"/>
        <v>5</v>
      </c>
      <c r="J131" s="288">
        <f t="shared" si="63"/>
        <v>327838.51</v>
      </c>
      <c r="K131" s="288">
        <f t="shared" si="79"/>
        <v>2298.4699999999998</v>
      </c>
      <c r="L131" s="288">
        <f t="shared" si="73"/>
        <v>454.37999999999988</v>
      </c>
      <c r="M131" s="288">
        <f t="shared" si="80"/>
        <v>1844.09</v>
      </c>
      <c r="N131" s="288">
        <f t="shared" si="64"/>
        <v>26990.869999999988</v>
      </c>
      <c r="O131" s="288">
        <f t="shared" si="65"/>
        <v>138498.97000000003</v>
      </c>
      <c r="P131" s="288">
        <f t="shared" si="54"/>
        <v>327384.13</v>
      </c>
      <c r="Q131" s="499">
        <f t="shared" si="55"/>
        <v>47889</v>
      </c>
      <c r="R131" s="288">
        <f t="shared" si="78"/>
        <v>275160.52000000014</v>
      </c>
      <c r="S131" s="492">
        <f t="shared" si="66"/>
        <v>6.7500000000000004E-2</v>
      </c>
      <c r="T131" s="288">
        <f t="shared" si="56"/>
        <v>3195.22</v>
      </c>
      <c r="U131" s="288">
        <f t="shared" si="81"/>
        <v>1647.4399999999998</v>
      </c>
      <c r="V131" s="288">
        <f t="shared" si="57"/>
        <v>1547.78</v>
      </c>
      <c r="W131" s="288">
        <f t="shared" si="74"/>
        <v>0</v>
      </c>
      <c r="X131" s="288">
        <f t="shared" si="75"/>
        <v>0</v>
      </c>
      <c r="Y131" s="288">
        <f t="shared" si="82"/>
        <v>3195.22</v>
      </c>
      <c r="Z131" s="288">
        <f t="shared" si="83"/>
        <v>80861.919999999998</v>
      </c>
      <c r="AA131" s="288">
        <f t="shared" si="84"/>
        <v>79339.160000000018</v>
      </c>
      <c r="AB131" s="288">
        <f t="shared" si="58"/>
        <v>273513.08000000013</v>
      </c>
      <c r="AC131" s="410">
        <f t="shared" si="67"/>
        <v>71</v>
      </c>
      <c r="AD131" s="510">
        <f t="shared" si="68"/>
        <v>5288.7599999999911</v>
      </c>
      <c r="AE131" s="510">
        <f t="shared" si="76"/>
        <v>208524.64000000013</v>
      </c>
      <c r="AF131" s="510">
        <f t="shared" si="77"/>
        <v>213813.40000000011</v>
      </c>
      <c r="AG131" s="510">
        <f t="shared" si="69"/>
        <v>2813.1099999999997</v>
      </c>
      <c r="AH131" s="510">
        <f t="shared" si="70"/>
        <v>297075.48000000004</v>
      </c>
      <c r="AI131" s="510"/>
      <c r="AJ131" s="14">
        <f t="shared" si="85"/>
        <v>2813.1099999999997</v>
      </c>
      <c r="AK131" s="14">
        <f t="shared" si="86"/>
        <v>128103.83999999991</v>
      </c>
      <c r="AL131" s="510">
        <f>IF(R131&lt;=0,0,+(Profit!$B$4+AM130)*$AL$1/12)</f>
        <v>1119.3408362216953</v>
      </c>
      <c r="AM131" s="14">
        <f t="shared" si="71"/>
        <v>73855.675324899858</v>
      </c>
    </row>
    <row r="132" spans="1:39" x14ac:dyDescent="0.25">
      <c r="A132" s="499">
        <f t="shared" si="59"/>
        <v>47919</v>
      </c>
      <c r="B132" s="288">
        <f t="shared" si="60"/>
        <v>64988.439999999988</v>
      </c>
      <c r="C132" s="14">
        <f t="shared" si="50"/>
        <v>382.11</v>
      </c>
      <c r="D132" s="14">
        <f t="shared" si="72"/>
        <v>179.02</v>
      </c>
      <c r="E132" s="14">
        <f t="shared" si="51"/>
        <v>203.09</v>
      </c>
      <c r="F132" s="288">
        <f t="shared" si="61"/>
        <v>17957.520000000004</v>
      </c>
      <c r="G132" s="288">
        <f t="shared" si="62"/>
        <v>27389.300000000007</v>
      </c>
      <c r="H132" s="288">
        <f t="shared" si="52"/>
        <v>64809.419999999991</v>
      </c>
      <c r="I132" s="410">
        <f t="shared" si="53"/>
        <v>6</v>
      </c>
      <c r="J132" s="288">
        <f t="shared" si="63"/>
        <v>327384.13</v>
      </c>
      <c r="K132" s="288">
        <f t="shared" si="79"/>
        <v>2298.4699999999998</v>
      </c>
      <c r="L132" s="288">
        <f t="shared" si="73"/>
        <v>456.92999999999984</v>
      </c>
      <c r="M132" s="288">
        <f t="shared" si="80"/>
        <v>1841.54</v>
      </c>
      <c r="N132" s="288">
        <f t="shared" si="64"/>
        <v>27447.799999999988</v>
      </c>
      <c r="O132" s="288">
        <f t="shared" si="65"/>
        <v>140340.51000000004</v>
      </c>
      <c r="P132" s="288">
        <f t="shared" si="54"/>
        <v>326927.2</v>
      </c>
      <c r="Q132" s="499">
        <f t="shared" si="55"/>
        <v>47919</v>
      </c>
      <c r="R132" s="288">
        <f t="shared" si="78"/>
        <v>273513.08000000013</v>
      </c>
      <c r="S132" s="492">
        <f t="shared" si="66"/>
        <v>6.7500000000000004E-2</v>
      </c>
      <c r="T132" s="288">
        <f t="shared" si="56"/>
        <v>3195.22</v>
      </c>
      <c r="U132" s="288">
        <f t="shared" si="81"/>
        <v>1656.7099999999998</v>
      </c>
      <c r="V132" s="288">
        <f t="shared" si="57"/>
        <v>1538.51</v>
      </c>
      <c r="W132" s="288">
        <f t="shared" si="74"/>
        <v>0</v>
      </c>
      <c r="X132" s="288">
        <f t="shared" si="75"/>
        <v>0</v>
      </c>
      <c r="Y132" s="288">
        <f t="shared" si="82"/>
        <v>3195.22</v>
      </c>
      <c r="Z132" s="288">
        <f t="shared" si="83"/>
        <v>82518.63</v>
      </c>
      <c r="AA132" s="288">
        <f t="shared" si="84"/>
        <v>80877.670000000013</v>
      </c>
      <c r="AB132" s="288">
        <f t="shared" si="58"/>
        <v>271856.37000000011</v>
      </c>
      <c r="AC132" s="410">
        <f t="shared" si="67"/>
        <v>72</v>
      </c>
      <c r="AD132" s="510">
        <f t="shared" si="68"/>
        <v>4392.0099999999911</v>
      </c>
      <c r="AE132" s="510">
        <f t="shared" si="76"/>
        <v>207046.95000000013</v>
      </c>
      <c r="AF132" s="510">
        <f t="shared" si="77"/>
        <v>211438.96000000011</v>
      </c>
      <c r="AG132" s="510">
        <f t="shared" si="69"/>
        <v>2813.1099999999997</v>
      </c>
      <c r="AH132" s="510">
        <f t="shared" si="70"/>
        <v>295597.79000000004</v>
      </c>
      <c r="AI132" s="510"/>
      <c r="AJ132" s="14">
        <f t="shared" si="85"/>
        <v>2813.1099999999997</v>
      </c>
      <c r="AK132" s="14">
        <f t="shared" si="86"/>
        <v>130916.94999999991</v>
      </c>
      <c r="AL132" s="510">
        <f>IF(R132&lt;=0,0,+(Profit!$B$4+AM131)*$AL$1/12)</f>
        <v>1122.1391883122494</v>
      </c>
      <c r="AM132" s="14">
        <f t="shared" si="71"/>
        <v>74977.814513212114</v>
      </c>
    </row>
    <row r="133" spans="1:39" x14ac:dyDescent="0.25">
      <c r="A133" s="499">
        <f t="shared" si="59"/>
        <v>47949</v>
      </c>
      <c r="B133" s="288">
        <f t="shared" si="60"/>
        <v>64809.419999999991</v>
      </c>
      <c r="C133" s="14">
        <f t="shared" si="50"/>
        <v>382.11</v>
      </c>
      <c r="D133" s="14">
        <f t="shared" si="72"/>
        <v>179.58</v>
      </c>
      <c r="E133" s="14">
        <f t="shared" si="51"/>
        <v>202.53</v>
      </c>
      <c r="F133" s="288">
        <f t="shared" si="61"/>
        <v>18137.100000000006</v>
      </c>
      <c r="G133" s="288">
        <f t="shared" si="62"/>
        <v>27591.830000000005</v>
      </c>
      <c r="H133" s="288">
        <f t="shared" si="52"/>
        <v>64629.839999999989</v>
      </c>
      <c r="I133" s="410">
        <f t="shared" si="53"/>
        <v>6</v>
      </c>
      <c r="J133" s="288">
        <f t="shared" si="63"/>
        <v>326927.2</v>
      </c>
      <c r="K133" s="288">
        <f t="shared" si="79"/>
        <v>2298.4699999999998</v>
      </c>
      <c r="L133" s="288">
        <f t="shared" si="73"/>
        <v>459.49999999999977</v>
      </c>
      <c r="M133" s="288">
        <f t="shared" si="80"/>
        <v>1838.97</v>
      </c>
      <c r="N133" s="288">
        <f t="shared" si="64"/>
        <v>27907.299999999988</v>
      </c>
      <c r="O133" s="288">
        <f t="shared" si="65"/>
        <v>142179.48000000004</v>
      </c>
      <c r="P133" s="288">
        <f t="shared" si="54"/>
        <v>326467.7</v>
      </c>
      <c r="Q133" s="499">
        <f t="shared" si="55"/>
        <v>47949</v>
      </c>
      <c r="R133" s="288">
        <f t="shared" si="78"/>
        <v>271856.37000000011</v>
      </c>
      <c r="S133" s="492">
        <f t="shared" si="66"/>
        <v>6.7500000000000004E-2</v>
      </c>
      <c r="T133" s="288">
        <f t="shared" si="56"/>
        <v>3195.22</v>
      </c>
      <c r="U133" s="288">
        <f t="shared" si="81"/>
        <v>1666.0299999999997</v>
      </c>
      <c r="V133" s="288">
        <f t="shared" si="57"/>
        <v>1529.19</v>
      </c>
      <c r="W133" s="288">
        <f t="shared" si="74"/>
        <v>0</v>
      </c>
      <c r="X133" s="288">
        <f t="shared" si="75"/>
        <v>0</v>
      </c>
      <c r="Y133" s="288">
        <f t="shared" si="82"/>
        <v>3195.22</v>
      </c>
      <c r="Z133" s="288">
        <f t="shared" si="83"/>
        <v>84184.66</v>
      </c>
      <c r="AA133" s="288">
        <f t="shared" si="84"/>
        <v>82406.860000000015</v>
      </c>
      <c r="AB133" s="288">
        <f t="shared" si="58"/>
        <v>270190.34000000008</v>
      </c>
      <c r="AC133" s="410">
        <f t="shared" si="67"/>
        <v>73</v>
      </c>
      <c r="AD133" s="510">
        <f t="shared" si="68"/>
        <v>3495.2599999999911</v>
      </c>
      <c r="AE133" s="510">
        <f t="shared" si="76"/>
        <v>205560.50000000009</v>
      </c>
      <c r="AF133" s="510">
        <f t="shared" si="77"/>
        <v>209055.76000000007</v>
      </c>
      <c r="AG133" s="510">
        <f t="shared" si="69"/>
        <v>2813.1099999999997</v>
      </c>
      <c r="AH133" s="510">
        <f t="shared" si="70"/>
        <v>294111.33999999997</v>
      </c>
      <c r="AI133" s="510"/>
      <c r="AJ133" s="14">
        <f t="shared" si="85"/>
        <v>2813.1099999999997</v>
      </c>
      <c r="AK133" s="14">
        <f t="shared" si="86"/>
        <v>133730.05999999991</v>
      </c>
      <c r="AL133" s="510">
        <f>IF(R133&lt;=0,0,+(Profit!$B$4+AM132)*$AL$1/12)</f>
        <v>1124.9445362830304</v>
      </c>
      <c r="AM133" s="14">
        <f t="shared" si="71"/>
        <v>76102.759049495144</v>
      </c>
    </row>
    <row r="134" spans="1:39" ht="15.75" thickBot="1" x14ac:dyDescent="0.3">
      <c r="A134" s="502">
        <f t="shared" si="59"/>
        <v>47979</v>
      </c>
      <c r="B134" s="343">
        <f t="shared" si="60"/>
        <v>64629.839999999989</v>
      </c>
      <c r="C134" s="21">
        <f t="shared" si="50"/>
        <v>382.11</v>
      </c>
      <c r="D134" s="21">
        <f t="shared" si="72"/>
        <v>180.14000000000001</v>
      </c>
      <c r="E134" s="21">
        <f t="shared" si="51"/>
        <v>201.97</v>
      </c>
      <c r="F134" s="343">
        <f t="shared" si="61"/>
        <v>18317.240000000005</v>
      </c>
      <c r="G134" s="343">
        <f t="shared" si="62"/>
        <v>27793.800000000007</v>
      </c>
      <c r="H134" s="343">
        <f t="shared" si="52"/>
        <v>64449.69999999999</v>
      </c>
      <c r="I134" s="411">
        <f t="shared" si="53"/>
        <v>6</v>
      </c>
      <c r="J134" s="343">
        <f t="shared" si="63"/>
        <v>326467.7</v>
      </c>
      <c r="K134" s="343">
        <f t="shared" si="79"/>
        <v>2298.4699999999998</v>
      </c>
      <c r="L134" s="343">
        <f t="shared" si="73"/>
        <v>462.08999999999969</v>
      </c>
      <c r="M134" s="343">
        <f t="shared" si="80"/>
        <v>1836.38</v>
      </c>
      <c r="N134" s="343">
        <f t="shared" si="64"/>
        <v>28369.389999999989</v>
      </c>
      <c r="O134" s="343">
        <f t="shared" si="65"/>
        <v>144015.86000000004</v>
      </c>
      <c r="P134" s="343">
        <f t="shared" si="54"/>
        <v>326005.61</v>
      </c>
      <c r="Q134" s="502">
        <f t="shared" si="55"/>
        <v>47979</v>
      </c>
      <c r="R134" s="343">
        <f t="shared" si="78"/>
        <v>270190.34000000008</v>
      </c>
      <c r="S134" s="493">
        <f t="shared" si="66"/>
        <v>6.7500000000000004E-2</v>
      </c>
      <c r="T134" s="343">
        <f t="shared" si="56"/>
        <v>3195.22</v>
      </c>
      <c r="U134" s="343">
        <f t="shared" si="81"/>
        <v>1675.3999999999999</v>
      </c>
      <c r="V134" s="343">
        <f t="shared" si="57"/>
        <v>1519.82</v>
      </c>
      <c r="W134" s="343">
        <f t="shared" si="74"/>
        <v>0</v>
      </c>
      <c r="X134" s="343">
        <f t="shared" si="75"/>
        <v>0</v>
      </c>
      <c r="Y134" s="343">
        <f t="shared" si="82"/>
        <v>3195.22</v>
      </c>
      <c r="Z134" s="343">
        <f t="shared" si="83"/>
        <v>85860.06</v>
      </c>
      <c r="AA134" s="343">
        <f t="shared" si="84"/>
        <v>83926.680000000022</v>
      </c>
      <c r="AB134" s="343">
        <f t="shared" si="58"/>
        <v>268514.94000000006</v>
      </c>
      <c r="AC134" s="411">
        <f t="shared" si="67"/>
        <v>74</v>
      </c>
      <c r="AD134" s="511">
        <f t="shared" si="68"/>
        <v>2598.5099999999911</v>
      </c>
      <c r="AE134" s="511">
        <f t="shared" si="76"/>
        <v>204065.24000000008</v>
      </c>
      <c r="AF134" s="511">
        <f t="shared" si="77"/>
        <v>206663.75000000006</v>
      </c>
      <c r="AG134" s="511">
        <f t="shared" si="69"/>
        <v>2813.1099999999997</v>
      </c>
      <c r="AH134" s="511">
        <f t="shared" si="70"/>
        <v>292616.08</v>
      </c>
      <c r="AI134" s="511"/>
      <c r="AJ134" s="21">
        <f t="shared" si="85"/>
        <v>2813.1099999999997</v>
      </c>
      <c r="AK134" s="21">
        <f t="shared" si="86"/>
        <v>136543.1699999999</v>
      </c>
      <c r="AL134" s="511">
        <f>IF(R134&lt;=0,0,+(Profit!$B$4+AM133)*$AL$1/12)</f>
        <v>1127.7568976237378</v>
      </c>
      <c r="AM134" s="21">
        <f t="shared" si="71"/>
        <v>77230.515947118882</v>
      </c>
    </row>
    <row r="135" spans="1:39" x14ac:dyDescent="0.25">
      <c r="A135" s="499">
        <f t="shared" si="59"/>
        <v>48009</v>
      </c>
      <c r="B135" s="288">
        <f t="shared" si="60"/>
        <v>64449.69999999999</v>
      </c>
      <c r="C135" s="14">
        <f t="shared" si="50"/>
        <v>382.11</v>
      </c>
      <c r="D135" s="14">
        <f t="shared" si="72"/>
        <v>180.70000000000002</v>
      </c>
      <c r="E135" s="14">
        <f t="shared" si="51"/>
        <v>201.41</v>
      </c>
      <c r="F135" s="288">
        <f t="shared" si="61"/>
        <v>18497.940000000006</v>
      </c>
      <c r="G135" s="288">
        <f t="shared" si="62"/>
        <v>27995.210000000006</v>
      </c>
      <c r="H135" s="288">
        <f t="shared" si="52"/>
        <v>64268.999999999993</v>
      </c>
      <c r="I135" s="410">
        <f t="shared" si="53"/>
        <v>6</v>
      </c>
      <c r="J135" s="288">
        <f t="shared" si="63"/>
        <v>326005.61</v>
      </c>
      <c r="K135" s="288">
        <f t="shared" si="79"/>
        <v>2298.4699999999998</v>
      </c>
      <c r="L135" s="288">
        <f t="shared" si="73"/>
        <v>464.68999999999983</v>
      </c>
      <c r="M135" s="288">
        <f t="shared" si="80"/>
        <v>1833.78</v>
      </c>
      <c r="N135" s="288">
        <f t="shared" si="64"/>
        <v>28834.079999999987</v>
      </c>
      <c r="O135" s="288">
        <f t="shared" si="65"/>
        <v>145849.64000000004</v>
      </c>
      <c r="P135" s="288">
        <f t="shared" si="54"/>
        <v>325540.92</v>
      </c>
      <c r="Q135" s="499">
        <f t="shared" si="55"/>
        <v>48009</v>
      </c>
      <c r="R135" s="288">
        <f t="shared" si="78"/>
        <v>268514.94000000006</v>
      </c>
      <c r="S135" s="492">
        <f t="shared" si="66"/>
        <v>6.7500000000000004E-2</v>
      </c>
      <c r="T135" s="288">
        <f t="shared" si="56"/>
        <v>3195.22</v>
      </c>
      <c r="U135" s="288">
        <f t="shared" si="81"/>
        <v>1684.8199999999997</v>
      </c>
      <c r="V135" s="288">
        <f t="shared" si="57"/>
        <v>1510.4</v>
      </c>
      <c r="W135" s="288">
        <f t="shared" si="74"/>
        <v>0</v>
      </c>
      <c r="X135" s="288">
        <f t="shared" si="75"/>
        <v>0</v>
      </c>
      <c r="Y135" s="288">
        <f t="shared" si="82"/>
        <v>3195.22</v>
      </c>
      <c r="Z135" s="288">
        <f t="shared" si="83"/>
        <v>87544.88</v>
      </c>
      <c r="AA135" s="288">
        <f t="shared" si="84"/>
        <v>85437.080000000016</v>
      </c>
      <c r="AB135" s="288">
        <f t="shared" si="58"/>
        <v>266830.12000000005</v>
      </c>
      <c r="AC135" s="410">
        <f t="shared" si="67"/>
        <v>75</v>
      </c>
      <c r="AD135" s="510">
        <f t="shared" si="68"/>
        <v>1701.7599999999911</v>
      </c>
      <c r="AE135" s="510">
        <f t="shared" si="76"/>
        <v>202561.12000000005</v>
      </c>
      <c r="AF135" s="510">
        <f t="shared" si="77"/>
        <v>204262.88000000003</v>
      </c>
      <c r="AG135" s="510">
        <f t="shared" si="69"/>
        <v>2813.1099999999997</v>
      </c>
      <c r="AH135" s="510">
        <f t="shared" si="70"/>
        <v>291111.96000000002</v>
      </c>
      <c r="AI135" s="510"/>
      <c r="AJ135" s="14">
        <f t="shared" si="85"/>
        <v>2813.1099999999997</v>
      </c>
      <c r="AK135" s="14">
        <f t="shared" si="86"/>
        <v>139356.27999999988</v>
      </c>
      <c r="AL135" s="510">
        <f>IF(R135&lt;=0,0,+(Profit!$B$4+AM134)*$AL$1/12)</f>
        <v>1130.5762898677972</v>
      </c>
      <c r="AM135" s="14">
        <f t="shared" si="71"/>
        <v>78361.092236986675</v>
      </c>
    </row>
    <row r="136" spans="1:39" x14ac:dyDescent="0.25">
      <c r="A136" s="499">
        <f t="shared" si="59"/>
        <v>48039</v>
      </c>
      <c r="B136" s="288">
        <f t="shared" si="60"/>
        <v>64268.999999999993</v>
      </c>
      <c r="C136" s="14">
        <f t="shared" si="50"/>
        <v>382.11</v>
      </c>
      <c r="D136" s="14">
        <f t="shared" si="72"/>
        <v>181.27</v>
      </c>
      <c r="E136" s="14">
        <f t="shared" si="51"/>
        <v>200.84</v>
      </c>
      <c r="F136" s="288">
        <f t="shared" si="61"/>
        <v>18679.210000000006</v>
      </c>
      <c r="G136" s="288">
        <f t="shared" si="62"/>
        <v>28196.050000000007</v>
      </c>
      <c r="H136" s="288">
        <f t="shared" si="52"/>
        <v>64087.729999999996</v>
      </c>
      <c r="I136" s="410">
        <f t="shared" si="53"/>
        <v>6</v>
      </c>
      <c r="J136" s="288">
        <f t="shared" si="63"/>
        <v>325540.92</v>
      </c>
      <c r="K136" s="288">
        <f t="shared" si="79"/>
        <v>2298.4699999999998</v>
      </c>
      <c r="L136" s="288">
        <f t="shared" si="73"/>
        <v>467.29999999999973</v>
      </c>
      <c r="M136" s="288">
        <f t="shared" si="80"/>
        <v>1831.17</v>
      </c>
      <c r="N136" s="288">
        <f t="shared" si="64"/>
        <v>29301.379999999986</v>
      </c>
      <c r="O136" s="288">
        <f t="shared" si="65"/>
        <v>147680.81000000006</v>
      </c>
      <c r="P136" s="288">
        <f t="shared" si="54"/>
        <v>325073.62</v>
      </c>
      <c r="Q136" s="499">
        <f t="shared" si="55"/>
        <v>48039</v>
      </c>
      <c r="R136" s="288">
        <f t="shared" si="78"/>
        <v>266830.12000000005</v>
      </c>
      <c r="S136" s="492">
        <f t="shared" si="66"/>
        <v>6.7500000000000004E-2</v>
      </c>
      <c r="T136" s="288">
        <f t="shared" si="56"/>
        <v>3195.22</v>
      </c>
      <c r="U136" s="288">
        <f t="shared" si="81"/>
        <v>1694.2999999999997</v>
      </c>
      <c r="V136" s="288">
        <f t="shared" si="57"/>
        <v>1500.92</v>
      </c>
      <c r="W136" s="288">
        <f t="shared" si="74"/>
        <v>0</v>
      </c>
      <c r="X136" s="288">
        <f t="shared" si="75"/>
        <v>0</v>
      </c>
      <c r="Y136" s="288">
        <f t="shared" si="82"/>
        <v>3195.22</v>
      </c>
      <c r="Z136" s="288">
        <f t="shared" si="83"/>
        <v>89239.180000000008</v>
      </c>
      <c r="AA136" s="288">
        <f t="shared" si="84"/>
        <v>86938.000000000015</v>
      </c>
      <c r="AB136" s="288">
        <f t="shared" si="58"/>
        <v>265135.82000000007</v>
      </c>
      <c r="AC136" s="410">
        <f t="shared" si="67"/>
        <v>76</v>
      </c>
      <c r="AD136" s="510">
        <f t="shared" si="68"/>
        <v>805.00999999999112</v>
      </c>
      <c r="AE136" s="510">
        <f t="shared" si="76"/>
        <v>201048.09000000008</v>
      </c>
      <c r="AF136" s="510">
        <f t="shared" si="77"/>
        <v>201853.10000000006</v>
      </c>
      <c r="AG136" s="510">
        <f t="shared" si="69"/>
        <v>2813.1099999999997</v>
      </c>
      <c r="AH136" s="510">
        <f t="shared" si="70"/>
        <v>289598.93000000005</v>
      </c>
      <c r="AI136" s="510"/>
      <c r="AJ136" s="14">
        <f t="shared" si="85"/>
        <v>2813.1099999999997</v>
      </c>
      <c r="AK136" s="14">
        <f t="shared" si="86"/>
        <v>142169.38999999987</v>
      </c>
      <c r="AL136" s="510">
        <f>IF(R136&lt;=0,0,+(Profit!$B$4+AM135)*$AL$1/12)</f>
        <v>1133.4027305924667</v>
      </c>
      <c r="AM136" s="14">
        <f t="shared" si="71"/>
        <v>79494.494967579143</v>
      </c>
    </row>
    <row r="137" spans="1:39" x14ac:dyDescent="0.25">
      <c r="A137" s="499">
        <f t="shared" si="59"/>
        <v>48069</v>
      </c>
      <c r="B137" s="288">
        <f t="shared" si="60"/>
        <v>64087.729999999996</v>
      </c>
      <c r="C137" s="14">
        <f t="shared" si="50"/>
        <v>382.11</v>
      </c>
      <c r="D137" s="14">
        <f t="shared" si="72"/>
        <v>181.84</v>
      </c>
      <c r="E137" s="14">
        <f t="shared" si="51"/>
        <v>200.27</v>
      </c>
      <c r="F137" s="288">
        <f t="shared" si="61"/>
        <v>18861.050000000007</v>
      </c>
      <c r="G137" s="288">
        <f t="shared" si="62"/>
        <v>28396.320000000007</v>
      </c>
      <c r="H137" s="288">
        <f t="shared" si="52"/>
        <v>63905.89</v>
      </c>
      <c r="I137" s="410">
        <f t="shared" si="53"/>
        <v>6</v>
      </c>
      <c r="J137" s="288">
        <f t="shared" si="63"/>
        <v>325073.62</v>
      </c>
      <c r="K137" s="288">
        <f t="shared" si="79"/>
        <v>2298.4699999999998</v>
      </c>
      <c r="L137" s="288">
        <f t="shared" si="73"/>
        <v>469.92999999999984</v>
      </c>
      <c r="M137" s="288">
        <f t="shared" si="80"/>
        <v>1828.54</v>
      </c>
      <c r="N137" s="288">
        <f t="shared" si="64"/>
        <v>29771.309999999987</v>
      </c>
      <c r="O137" s="288">
        <f t="shared" si="65"/>
        <v>149509.35000000006</v>
      </c>
      <c r="P137" s="288">
        <f t="shared" si="54"/>
        <v>324603.69</v>
      </c>
      <c r="Q137" s="499">
        <f t="shared" si="55"/>
        <v>48069</v>
      </c>
      <c r="R137" s="288">
        <f t="shared" si="78"/>
        <v>265135.82000000007</v>
      </c>
      <c r="S137" s="492">
        <f t="shared" si="66"/>
        <v>6.7500000000000004E-2</v>
      </c>
      <c r="T137" s="288">
        <f t="shared" si="56"/>
        <v>3195.22</v>
      </c>
      <c r="U137" s="288">
        <f t="shared" si="81"/>
        <v>1703.8299999999997</v>
      </c>
      <c r="V137" s="288">
        <f t="shared" si="57"/>
        <v>1491.39</v>
      </c>
      <c r="W137" s="288">
        <f t="shared" si="74"/>
        <v>0</v>
      </c>
      <c r="X137" s="288">
        <f t="shared" si="75"/>
        <v>0</v>
      </c>
      <c r="Y137" s="288">
        <f t="shared" si="82"/>
        <v>3195.22</v>
      </c>
      <c r="Z137" s="288">
        <f t="shared" si="83"/>
        <v>90943.010000000009</v>
      </c>
      <c r="AA137" s="288">
        <f t="shared" si="84"/>
        <v>88429.390000000014</v>
      </c>
      <c r="AB137" s="288">
        <f t="shared" si="58"/>
        <v>263431.99000000005</v>
      </c>
      <c r="AC137" s="410">
        <f t="shared" si="67"/>
        <v>77</v>
      </c>
      <c r="AD137" s="510">
        <f t="shared" si="68"/>
        <v>-91.740000000008877</v>
      </c>
      <c r="AE137" s="510">
        <f t="shared" si="76"/>
        <v>199526.10000000003</v>
      </c>
      <c r="AF137" s="510">
        <f t="shared" si="77"/>
        <v>199434.36000000002</v>
      </c>
      <c r="AG137" s="510">
        <f t="shared" si="69"/>
        <v>2813.1099999999997</v>
      </c>
      <c r="AH137" s="510">
        <f t="shared" si="70"/>
        <v>288076.94</v>
      </c>
      <c r="AI137" s="510"/>
      <c r="AJ137" s="14">
        <f t="shared" si="85"/>
        <v>2813.1099999999997</v>
      </c>
      <c r="AK137" s="14">
        <f t="shared" si="86"/>
        <v>144982.49999999985</v>
      </c>
      <c r="AL137" s="510">
        <f>IF(R137&lt;=0,0,+(Profit!$B$4+AM136)*$AL$1/12)</f>
        <v>1136.2362374189477</v>
      </c>
      <c r="AM137" s="14">
        <f t="shared" si="71"/>
        <v>80630.731204998097</v>
      </c>
    </row>
    <row r="138" spans="1:39" x14ac:dyDescent="0.25">
      <c r="A138" s="499">
        <f t="shared" si="59"/>
        <v>48099</v>
      </c>
      <c r="B138" s="288">
        <f t="shared" si="60"/>
        <v>63905.89</v>
      </c>
      <c r="C138" s="14">
        <f t="shared" si="50"/>
        <v>382.11</v>
      </c>
      <c r="D138" s="14">
        <f t="shared" si="72"/>
        <v>182.4</v>
      </c>
      <c r="E138" s="14">
        <f t="shared" si="51"/>
        <v>199.71</v>
      </c>
      <c r="F138" s="288">
        <f t="shared" si="61"/>
        <v>19043.450000000008</v>
      </c>
      <c r="G138" s="288">
        <f t="shared" si="62"/>
        <v>28596.030000000006</v>
      </c>
      <c r="H138" s="288">
        <f t="shared" si="52"/>
        <v>63723.49</v>
      </c>
      <c r="I138" s="410">
        <f t="shared" si="53"/>
        <v>6</v>
      </c>
      <c r="J138" s="288">
        <f t="shared" si="63"/>
        <v>324603.69</v>
      </c>
      <c r="K138" s="288">
        <f t="shared" si="79"/>
        <v>2298.4699999999998</v>
      </c>
      <c r="L138" s="288">
        <f t="shared" si="73"/>
        <v>472.56999999999971</v>
      </c>
      <c r="M138" s="288">
        <f t="shared" si="80"/>
        <v>1825.9</v>
      </c>
      <c r="N138" s="288">
        <f t="shared" si="64"/>
        <v>30243.879999999986</v>
      </c>
      <c r="O138" s="288">
        <f t="shared" si="65"/>
        <v>151335.25000000006</v>
      </c>
      <c r="P138" s="288">
        <f t="shared" si="54"/>
        <v>324131.12</v>
      </c>
      <c r="Q138" s="499">
        <f t="shared" si="55"/>
        <v>48099</v>
      </c>
      <c r="R138" s="288">
        <f t="shared" si="78"/>
        <v>263431.99000000005</v>
      </c>
      <c r="S138" s="492">
        <f t="shared" si="66"/>
        <v>6.7500000000000004E-2</v>
      </c>
      <c r="T138" s="288">
        <f t="shared" si="56"/>
        <v>3195.22</v>
      </c>
      <c r="U138" s="288">
        <f t="shared" si="81"/>
        <v>1713.4199999999998</v>
      </c>
      <c r="V138" s="288">
        <f t="shared" si="57"/>
        <v>1481.8</v>
      </c>
      <c r="W138" s="288">
        <f t="shared" si="74"/>
        <v>0</v>
      </c>
      <c r="X138" s="288">
        <f t="shared" si="75"/>
        <v>0</v>
      </c>
      <c r="Y138" s="288">
        <f t="shared" si="82"/>
        <v>3195.22</v>
      </c>
      <c r="Z138" s="288">
        <f t="shared" si="83"/>
        <v>92656.430000000008</v>
      </c>
      <c r="AA138" s="288">
        <f t="shared" si="84"/>
        <v>89911.190000000017</v>
      </c>
      <c r="AB138" s="288">
        <f t="shared" si="58"/>
        <v>261718.57000000004</v>
      </c>
      <c r="AC138" s="410">
        <f t="shared" si="67"/>
        <v>78</v>
      </c>
      <c r="AD138" s="510">
        <f t="shared" si="68"/>
        <v>-988.49000000000888</v>
      </c>
      <c r="AE138" s="510">
        <f t="shared" si="76"/>
        <v>197995.08000000005</v>
      </c>
      <c r="AF138" s="510">
        <f t="shared" si="77"/>
        <v>197006.59000000003</v>
      </c>
      <c r="AG138" s="510">
        <f t="shared" si="69"/>
        <v>2813.1099999999997</v>
      </c>
      <c r="AH138" s="510">
        <f t="shared" si="70"/>
        <v>286545.92000000004</v>
      </c>
      <c r="AI138" s="510"/>
      <c r="AJ138" s="14">
        <f t="shared" si="85"/>
        <v>2813.1099999999997</v>
      </c>
      <c r="AK138" s="14">
        <f t="shared" si="86"/>
        <v>147795.60999999984</v>
      </c>
      <c r="AL138" s="510">
        <f>IF(R138&lt;=0,0,+(Profit!$B$4+AM137)*$AL$1/12)</f>
        <v>1139.0768280124951</v>
      </c>
      <c r="AM138" s="14">
        <f t="shared" si="71"/>
        <v>81769.808033010588</v>
      </c>
    </row>
    <row r="139" spans="1:39" x14ac:dyDescent="0.25">
      <c r="A139" s="499">
        <f t="shared" si="59"/>
        <v>48129</v>
      </c>
      <c r="B139" s="288">
        <f t="shared" si="60"/>
        <v>63723.49</v>
      </c>
      <c r="C139" s="14">
        <f t="shared" si="50"/>
        <v>382.11</v>
      </c>
      <c r="D139" s="14">
        <f t="shared" si="72"/>
        <v>182.97000000000003</v>
      </c>
      <c r="E139" s="14">
        <f t="shared" si="51"/>
        <v>199.14</v>
      </c>
      <c r="F139" s="288">
        <f t="shared" si="61"/>
        <v>19226.420000000009</v>
      </c>
      <c r="G139" s="288">
        <f t="shared" si="62"/>
        <v>28795.170000000006</v>
      </c>
      <c r="H139" s="288">
        <f t="shared" si="52"/>
        <v>63540.52</v>
      </c>
      <c r="I139" s="410">
        <f t="shared" si="53"/>
        <v>6</v>
      </c>
      <c r="J139" s="288">
        <f t="shared" si="63"/>
        <v>324131.12</v>
      </c>
      <c r="K139" s="288">
        <f t="shared" si="79"/>
        <v>2298.4699999999998</v>
      </c>
      <c r="L139" s="288">
        <f t="shared" si="73"/>
        <v>475.22999999999979</v>
      </c>
      <c r="M139" s="288">
        <f t="shared" si="80"/>
        <v>1823.24</v>
      </c>
      <c r="N139" s="288">
        <f t="shared" si="64"/>
        <v>30719.109999999986</v>
      </c>
      <c r="O139" s="288">
        <f t="shared" si="65"/>
        <v>153158.49000000005</v>
      </c>
      <c r="P139" s="288">
        <f t="shared" si="54"/>
        <v>323655.89</v>
      </c>
      <c r="Q139" s="499">
        <f t="shared" si="55"/>
        <v>48129</v>
      </c>
      <c r="R139" s="288">
        <f t="shared" si="78"/>
        <v>261718.57000000004</v>
      </c>
      <c r="S139" s="492">
        <f t="shared" si="66"/>
        <v>6.7500000000000004E-2</v>
      </c>
      <c r="T139" s="288">
        <f t="shared" si="56"/>
        <v>3195.22</v>
      </c>
      <c r="U139" s="288">
        <f t="shared" si="81"/>
        <v>1723.0499999999997</v>
      </c>
      <c r="V139" s="288">
        <f t="shared" si="57"/>
        <v>1472.17</v>
      </c>
      <c r="W139" s="288">
        <f t="shared" si="74"/>
        <v>0</v>
      </c>
      <c r="X139" s="288">
        <f t="shared" si="75"/>
        <v>0</v>
      </c>
      <c r="Y139" s="288">
        <f t="shared" si="82"/>
        <v>3195.22</v>
      </c>
      <c r="Z139" s="288">
        <f t="shared" si="83"/>
        <v>94379.48000000001</v>
      </c>
      <c r="AA139" s="288">
        <f t="shared" si="84"/>
        <v>91383.360000000015</v>
      </c>
      <c r="AB139" s="288">
        <f t="shared" si="58"/>
        <v>259995.52000000005</v>
      </c>
      <c r="AC139" s="410">
        <f t="shared" si="67"/>
        <v>79</v>
      </c>
      <c r="AD139" s="510">
        <f t="shared" si="68"/>
        <v>-1885.2400000000089</v>
      </c>
      <c r="AE139" s="510">
        <f t="shared" si="76"/>
        <v>196455.00000000006</v>
      </c>
      <c r="AF139" s="510">
        <f t="shared" si="77"/>
        <v>194569.76000000004</v>
      </c>
      <c r="AG139" s="510">
        <f t="shared" si="69"/>
        <v>2813.1099999999997</v>
      </c>
      <c r="AH139" s="510">
        <f t="shared" si="70"/>
        <v>285005.83999999997</v>
      </c>
      <c r="AI139" s="510"/>
      <c r="AJ139" s="14">
        <f t="shared" si="85"/>
        <v>2813.1099999999997</v>
      </c>
      <c r="AK139" s="14">
        <f t="shared" si="86"/>
        <v>150608.71999999983</v>
      </c>
      <c r="AL139" s="510">
        <f>IF(R139&lt;=0,0,+(Profit!$B$4+AM138)*$AL$1/12)</f>
        <v>1141.9245200825264</v>
      </c>
      <c r="AM139" s="14">
        <f t="shared" si="71"/>
        <v>82911.732553093112</v>
      </c>
    </row>
    <row r="140" spans="1:39" x14ac:dyDescent="0.25">
      <c r="A140" s="499">
        <f t="shared" si="59"/>
        <v>48159</v>
      </c>
      <c r="B140" s="288">
        <f t="shared" si="60"/>
        <v>63540.52</v>
      </c>
      <c r="C140" s="14">
        <f t="shared" si="50"/>
        <v>382.11</v>
      </c>
      <c r="D140" s="14">
        <f t="shared" si="72"/>
        <v>183.55</v>
      </c>
      <c r="E140" s="14">
        <f t="shared" si="51"/>
        <v>198.56</v>
      </c>
      <c r="F140" s="288">
        <f t="shared" si="61"/>
        <v>19409.970000000008</v>
      </c>
      <c r="G140" s="288">
        <f t="shared" si="62"/>
        <v>28993.730000000007</v>
      </c>
      <c r="H140" s="288">
        <f t="shared" si="52"/>
        <v>63356.969999999994</v>
      </c>
      <c r="I140" s="410">
        <f t="shared" si="53"/>
        <v>6</v>
      </c>
      <c r="J140" s="288">
        <f t="shared" si="63"/>
        <v>323655.89</v>
      </c>
      <c r="K140" s="288">
        <f t="shared" si="79"/>
        <v>2298.4699999999998</v>
      </c>
      <c r="L140" s="288">
        <f t="shared" si="73"/>
        <v>477.90999999999985</v>
      </c>
      <c r="M140" s="288">
        <f t="shared" si="80"/>
        <v>1820.56</v>
      </c>
      <c r="N140" s="288">
        <f t="shared" si="64"/>
        <v>31197.019999999986</v>
      </c>
      <c r="O140" s="288">
        <f t="shared" si="65"/>
        <v>154979.05000000005</v>
      </c>
      <c r="P140" s="288">
        <f t="shared" si="54"/>
        <v>323177.98000000004</v>
      </c>
      <c r="Q140" s="499">
        <f t="shared" si="55"/>
        <v>48159</v>
      </c>
      <c r="R140" s="288">
        <f t="shared" si="78"/>
        <v>259995.52000000005</v>
      </c>
      <c r="S140" s="492">
        <f t="shared" si="66"/>
        <v>6.7500000000000004E-2</v>
      </c>
      <c r="T140" s="288">
        <f t="shared" si="56"/>
        <v>3195.22</v>
      </c>
      <c r="U140" s="288">
        <f t="shared" si="81"/>
        <v>1732.7499999999998</v>
      </c>
      <c r="V140" s="288">
        <f t="shared" si="57"/>
        <v>1462.47</v>
      </c>
      <c r="W140" s="288">
        <f t="shared" si="74"/>
        <v>0</v>
      </c>
      <c r="X140" s="288">
        <f t="shared" si="75"/>
        <v>0</v>
      </c>
      <c r="Y140" s="288">
        <f t="shared" si="82"/>
        <v>3195.22</v>
      </c>
      <c r="Z140" s="288">
        <f t="shared" si="83"/>
        <v>96112.23000000001</v>
      </c>
      <c r="AA140" s="288">
        <f t="shared" si="84"/>
        <v>92845.830000000016</v>
      </c>
      <c r="AB140" s="288">
        <f t="shared" si="58"/>
        <v>258262.77000000005</v>
      </c>
      <c r="AC140" s="410">
        <f t="shared" si="67"/>
        <v>80</v>
      </c>
      <c r="AD140" s="510">
        <f t="shared" si="68"/>
        <v>-2781.9900000000089</v>
      </c>
      <c r="AE140" s="510">
        <f t="shared" si="76"/>
        <v>194905.80000000005</v>
      </c>
      <c r="AF140" s="510">
        <f t="shared" si="77"/>
        <v>192123.81000000003</v>
      </c>
      <c r="AG140" s="510">
        <f t="shared" si="69"/>
        <v>2813.1099999999997</v>
      </c>
      <c r="AH140" s="510">
        <f t="shared" si="70"/>
        <v>283456.64000000001</v>
      </c>
      <c r="AI140" s="510"/>
      <c r="AJ140" s="14">
        <f t="shared" si="85"/>
        <v>2813.1099999999997</v>
      </c>
      <c r="AK140" s="14">
        <f t="shared" si="86"/>
        <v>153421.82999999981</v>
      </c>
      <c r="AL140" s="510">
        <f>IF(R140&lt;=0,0,+(Profit!$B$4+AM139)*$AL$1/12)</f>
        <v>1144.7793313827326</v>
      </c>
      <c r="AM140" s="14">
        <f t="shared" si="71"/>
        <v>84056.51188447584</v>
      </c>
    </row>
    <row r="141" spans="1:39" x14ac:dyDescent="0.25">
      <c r="A141" s="499">
        <f t="shared" si="59"/>
        <v>48189</v>
      </c>
      <c r="B141" s="288">
        <f t="shared" si="60"/>
        <v>63356.969999999994</v>
      </c>
      <c r="C141" s="14">
        <f t="shared" si="50"/>
        <v>382.11</v>
      </c>
      <c r="D141" s="14">
        <f t="shared" si="72"/>
        <v>184.12</v>
      </c>
      <c r="E141" s="14">
        <f t="shared" si="51"/>
        <v>197.99</v>
      </c>
      <c r="F141" s="288">
        <f t="shared" si="61"/>
        <v>19594.090000000007</v>
      </c>
      <c r="G141" s="288">
        <f t="shared" si="62"/>
        <v>29191.720000000008</v>
      </c>
      <c r="H141" s="288">
        <f t="shared" si="52"/>
        <v>63172.849999999991</v>
      </c>
      <c r="I141" s="410">
        <f t="shared" si="53"/>
        <v>6</v>
      </c>
      <c r="J141" s="288">
        <f t="shared" si="63"/>
        <v>323177.98000000004</v>
      </c>
      <c r="K141" s="288">
        <f t="shared" si="79"/>
        <v>2298.4699999999998</v>
      </c>
      <c r="L141" s="288">
        <f t="shared" si="73"/>
        <v>480.58999999999969</v>
      </c>
      <c r="M141" s="288">
        <f t="shared" si="80"/>
        <v>1817.88</v>
      </c>
      <c r="N141" s="288">
        <f t="shared" si="64"/>
        <v>31677.609999999986</v>
      </c>
      <c r="O141" s="288">
        <f t="shared" si="65"/>
        <v>156796.93000000005</v>
      </c>
      <c r="P141" s="288">
        <f t="shared" si="54"/>
        <v>322697.39</v>
      </c>
      <c r="Q141" s="499">
        <f t="shared" si="55"/>
        <v>48189</v>
      </c>
      <c r="R141" s="288">
        <f t="shared" si="78"/>
        <v>258262.77000000005</v>
      </c>
      <c r="S141" s="492">
        <f t="shared" si="66"/>
        <v>6.7500000000000004E-2</v>
      </c>
      <c r="T141" s="288">
        <f t="shared" si="56"/>
        <v>3195.22</v>
      </c>
      <c r="U141" s="288">
        <f t="shared" si="81"/>
        <v>1742.4899999999998</v>
      </c>
      <c r="V141" s="288">
        <f t="shared" si="57"/>
        <v>1452.73</v>
      </c>
      <c r="W141" s="288">
        <f t="shared" si="74"/>
        <v>0</v>
      </c>
      <c r="X141" s="288">
        <f t="shared" si="75"/>
        <v>0</v>
      </c>
      <c r="Y141" s="288">
        <f t="shared" si="82"/>
        <v>3195.22</v>
      </c>
      <c r="Z141" s="288">
        <f t="shared" si="83"/>
        <v>97854.720000000016</v>
      </c>
      <c r="AA141" s="288">
        <f t="shared" si="84"/>
        <v>94298.560000000012</v>
      </c>
      <c r="AB141" s="288">
        <f t="shared" si="58"/>
        <v>256520.28000000006</v>
      </c>
      <c r="AC141" s="410">
        <f t="shared" si="67"/>
        <v>81</v>
      </c>
      <c r="AD141" s="510">
        <f t="shared" si="68"/>
        <v>-3678.7400000000089</v>
      </c>
      <c r="AE141" s="510">
        <f t="shared" si="76"/>
        <v>193347.43000000005</v>
      </c>
      <c r="AF141" s="510">
        <f t="shared" si="77"/>
        <v>189668.69000000003</v>
      </c>
      <c r="AG141" s="510">
        <f t="shared" si="69"/>
        <v>2813.1099999999997</v>
      </c>
      <c r="AH141" s="510">
        <f t="shared" si="70"/>
        <v>281898.27</v>
      </c>
      <c r="AI141" s="510"/>
      <c r="AJ141" s="14">
        <f t="shared" si="85"/>
        <v>2813.1099999999997</v>
      </c>
      <c r="AK141" s="14">
        <f t="shared" si="86"/>
        <v>156234.9399999998</v>
      </c>
      <c r="AL141" s="510">
        <f>IF(R141&lt;=0,0,+(Profit!$B$4+AM140)*$AL$1/12)</f>
        <v>1147.6412797111896</v>
      </c>
      <c r="AM141" s="14">
        <f t="shared" si="71"/>
        <v>85204.153164187024</v>
      </c>
    </row>
    <row r="142" spans="1:39" x14ac:dyDescent="0.25">
      <c r="A142" s="499">
        <f t="shared" si="59"/>
        <v>48219</v>
      </c>
      <c r="B142" s="288">
        <f t="shared" si="60"/>
        <v>63172.849999999991</v>
      </c>
      <c r="C142" s="14">
        <f t="shared" si="50"/>
        <v>382.11</v>
      </c>
      <c r="D142" s="14">
        <f t="shared" si="72"/>
        <v>184.69000000000003</v>
      </c>
      <c r="E142" s="14">
        <f t="shared" si="51"/>
        <v>197.42</v>
      </c>
      <c r="F142" s="288">
        <f t="shared" si="61"/>
        <v>19778.780000000006</v>
      </c>
      <c r="G142" s="288">
        <f t="shared" si="62"/>
        <v>29389.140000000007</v>
      </c>
      <c r="H142" s="288">
        <f t="shared" si="52"/>
        <v>62988.159999999989</v>
      </c>
      <c r="I142" s="410">
        <f t="shared" si="53"/>
        <v>6</v>
      </c>
      <c r="J142" s="288">
        <f t="shared" si="63"/>
        <v>322697.39</v>
      </c>
      <c r="K142" s="288">
        <f t="shared" si="79"/>
        <v>2298.4699999999998</v>
      </c>
      <c r="L142" s="288">
        <f t="shared" si="73"/>
        <v>483.29999999999973</v>
      </c>
      <c r="M142" s="288">
        <f t="shared" si="80"/>
        <v>1815.17</v>
      </c>
      <c r="N142" s="288">
        <f t="shared" si="64"/>
        <v>32160.909999999985</v>
      </c>
      <c r="O142" s="288">
        <f t="shared" si="65"/>
        <v>158612.10000000006</v>
      </c>
      <c r="P142" s="288">
        <f t="shared" si="54"/>
        <v>322214.09000000003</v>
      </c>
      <c r="Q142" s="499">
        <f t="shared" si="55"/>
        <v>48219</v>
      </c>
      <c r="R142" s="288">
        <f t="shared" si="78"/>
        <v>256520.28000000006</v>
      </c>
      <c r="S142" s="492">
        <f t="shared" si="66"/>
        <v>6.7500000000000004E-2</v>
      </c>
      <c r="T142" s="288">
        <f t="shared" si="56"/>
        <v>3195.22</v>
      </c>
      <c r="U142" s="288">
        <f t="shared" si="81"/>
        <v>1752.2899999999997</v>
      </c>
      <c r="V142" s="288">
        <f t="shared" si="57"/>
        <v>1442.93</v>
      </c>
      <c r="W142" s="288">
        <f t="shared" si="74"/>
        <v>0</v>
      </c>
      <c r="X142" s="288">
        <f t="shared" si="75"/>
        <v>0</v>
      </c>
      <c r="Y142" s="288">
        <f t="shared" si="82"/>
        <v>3195.22</v>
      </c>
      <c r="Z142" s="288">
        <f t="shared" si="83"/>
        <v>99607.010000000009</v>
      </c>
      <c r="AA142" s="288">
        <f t="shared" si="84"/>
        <v>95741.49</v>
      </c>
      <c r="AB142" s="288">
        <f t="shared" si="58"/>
        <v>254767.99000000005</v>
      </c>
      <c r="AC142" s="410">
        <f t="shared" si="67"/>
        <v>82</v>
      </c>
      <c r="AD142" s="510">
        <f t="shared" si="68"/>
        <v>-4575.4900000000089</v>
      </c>
      <c r="AE142" s="510">
        <f t="shared" si="76"/>
        <v>191779.83000000007</v>
      </c>
      <c r="AF142" s="510">
        <f t="shared" si="77"/>
        <v>187204.34000000005</v>
      </c>
      <c r="AG142" s="510">
        <f t="shared" si="69"/>
        <v>2813.1099999999997</v>
      </c>
      <c r="AH142" s="510">
        <f t="shared" si="70"/>
        <v>280330.67000000004</v>
      </c>
      <c r="AI142" s="510"/>
      <c r="AJ142" s="14">
        <f t="shared" si="85"/>
        <v>2813.1099999999997</v>
      </c>
      <c r="AK142" s="14">
        <f t="shared" si="86"/>
        <v>159048.04999999978</v>
      </c>
      <c r="AL142" s="510">
        <f>IF(R142&lt;=0,0,+(Profit!$B$4+AM141)*$AL$1/12)</f>
        <v>1150.5103829104676</v>
      </c>
      <c r="AM142" s="14">
        <f t="shared" si="71"/>
        <v>86354.663547097487</v>
      </c>
    </row>
    <row r="143" spans="1:39" x14ac:dyDescent="0.25">
      <c r="A143" s="499">
        <f t="shared" si="59"/>
        <v>48249</v>
      </c>
      <c r="B143" s="288">
        <f t="shared" si="60"/>
        <v>62988.159999999989</v>
      </c>
      <c r="C143" s="14">
        <f t="shared" ref="C143:C206" si="87">IF(+$H142&lt;=0,0,$C$5)</f>
        <v>382.11</v>
      </c>
      <c r="D143" s="14">
        <f t="shared" si="72"/>
        <v>185.27</v>
      </c>
      <c r="E143" s="14">
        <f t="shared" ref="E143:E206" si="88">ROUND($B143*($C$3/12), 2)</f>
        <v>196.84</v>
      </c>
      <c r="F143" s="288">
        <f t="shared" si="61"/>
        <v>19964.050000000007</v>
      </c>
      <c r="G143" s="288">
        <f t="shared" si="62"/>
        <v>29585.980000000007</v>
      </c>
      <c r="H143" s="288">
        <f t="shared" ref="H143:H206" si="89">+B143-D143</f>
        <v>62802.889999999992</v>
      </c>
      <c r="I143" s="410">
        <f t="shared" ref="I143:I206" si="90">IF(MOD(AC143,12)=0,AC143/12,I142)</f>
        <v>6</v>
      </c>
      <c r="J143" s="288">
        <f t="shared" si="63"/>
        <v>322214.09000000003</v>
      </c>
      <c r="K143" s="288">
        <f t="shared" si="79"/>
        <v>2298.4699999999998</v>
      </c>
      <c r="L143" s="288">
        <f t="shared" si="73"/>
        <v>486.01999999999975</v>
      </c>
      <c r="M143" s="288">
        <f t="shared" si="80"/>
        <v>1812.45</v>
      </c>
      <c r="N143" s="288">
        <f t="shared" si="64"/>
        <v>32646.929999999986</v>
      </c>
      <c r="O143" s="288">
        <f t="shared" si="65"/>
        <v>160424.55000000008</v>
      </c>
      <c r="P143" s="288">
        <f t="shared" ref="P143:P206" si="91">+J143-L143</f>
        <v>321728.07</v>
      </c>
      <c r="Q143" s="499">
        <f t="shared" ref="Q143:Q206" si="92">+A143</f>
        <v>48249</v>
      </c>
      <c r="R143" s="288">
        <f t="shared" si="78"/>
        <v>254767.99000000005</v>
      </c>
      <c r="S143" s="492">
        <f t="shared" si="66"/>
        <v>6.7500000000000004E-2</v>
      </c>
      <c r="T143" s="288">
        <f t="shared" ref="T143:T206" si="93">IF($J$10&lt;=$A143,IF(+AB142&lt;=0,0,IF(S143=$T$9,$S$9,$S$10)),0)</f>
        <v>3195.22</v>
      </c>
      <c r="U143" s="288">
        <f t="shared" si="81"/>
        <v>1762.1499999999999</v>
      </c>
      <c r="V143" s="288">
        <f t="shared" ref="V143:V206" si="94">IF($J$10&lt;=$A143,ROUND(R143*(S143/12),2),0)</f>
        <v>1433.07</v>
      </c>
      <c r="W143" s="288">
        <f t="shared" si="74"/>
        <v>0</v>
      </c>
      <c r="X143" s="288">
        <f t="shared" si="75"/>
        <v>0</v>
      </c>
      <c r="Y143" s="288">
        <f t="shared" si="82"/>
        <v>3195.22</v>
      </c>
      <c r="Z143" s="288">
        <f t="shared" si="83"/>
        <v>101369.16</v>
      </c>
      <c r="AA143" s="288">
        <f t="shared" si="84"/>
        <v>97174.560000000012</v>
      </c>
      <c r="AB143" s="288">
        <f t="shared" ref="AB143:AB206" si="95">IF(Q143&lt;$J$10,$J$6,+R143-U143)</f>
        <v>253005.84000000005</v>
      </c>
      <c r="AC143" s="410">
        <f t="shared" si="67"/>
        <v>83</v>
      </c>
      <c r="AD143" s="510">
        <f t="shared" si="68"/>
        <v>-5472.2400000000089</v>
      </c>
      <c r="AE143" s="510">
        <f t="shared" si="76"/>
        <v>190202.95000000007</v>
      </c>
      <c r="AF143" s="510">
        <f t="shared" si="77"/>
        <v>184730.71000000005</v>
      </c>
      <c r="AG143" s="510">
        <f t="shared" si="69"/>
        <v>2813.1099999999997</v>
      </c>
      <c r="AH143" s="510">
        <f t="shared" si="70"/>
        <v>278753.79000000004</v>
      </c>
      <c r="AI143" s="510"/>
      <c r="AJ143" s="14">
        <f t="shared" si="85"/>
        <v>2813.1099999999997</v>
      </c>
      <c r="AK143" s="14">
        <f t="shared" si="86"/>
        <v>161861.15999999977</v>
      </c>
      <c r="AL143" s="510">
        <f>IF(R143&lt;=0,0,+(Profit!$B$4+AM142)*$AL$1/12)</f>
        <v>1153.3866588677436</v>
      </c>
      <c r="AM143" s="14">
        <f t="shared" si="71"/>
        <v>87508.050205965235</v>
      </c>
    </row>
    <row r="144" spans="1:39" x14ac:dyDescent="0.25">
      <c r="A144" s="499">
        <f t="shared" ref="A144:A207" si="96">IF(H144&lt;=0," ",+A143+30)</f>
        <v>48279</v>
      </c>
      <c r="B144" s="288">
        <f t="shared" ref="B144:B207" si="97">IF(+H143&lt;0,0,+H143)</f>
        <v>62802.889999999992</v>
      </c>
      <c r="C144" s="14">
        <f t="shared" si="87"/>
        <v>382.11</v>
      </c>
      <c r="D144" s="14">
        <f t="shared" si="72"/>
        <v>185.85000000000002</v>
      </c>
      <c r="E144" s="14">
        <f t="shared" si="88"/>
        <v>196.26</v>
      </c>
      <c r="F144" s="288">
        <f t="shared" ref="F144:F207" si="98">$D144+$F143</f>
        <v>20149.900000000005</v>
      </c>
      <c r="G144" s="288">
        <f t="shared" ref="G144:G207" si="99">$E144+$G143</f>
        <v>29782.240000000005</v>
      </c>
      <c r="H144" s="288">
        <f t="shared" si="89"/>
        <v>62617.039999999994</v>
      </c>
      <c r="I144" s="410">
        <f t="shared" si="90"/>
        <v>7</v>
      </c>
      <c r="J144" s="288">
        <f t="shared" ref="J144:J207" si="100">IF(+P143&lt;0,0,+P143)</f>
        <v>321728.07</v>
      </c>
      <c r="K144" s="288">
        <f t="shared" si="79"/>
        <v>2298.4699999999998</v>
      </c>
      <c r="L144" s="288">
        <f t="shared" si="73"/>
        <v>488.74999999999977</v>
      </c>
      <c r="M144" s="288">
        <f t="shared" si="80"/>
        <v>1809.72</v>
      </c>
      <c r="N144" s="288">
        <f t="shared" ref="N144:N207" si="101">+L144+N143</f>
        <v>33135.679999999986</v>
      </c>
      <c r="O144" s="288">
        <f t="shared" ref="O144:O207" si="102">+O143+M144</f>
        <v>162234.27000000008</v>
      </c>
      <c r="P144" s="288">
        <f t="shared" si="91"/>
        <v>321239.32</v>
      </c>
      <c r="Q144" s="499">
        <f t="shared" si="92"/>
        <v>48279</v>
      </c>
      <c r="R144" s="288">
        <f t="shared" si="78"/>
        <v>253005.84000000005</v>
      </c>
      <c r="S144" s="492">
        <f t="shared" ref="S144:S207" si="103">IF(AC144&gt;60,$T$10,$T$9)</f>
        <v>6.7500000000000004E-2</v>
      </c>
      <c r="T144" s="288">
        <f t="shared" si="93"/>
        <v>3195.22</v>
      </c>
      <c r="U144" s="288">
        <f t="shared" si="81"/>
        <v>1772.0599999999997</v>
      </c>
      <c r="V144" s="288">
        <f t="shared" si="94"/>
        <v>1423.16</v>
      </c>
      <c r="W144" s="288">
        <f t="shared" si="74"/>
        <v>0</v>
      </c>
      <c r="X144" s="288">
        <f t="shared" si="75"/>
        <v>0</v>
      </c>
      <c r="Y144" s="288">
        <f t="shared" si="82"/>
        <v>3195.22</v>
      </c>
      <c r="Z144" s="288">
        <f t="shared" si="83"/>
        <v>103141.22</v>
      </c>
      <c r="AA144" s="288">
        <f t="shared" si="84"/>
        <v>98597.720000000016</v>
      </c>
      <c r="AB144" s="288">
        <f t="shared" si="95"/>
        <v>251233.78000000006</v>
      </c>
      <c r="AC144" s="410">
        <f t="shared" ref="AC144:AC207" si="104">IF(J144&lt;&gt;"",IF(J144=$J$6,0,+AC143+1),0)</f>
        <v>84</v>
      </c>
      <c r="AD144" s="510">
        <f t="shared" ref="AD144:AD207" si="105">K144-T144+AD143</f>
        <v>-6368.9900000000089</v>
      </c>
      <c r="AE144" s="510">
        <f t="shared" si="76"/>
        <v>188616.74000000005</v>
      </c>
      <c r="AF144" s="510">
        <f t="shared" si="77"/>
        <v>182247.75000000003</v>
      </c>
      <c r="AG144" s="510">
        <f t="shared" ref="AG144:AG207" si="106">IF(Q144&lt;=$C$10,0,+T144-$C144)</f>
        <v>2813.1099999999997</v>
      </c>
      <c r="AH144" s="510">
        <f t="shared" ref="AH144:AH207" si="107">IF(P144&lt;=0,0,+$T$5-$C$2+F144-Z144)</f>
        <v>277167.58000000007</v>
      </c>
      <c r="AI144" s="510"/>
      <c r="AJ144" s="14">
        <f t="shared" si="85"/>
        <v>2813.1099999999997</v>
      </c>
      <c r="AK144" s="14">
        <f t="shared" si="86"/>
        <v>164674.26999999976</v>
      </c>
      <c r="AL144" s="510">
        <f>IF(R144&lt;=0,0,+(Profit!$B$4+AM143)*$AL$1/12)</f>
        <v>1156.2701255149129</v>
      </c>
      <c r="AM144" s="14">
        <f t="shared" ref="AM144:AM207" si="108">IF(P144&lt;=0,0,+AM143+AL144)</f>
        <v>88664.32033148015</v>
      </c>
    </row>
    <row r="145" spans="1:39" x14ac:dyDescent="0.25">
      <c r="A145" s="499">
        <f t="shared" si="96"/>
        <v>48309</v>
      </c>
      <c r="B145" s="288">
        <f t="shared" si="97"/>
        <v>62617.039999999994</v>
      </c>
      <c r="C145" s="14">
        <f t="shared" si="87"/>
        <v>382.11</v>
      </c>
      <c r="D145" s="14">
        <f t="shared" ref="D145:D208" si="109">+C145-E145</f>
        <v>186.43</v>
      </c>
      <c r="E145" s="14">
        <f t="shared" si="88"/>
        <v>195.68</v>
      </c>
      <c r="F145" s="288">
        <f t="shared" si="98"/>
        <v>20336.330000000005</v>
      </c>
      <c r="G145" s="288">
        <f t="shared" si="99"/>
        <v>29977.920000000006</v>
      </c>
      <c r="H145" s="288">
        <f t="shared" si="89"/>
        <v>62430.609999999993</v>
      </c>
      <c r="I145" s="410">
        <f t="shared" si="90"/>
        <v>7</v>
      </c>
      <c r="J145" s="288">
        <f t="shared" si="100"/>
        <v>321239.32</v>
      </c>
      <c r="K145" s="288">
        <f t="shared" si="79"/>
        <v>2298.4699999999998</v>
      </c>
      <c r="L145" s="288">
        <f t="shared" ref="L145:L208" si="110">+K145-M145</f>
        <v>491.49999999999977</v>
      </c>
      <c r="M145" s="288">
        <f t="shared" si="80"/>
        <v>1806.97</v>
      </c>
      <c r="N145" s="288">
        <f t="shared" si="101"/>
        <v>33627.179999999986</v>
      </c>
      <c r="O145" s="288">
        <f t="shared" si="102"/>
        <v>164041.24000000008</v>
      </c>
      <c r="P145" s="288">
        <f t="shared" si="91"/>
        <v>320747.82</v>
      </c>
      <c r="Q145" s="499">
        <f t="shared" si="92"/>
        <v>48309</v>
      </c>
      <c r="R145" s="288">
        <f t="shared" si="78"/>
        <v>251233.78000000006</v>
      </c>
      <c r="S145" s="492">
        <f t="shared" si="103"/>
        <v>6.7500000000000004E-2</v>
      </c>
      <c r="T145" s="288">
        <f t="shared" si="93"/>
        <v>3195.22</v>
      </c>
      <c r="U145" s="288">
        <f t="shared" si="81"/>
        <v>1782.0299999999997</v>
      </c>
      <c r="V145" s="288">
        <f t="shared" si="94"/>
        <v>1413.19</v>
      </c>
      <c r="W145" s="288">
        <f t="shared" si="74"/>
        <v>0</v>
      </c>
      <c r="X145" s="288">
        <f t="shared" si="75"/>
        <v>0</v>
      </c>
      <c r="Y145" s="288">
        <f t="shared" si="82"/>
        <v>3195.22</v>
      </c>
      <c r="Z145" s="288">
        <f t="shared" si="83"/>
        <v>104923.25</v>
      </c>
      <c r="AA145" s="288">
        <f t="shared" si="84"/>
        <v>100010.91000000002</v>
      </c>
      <c r="AB145" s="288">
        <f t="shared" si="95"/>
        <v>249451.75000000006</v>
      </c>
      <c r="AC145" s="410">
        <f t="shared" si="104"/>
        <v>85</v>
      </c>
      <c r="AD145" s="510">
        <f t="shared" si="105"/>
        <v>-7265.7400000000089</v>
      </c>
      <c r="AE145" s="510">
        <f t="shared" si="76"/>
        <v>187021.14000000007</v>
      </c>
      <c r="AF145" s="510">
        <f t="shared" si="77"/>
        <v>179755.40000000005</v>
      </c>
      <c r="AG145" s="510">
        <f t="shared" si="106"/>
        <v>2813.1099999999997</v>
      </c>
      <c r="AH145" s="510">
        <f t="shared" si="107"/>
        <v>275571.98000000004</v>
      </c>
      <c r="AI145" s="510"/>
      <c r="AJ145" s="14">
        <f t="shared" si="85"/>
        <v>2813.1099999999997</v>
      </c>
      <c r="AK145" s="14">
        <f t="shared" si="86"/>
        <v>167487.37999999974</v>
      </c>
      <c r="AL145" s="510">
        <f>IF(R145&lt;=0,0,+(Profit!$B$4+AM144)*$AL$1/12)</f>
        <v>1159.1608008287003</v>
      </c>
      <c r="AM145" s="14">
        <f t="shared" si="108"/>
        <v>89823.481132308851</v>
      </c>
    </row>
    <row r="146" spans="1:39" ht="15.75" thickBot="1" x14ac:dyDescent="0.3">
      <c r="A146" s="502">
        <f t="shared" si="96"/>
        <v>48339</v>
      </c>
      <c r="B146" s="343">
        <f t="shared" si="97"/>
        <v>62430.609999999993</v>
      </c>
      <c r="C146" s="21">
        <f t="shared" si="87"/>
        <v>382.11</v>
      </c>
      <c r="D146" s="21">
        <f t="shared" si="109"/>
        <v>187.01000000000002</v>
      </c>
      <c r="E146" s="21">
        <f t="shared" si="88"/>
        <v>195.1</v>
      </c>
      <c r="F146" s="343">
        <f t="shared" si="98"/>
        <v>20523.340000000004</v>
      </c>
      <c r="G146" s="343">
        <f t="shared" si="99"/>
        <v>30173.020000000004</v>
      </c>
      <c r="H146" s="343">
        <f t="shared" si="89"/>
        <v>62243.599999999991</v>
      </c>
      <c r="I146" s="411">
        <f t="shared" si="90"/>
        <v>7</v>
      </c>
      <c r="J146" s="343">
        <f t="shared" si="100"/>
        <v>320747.82</v>
      </c>
      <c r="K146" s="343">
        <f t="shared" si="79"/>
        <v>2298.4699999999998</v>
      </c>
      <c r="L146" s="343">
        <f t="shared" si="110"/>
        <v>494.25999999999976</v>
      </c>
      <c r="M146" s="343">
        <f t="shared" si="80"/>
        <v>1804.21</v>
      </c>
      <c r="N146" s="343">
        <f t="shared" si="101"/>
        <v>34121.439999999988</v>
      </c>
      <c r="O146" s="343">
        <f t="shared" si="102"/>
        <v>165845.45000000007</v>
      </c>
      <c r="P146" s="343">
        <f t="shared" si="91"/>
        <v>320253.56</v>
      </c>
      <c r="Q146" s="502">
        <f t="shared" si="92"/>
        <v>48339</v>
      </c>
      <c r="R146" s="343">
        <f t="shared" si="78"/>
        <v>249451.75000000006</v>
      </c>
      <c r="S146" s="493">
        <f t="shared" si="103"/>
        <v>6.7500000000000004E-2</v>
      </c>
      <c r="T146" s="343">
        <f t="shared" si="93"/>
        <v>3195.22</v>
      </c>
      <c r="U146" s="343">
        <f t="shared" si="81"/>
        <v>1792.0499999999997</v>
      </c>
      <c r="V146" s="343">
        <f t="shared" si="94"/>
        <v>1403.17</v>
      </c>
      <c r="W146" s="343">
        <f t="shared" si="74"/>
        <v>0</v>
      </c>
      <c r="X146" s="343">
        <f t="shared" si="75"/>
        <v>0</v>
      </c>
      <c r="Y146" s="343">
        <f t="shared" si="82"/>
        <v>3195.22</v>
      </c>
      <c r="Z146" s="343">
        <f t="shared" si="83"/>
        <v>106715.3</v>
      </c>
      <c r="AA146" s="343">
        <f t="shared" si="84"/>
        <v>101414.08000000002</v>
      </c>
      <c r="AB146" s="343">
        <f t="shared" si="95"/>
        <v>247659.70000000007</v>
      </c>
      <c r="AC146" s="411">
        <f t="shared" si="104"/>
        <v>86</v>
      </c>
      <c r="AD146" s="511">
        <f t="shared" si="105"/>
        <v>-8162.4900000000089</v>
      </c>
      <c r="AE146" s="511">
        <f t="shared" si="76"/>
        <v>185416.10000000009</v>
      </c>
      <c r="AF146" s="511">
        <f t="shared" si="77"/>
        <v>177253.61000000007</v>
      </c>
      <c r="AG146" s="511">
        <f t="shared" si="106"/>
        <v>2813.1099999999997</v>
      </c>
      <c r="AH146" s="511">
        <f t="shared" si="107"/>
        <v>273966.94000000006</v>
      </c>
      <c r="AI146" s="511"/>
      <c r="AJ146" s="21">
        <f t="shared" si="85"/>
        <v>2813.1099999999997</v>
      </c>
      <c r="AK146" s="21">
        <f t="shared" si="86"/>
        <v>170300.48999999973</v>
      </c>
      <c r="AL146" s="511">
        <f>IF(R146&lt;=0,0,+(Profit!$B$4+AM145)*$AL$1/12)</f>
        <v>1162.0587028307721</v>
      </c>
      <c r="AM146" s="21">
        <f t="shared" si="108"/>
        <v>90985.539835139629</v>
      </c>
    </row>
    <row r="147" spans="1:39" x14ac:dyDescent="0.25">
      <c r="A147" s="499">
        <f t="shared" si="96"/>
        <v>48369</v>
      </c>
      <c r="B147" s="288">
        <f t="shared" si="97"/>
        <v>62243.599999999991</v>
      </c>
      <c r="C147" s="14">
        <f t="shared" si="87"/>
        <v>382.11</v>
      </c>
      <c r="D147" s="14">
        <f t="shared" si="109"/>
        <v>187.60000000000002</v>
      </c>
      <c r="E147" s="14">
        <f t="shared" si="88"/>
        <v>194.51</v>
      </c>
      <c r="F147" s="288">
        <f t="shared" si="98"/>
        <v>20710.940000000002</v>
      </c>
      <c r="G147" s="288">
        <f t="shared" si="99"/>
        <v>30367.530000000002</v>
      </c>
      <c r="H147" s="288">
        <f t="shared" si="89"/>
        <v>62055.999999999993</v>
      </c>
      <c r="I147" s="410">
        <f t="shared" si="90"/>
        <v>7</v>
      </c>
      <c r="J147" s="288">
        <f t="shared" si="100"/>
        <v>320253.56</v>
      </c>
      <c r="K147" s="288">
        <f t="shared" si="79"/>
        <v>2298.4699999999998</v>
      </c>
      <c r="L147" s="288">
        <f t="shared" si="110"/>
        <v>497.03999999999974</v>
      </c>
      <c r="M147" s="288">
        <f t="shared" si="80"/>
        <v>1801.43</v>
      </c>
      <c r="N147" s="288">
        <f t="shared" si="101"/>
        <v>34618.479999999989</v>
      </c>
      <c r="O147" s="288">
        <f t="shared" si="102"/>
        <v>167646.88000000006</v>
      </c>
      <c r="P147" s="288">
        <f t="shared" si="91"/>
        <v>319756.52</v>
      </c>
      <c r="Q147" s="499">
        <f t="shared" si="92"/>
        <v>48369</v>
      </c>
      <c r="R147" s="288">
        <f t="shared" si="78"/>
        <v>247659.70000000007</v>
      </c>
      <c r="S147" s="492">
        <f t="shared" si="103"/>
        <v>6.7500000000000004E-2</v>
      </c>
      <c r="T147" s="288">
        <f t="shared" si="93"/>
        <v>3195.22</v>
      </c>
      <c r="U147" s="288">
        <f t="shared" si="81"/>
        <v>1802.1299999999999</v>
      </c>
      <c r="V147" s="288">
        <f t="shared" si="94"/>
        <v>1393.09</v>
      </c>
      <c r="W147" s="288">
        <f t="shared" si="74"/>
        <v>0</v>
      </c>
      <c r="X147" s="288">
        <f t="shared" si="75"/>
        <v>0</v>
      </c>
      <c r="Y147" s="288">
        <f t="shared" si="82"/>
        <v>3195.22</v>
      </c>
      <c r="Z147" s="288">
        <f t="shared" si="83"/>
        <v>108517.43000000001</v>
      </c>
      <c r="AA147" s="288">
        <f t="shared" si="84"/>
        <v>102807.17000000001</v>
      </c>
      <c r="AB147" s="288">
        <f t="shared" si="95"/>
        <v>245857.57000000007</v>
      </c>
      <c r="AC147" s="410">
        <f t="shared" si="104"/>
        <v>87</v>
      </c>
      <c r="AD147" s="510">
        <f t="shared" si="105"/>
        <v>-9059.2400000000089</v>
      </c>
      <c r="AE147" s="510">
        <f t="shared" si="76"/>
        <v>183801.57000000007</v>
      </c>
      <c r="AF147" s="510">
        <f t="shared" si="77"/>
        <v>174742.33000000005</v>
      </c>
      <c r="AG147" s="510">
        <f t="shared" si="106"/>
        <v>2813.1099999999997</v>
      </c>
      <c r="AH147" s="510">
        <f t="shared" si="107"/>
        <v>272352.41000000003</v>
      </c>
      <c r="AI147" s="510"/>
      <c r="AJ147" s="14">
        <f t="shared" si="85"/>
        <v>2813.1099999999997</v>
      </c>
      <c r="AK147" s="14">
        <f t="shared" si="86"/>
        <v>173113.59999999971</v>
      </c>
      <c r="AL147" s="510">
        <f>IF(R147&lt;=0,0,+(Profit!$B$4+AM146)*$AL$1/12)</f>
        <v>1164.9638495878492</v>
      </c>
      <c r="AM147" s="14">
        <f t="shared" si="108"/>
        <v>92150.503684727475</v>
      </c>
    </row>
    <row r="148" spans="1:39" x14ac:dyDescent="0.25">
      <c r="A148" s="499">
        <f t="shared" si="96"/>
        <v>48399</v>
      </c>
      <c r="B148" s="288">
        <f t="shared" si="97"/>
        <v>62055.999999999993</v>
      </c>
      <c r="C148" s="14">
        <f t="shared" si="87"/>
        <v>382.11</v>
      </c>
      <c r="D148" s="14">
        <f t="shared" si="109"/>
        <v>188.18</v>
      </c>
      <c r="E148" s="14">
        <f t="shared" si="88"/>
        <v>193.93</v>
      </c>
      <c r="F148" s="288">
        <f t="shared" si="98"/>
        <v>20899.120000000003</v>
      </c>
      <c r="G148" s="288">
        <f t="shared" si="99"/>
        <v>30561.460000000003</v>
      </c>
      <c r="H148" s="288">
        <f t="shared" si="89"/>
        <v>61867.819999999992</v>
      </c>
      <c r="I148" s="410">
        <f t="shared" si="90"/>
        <v>7</v>
      </c>
      <c r="J148" s="288">
        <f t="shared" si="100"/>
        <v>319756.52</v>
      </c>
      <c r="K148" s="288">
        <f t="shared" si="79"/>
        <v>2298.4699999999998</v>
      </c>
      <c r="L148" s="288">
        <f t="shared" si="110"/>
        <v>499.83999999999969</v>
      </c>
      <c r="M148" s="288">
        <f t="shared" si="80"/>
        <v>1798.63</v>
      </c>
      <c r="N148" s="288">
        <f t="shared" si="101"/>
        <v>35118.319999999985</v>
      </c>
      <c r="O148" s="288">
        <f t="shared" si="102"/>
        <v>169445.51000000007</v>
      </c>
      <c r="P148" s="288">
        <f t="shared" si="91"/>
        <v>319256.68</v>
      </c>
      <c r="Q148" s="499">
        <f t="shared" si="92"/>
        <v>48399</v>
      </c>
      <c r="R148" s="288">
        <f t="shared" si="78"/>
        <v>245857.57000000007</v>
      </c>
      <c r="S148" s="492">
        <f t="shared" si="103"/>
        <v>6.7500000000000004E-2</v>
      </c>
      <c r="T148" s="288">
        <f t="shared" si="93"/>
        <v>3195.22</v>
      </c>
      <c r="U148" s="288">
        <f t="shared" si="81"/>
        <v>1812.2699999999998</v>
      </c>
      <c r="V148" s="288">
        <f t="shared" si="94"/>
        <v>1382.95</v>
      </c>
      <c r="W148" s="288">
        <f t="shared" si="74"/>
        <v>0</v>
      </c>
      <c r="X148" s="288">
        <f t="shared" si="75"/>
        <v>0</v>
      </c>
      <c r="Y148" s="288">
        <f t="shared" si="82"/>
        <v>3195.22</v>
      </c>
      <c r="Z148" s="288">
        <f t="shared" si="83"/>
        <v>110329.70000000001</v>
      </c>
      <c r="AA148" s="288">
        <f t="shared" si="84"/>
        <v>104190.12000000001</v>
      </c>
      <c r="AB148" s="288">
        <f t="shared" si="95"/>
        <v>244045.30000000008</v>
      </c>
      <c r="AC148" s="410">
        <f t="shared" si="104"/>
        <v>88</v>
      </c>
      <c r="AD148" s="510">
        <f t="shared" si="105"/>
        <v>-9955.9900000000089</v>
      </c>
      <c r="AE148" s="510">
        <f t="shared" si="76"/>
        <v>182177.4800000001</v>
      </c>
      <c r="AF148" s="510">
        <f t="shared" si="77"/>
        <v>172221.49000000008</v>
      </c>
      <c r="AG148" s="510">
        <f t="shared" si="106"/>
        <v>2813.1099999999997</v>
      </c>
      <c r="AH148" s="510">
        <f t="shared" si="107"/>
        <v>270728.32000000001</v>
      </c>
      <c r="AI148" s="510"/>
      <c r="AJ148" s="14">
        <f t="shared" si="85"/>
        <v>2813.1099999999997</v>
      </c>
      <c r="AK148" s="14">
        <f t="shared" si="86"/>
        <v>175926.7099999997</v>
      </c>
      <c r="AL148" s="510">
        <f>IF(R148&lt;=0,0,+(Profit!$B$4+AM147)*$AL$1/12)</f>
        <v>1167.8762592118187</v>
      </c>
      <c r="AM148" s="14">
        <f t="shared" si="108"/>
        <v>93318.37994393929</v>
      </c>
    </row>
    <row r="149" spans="1:39" x14ac:dyDescent="0.25">
      <c r="A149" s="499">
        <f t="shared" si="96"/>
        <v>48429</v>
      </c>
      <c r="B149" s="288">
        <f t="shared" si="97"/>
        <v>61867.819999999992</v>
      </c>
      <c r="C149" s="14">
        <f t="shared" si="87"/>
        <v>382.11</v>
      </c>
      <c r="D149" s="14">
        <f t="shared" si="109"/>
        <v>188.77</v>
      </c>
      <c r="E149" s="14">
        <f t="shared" si="88"/>
        <v>193.34</v>
      </c>
      <c r="F149" s="288">
        <f t="shared" si="98"/>
        <v>21087.890000000003</v>
      </c>
      <c r="G149" s="288">
        <f t="shared" si="99"/>
        <v>30754.800000000003</v>
      </c>
      <c r="H149" s="288">
        <f t="shared" si="89"/>
        <v>61679.049999999996</v>
      </c>
      <c r="I149" s="410">
        <f t="shared" si="90"/>
        <v>7</v>
      </c>
      <c r="J149" s="288">
        <f t="shared" si="100"/>
        <v>319256.68</v>
      </c>
      <c r="K149" s="288">
        <f t="shared" si="79"/>
        <v>2298.4699999999998</v>
      </c>
      <c r="L149" s="288">
        <f t="shared" si="110"/>
        <v>502.64999999999986</v>
      </c>
      <c r="M149" s="288">
        <f t="shared" si="80"/>
        <v>1795.82</v>
      </c>
      <c r="N149" s="288">
        <f t="shared" si="101"/>
        <v>35620.969999999987</v>
      </c>
      <c r="O149" s="288">
        <f t="shared" si="102"/>
        <v>171241.33000000007</v>
      </c>
      <c r="P149" s="288">
        <f t="shared" si="91"/>
        <v>318754.02999999997</v>
      </c>
      <c r="Q149" s="499">
        <f t="shared" si="92"/>
        <v>48429</v>
      </c>
      <c r="R149" s="288">
        <f t="shared" si="78"/>
        <v>244045.30000000008</v>
      </c>
      <c r="S149" s="492">
        <f t="shared" si="103"/>
        <v>6.7500000000000004E-2</v>
      </c>
      <c r="T149" s="288">
        <f t="shared" si="93"/>
        <v>3195.22</v>
      </c>
      <c r="U149" s="288">
        <f t="shared" si="81"/>
        <v>1822.4699999999998</v>
      </c>
      <c r="V149" s="288">
        <f t="shared" si="94"/>
        <v>1372.75</v>
      </c>
      <c r="W149" s="288">
        <f t="shared" si="74"/>
        <v>0</v>
      </c>
      <c r="X149" s="288">
        <f t="shared" si="75"/>
        <v>0</v>
      </c>
      <c r="Y149" s="288">
        <f t="shared" si="82"/>
        <v>3195.22</v>
      </c>
      <c r="Z149" s="288">
        <f t="shared" si="83"/>
        <v>112152.17000000001</v>
      </c>
      <c r="AA149" s="288">
        <f t="shared" si="84"/>
        <v>105562.87000000001</v>
      </c>
      <c r="AB149" s="288">
        <f t="shared" si="95"/>
        <v>242222.83000000007</v>
      </c>
      <c r="AC149" s="410">
        <f t="shared" si="104"/>
        <v>89</v>
      </c>
      <c r="AD149" s="510">
        <f t="shared" si="105"/>
        <v>-10852.740000000009</v>
      </c>
      <c r="AE149" s="510">
        <f t="shared" si="76"/>
        <v>180543.78000000009</v>
      </c>
      <c r="AF149" s="510">
        <f t="shared" si="77"/>
        <v>169691.04000000007</v>
      </c>
      <c r="AG149" s="510">
        <f t="shared" si="106"/>
        <v>2813.1099999999997</v>
      </c>
      <c r="AH149" s="510">
        <f t="shared" si="107"/>
        <v>269094.62</v>
      </c>
      <c r="AI149" s="510"/>
      <c r="AJ149" s="14">
        <f t="shared" si="85"/>
        <v>2813.1099999999997</v>
      </c>
      <c r="AK149" s="14">
        <f t="shared" si="86"/>
        <v>178739.81999999969</v>
      </c>
      <c r="AL149" s="510">
        <f>IF(R149&lt;=0,0,+(Profit!$B$4+AM148)*$AL$1/12)</f>
        <v>1170.7959498598482</v>
      </c>
      <c r="AM149" s="14">
        <f t="shared" si="108"/>
        <v>94489.17589379914</v>
      </c>
    </row>
    <row r="150" spans="1:39" x14ac:dyDescent="0.25">
      <c r="A150" s="499">
        <f t="shared" si="96"/>
        <v>48459</v>
      </c>
      <c r="B150" s="288">
        <f t="shared" si="97"/>
        <v>61679.049999999996</v>
      </c>
      <c r="C150" s="14">
        <f t="shared" si="87"/>
        <v>382.11</v>
      </c>
      <c r="D150" s="14">
        <f t="shared" si="109"/>
        <v>189.36</v>
      </c>
      <c r="E150" s="14">
        <f t="shared" si="88"/>
        <v>192.75</v>
      </c>
      <c r="F150" s="288">
        <f t="shared" si="98"/>
        <v>21277.250000000004</v>
      </c>
      <c r="G150" s="288">
        <f t="shared" si="99"/>
        <v>30947.550000000003</v>
      </c>
      <c r="H150" s="288">
        <f t="shared" si="89"/>
        <v>61489.689999999995</v>
      </c>
      <c r="I150" s="410">
        <f t="shared" si="90"/>
        <v>7</v>
      </c>
      <c r="J150" s="288">
        <f t="shared" si="100"/>
        <v>318754.02999999997</v>
      </c>
      <c r="K150" s="288">
        <f t="shared" si="79"/>
        <v>2298.4699999999998</v>
      </c>
      <c r="L150" s="288">
        <f t="shared" si="110"/>
        <v>505.47999999999979</v>
      </c>
      <c r="M150" s="288">
        <f t="shared" si="80"/>
        <v>1792.99</v>
      </c>
      <c r="N150" s="288">
        <f t="shared" si="101"/>
        <v>36126.44999999999</v>
      </c>
      <c r="O150" s="288">
        <f t="shared" si="102"/>
        <v>173034.32000000007</v>
      </c>
      <c r="P150" s="288">
        <f t="shared" si="91"/>
        <v>318248.55</v>
      </c>
      <c r="Q150" s="499">
        <f t="shared" si="92"/>
        <v>48459</v>
      </c>
      <c r="R150" s="288">
        <f t="shared" si="78"/>
        <v>242222.83000000007</v>
      </c>
      <c r="S150" s="492">
        <f t="shared" si="103"/>
        <v>6.7500000000000004E-2</v>
      </c>
      <c r="T150" s="288">
        <f t="shared" si="93"/>
        <v>3195.22</v>
      </c>
      <c r="U150" s="288">
        <f t="shared" si="81"/>
        <v>1832.7199999999998</v>
      </c>
      <c r="V150" s="288">
        <f t="shared" si="94"/>
        <v>1362.5</v>
      </c>
      <c r="W150" s="288">
        <f t="shared" si="74"/>
        <v>0</v>
      </c>
      <c r="X150" s="288">
        <f t="shared" si="75"/>
        <v>0</v>
      </c>
      <c r="Y150" s="288">
        <f t="shared" si="82"/>
        <v>3195.22</v>
      </c>
      <c r="Z150" s="288">
        <f t="shared" si="83"/>
        <v>113984.89000000001</v>
      </c>
      <c r="AA150" s="288">
        <f t="shared" si="84"/>
        <v>106925.37000000001</v>
      </c>
      <c r="AB150" s="288">
        <f t="shared" si="95"/>
        <v>240390.11000000007</v>
      </c>
      <c r="AC150" s="410">
        <f t="shared" si="104"/>
        <v>90</v>
      </c>
      <c r="AD150" s="510">
        <f t="shared" si="105"/>
        <v>-11749.490000000009</v>
      </c>
      <c r="AE150" s="510">
        <f t="shared" si="76"/>
        <v>178900.42000000007</v>
      </c>
      <c r="AF150" s="510">
        <f t="shared" si="77"/>
        <v>167150.93000000005</v>
      </c>
      <c r="AG150" s="510">
        <f t="shared" si="106"/>
        <v>2813.1099999999997</v>
      </c>
      <c r="AH150" s="510">
        <f t="shared" si="107"/>
        <v>267451.26</v>
      </c>
      <c r="AI150" s="510"/>
      <c r="AJ150" s="14">
        <f t="shared" si="85"/>
        <v>2813.1099999999997</v>
      </c>
      <c r="AK150" s="14">
        <f t="shared" si="86"/>
        <v>181552.92999999967</v>
      </c>
      <c r="AL150" s="510">
        <f>IF(R150&lt;=0,0,+(Profit!$B$4+AM149)*$AL$1/12)</f>
        <v>1173.7229397344979</v>
      </c>
      <c r="AM150" s="14">
        <f t="shared" si="108"/>
        <v>95662.898833533633</v>
      </c>
    </row>
    <row r="151" spans="1:39" x14ac:dyDescent="0.25">
      <c r="A151" s="499">
        <f t="shared" si="96"/>
        <v>48489</v>
      </c>
      <c r="B151" s="288">
        <f t="shared" si="97"/>
        <v>61489.689999999995</v>
      </c>
      <c r="C151" s="14">
        <f t="shared" si="87"/>
        <v>382.11</v>
      </c>
      <c r="D151" s="14">
        <f t="shared" si="109"/>
        <v>189.95000000000002</v>
      </c>
      <c r="E151" s="14">
        <f t="shared" si="88"/>
        <v>192.16</v>
      </c>
      <c r="F151" s="288">
        <f t="shared" si="98"/>
        <v>21467.200000000004</v>
      </c>
      <c r="G151" s="288">
        <f t="shared" si="99"/>
        <v>31139.710000000003</v>
      </c>
      <c r="H151" s="288">
        <f t="shared" si="89"/>
        <v>61299.74</v>
      </c>
      <c r="I151" s="410">
        <f t="shared" si="90"/>
        <v>7</v>
      </c>
      <c r="J151" s="288">
        <f t="shared" si="100"/>
        <v>318248.55</v>
      </c>
      <c r="K151" s="288">
        <f t="shared" si="79"/>
        <v>2298.4699999999998</v>
      </c>
      <c r="L151" s="288">
        <f t="shared" si="110"/>
        <v>508.31999999999971</v>
      </c>
      <c r="M151" s="288">
        <f t="shared" si="80"/>
        <v>1790.15</v>
      </c>
      <c r="N151" s="288">
        <f t="shared" si="101"/>
        <v>36634.76999999999</v>
      </c>
      <c r="O151" s="288">
        <f t="shared" si="102"/>
        <v>174824.47000000006</v>
      </c>
      <c r="P151" s="288">
        <f t="shared" si="91"/>
        <v>317740.23</v>
      </c>
      <c r="Q151" s="499">
        <f t="shared" si="92"/>
        <v>48489</v>
      </c>
      <c r="R151" s="288">
        <f t="shared" si="78"/>
        <v>240390.11000000007</v>
      </c>
      <c r="S151" s="492">
        <f t="shared" si="103"/>
        <v>6.7500000000000004E-2</v>
      </c>
      <c r="T151" s="288">
        <f t="shared" si="93"/>
        <v>3195.22</v>
      </c>
      <c r="U151" s="288">
        <f t="shared" si="81"/>
        <v>1843.0299999999997</v>
      </c>
      <c r="V151" s="288">
        <f t="shared" si="94"/>
        <v>1352.19</v>
      </c>
      <c r="W151" s="288">
        <f t="shared" si="74"/>
        <v>0</v>
      </c>
      <c r="X151" s="288">
        <f t="shared" si="75"/>
        <v>0</v>
      </c>
      <c r="Y151" s="288">
        <f t="shared" si="82"/>
        <v>3195.22</v>
      </c>
      <c r="Z151" s="288">
        <f t="shared" si="83"/>
        <v>115827.92000000001</v>
      </c>
      <c r="AA151" s="288">
        <f t="shared" si="84"/>
        <v>108277.56000000001</v>
      </c>
      <c r="AB151" s="288">
        <f t="shared" si="95"/>
        <v>238547.08000000007</v>
      </c>
      <c r="AC151" s="410">
        <f t="shared" si="104"/>
        <v>91</v>
      </c>
      <c r="AD151" s="510">
        <f t="shared" si="105"/>
        <v>-12646.240000000009</v>
      </c>
      <c r="AE151" s="510">
        <f t="shared" si="76"/>
        <v>177247.34000000008</v>
      </c>
      <c r="AF151" s="510">
        <f t="shared" si="77"/>
        <v>164601.10000000006</v>
      </c>
      <c r="AG151" s="510">
        <f t="shared" si="106"/>
        <v>2813.1099999999997</v>
      </c>
      <c r="AH151" s="510">
        <f t="shared" si="107"/>
        <v>265798.18000000005</v>
      </c>
      <c r="AI151" s="510"/>
      <c r="AJ151" s="14">
        <f t="shared" si="85"/>
        <v>2813.1099999999997</v>
      </c>
      <c r="AK151" s="14">
        <f t="shared" si="86"/>
        <v>184366.03999999966</v>
      </c>
      <c r="AL151" s="510">
        <f>IF(R151&lt;=0,0,+(Profit!$B$4+AM150)*$AL$1/12)</f>
        <v>1176.6572470838339</v>
      </c>
      <c r="AM151" s="14">
        <f t="shared" si="108"/>
        <v>96839.556080617462</v>
      </c>
    </row>
    <row r="152" spans="1:39" x14ac:dyDescent="0.25">
      <c r="A152" s="499">
        <f t="shared" si="96"/>
        <v>48519</v>
      </c>
      <c r="B152" s="288">
        <f t="shared" si="97"/>
        <v>61299.74</v>
      </c>
      <c r="C152" s="14">
        <f t="shared" si="87"/>
        <v>382.11</v>
      </c>
      <c r="D152" s="14">
        <f t="shared" si="109"/>
        <v>190.55</v>
      </c>
      <c r="E152" s="14">
        <f t="shared" si="88"/>
        <v>191.56</v>
      </c>
      <c r="F152" s="288">
        <f t="shared" si="98"/>
        <v>21657.750000000004</v>
      </c>
      <c r="G152" s="288">
        <f t="shared" si="99"/>
        <v>31331.270000000004</v>
      </c>
      <c r="H152" s="288">
        <f t="shared" si="89"/>
        <v>61109.189999999995</v>
      </c>
      <c r="I152" s="410">
        <f t="shared" si="90"/>
        <v>7</v>
      </c>
      <c r="J152" s="288">
        <f t="shared" si="100"/>
        <v>317740.23</v>
      </c>
      <c r="K152" s="288">
        <f t="shared" si="79"/>
        <v>2298.4699999999998</v>
      </c>
      <c r="L152" s="288">
        <f t="shared" si="110"/>
        <v>511.17999999999984</v>
      </c>
      <c r="M152" s="288">
        <f t="shared" si="80"/>
        <v>1787.29</v>
      </c>
      <c r="N152" s="288">
        <f t="shared" si="101"/>
        <v>37145.94999999999</v>
      </c>
      <c r="O152" s="288">
        <f t="shared" si="102"/>
        <v>176611.76000000007</v>
      </c>
      <c r="P152" s="288">
        <f t="shared" si="91"/>
        <v>317229.05</v>
      </c>
      <c r="Q152" s="499">
        <f t="shared" si="92"/>
        <v>48519</v>
      </c>
      <c r="R152" s="288">
        <f t="shared" si="78"/>
        <v>238547.08000000007</v>
      </c>
      <c r="S152" s="492">
        <f t="shared" si="103"/>
        <v>6.7500000000000004E-2</v>
      </c>
      <c r="T152" s="288">
        <f t="shared" si="93"/>
        <v>3195.22</v>
      </c>
      <c r="U152" s="288">
        <f t="shared" si="81"/>
        <v>1853.3899999999999</v>
      </c>
      <c r="V152" s="288">
        <f t="shared" si="94"/>
        <v>1341.83</v>
      </c>
      <c r="W152" s="288">
        <f t="shared" si="74"/>
        <v>0</v>
      </c>
      <c r="X152" s="288">
        <f t="shared" si="75"/>
        <v>0</v>
      </c>
      <c r="Y152" s="288">
        <f t="shared" si="82"/>
        <v>3195.22</v>
      </c>
      <c r="Z152" s="288">
        <f t="shared" si="83"/>
        <v>117681.31000000001</v>
      </c>
      <c r="AA152" s="288">
        <f t="shared" si="84"/>
        <v>109619.39000000001</v>
      </c>
      <c r="AB152" s="288">
        <f t="shared" si="95"/>
        <v>236693.69000000006</v>
      </c>
      <c r="AC152" s="410">
        <f t="shared" si="104"/>
        <v>92</v>
      </c>
      <c r="AD152" s="510">
        <f t="shared" si="105"/>
        <v>-13542.990000000009</v>
      </c>
      <c r="AE152" s="510">
        <f t="shared" si="76"/>
        <v>175584.50000000006</v>
      </c>
      <c r="AF152" s="510">
        <f t="shared" si="77"/>
        <v>162041.51000000004</v>
      </c>
      <c r="AG152" s="510">
        <f t="shared" si="106"/>
        <v>2813.1099999999997</v>
      </c>
      <c r="AH152" s="510">
        <f t="shared" si="107"/>
        <v>264135.34000000003</v>
      </c>
      <c r="AI152" s="510"/>
      <c r="AJ152" s="14">
        <f t="shared" si="85"/>
        <v>2813.1099999999997</v>
      </c>
      <c r="AK152" s="14">
        <f t="shared" si="86"/>
        <v>187179.14999999964</v>
      </c>
      <c r="AL152" s="510">
        <f>IF(R152&lt;=0,0,+(Profit!$B$4+AM151)*$AL$1/12)</f>
        <v>1179.5988902015436</v>
      </c>
      <c r="AM152" s="14">
        <f t="shared" si="108"/>
        <v>98019.154970819</v>
      </c>
    </row>
    <row r="153" spans="1:39" x14ac:dyDescent="0.25">
      <c r="A153" s="499">
        <f t="shared" si="96"/>
        <v>48549</v>
      </c>
      <c r="B153" s="288">
        <f t="shared" si="97"/>
        <v>61109.189999999995</v>
      </c>
      <c r="C153" s="14">
        <f t="shared" si="87"/>
        <v>382.11</v>
      </c>
      <c r="D153" s="14">
        <f t="shared" si="109"/>
        <v>191.14000000000001</v>
      </c>
      <c r="E153" s="14">
        <f t="shared" si="88"/>
        <v>190.97</v>
      </c>
      <c r="F153" s="288">
        <f t="shared" si="98"/>
        <v>21848.890000000003</v>
      </c>
      <c r="G153" s="288">
        <f t="shared" si="99"/>
        <v>31522.240000000005</v>
      </c>
      <c r="H153" s="288">
        <f t="shared" si="89"/>
        <v>60918.049999999996</v>
      </c>
      <c r="I153" s="410">
        <f t="shared" si="90"/>
        <v>7</v>
      </c>
      <c r="J153" s="288">
        <f t="shared" si="100"/>
        <v>317229.05</v>
      </c>
      <c r="K153" s="288">
        <f t="shared" si="79"/>
        <v>2298.4699999999998</v>
      </c>
      <c r="L153" s="288">
        <f t="shared" si="110"/>
        <v>514.05999999999972</v>
      </c>
      <c r="M153" s="288">
        <f t="shared" si="80"/>
        <v>1784.41</v>
      </c>
      <c r="N153" s="288">
        <f t="shared" si="101"/>
        <v>37660.009999999987</v>
      </c>
      <c r="O153" s="288">
        <f t="shared" si="102"/>
        <v>178396.17000000007</v>
      </c>
      <c r="P153" s="288">
        <f t="shared" si="91"/>
        <v>316714.99</v>
      </c>
      <c r="Q153" s="499">
        <f t="shared" si="92"/>
        <v>48549</v>
      </c>
      <c r="R153" s="288">
        <f t="shared" si="78"/>
        <v>236693.69000000006</v>
      </c>
      <c r="S153" s="492">
        <f t="shared" si="103"/>
        <v>6.7500000000000004E-2</v>
      </c>
      <c r="T153" s="288">
        <f t="shared" si="93"/>
        <v>3195.22</v>
      </c>
      <c r="U153" s="288">
        <f t="shared" si="81"/>
        <v>1863.8199999999997</v>
      </c>
      <c r="V153" s="288">
        <f t="shared" si="94"/>
        <v>1331.4</v>
      </c>
      <c r="W153" s="288">
        <f t="shared" si="74"/>
        <v>0</v>
      </c>
      <c r="X153" s="288">
        <f t="shared" si="75"/>
        <v>0</v>
      </c>
      <c r="Y153" s="288">
        <f t="shared" si="82"/>
        <v>3195.22</v>
      </c>
      <c r="Z153" s="288">
        <f t="shared" si="83"/>
        <v>119545.13</v>
      </c>
      <c r="AA153" s="288">
        <f t="shared" si="84"/>
        <v>110950.79000000001</v>
      </c>
      <c r="AB153" s="288">
        <f t="shared" si="95"/>
        <v>234829.87000000005</v>
      </c>
      <c r="AC153" s="410">
        <f t="shared" si="104"/>
        <v>93</v>
      </c>
      <c r="AD153" s="510">
        <f t="shared" si="105"/>
        <v>-14439.740000000009</v>
      </c>
      <c r="AE153" s="510">
        <f t="shared" si="76"/>
        <v>173911.82000000007</v>
      </c>
      <c r="AF153" s="510">
        <f t="shared" si="77"/>
        <v>159472.08000000005</v>
      </c>
      <c r="AG153" s="510">
        <f t="shared" si="106"/>
        <v>2813.1099999999997</v>
      </c>
      <c r="AH153" s="510">
        <f t="shared" si="107"/>
        <v>262462.66000000003</v>
      </c>
      <c r="AI153" s="510"/>
      <c r="AJ153" s="14">
        <f t="shared" si="85"/>
        <v>2813.1099999999997</v>
      </c>
      <c r="AK153" s="14">
        <f t="shared" si="86"/>
        <v>189992.25999999963</v>
      </c>
      <c r="AL153" s="510">
        <f>IF(R153&lt;=0,0,+(Profit!$B$4+AM152)*$AL$1/12)</f>
        <v>1182.5478874270475</v>
      </c>
      <c r="AM153" s="14">
        <f t="shared" si="108"/>
        <v>99201.702858246048</v>
      </c>
    </row>
    <row r="154" spans="1:39" x14ac:dyDescent="0.25">
      <c r="A154" s="499">
        <f t="shared" si="96"/>
        <v>48579</v>
      </c>
      <c r="B154" s="288">
        <f t="shared" si="97"/>
        <v>60918.049999999996</v>
      </c>
      <c r="C154" s="14">
        <f t="shared" si="87"/>
        <v>382.11</v>
      </c>
      <c r="D154" s="14">
        <f t="shared" si="109"/>
        <v>191.74</v>
      </c>
      <c r="E154" s="14">
        <f t="shared" si="88"/>
        <v>190.37</v>
      </c>
      <c r="F154" s="288">
        <f t="shared" si="98"/>
        <v>22040.630000000005</v>
      </c>
      <c r="G154" s="288">
        <f t="shared" si="99"/>
        <v>31712.610000000004</v>
      </c>
      <c r="H154" s="288">
        <f t="shared" si="89"/>
        <v>60726.31</v>
      </c>
      <c r="I154" s="410">
        <f t="shared" si="90"/>
        <v>7</v>
      </c>
      <c r="J154" s="288">
        <f t="shared" si="100"/>
        <v>316714.99</v>
      </c>
      <c r="K154" s="288">
        <f t="shared" si="79"/>
        <v>2298.4699999999998</v>
      </c>
      <c r="L154" s="288">
        <f t="shared" si="110"/>
        <v>516.94999999999982</v>
      </c>
      <c r="M154" s="288">
        <f t="shared" si="80"/>
        <v>1781.52</v>
      </c>
      <c r="N154" s="288">
        <f t="shared" si="101"/>
        <v>38176.959999999985</v>
      </c>
      <c r="O154" s="288">
        <f t="shared" si="102"/>
        <v>180177.69000000006</v>
      </c>
      <c r="P154" s="288">
        <f t="shared" si="91"/>
        <v>316198.03999999998</v>
      </c>
      <c r="Q154" s="499">
        <f t="shared" si="92"/>
        <v>48579</v>
      </c>
      <c r="R154" s="288">
        <f t="shared" si="78"/>
        <v>234829.87000000005</v>
      </c>
      <c r="S154" s="492">
        <f t="shared" si="103"/>
        <v>6.7500000000000004E-2</v>
      </c>
      <c r="T154" s="288">
        <f t="shared" si="93"/>
        <v>3195.22</v>
      </c>
      <c r="U154" s="288">
        <f t="shared" si="81"/>
        <v>1874.2999999999997</v>
      </c>
      <c r="V154" s="288">
        <f t="shared" si="94"/>
        <v>1320.92</v>
      </c>
      <c r="W154" s="288">
        <f t="shared" si="74"/>
        <v>0</v>
      </c>
      <c r="X154" s="288">
        <f t="shared" si="75"/>
        <v>0</v>
      </c>
      <c r="Y154" s="288">
        <f t="shared" si="82"/>
        <v>3195.22</v>
      </c>
      <c r="Z154" s="288">
        <f t="shared" si="83"/>
        <v>121419.43000000001</v>
      </c>
      <c r="AA154" s="288">
        <f t="shared" si="84"/>
        <v>112271.71</v>
      </c>
      <c r="AB154" s="288">
        <f t="shared" si="95"/>
        <v>232955.57000000007</v>
      </c>
      <c r="AC154" s="410">
        <f t="shared" si="104"/>
        <v>94</v>
      </c>
      <c r="AD154" s="510">
        <f t="shared" si="105"/>
        <v>-15336.490000000009</v>
      </c>
      <c r="AE154" s="510">
        <f t="shared" si="76"/>
        <v>172229.26000000007</v>
      </c>
      <c r="AF154" s="510">
        <f t="shared" si="77"/>
        <v>156892.77000000005</v>
      </c>
      <c r="AG154" s="510">
        <f t="shared" si="106"/>
        <v>2813.1099999999997</v>
      </c>
      <c r="AH154" s="510">
        <f t="shared" si="107"/>
        <v>260780.10000000003</v>
      </c>
      <c r="AI154" s="510"/>
      <c r="AJ154" s="14">
        <f t="shared" si="85"/>
        <v>2813.1099999999997</v>
      </c>
      <c r="AK154" s="14">
        <f t="shared" si="86"/>
        <v>192805.36999999962</v>
      </c>
      <c r="AL154" s="510">
        <f>IF(R154&lt;=0,0,+(Profit!$B$4+AM153)*$AL$1/12)</f>
        <v>1185.5042571456149</v>
      </c>
      <c r="AM154" s="14">
        <f t="shared" si="108"/>
        <v>100387.20711539166</v>
      </c>
    </row>
    <row r="155" spans="1:39" x14ac:dyDescent="0.25">
      <c r="A155" s="499">
        <f t="shared" si="96"/>
        <v>48609</v>
      </c>
      <c r="B155" s="288">
        <f t="shared" si="97"/>
        <v>60726.31</v>
      </c>
      <c r="C155" s="14">
        <f t="shared" si="87"/>
        <v>382.11</v>
      </c>
      <c r="D155" s="14">
        <f t="shared" si="109"/>
        <v>192.34</v>
      </c>
      <c r="E155" s="14">
        <f t="shared" si="88"/>
        <v>189.77</v>
      </c>
      <c r="F155" s="288">
        <f t="shared" si="98"/>
        <v>22232.970000000005</v>
      </c>
      <c r="G155" s="288">
        <f t="shared" si="99"/>
        <v>31902.380000000005</v>
      </c>
      <c r="H155" s="288">
        <f t="shared" si="89"/>
        <v>60533.97</v>
      </c>
      <c r="I155" s="410">
        <f t="shared" si="90"/>
        <v>7</v>
      </c>
      <c r="J155" s="288">
        <f t="shared" si="100"/>
        <v>316198.03999999998</v>
      </c>
      <c r="K155" s="288">
        <f t="shared" si="79"/>
        <v>2298.4699999999998</v>
      </c>
      <c r="L155" s="288">
        <f t="shared" si="110"/>
        <v>519.8599999999999</v>
      </c>
      <c r="M155" s="288">
        <f t="shared" si="80"/>
        <v>1778.61</v>
      </c>
      <c r="N155" s="288">
        <f t="shared" si="101"/>
        <v>38696.819999999985</v>
      </c>
      <c r="O155" s="288">
        <f t="shared" si="102"/>
        <v>181956.30000000005</v>
      </c>
      <c r="P155" s="288">
        <f t="shared" si="91"/>
        <v>315678.18</v>
      </c>
      <c r="Q155" s="499">
        <f t="shared" si="92"/>
        <v>48609</v>
      </c>
      <c r="R155" s="288">
        <f t="shared" si="78"/>
        <v>232955.57000000007</v>
      </c>
      <c r="S155" s="492">
        <f t="shared" si="103"/>
        <v>6.7500000000000004E-2</v>
      </c>
      <c r="T155" s="288">
        <f t="shared" si="93"/>
        <v>3195.22</v>
      </c>
      <c r="U155" s="288">
        <f t="shared" si="81"/>
        <v>1884.8399999999997</v>
      </c>
      <c r="V155" s="288">
        <f t="shared" si="94"/>
        <v>1310.3800000000001</v>
      </c>
      <c r="W155" s="288">
        <f t="shared" si="74"/>
        <v>0</v>
      </c>
      <c r="X155" s="288">
        <f t="shared" si="75"/>
        <v>0</v>
      </c>
      <c r="Y155" s="288">
        <f t="shared" si="82"/>
        <v>3195.22</v>
      </c>
      <c r="Z155" s="288">
        <f t="shared" si="83"/>
        <v>123304.27</v>
      </c>
      <c r="AA155" s="288">
        <f t="shared" si="84"/>
        <v>113582.09000000001</v>
      </c>
      <c r="AB155" s="288">
        <f t="shared" si="95"/>
        <v>231070.73000000007</v>
      </c>
      <c r="AC155" s="410">
        <f t="shared" si="104"/>
        <v>95</v>
      </c>
      <c r="AD155" s="510">
        <f t="shared" si="105"/>
        <v>-16233.240000000009</v>
      </c>
      <c r="AE155" s="510">
        <f t="shared" si="76"/>
        <v>170536.76000000007</v>
      </c>
      <c r="AF155" s="510">
        <f t="shared" si="77"/>
        <v>154303.52000000005</v>
      </c>
      <c r="AG155" s="510">
        <f t="shared" si="106"/>
        <v>2813.1099999999997</v>
      </c>
      <c r="AH155" s="510">
        <f t="shared" si="107"/>
        <v>259087.60000000003</v>
      </c>
      <c r="AI155" s="510"/>
      <c r="AJ155" s="14">
        <f t="shared" si="85"/>
        <v>2813.1099999999997</v>
      </c>
      <c r="AK155" s="14">
        <f t="shared" si="86"/>
        <v>195618.4799999996</v>
      </c>
      <c r="AL155" s="510">
        <f>IF(R155&lt;=0,0,+(Profit!$B$4+AM154)*$AL$1/12)</f>
        <v>1188.4680177884791</v>
      </c>
      <c r="AM155" s="14">
        <f t="shared" si="108"/>
        <v>101575.67513318014</v>
      </c>
    </row>
    <row r="156" spans="1:39" x14ac:dyDescent="0.25">
      <c r="A156" s="499">
        <f t="shared" si="96"/>
        <v>48639</v>
      </c>
      <c r="B156" s="288">
        <f t="shared" si="97"/>
        <v>60533.97</v>
      </c>
      <c r="C156" s="14">
        <f t="shared" si="87"/>
        <v>382.11</v>
      </c>
      <c r="D156" s="14">
        <f t="shared" si="109"/>
        <v>192.94000000000003</v>
      </c>
      <c r="E156" s="14">
        <f t="shared" si="88"/>
        <v>189.17</v>
      </c>
      <c r="F156" s="288">
        <f t="shared" si="98"/>
        <v>22425.910000000003</v>
      </c>
      <c r="G156" s="288">
        <f t="shared" si="99"/>
        <v>32091.550000000003</v>
      </c>
      <c r="H156" s="288">
        <f t="shared" si="89"/>
        <v>60341.03</v>
      </c>
      <c r="I156" s="410">
        <f t="shared" si="90"/>
        <v>8</v>
      </c>
      <c r="J156" s="288">
        <f t="shared" si="100"/>
        <v>315678.18</v>
      </c>
      <c r="K156" s="288">
        <f t="shared" si="79"/>
        <v>2298.4699999999998</v>
      </c>
      <c r="L156" s="288">
        <f t="shared" si="110"/>
        <v>522.77999999999975</v>
      </c>
      <c r="M156" s="288">
        <f t="shared" si="80"/>
        <v>1775.69</v>
      </c>
      <c r="N156" s="288">
        <f t="shared" si="101"/>
        <v>39219.599999999984</v>
      </c>
      <c r="O156" s="288">
        <f t="shared" si="102"/>
        <v>183731.99000000005</v>
      </c>
      <c r="P156" s="288">
        <f t="shared" si="91"/>
        <v>315155.39999999997</v>
      </c>
      <c r="Q156" s="499">
        <f t="shared" si="92"/>
        <v>48639</v>
      </c>
      <c r="R156" s="288">
        <f t="shared" si="78"/>
        <v>231070.73000000007</v>
      </c>
      <c r="S156" s="492">
        <f t="shared" si="103"/>
        <v>6.7500000000000004E-2</v>
      </c>
      <c r="T156" s="288">
        <f t="shared" si="93"/>
        <v>3195.22</v>
      </c>
      <c r="U156" s="288">
        <f t="shared" si="81"/>
        <v>1895.4499999999998</v>
      </c>
      <c r="V156" s="288">
        <f t="shared" si="94"/>
        <v>1299.77</v>
      </c>
      <c r="W156" s="288">
        <f t="shared" si="74"/>
        <v>0</v>
      </c>
      <c r="X156" s="288">
        <f t="shared" si="75"/>
        <v>0</v>
      </c>
      <c r="Y156" s="288">
        <f t="shared" si="82"/>
        <v>3195.22</v>
      </c>
      <c r="Z156" s="288">
        <f t="shared" si="83"/>
        <v>125199.72</v>
      </c>
      <c r="AA156" s="288">
        <f t="shared" si="84"/>
        <v>114881.86000000002</v>
      </c>
      <c r="AB156" s="288">
        <f t="shared" si="95"/>
        <v>229175.28000000006</v>
      </c>
      <c r="AC156" s="410">
        <f t="shared" si="104"/>
        <v>96</v>
      </c>
      <c r="AD156" s="510">
        <f t="shared" si="105"/>
        <v>-17129.990000000009</v>
      </c>
      <c r="AE156" s="510">
        <f t="shared" si="76"/>
        <v>168834.25000000006</v>
      </c>
      <c r="AF156" s="510">
        <f t="shared" si="77"/>
        <v>151704.26000000004</v>
      </c>
      <c r="AG156" s="510">
        <f t="shared" si="106"/>
        <v>2813.1099999999997</v>
      </c>
      <c r="AH156" s="510">
        <f t="shared" si="107"/>
        <v>257385.09000000005</v>
      </c>
      <c r="AI156" s="510"/>
      <c r="AJ156" s="14">
        <f t="shared" si="85"/>
        <v>2813.1099999999997</v>
      </c>
      <c r="AK156" s="14">
        <f t="shared" si="86"/>
        <v>198431.58999999959</v>
      </c>
      <c r="AL156" s="510">
        <f>IF(R156&lt;=0,0,+(Profit!$B$4+AM155)*$AL$1/12)</f>
        <v>1191.4391878329502</v>
      </c>
      <c r="AM156" s="14">
        <f t="shared" si="108"/>
        <v>102767.11432101308</v>
      </c>
    </row>
    <row r="157" spans="1:39" x14ac:dyDescent="0.25">
      <c r="A157" s="499">
        <f t="shared" si="96"/>
        <v>48669</v>
      </c>
      <c r="B157" s="288">
        <f t="shared" si="97"/>
        <v>60341.03</v>
      </c>
      <c r="C157" s="14">
        <f t="shared" si="87"/>
        <v>382.11</v>
      </c>
      <c r="D157" s="14">
        <f t="shared" si="109"/>
        <v>193.54000000000002</v>
      </c>
      <c r="E157" s="14">
        <f t="shared" si="88"/>
        <v>188.57</v>
      </c>
      <c r="F157" s="288">
        <f t="shared" si="98"/>
        <v>22619.450000000004</v>
      </c>
      <c r="G157" s="288">
        <f t="shared" si="99"/>
        <v>32280.120000000003</v>
      </c>
      <c r="H157" s="288">
        <f t="shared" si="89"/>
        <v>60147.49</v>
      </c>
      <c r="I157" s="410">
        <f t="shared" si="90"/>
        <v>8</v>
      </c>
      <c r="J157" s="288">
        <f t="shared" si="100"/>
        <v>315155.39999999997</v>
      </c>
      <c r="K157" s="288">
        <f t="shared" si="79"/>
        <v>2298.4699999999998</v>
      </c>
      <c r="L157" s="288">
        <f t="shared" si="110"/>
        <v>525.7199999999998</v>
      </c>
      <c r="M157" s="288">
        <f t="shared" si="80"/>
        <v>1772.75</v>
      </c>
      <c r="N157" s="288">
        <f t="shared" si="101"/>
        <v>39745.319999999985</v>
      </c>
      <c r="O157" s="288">
        <f t="shared" si="102"/>
        <v>185504.74000000005</v>
      </c>
      <c r="P157" s="288">
        <f t="shared" si="91"/>
        <v>314629.68</v>
      </c>
      <c r="Q157" s="499">
        <f t="shared" si="92"/>
        <v>48669</v>
      </c>
      <c r="R157" s="288">
        <f t="shared" si="78"/>
        <v>229175.28000000006</v>
      </c>
      <c r="S157" s="492">
        <f t="shared" si="103"/>
        <v>6.7500000000000004E-2</v>
      </c>
      <c r="T157" s="288">
        <f t="shared" si="93"/>
        <v>3195.22</v>
      </c>
      <c r="U157" s="288">
        <f t="shared" si="81"/>
        <v>1906.11</v>
      </c>
      <c r="V157" s="288">
        <f t="shared" si="94"/>
        <v>1289.1099999999999</v>
      </c>
      <c r="W157" s="288">
        <f t="shared" si="74"/>
        <v>0</v>
      </c>
      <c r="X157" s="288">
        <f t="shared" si="75"/>
        <v>0</v>
      </c>
      <c r="Y157" s="288">
        <f t="shared" si="82"/>
        <v>3195.22</v>
      </c>
      <c r="Z157" s="288">
        <f t="shared" si="83"/>
        <v>127105.83</v>
      </c>
      <c r="AA157" s="288">
        <f t="shared" si="84"/>
        <v>116170.97000000002</v>
      </c>
      <c r="AB157" s="288">
        <f t="shared" si="95"/>
        <v>227269.17000000007</v>
      </c>
      <c r="AC157" s="410">
        <f t="shared" si="104"/>
        <v>97</v>
      </c>
      <c r="AD157" s="510">
        <f t="shared" si="105"/>
        <v>-18026.740000000009</v>
      </c>
      <c r="AE157" s="510">
        <f t="shared" si="76"/>
        <v>167121.68000000008</v>
      </c>
      <c r="AF157" s="510">
        <f t="shared" si="77"/>
        <v>149094.94000000006</v>
      </c>
      <c r="AG157" s="510">
        <f t="shared" si="106"/>
        <v>2813.1099999999997</v>
      </c>
      <c r="AH157" s="510">
        <f t="shared" si="107"/>
        <v>255672.52000000002</v>
      </c>
      <c r="AI157" s="510"/>
      <c r="AJ157" s="14">
        <f t="shared" si="85"/>
        <v>2813.1099999999997</v>
      </c>
      <c r="AK157" s="14">
        <f t="shared" si="86"/>
        <v>201244.69999999958</v>
      </c>
      <c r="AL157" s="510">
        <f>IF(R157&lt;=0,0,+(Profit!$B$4+AM156)*$AL$1/12)</f>
        <v>1194.4177858025328</v>
      </c>
      <c r="AM157" s="14">
        <f t="shared" si="108"/>
        <v>103961.53210681562</v>
      </c>
    </row>
    <row r="158" spans="1:39" ht="15.75" thickBot="1" x14ac:dyDescent="0.3">
      <c r="A158" s="502">
        <f t="shared" si="96"/>
        <v>48699</v>
      </c>
      <c r="B158" s="343">
        <f t="shared" si="97"/>
        <v>60147.49</v>
      </c>
      <c r="C158" s="21">
        <f t="shared" si="87"/>
        <v>382.11</v>
      </c>
      <c r="D158" s="21">
        <f t="shared" si="109"/>
        <v>194.15</v>
      </c>
      <c r="E158" s="21">
        <f t="shared" si="88"/>
        <v>187.96</v>
      </c>
      <c r="F158" s="343">
        <f t="shared" si="98"/>
        <v>22813.600000000006</v>
      </c>
      <c r="G158" s="343">
        <f t="shared" si="99"/>
        <v>32468.080000000002</v>
      </c>
      <c r="H158" s="343">
        <f t="shared" si="89"/>
        <v>59953.34</v>
      </c>
      <c r="I158" s="411">
        <f t="shared" si="90"/>
        <v>8</v>
      </c>
      <c r="J158" s="343">
        <f t="shared" si="100"/>
        <v>314629.68</v>
      </c>
      <c r="K158" s="343">
        <f t="shared" si="79"/>
        <v>2298.4699999999998</v>
      </c>
      <c r="L158" s="343">
        <f t="shared" si="110"/>
        <v>528.67999999999984</v>
      </c>
      <c r="M158" s="343">
        <f t="shared" si="80"/>
        <v>1769.79</v>
      </c>
      <c r="N158" s="343">
        <f t="shared" si="101"/>
        <v>40273.999999999985</v>
      </c>
      <c r="O158" s="343">
        <f t="shared" si="102"/>
        <v>187274.53000000006</v>
      </c>
      <c r="P158" s="343">
        <f t="shared" si="91"/>
        <v>314101</v>
      </c>
      <c r="Q158" s="502">
        <f t="shared" si="92"/>
        <v>48699</v>
      </c>
      <c r="R158" s="343">
        <f t="shared" si="78"/>
        <v>227269.17000000007</v>
      </c>
      <c r="S158" s="493">
        <f t="shared" si="103"/>
        <v>6.7500000000000004E-2</v>
      </c>
      <c r="T158" s="343">
        <f t="shared" si="93"/>
        <v>3195.22</v>
      </c>
      <c r="U158" s="343">
        <f t="shared" si="81"/>
        <v>1916.8299999999997</v>
      </c>
      <c r="V158" s="343">
        <f t="shared" si="94"/>
        <v>1278.3900000000001</v>
      </c>
      <c r="W158" s="343">
        <f t="shared" si="74"/>
        <v>0</v>
      </c>
      <c r="X158" s="343">
        <f t="shared" si="75"/>
        <v>0</v>
      </c>
      <c r="Y158" s="343">
        <f t="shared" si="82"/>
        <v>3195.22</v>
      </c>
      <c r="Z158" s="343">
        <f t="shared" si="83"/>
        <v>129022.66</v>
      </c>
      <c r="AA158" s="343">
        <f t="shared" si="84"/>
        <v>117449.36000000002</v>
      </c>
      <c r="AB158" s="343">
        <f t="shared" si="95"/>
        <v>225352.34000000008</v>
      </c>
      <c r="AC158" s="411">
        <f t="shared" si="104"/>
        <v>98</v>
      </c>
      <c r="AD158" s="511">
        <f t="shared" si="105"/>
        <v>-18923.490000000009</v>
      </c>
      <c r="AE158" s="511">
        <f t="shared" si="76"/>
        <v>165399.00000000009</v>
      </c>
      <c r="AF158" s="511">
        <f t="shared" si="77"/>
        <v>146475.51000000007</v>
      </c>
      <c r="AG158" s="511">
        <f t="shared" si="106"/>
        <v>2813.1099999999997</v>
      </c>
      <c r="AH158" s="511">
        <f t="shared" si="107"/>
        <v>253949.84</v>
      </c>
      <c r="AI158" s="511"/>
      <c r="AJ158" s="21">
        <f t="shared" si="85"/>
        <v>2813.1099999999997</v>
      </c>
      <c r="AK158" s="21">
        <f t="shared" si="86"/>
        <v>204057.80999999956</v>
      </c>
      <c r="AL158" s="511">
        <f>IF(R158&lt;=0,0,+(Profit!$B$4+AM157)*$AL$1/12)</f>
        <v>1197.403830267039</v>
      </c>
      <c r="AM158" s="21">
        <f t="shared" si="108"/>
        <v>105158.93593708266</v>
      </c>
    </row>
    <row r="159" spans="1:39" x14ac:dyDescent="0.25">
      <c r="A159" s="499">
        <f t="shared" si="96"/>
        <v>48729</v>
      </c>
      <c r="B159" s="288">
        <f t="shared" si="97"/>
        <v>59953.34</v>
      </c>
      <c r="C159" s="14">
        <f t="shared" si="87"/>
        <v>382.11</v>
      </c>
      <c r="D159" s="14">
        <f t="shared" si="109"/>
        <v>194.76000000000002</v>
      </c>
      <c r="E159" s="14">
        <f t="shared" si="88"/>
        <v>187.35</v>
      </c>
      <c r="F159" s="288">
        <f t="shared" si="98"/>
        <v>23008.360000000004</v>
      </c>
      <c r="G159" s="288">
        <f t="shared" si="99"/>
        <v>32655.43</v>
      </c>
      <c r="H159" s="288">
        <f t="shared" si="89"/>
        <v>59758.579999999994</v>
      </c>
      <c r="I159" s="410">
        <f t="shared" si="90"/>
        <v>8</v>
      </c>
      <c r="J159" s="288">
        <f t="shared" si="100"/>
        <v>314101</v>
      </c>
      <c r="K159" s="288">
        <f t="shared" si="79"/>
        <v>2298.4699999999998</v>
      </c>
      <c r="L159" s="288">
        <f t="shared" si="110"/>
        <v>531.64999999999986</v>
      </c>
      <c r="M159" s="288">
        <f t="shared" si="80"/>
        <v>1766.82</v>
      </c>
      <c r="N159" s="288">
        <f t="shared" si="101"/>
        <v>40805.649999999987</v>
      </c>
      <c r="O159" s="288">
        <f t="shared" si="102"/>
        <v>189041.35000000006</v>
      </c>
      <c r="P159" s="288">
        <f t="shared" si="91"/>
        <v>313569.34999999998</v>
      </c>
      <c r="Q159" s="499">
        <f t="shared" si="92"/>
        <v>48729</v>
      </c>
      <c r="R159" s="288">
        <f t="shared" si="78"/>
        <v>225352.34000000008</v>
      </c>
      <c r="S159" s="492">
        <f t="shared" si="103"/>
        <v>6.7500000000000004E-2</v>
      </c>
      <c r="T159" s="288">
        <f t="shared" si="93"/>
        <v>3195.22</v>
      </c>
      <c r="U159" s="288">
        <f t="shared" si="81"/>
        <v>1927.61</v>
      </c>
      <c r="V159" s="288">
        <f t="shared" si="94"/>
        <v>1267.6099999999999</v>
      </c>
      <c r="W159" s="288">
        <f t="shared" si="74"/>
        <v>0</v>
      </c>
      <c r="X159" s="288">
        <f t="shared" si="75"/>
        <v>0</v>
      </c>
      <c r="Y159" s="288">
        <f t="shared" si="82"/>
        <v>3195.22</v>
      </c>
      <c r="Z159" s="288">
        <f t="shared" si="83"/>
        <v>130950.27</v>
      </c>
      <c r="AA159" s="288">
        <f t="shared" si="84"/>
        <v>118716.97000000002</v>
      </c>
      <c r="AB159" s="288">
        <f t="shared" si="95"/>
        <v>223424.7300000001</v>
      </c>
      <c r="AC159" s="410">
        <f t="shared" si="104"/>
        <v>99</v>
      </c>
      <c r="AD159" s="510">
        <f t="shared" si="105"/>
        <v>-19820.240000000009</v>
      </c>
      <c r="AE159" s="510">
        <f t="shared" si="76"/>
        <v>163666.15000000011</v>
      </c>
      <c r="AF159" s="510">
        <f t="shared" si="77"/>
        <v>143845.91000000009</v>
      </c>
      <c r="AG159" s="510">
        <f t="shared" si="106"/>
        <v>2813.1099999999997</v>
      </c>
      <c r="AH159" s="510">
        <f t="shared" si="107"/>
        <v>252216.99</v>
      </c>
      <c r="AI159" s="510"/>
      <c r="AJ159" s="14">
        <f t="shared" si="85"/>
        <v>2813.1099999999997</v>
      </c>
      <c r="AK159" s="14">
        <f t="shared" si="86"/>
        <v>206870.91999999955</v>
      </c>
      <c r="AL159" s="510">
        <f>IF(R159&lt;=0,0,+(Profit!$B$4+AM158)*$AL$1/12)</f>
        <v>1200.3973398427065</v>
      </c>
      <c r="AM159" s="14">
        <f t="shared" si="108"/>
        <v>106359.33327692536</v>
      </c>
    </row>
    <row r="160" spans="1:39" x14ac:dyDescent="0.25">
      <c r="A160" s="499">
        <f t="shared" si="96"/>
        <v>48759</v>
      </c>
      <c r="B160" s="288">
        <f t="shared" si="97"/>
        <v>59758.579999999994</v>
      </c>
      <c r="C160" s="14">
        <f t="shared" si="87"/>
        <v>382.11</v>
      </c>
      <c r="D160" s="14">
        <f t="shared" si="109"/>
        <v>195.36</v>
      </c>
      <c r="E160" s="14">
        <f t="shared" si="88"/>
        <v>186.75</v>
      </c>
      <c r="F160" s="288">
        <f t="shared" si="98"/>
        <v>23203.720000000005</v>
      </c>
      <c r="G160" s="288">
        <f t="shared" si="99"/>
        <v>32842.18</v>
      </c>
      <c r="H160" s="288">
        <f t="shared" si="89"/>
        <v>59563.219999999994</v>
      </c>
      <c r="I160" s="410">
        <f t="shared" si="90"/>
        <v>8</v>
      </c>
      <c r="J160" s="288">
        <f t="shared" si="100"/>
        <v>313569.34999999998</v>
      </c>
      <c r="K160" s="288">
        <f t="shared" si="79"/>
        <v>2298.4699999999998</v>
      </c>
      <c r="L160" s="288">
        <f t="shared" si="110"/>
        <v>534.63999999999987</v>
      </c>
      <c r="M160" s="288">
        <f t="shared" si="80"/>
        <v>1763.83</v>
      </c>
      <c r="N160" s="288">
        <f t="shared" si="101"/>
        <v>41340.289999999986</v>
      </c>
      <c r="O160" s="288">
        <f t="shared" si="102"/>
        <v>190805.18000000005</v>
      </c>
      <c r="P160" s="288">
        <f t="shared" si="91"/>
        <v>313034.70999999996</v>
      </c>
      <c r="Q160" s="499">
        <f t="shared" si="92"/>
        <v>48759</v>
      </c>
      <c r="R160" s="288">
        <f t="shared" si="78"/>
        <v>223424.7300000001</v>
      </c>
      <c r="S160" s="492">
        <f t="shared" si="103"/>
        <v>6.7500000000000004E-2</v>
      </c>
      <c r="T160" s="288">
        <f t="shared" si="93"/>
        <v>3195.22</v>
      </c>
      <c r="U160" s="288">
        <f t="shared" si="81"/>
        <v>1938.4599999999998</v>
      </c>
      <c r="V160" s="288">
        <f t="shared" si="94"/>
        <v>1256.76</v>
      </c>
      <c r="W160" s="288">
        <f t="shared" si="74"/>
        <v>0</v>
      </c>
      <c r="X160" s="288">
        <f t="shared" si="75"/>
        <v>0</v>
      </c>
      <c r="Y160" s="288">
        <f t="shared" si="82"/>
        <v>3195.22</v>
      </c>
      <c r="Z160" s="288">
        <f t="shared" si="83"/>
        <v>132888.73000000001</v>
      </c>
      <c r="AA160" s="288">
        <f t="shared" si="84"/>
        <v>119973.73000000001</v>
      </c>
      <c r="AB160" s="288">
        <f t="shared" si="95"/>
        <v>221486.27000000011</v>
      </c>
      <c r="AC160" s="410">
        <f t="shared" si="104"/>
        <v>100</v>
      </c>
      <c r="AD160" s="510">
        <f t="shared" si="105"/>
        <v>-20716.990000000009</v>
      </c>
      <c r="AE160" s="510">
        <f t="shared" si="76"/>
        <v>161923.0500000001</v>
      </c>
      <c r="AF160" s="510">
        <f t="shared" si="77"/>
        <v>141206.06000000008</v>
      </c>
      <c r="AG160" s="510">
        <f t="shared" si="106"/>
        <v>2813.1099999999997</v>
      </c>
      <c r="AH160" s="510">
        <f t="shared" si="107"/>
        <v>250473.89000000004</v>
      </c>
      <c r="AI160" s="510"/>
      <c r="AJ160" s="14">
        <f t="shared" si="85"/>
        <v>2813.1099999999997</v>
      </c>
      <c r="AK160" s="14">
        <f t="shared" si="86"/>
        <v>209684.02999999953</v>
      </c>
      <c r="AL160" s="510">
        <f>IF(R160&lt;=0,0,+(Profit!$B$4+AM159)*$AL$1/12)</f>
        <v>1203.3983331923134</v>
      </c>
      <c r="AM160" s="14">
        <f t="shared" si="108"/>
        <v>107562.73161011767</v>
      </c>
    </row>
    <row r="161" spans="1:39" x14ac:dyDescent="0.25">
      <c r="A161" s="499">
        <f t="shared" si="96"/>
        <v>48789</v>
      </c>
      <c r="B161" s="288">
        <f t="shared" si="97"/>
        <v>59563.219999999994</v>
      </c>
      <c r="C161" s="14">
        <f t="shared" si="87"/>
        <v>382.11</v>
      </c>
      <c r="D161" s="14">
        <f t="shared" si="109"/>
        <v>195.97000000000003</v>
      </c>
      <c r="E161" s="14">
        <f t="shared" si="88"/>
        <v>186.14</v>
      </c>
      <c r="F161" s="288">
        <f t="shared" si="98"/>
        <v>23399.690000000006</v>
      </c>
      <c r="G161" s="288">
        <f t="shared" si="99"/>
        <v>33028.32</v>
      </c>
      <c r="H161" s="288">
        <f t="shared" si="89"/>
        <v>59367.249999999993</v>
      </c>
      <c r="I161" s="410">
        <f t="shared" si="90"/>
        <v>8</v>
      </c>
      <c r="J161" s="288">
        <f t="shared" si="100"/>
        <v>313034.70999999996</v>
      </c>
      <c r="K161" s="288">
        <f t="shared" si="79"/>
        <v>2298.4699999999998</v>
      </c>
      <c r="L161" s="288">
        <f t="shared" si="110"/>
        <v>537.64999999999986</v>
      </c>
      <c r="M161" s="288">
        <f t="shared" si="80"/>
        <v>1760.82</v>
      </c>
      <c r="N161" s="288">
        <f t="shared" si="101"/>
        <v>41877.939999999988</v>
      </c>
      <c r="O161" s="288">
        <f t="shared" si="102"/>
        <v>192566.00000000006</v>
      </c>
      <c r="P161" s="288">
        <f t="shared" si="91"/>
        <v>312497.05999999994</v>
      </c>
      <c r="Q161" s="499">
        <f t="shared" si="92"/>
        <v>48789</v>
      </c>
      <c r="R161" s="288">
        <f t="shared" si="78"/>
        <v>221486.27000000011</v>
      </c>
      <c r="S161" s="492">
        <f t="shared" si="103"/>
        <v>6.7500000000000004E-2</v>
      </c>
      <c r="T161" s="288">
        <f t="shared" si="93"/>
        <v>3195.22</v>
      </c>
      <c r="U161" s="288">
        <f t="shared" si="81"/>
        <v>1949.36</v>
      </c>
      <c r="V161" s="288">
        <f t="shared" si="94"/>
        <v>1245.8599999999999</v>
      </c>
      <c r="W161" s="288">
        <f t="shared" si="74"/>
        <v>0</v>
      </c>
      <c r="X161" s="288">
        <f t="shared" si="75"/>
        <v>0</v>
      </c>
      <c r="Y161" s="288">
        <f t="shared" si="82"/>
        <v>3195.22</v>
      </c>
      <c r="Z161" s="288">
        <f t="shared" si="83"/>
        <v>134838.09</v>
      </c>
      <c r="AA161" s="288">
        <f t="shared" si="84"/>
        <v>121219.59000000001</v>
      </c>
      <c r="AB161" s="288">
        <f t="shared" si="95"/>
        <v>219536.91000000012</v>
      </c>
      <c r="AC161" s="410">
        <f t="shared" si="104"/>
        <v>101</v>
      </c>
      <c r="AD161" s="510">
        <f t="shared" si="105"/>
        <v>-21613.740000000009</v>
      </c>
      <c r="AE161" s="510">
        <f t="shared" si="76"/>
        <v>160169.66000000012</v>
      </c>
      <c r="AF161" s="510">
        <f t="shared" si="77"/>
        <v>138555.9200000001</v>
      </c>
      <c r="AG161" s="510">
        <f t="shared" si="106"/>
        <v>2813.1099999999997</v>
      </c>
      <c r="AH161" s="510">
        <f t="shared" si="107"/>
        <v>248720.50000000003</v>
      </c>
      <c r="AI161" s="510"/>
      <c r="AJ161" s="14">
        <f t="shared" si="85"/>
        <v>2813.1099999999997</v>
      </c>
      <c r="AK161" s="14">
        <f t="shared" si="86"/>
        <v>212497.13999999952</v>
      </c>
      <c r="AL161" s="510">
        <f>IF(R161&lt;=0,0,+(Profit!$B$4+AM160)*$AL$1/12)</f>
        <v>1206.4068290252942</v>
      </c>
      <c r="AM161" s="14">
        <f t="shared" si="108"/>
        <v>108769.13843914296</v>
      </c>
    </row>
    <row r="162" spans="1:39" x14ac:dyDescent="0.25">
      <c r="A162" s="499">
        <f t="shared" si="96"/>
        <v>48819</v>
      </c>
      <c r="B162" s="288">
        <f t="shared" si="97"/>
        <v>59367.249999999993</v>
      </c>
      <c r="C162" s="14">
        <f t="shared" si="87"/>
        <v>382.11</v>
      </c>
      <c r="D162" s="14">
        <f t="shared" si="109"/>
        <v>196.59</v>
      </c>
      <c r="E162" s="14">
        <f t="shared" si="88"/>
        <v>185.52</v>
      </c>
      <c r="F162" s="288">
        <f t="shared" si="98"/>
        <v>23596.280000000006</v>
      </c>
      <c r="G162" s="288">
        <f t="shared" si="99"/>
        <v>33213.839999999997</v>
      </c>
      <c r="H162" s="288">
        <f t="shared" si="89"/>
        <v>59170.659999999996</v>
      </c>
      <c r="I162" s="410">
        <f t="shared" si="90"/>
        <v>8</v>
      </c>
      <c r="J162" s="288">
        <f t="shared" si="100"/>
        <v>312497.05999999994</v>
      </c>
      <c r="K162" s="288">
        <f t="shared" si="79"/>
        <v>2298.4699999999998</v>
      </c>
      <c r="L162" s="288">
        <f t="shared" si="110"/>
        <v>540.66999999999985</v>
      </c>
      <c r="M162" s="288">
        <f t="shared" si="80"/>
        <v>1757.8</v>
      </c>
      <c r="N162" s="288">
        <f t="shared" si="101"/>
        <v>42418.609999999986</v>
      </c>
      <c r="O162" s="288">
        <f t="shared" si="102"/>
        <v>194323.80000000005</v>
      </c>
      <c r="P162" s="288">
        <f t="shared" si="91"/>
        <v>311956.38999999996</v>
      </c>
      <c r="Q162" s="499">
        <f t="shared" si="92"/>
        <v>48819</v>
      </c>
      <c r="R162" s="288">
        <f t="shared" si="78"/>
        <v>219536.91000000012</v>
      </c>
      <c r="S162" s="492">
        <f t="shared" si="103"/>
        <v>6.7500000000000004E-2</v>
      </c>
      <c r="T162" s="288">
        <f t="shared" si="93"/>
        <v>3195.22</v>
      </c>
      <c r="U162" s="288">
        <f t="shared" si="81"/>
        <v>1960.3199999999997</v>
      </c>
      <c r="V162" s="288">
        <f t="shared" si="94"/>
        <v>1234.9000000000001</v>
      </c>
      <c r="W162" s="288">
        <f t="shared" si="74"/>
        <v>0</v>
      </c>
      <c r="X162" s="288">
        <f t="shared" si="75"/>
        <v>0</v>
      </c>
      <c r="Y162" s="288">
        <f t="shared" si="82"/>
        <v>3195.22</v>
      </c>
      <c r="Z162" s="288">
        <f t="shared" si="83"/>
        <v>136798.41</v>
      </c>
      <c r="AA162" s="288">
        <f t="shared" si="84"/>
        <v>122454.49</v>
      </c>
      <c r="AB162" s="288">
        <f t="shared" si="95"/>
        <v>217576.59000000011</v>
      </c>
      <c r="AC162" s="410">
        <f t="shared" si="104"/>
        <v>102</v>
      </c>
      <c r="AD162" s="510">
        <f t="shared" si="105"/>
        <v>-22510.490000000009</v>
      </c>
      <c r="AE162" s="510">
        <f t="shared" si="76"/>
        <v>158405.93000000011</v>
      </c>
      <c r="AF162" s="510">
        <f t="shared" si="77"/>
        <v>135895.44000000009</v>
      </c>
      <c r="AG162" s="510">
        <f t="shared" si="106"/>
        <v>2813.1099999999997</v>
      </c>
      <c r="AH162" s="510">
        <f t="shared" si="107"/>
        <v>246956.77000000005</v>
      </c>
      <c r="AI162" s="510"/>
      <c r="AJ162" s="14">
        <f t="shared" si="85"/>
        <v>2813.1099999999997</v>
      </c>
      <c r="AK162" s="14">
        <f t="shared" si="86"/>
        <v>215310.24999999951</v>
      </c>
      <c r="AL162" s="510">
        <f>IF(R162&lt;=0,0,+(Profit!$B$4+AM161)*$AL$1/12)</f>
        <v>1209.4228460978572</v>
      </c>
      <c r="AM162" s="14">
        <f t="shared" si="108"/>
        <v>109978.56128524082</v>
      </c>
    </row>
    <row r="163" spans="1:39" x14ac:dyDescent="0.25">
      <c r="A163" s="499">
        <f t="shared" si="96"/>
        <v>48849</v>
      </c>
      <c r="B163" s="288">
        <f t="shared" si="97"/>
        <v>59170.659999999996</v>
      </c>
      <c r="C163" s="14">
        <f t="shared" si="87"/>
        <v>382.11</v>
      </c>
      <c r="D163" s="14">
        <f t="shared" si="109"/>
        <v>197.20000000000002</v>
      </c>
      <c r="E163" s="14">
        <f t="shared" si="88"/>
        <v>184.91</v>
      </c>
      <c r="F163" s="288">
        <f t="shared" si="98"/>
        <v>23793.480000000007</v>
      </c>
      <c r="G163" s="288">
        <f t="shared" si="99"/>
        <v>33398.75</v>
      </c>
      <c r="H163" s="288">
        <f t="shared" si="89"/>
        <v>58973.46</v>
      </c>
      <c r="I163" s="410">
        <f t="shared" si="90"/>
        <v>8</v>
      </c>
      <c r="J163" s="288">
        <f t="shared" si="100"/>
        <v>311956.38999999996</v>
      </c>
      <c r="K163" s="288">
        <f t="shared" si="79"/>
        <v>2298.4699999999998</v>
      </c>
      <c r="L163" s="288">
        <f t="shared" si="110"/>
        <v>543.7199999999998</v>
      </c>
      <c r="M163" s="288">
        <f t="shared" si="80"/>
        <v>1754.75</v>
      </c>
      <c r="N163" s="288">
        <f t="shared" si="101"/>
        <v>42962.329999999987</v>
      </c>
      <c r="O163" s="288">
        <f t="shared" si="102"/>
        <v>196078.55000000005</v>
      </c>
      <c r="P163" s="288">
        <f t="shared" si="91"/>
        <v>311412.67</v>
      </c>
      <c r="Q163" s="499">
        <f t="shared" si="92"/>
        <v>48849</v>
      </c>
      <c r="R163" s="288">
        <f t="shared" si="78"/>
        <v>217576.59000000011</v>
      </c>
      <c r="S163" s="492">
        <f t="shared" si="103"/>
        <v>6.7500000000000004E-2</v>
      </c>
      <c r="T163" s="288">
        <f t="shared" si="93"/>
        <v>3195.22</v>
      </c>
      <c r="U163" s="288">
        <f t="shared" si="81"/>
        <v>1971.35</v>
      </c>
      <c r="V163" s="288">
        <f t="shared" si="94"/>
        <v>1223.8699999999999</v>
      </c>
      <c r="W163" s="288">
        <f t="shared" si="74"/>
        <v>0</v>
      </c>
      <c r="X163" s="288">
        <f t="shared" si="75"/>
        <v>0</v>
      </c>
      <c r="Y163" s="288">
        <f t="shared" si="82"/>
        <v>3195.22</v>
      </c>
      <c r="Z163" s="288">
        <f t="shared" si="83"/>
        <v>138769.76</v>
      </c>
      <c r="AA163" s="288">
        <f t="shared" si="84"/>
        <v>123678.36</v>
      </c>
      <c r="AB163" s="288">
        <f t="shared" si="95"/>
        <v>215605.24000000011</v>
      </c>
      <c r="AC163" s="410">
        <f t="shared" si="104"/>
        <v>103</v>
      </c>
      <c r="AD163" s="510">
        <f t="shared" si="105"/>
        <v>-23407.240000000009</v>
      </c>
      <c r="AE163" s="510">
        <f t="shared" si="76"/>
        <v>156631.78000000012</v>
      </c>
      <c r="AF163" s="510">
        <f t="shared" si="77"/>
        <v>133224.5400000001</v>
      </c>
      <c r="AG163" s="510">
        <f t="shared" si="106"/>
        <v>2813.1099999999997</v>
      </c>
      <c r="AH163" s="510">
        <f t="shared" si="107"/>
        <v>245182.62</v>
      </c>
      <c r="AI163" s="510"/>
      <c r="AJ163" s="14">
        <f t="shared" si="85"/>
        <v>2813.1099999999997</v>
      </c>
      <c r="AK163" s="14">
        <f t="shared" si="86"/>
        <v>218123.35999999949</v>
      </c>
      <c r="AL163" s="510">
        <f>IF(R163&lt;=0,0,+(Profit!$B$4+AM162)*$AL$1/12)</f>
        <v>1212.446403213102</v>
      </c>
      <c r="AM163" s="14">
        <f t="shared" si="108"/>
        <v>111191.00768845393</v>
      </c>
    </row>
    <row r="164" spans="1:39" x14ac:dyDescent="0.25">
      <c r="A164" s="499">
        <f t="shared" si="96"/>
        <v>48879</v>
      </c>
      <c r="B164" s="288">
        <f t="shared" si="97"/>
        <v>58973.46</v>
      </c>
      <c r="C164" s="14">
        <f t="shared" si="87"/>
        <v>382.11</v>
      </c>
      <c r="D164" s="14">
        <f t="shared" si="109"/>
        <v>197.82000000000002</v>
      </c>
      <c r="E164" s="14">
        <f t="shared" si="88"/>
        <v>184.29</v>
      </c>
      <c r="F164" s="288">
        <f t="shared" si="98"/>
        <v>23991.300000000007</v>
      </c>
      <c r="G164" s="288">
        <f t="shared" si="99"/>
        <v>33583.040000000001</v>
      </c>
      <c r="H164" s="288">
        <f t="shared" si="89"/>
        <v>58775.64</v>
      </c>
      <c r="I164" s="410">
        <f t="shared" si="90"/>
        <v>8</v>
      </c>
      <c r="J164" s="288">
        <f t="shared" si="100"/>
        <v>311412.67</v>
      </c>
      <c r="K164" s="288">
        <f t="shared" si="79"/>
        <v>2298.4699999999998</v>
      </c>
      <c r="L164" s="288">
        <f t="shared" si="110"/>
        <v>546.76999999999975</v>
      </c>
      <c r="M164" s="288">
        <f t="shared" si="80"/>
        <v>1751.7</v>
      </c>
      <c r="N164" s="288">
        <f t="shared" si="101"/>
        <v>43509.099999999984</v>
      </c>
      <c r="O164" s="288">
        <f t="shared" si="102"/>
        <v>197830.25000000006</v>
      </c>
      <c r="P164" s="288">
        <f t="shared" si="91"/>
        <v>310865.89999999997</v>
      </c>
      <c r="Q164" s="499">
        <f t="shared" si="92"/>
        <v>48879</v>
      </c>
      <c r="R164" s="288">
        <f t="shared" si="78"/>
        <v>215605.24000000011</v>
      </c>
      <c r="S164" s="492">
        <f t="shared" si="103"/>
        <v>6.7500000000000004E-2</v>
      </c>
      <c r="T164" s="288">
        <f t="shared" si="93"/>
        <v>3195.22</v>
      </c>
      <c r="U164" s="288">
        <f t="shared" si="81"/>
        <v>1982.4399999999998</v>
      </c>
      <c r="V164" s="288">
        <f t="shared" si="94"/>
        <v>1212.78</v>
      </c>
      <c r="W164" s="288">
        <f t="shared" si="74"/>
        <v>0</v>
      </c>
      <c r="X164" s="288">
        <f t="shared" si="75"/>
        <v>0</v>
      </c>
      <c r="Y164" s="288">
        <f t="shared" si="82"/>
        <v>3195.22</v>
      </c>
      <c r="Z164" s="288">
        <f t="shared" si="83"/>
        <v>140752.20000000001</v>
      </c>
      <c r="AA164" s="288">
        <f t="shared" si="84"/>
        <v>124891.14</v>
      </c>
      <c r="AB164" s="288">
        <f t="shared" si="95"/>
        <v>213622.8000000001</v>
      </c>
      <c r="AC164" s="410">
        <f t="shared" si="104"/>
        <v>104</v>
      </c>
      <c r="AD164" s="510">
        <f t="shared" si="105"/>
        <v>-24303.990000000009</v>
      </c>
      <c r="AE164" s="510">
        <f t="shared" si="76"/>
        <v>154847.16000000009</v>
      </c>
      <c r="AF164" s="510">
        <f t="shared" si="77"/>
        <v>130543.17000000009</v>
      </c>
      <c r="AG164" s="510">
        <f t="shared" si="106"/>
        <v>2813.1099999999997</v>
      </c>
      <c r="AH164" s="510">
        <f t="shared" si="107"/>
        <v>243398</v>
      </c>
      <c r="AI164" s="510"/>
      <c r="AJ164" s="14">
        <f t="shared" si="85"/>
        <v>2813.1099999999997</v>
      </c>
      <c r="AK164" s="14">
        <f t="shared" si="86"/>
        <v>220936.46999999948</v>
      </c>
      <c r="AL164" s="510">
        <f>IF(R164&lt;=0,0,+(Profit!$B$4+AM163)*$AL$1/12)</f>
        <v>1215.4775192211348</v>
      </c>
      <c r="AM164" s="14">
        <f t="shared" si="108"/>
        <v>112406.48520767507</v>
      </c>
    </row>
    <row r="165" spans="1:39" x14ac:dyDescent="0.25">
      <c r="A165" s="499">
        <f t="shared" si="96"/>
        <v>48909</v>
      </c>
      <c r="B165" s="288">
        <f t="shared" si="97"/>
        <v>58775.64</v>
      </c>
      <c r="C165" s="14">
        <f t="shared" si="87"/>
        <v>382.11</v>
      </c>
      <c r="D165" s="14">
        <f t="shared" si="109"/>
        <v>198.44000000000003</v>
      </c>
      <c r="E165" s="14">
        <f t="shared" si="88"/>
        <v>183.67</v>
      </c>
      <c r="F165" s="288">
        <f t="shared" si="98"/>
        <v>24189.740000000005</v>
      </c>
      <c r="G165" s="288">
        <f t="shared" si="99"/>
        <v>33766.71</v>
      </c>
      <c r="H165" s="288">
        <f t="shared" si="89"/>
        <v>58577.2</v>
      </c>
      <c r="I165" s="410">
        <f t="shared" si="90"/>
        <v>8</v>
      </c>
      <c r="J165" s="288">
        <f t="shared" si="100"/>
        <v>310865.89999999997</v>
      </c>
      <c r="K165" s="288">
        <f t="shared" si="79"/>
        <v>2298.4699999999998</v>
      </c>
      <c r="L165" s="288">
        <f t="shared" si="110"/>
        <v>549.84999999999991</v>
      </c>
      <c r="M165" s="288">
        <f t="shared" si="80"/>
        <v>1748.62</v>
      </c>
      <c r="N165" s="288">
        <f t="shared" si="101"/>
        <v>44058.949999999983</v>
      </c>
      <c r="O165" s="288">
        <f t="shared" si="102"/>
        <v>199578.87000000005</v>
      </c>
      <c r="P165" s="288">
        <f t="shared" si="91"/>
        <v>310316.05</v>
      </c>
      <c r="Q165" s="499">
        <f t="shared" si="92"/>
        <v>48909</v>
      </c>
      <c r="R165" s="288">
        <f t="shared" si="78"/>
        <v>213622.8000000001</v>
      </c>
      <c r="S165" s="492">
        <f t="shared" si="103"/>
        <v>6.7500000000000004E-2</v>
      </c>
      <c r="T165" s="288">
        <f t="shared" si="93"/>
        <v>3195.22</v>
      </c>
      <c r="U165" s="288">
        <f t="shared" si="81"/>
        <v>1993.5899999999997</v>
      </c>
      <c r="V165" s="288">
        <f t="shared" si="94"/>
        <v>1201.6300000000001</v>
      </c>
      <c r="W165" s="288">
        <f t="shared" si="74"/>
        <v>0</v>
      </c>
      <c r="X165" s="288">
        <f t="shared" si="75"/>
        <v>0</v>
      </c>
      <c r="Y165" s="288">
        <f t="shared" si="82"/>
        <v>3195.22</v>
      </c>
      <c r="Z165" s="288">
        <f t="shared" si="83"/>
        <v>142745.79</v>
      </c>
      <c r="AA165" s="288">
        <f t="shared" si="84"/>
        <v>126092.77</v>
      </c>
      <c r="AB165" s="288">
        <f t="shared" si="95"/>
        <v>211629.21000000011</v>
      </c>
      <c r="AC165" s="410">
        <f t="shared" si="104"/>
        <v>105</v>
      </c>
      <c r="AD165" s="510">
        <f t="shared" si="105"/>
        <v>-25200.740000000009</v>
      </c>
      <c r="AE165" s="510">
        <f t="shared" si="76"/>
        <v>153052.01000000013</v>
      </c>
      <c r="AF165" s="510">
        <f t="shared" si="77"/>
        <v>127851.27000000012</v>
      </c>
      <c r="AG165" s="510">
        <f t="shared" si="106"/>
        <v>2813.1099999999997</v>
      </c>
      <c r="AH165" s="510">
        <f t="shared" si="107"/>
        <v>241602.85</v>
      </c>
      <c r="AI165" s="510"/>
      <c r="AJ165" s="14">
        <f t="shared" si="85"/>
        <v>2813.1099999999997</v>
      </c>
      <c r="AK165" s="14">
        <f t="shared" si="86"/>
        <v>223749.57999999946</v>
      </c>
      <c r="AL165" s="510">
        <f>IF(R165&lt;=0,0,+(Profit!$B$4+AM164)*$AL$1/12)</f>
        <v>1218.5162130191877</v>
      </c>
      <c r="AM165" s="14">
        <f t="shared" si="108"/>
        <v>113625.00142069426</v>
      </c>
    </row>
    <row r="166" spans="1:39" x14ac:dyDescent="0.25">
      <c r="A166" s="499">
        <f t="shared" si="96"/>
        <v>48939</v>
      </c>
      <c r="B166" s="288">
        <f t="shared" si="97"/>
        <v>58577.2</v>
      </c>
      <c r="C166" s="14">
        <f t="shared" si="87"/>
        <v>382.11</v>
      </c>
      <c r="D166" s="14">
        <f t="shared" si="109"/>
        <v>199.06</v>
      </c>
      <c r="E166" s="14">
        <f t="shared" si="88"/>
        <v>183.05</v>
      </c>
      <c r="F166" s="288">
        <f t="shared" si="98"/>
        <v>24388.800000000007</v>
      </c>
      <c r="G166" s="288">
        <f t="shared" si="99"/>
        <v>33949.760000000002</v>
      </c>
      <c r="H166" s="288">
        <f t="shared" si="89"/>
        <v>58378.14</v>
      </c>
      <c r="I166" s="410">
        <f t="shared" si="90"/>
        <v>8</v>
      </c>
      <c r="J166" s="288">
        <f t="shared" si="100"/>
        <v>310316.05</v>
      </c>
      <c r="K166" s="288">
        <f t="shared" si="79"/>
        <v>2298.4699999999998</v>
      </c>
      <c r="L166" s="288">
        <f t="shared" si="110"/>
        <v>552.93999999999983</v>
      </c>
      <c r="M166" s="288">
        <f t="shared" si="80"/>
        <v>1745.53</v>
      </c>
      <c r="N166" s="288">
        <f t="shared" si="101"/>
        <v>44611.889999999985</v>
      </c>
      <c r="O166" s="288">
        <f t="shared" si="102"/>
        <v>201324.40000000005</v>
      </c>
      <c r="P166" s="288">
        <f t="shared" si="91"/>
        <v>309763.11</v>
      </c>
      <c r="Q166" s="499">
        <f t="shared" si="92"/>
        <v>48939</v>
      </c>
      <c r="R166" s="288">
        <f t="shared" si="78"/>
        <v>211629.21000000011</v>
      </c>
      <c r="S166" s="492">
        <f t="shared" si="103"/>
        <v>6.7500000000000004E-2</v>
      </c>
      <c r="T166" s="288">
        <f t="shared" si="93"/>
        <v>3195.22</v>
      </c>
      <c r="U166" s="288">
        <f t="shared" si="81"/>
        <v>2004.8099999999997</v>
      </c>
      <c r="V166" s="288">
        <f t="shared" si="94"/>
        <v>1190.4100000000001</v>
      </c>
      <c r="W166" s="288">
        <f t="shared" si="74"/>
        <v>0</v>
      </c>
      <c r="X166" s="288">
        <f t="shared" si="75"/>
        <v>0</v>
      </c>
      <c r="Y166" s="288">
        <f t="shared" si="82"/>
        <v>3195.22</v>
      </c>
      <c r="Z166" s="288">
        <f t="shared" si="83"/>
        <v>144750.6</v>
      </c>
      <c r="AA166" s="288">
        <f t="shared" si="84"/>
        <v>127283.18000000001</v>
      </c>
      <c r="AB166" s="288">
        <f t="shared" si="95"/>
        <v>209624.40000000011</v>
      </c>
      <c r="AC166" s="410">
        <f t="shared" si="104"/>
        <v>106</v>
      </c>
      <c r="AD166" s="510">
        <f t="shared" si="105"/>
        <v>-26097.490000000009</v>
      </c>
      <c r="AE166" s="510">
        <f t="shared" si="76"/>
        <v>151246.26000000013</v>
      </c>
      <c r="AF166" s="510">
        <f t="shared" si="77"/>
        <v>125148.77000000012</v>
      </c>
      <c r="AG166" s="510">
        <f t="shared" si="106"/>
        <v>2813.1099999999997</v>
      </c>
      <c r="AH166" s="510">
        <f t="shared" si="107"/>
        <v>239797.1</v>
      </c>
      <c r="AI166" s="510"/>
      <c r="AJ166" s="14">
        <f t="shared" si="85"/>
        <v>2813.1099999999997</v>
      </c>
      <c r="AK166" s="14">
        <f t="shared" si="86"/>
        <v>226562.68999999945</v>
      </c>
      <c r="AL166" s="510">
        <f>IF(R166&lt;=0,0,+(Profit!$B$4+AM165)*$AL$1/12)</f>
        <v>1221.5625035517357</v>
      </c>
      <c r="AM166" s="14">
        <f t="shared" si="108"/>
        <v>114846.56392424599</v>
      </c>
    </row>
    <row r="167" spans="1:39" x14ac:dyDescent="0.25">
      <c r="A167" s="499">
        <f t="shared" si="96"/>
        <v>48969</v>
      </c>
      <c r="B167" s="288">
        <f t="shared" si="97"/>
        <v>58378.14</v>
      </c>
      <c r="C167" s="14">
        <f t="shared" si="87"/>
        <v>382.11</v>
      </c>
      <c r="D167" s="14">
        <f t="shared" si="109"/>
        <v>199.68</v>
      </c>
      <c r="E167" s="14">
        <f t="shared" si="88"/>
        <v>182.43</v>
      </c>
      <c r="F167" s="288">
        <f t="shared" si="98"/>
        <v>24588.480000000007</v>
      </c>
      <c r="G167" s="288">
        <f t="shared" si="99"/>
        <v>34132.19</v>
      </c>
      <c r="H167" s="288">
        <f t="shared" si="89"/>
        <v>58178.46</v>
      </c>
      <c r="I167" s="410">
        <f t="shared" si="90"/>
        <v>8</v>
      </c>
      <c r="J167" s="288">
        <f t="shared" si="100"/>
        <v>309763.11</v>
      </c>
      <c r="K167" s="288">
        <f t="shared" si="79"/>
        <v>2298.4699999999998</v>
      </c>
      <c r="L167" s="288">
        <f t="shared" si="110"/>
        <v>556.04999999999973</v>
      </c>
      <c r="M167" s="288">
        <f t="shared" si="80"/>
        <v>1742.42</v>
      </c>
      <c r="N167" s="288">
        <f t="shared" si="101"/>
        <v>45167.939999999988</v>
      </c>
      <c r="O167" s="288">
        <f t="shared" si="102"/>
        <v>203066.82000000007</v>
      </c>
      <c r="P167" s="288">
        <f t="shared" si="91"/>
        <v>309207.06</v>
      </c>
      <c r="Q167" s="499">
        <f t="shared" si="92"/>
        <v>48969</v>
      </c>
      <c r="R167" s="288">
        <f t="shared" si="78"/>
        <v>209624.40000000011</v>
      </c>
      <c r="S167" s="492">
        <f t="shared" si="103"/>
        <v>6.7500000000000004E-2</v>
      </c>
      <c r="T167" s="288">
        <f t="shared" si="93"/>
        <v>3195.22</v>
      </c>
      <c r="U167" s="288">
        <f t="shared" si="81"/>
        <v>2016.0799999999997</v>
      </c>
      <c r="V167" s="288">
        <f t="shared" si="94"/>
        <v>1179.1400000000001</v>
      </c>
      <c r="W167" s="288">
        <f t="shared" si="74"/>
        <v>0</v>
      </c>
      <c r="X167" s="288">
        <f t="shared" si="75"/>
        <v>0</v>
      </c>
      <c r="Y167" s="288">
        <f t="shared" si="82"/>
        <v>3195.22</v>
      </c>
      <c r="Z167" s="288">
        <f t="shared" si="83"/>
        <v>146766.68</v>
      </c>
      <c r="AA167" s="288">
        <f t="shared" si="84"/>
        <v>128462.32</v>
      </c>
      <c r="AB167" s="288">
        <f t="shared" si="95"/>
        <v>207608.32000000012</v>
      </c>
      <c r="AC167" s="410">
        <f t="shared" si="104"/>
        <v>107</v>
      </c>
      <c r="AD167" s="510">
        <f t="shared" si="105"/>
        <v>-26994.240000000009</v>
      </c>
      <c r="AE167" s="510">
        <f t="shared" si="76"/>
        <v>149429.86000000013</v>
      </c>
      <c r="AF167" s="510">
        <f t="shared" si="77"/>
        <v>122435.62000000013</v>
      </c>
      <c r="AG167" s="510">
        <f t="shared" si="106"/>
        <v>2813.1099999999997</v>
      </c>
      <c r="AH167" s="510">
        <f t="shared" si="107"/>
        <v>237980.7</v>
      </c>
      <c r="AI167" s="510"/>
      <c r="AJ167" s="14">
        <f t="shared" si="85"/>
        <v>2813.1099999999997</v>
      </c>
      <c r="AK167" s="14">
        <f t="shared" si="86"/>
        <v>229375.79999999944</v>
      </c>
      <c r="AL167" s="510">
        <f>IF(R167&lt;=0,0,+(Profit!$B$4+AM166)*$AL$1/12)</f>
        <v>1224.6164098106149</v>
      </c>
      <c r="AM167" s="14">
        <f t="shared" si="108"/>
        <v>116071.1803340566</v>
      </c>
    </row>
    <row r="168" spans="1:39" x14ac:dyDescent="0.25">
      <c r="A168" s="499">
        <f t="shared" si="96"/>
        <v>48999</v>
      </c>
      <c r="B168" s="288">
        <f t="shared" si="97"/>
        <v>58178.46</v>
      </c>
      <c r="C168" s="14">
        <f t="shared" si="87"/>
        <v>382.11</v>
      </c>
      <c r="D168" s="14">
        <f t="shared" si="109"/>
        <v>200.3</v>
      </c>
      <c r="E168" s="14">
        <f t="shared" si="88"/>
        <v>181.81</v>
      </c>
      <c r="F168" s="288">
        <f t="shared" si="98"/>
        <v>24788.780000000006</v>
      </c>
      <c r="G168" s="288">
        <f t="shared" si="99"/>
        <v>34314</v>
      </c>
      <c r="H168" s="288">
        <f t="shared" si="89"/>
        <v>57978.159999999996</v>
      </c>
      <c r="I168" s="410">
        <f t="shared" si="90"/>
        <v>9</v>
      </c>
      <c r="J168" s="288">
        <f t="shared" si="100"/>
        <v>309207.06</v>
      </c>
      <c r="K168" s="288">
        <f t="shared" si="79"/>
        <v>2298.4699999999998</v>
      </c>
      <c r="L168" s="288">
        <f t="shared" si="110"/>
        <v>559.17999999999984</v>
      </c>
      <c r="M168" s="288">
        <f t="shared" si="80"/>
        <v>1739.29</v>
      </c>
      <c r="N168" s="288">
        <f t="shared" si="101"/>
        <v>45727.119999999988</v>
      </c>
      <c r="O168" s="288">
        <f t="shared" si="102"/>
        <v>204806.11000000007</v>
      </c>
      <c r="P168" s="288">
        <f t="shared" si="91"/>
        <v>308647.88</v>
      </c>
      <c r="Q168" s="499">
        <f t="shared" si="92"/>
        <v>48999</v>
      </c>
      <c r="R168" s="288">
        <f t="shared" si="78"/>
        <v>207608.32000000012</v>
      </c>
      <c r="S168" s="492">
        <f t="shared" si="103"/>
        <v>6.7500000000000004E-2</v>
      </c>
      <c r="T168" s="288">
        <f t="shared" si="93"/>
        <v>3195.22</v>
      </c>
      <c r="U168" s="288">
        <f t="shared" si="81"/>
        <v>2027.4199999999998</v>
      </c>
      <c r="V168" s="288">
        <f t="shared" si="94"/>
        <v>1167.8</v>
      </c>
      <c r="W168" s="288">
        <f t="shared" si="74"/>
        <v>0</v>
      </c>
      <c r="X168" s="288">
        <f t="shared" si="75"/>
        <v>0</v>
      </c>
      <c r="Y168" s="288">
        <f t="shared" si="82"/>
        <v>3195.22</v>
      </c>
      <c r="Z168" s="288">
        <f t="shared" si="83"/>
        <v>148794.1</v>
      </c>
      <c r="AA168" s="288">
        <f t="shared" si="84"/>
        <v>129630.12000000001</v>
      </c>
      <c r="AB168" s="288">
        <f t="shared" si="95"/>
        <v>205580.90000000011</v>
      </c>
      <c r="AC168" s="410">
        <f t="shared" si="104"/>
        <v>108</v>
      </c>
      <c r="AD168" s="510">
        <f t="shared" si="105"/>
        <v>-27890.990000000009</v>
      </c>
      <c r="AE168" s="510">
        <f t="shared" si="76"/>
        <v>147602.74000000011</v>
      </c>
      <c r="AF168" s="510">
        <f t="shared" si="77"/>
        <v>119711.7500000001</v>
      </c>
      <c r="AG168" s="510">
        <f t="shared" si="106"/>
        <v>2813.1099999999997</v>
      </c>
      <c r="AH168" s="510">
        <f t="shared" si="107"/>
        <v>236153.58000000005</v>
      </c>
      <c r="AI168" s="510"/>
      <c r="AJ168" s="14">
        <f t="shared" si="85"/>
        <v>2813.1099999999997</v>
      </c>
      <c r="AK168" s="14">
        <f t="shared" si="86"/>
        <v>232188.90999999942</v>
      </c>
      <c r="AL168" s="510">
        <f>IF(R168&lt;=0,0,+(Profit!$B$4+AM167)*$AL$1/12)</f>
        <v>1227.6779508351415</v>
      </c>
      <c r="AM168" s="14">
        <f t="shared" si="108"/>
        <v>117298.85828489174</v>
      </c>
    </row>
    <row r="169" spans="1:39" x14ac:dyDescent="0.25">
      <c r="A169" s="499">
        <f t="shared" si="96"/>
        <v>49029</v>
      </c>
      <c r="B169" s="288">
        <f t="shared" si="97"/>
        <v>57978.159999999996</v>
      </c>
      <c r="C169" s="14">
        <f t="shared" si="87"/>
        <v>382.11</v>
      </c>
      <c r="D169" s="14">
        <f t="shared" si="109"/>
        <v>200.93</v>
      </c>
      <c r="E169" s="14">
        <f t="shared" si="88"/>
        <v>181.18</v>
      </c>
      <c r="F169" s="288">
        <f t="shared" si="98"/>
        <v>24989.710000000006</v>
      </c>
      <c r="G169" s="288">
        <f t="shared" si="99"/>
        <v>34495.18</v>
      </c>
      <c r="H169" s="288">
        <f t="shared" si="89"/>
        <v>57777.229999999996</v>
      </c>
      <c r="I169" s="410">
        <f t="shared" si="90"/>
        <v>9</v>
      </c>
      <c r="J169" s="288">
        <f t="shared" si="100"/>
        <v>308647.88</v>
      </c>
      <c r="K169" s="288">
        <f t="shared" si="79"/>
        <v>2298.4699999999998</v>
      </c>
      <c r="L169" s="288">
        <f t="shared" si="110"/>
        <v>562.3299999999997</v>
      </c>
      <c r="M169" s="288">
        <f t="shared" si="80"/>
        <v>1736.14</v>
      </c>
      <c r="N169" s="288">
        <f t="shared" si="101"/>
        <v>46289.44999999999</v>
      </c>
      <c r="O169" s="288">
        <f t="shared" si="102"/>
        <v>206542.25000000009</v>
      </c>
      <c r="P169" s="288">
        <f t="shared" si="91"/>
        <v>308085.55</v>
      </c>
      <c r="Q169" s="499">
        <f t="shared" si="92"/>
        <v>49029</v>
      </c>
      <c r="R169" s="288">
        <f t="shared" si="78"/>
        <v>205580.90000000011</v>
      </c>
      <c r="S169" s="492">
        <f t="shared" si="103"/>
        <v>6.7500000000000004E-2</v>
      </c>
      <c r="T169" s="288">
        <f t="shared" si="93"/>
        <v>3195.22</v>
      </c>
      <c r="U169" s="288">
        <f t="shared" si="81"/>
        <v>2038.8299999999997</v>
      </c>
      <c r="V169" s="288">
        <f t="shared" si="94"/>
        <v>1156.3900000000001</v>
      </c>
      <c r="W169" s="288">
        <f t="shared" si="74"/>
        <v>0</v>
      </c>
      <c r="X169" s="288">
        <f t="shared" si="75"/>
        <v>0</v>
      </c>
      <c r="Y169" s="288">
        <f t="shared" si="82"/>
        <v>3195.22</v>
      </c>
      <c r="Z169" s="288">
        <f t="shared" si="83"/>
        <v>150832.93</v>
      </c>
      <c r="AA169" s="288">
        <f t="shared" si="84"/>
        <v>130786.51000000001</v>
      </c>
      <c r="AB169" s="288">
        <f t="shared" si="95"/>
        <v>203542.07000000012</v>
      </c>
      <c r="AC169" s="410">
        <f t="shared" si="104"/>
        <v>109</v>
      </c>
      <c r="AD169" s="510">
        <f t="shared" si="105"/>
        <v>-28787.740000000009</v>
      </c>
      <c r="AE169" s="510">
        <f t="shared" si="76"/>
        <v>145764.84000000014</v>
      </c>
      <c r="AF169" s="510">
        <f t="shared" si="77"/>
        <v>116977.10000000014</v>
      </c>
      <c r="AG169" s="510">
        <f t="shared" si="106"/>
        <v>2813.1099999999997</v>
      </c>
      <c r="AH169" s="510">
        <f t="shared" si="107"/>
        <v>234315.68000000005</v>
      </c>
      <c r="AI169" s="510"/>
      <c r="AJ169" s="14">
        <f t="shared" si="85"/>
        <v>2813.1099999999997</v>
      </c>
      <c r="AK169" s="14">
        <f t="shared" si="86"/>
        <v>235002.01999999941</v>
      </c>
      <c r="AL169" s="510">
        <f>IF(R169&lt;=0,0,+(Profit!$B$4+AM168)*$AL$1/12)</f>
        <v>1230.7471457122294</v>
      </c>
      <c r="AM169" s="14">
        <f t="shared" si="108"/>
        <v>118529.60543060397</v>
      </c>
    </row>
    <row r="170" spans="1:39" ht="15.75" thickBot="1" x14ac:dyDescent="0.3">
      <c r="A170" s="502">
        <f t="shared" si="96"/>
        <v>49059</v>
      </c>
      <c r="B170" s="343">
        <f t="shared" si="97"/>
        <v>57777.229999999996</v>
      </c>
      <c r="C170" s="21">
        <f t="shared" si="87"/>
        <v>382.11</v>
      </c>
      <c r="D170" s="21">
        <f t="shared" si="109"/>
        <v>201.56</v>
      </c>
      <c r="E170" s="21">
        <f t="shared" si="88"/>
        <v>180.55</v>
      </c>
      <c r="F170" s="343">
        <f t="shared" si="98"/>
        <v>25191.270000000008</v>
      </c>
      <c r="G170" s="343">
        <f t="shared" si="99"/>
        <v>34675.730000000003</v>
      </c>
      <c r="H170" s="343">
        <f t="shared" si="89"/>
        <v>57575.67</v>
      </c>
      <c r="I170" s="411">
        <f t="shared" si="90"/>
        <v>9</v>
      </c>
      <c r="J170" s="343">
        <f t="shared" si="100"/>
        <v>308085.55</v>
      </c>
      <c r="K170" s="343">
        <f t="shared" si="79"/>
        <v>2298.4699999999998</v>
      </c>
      <c r="L170" s="343">
        <f t="shared" si="110"/>
        <v>565.48999999999978</v>
      </c>
      <c r="M170" s="343">
        <f t="shared" si="80"/>
        <v>1732.98</v>
      </c>
      <c r="N170" s="343">
        <f t="shared" si="101"/>
        <v>46854.939999999988</v>
      </c>
      <c r="O170" s="343">
        <f t="shared" si="102"/>
        <v>208275.2300000001</v>
      </c>
      <c r="P170" s="343">
        <f t="shared" si="91"/>
        <v>307520.06</v>
      </c>
      <c r="Q170" s="502">
        <f t="shared" si="92"/>
        <v>49059</v>
      </c>
      <c r="R170" s="343">
        <f t="shared" si="78"/>
        <v>203542.07000000012</v>
      </c>
      <c r="S170" s="493">
        <f t="shared" si="103"/>
        <v>6.7500000000000004E-2</v>
      </c>
      <c r="T170" s="343">
        <f t="shared" si="93"/>
        <v>3195.22</v>
      </c>
      <c r="U170" s="343">
        <f t="shared" si="81"/>
        <v>2050.2999999999997</v>
      </c>
      <c r="V170" s="343">
        <f t="shared" si="94"/>
        <v>1144.92</v>
      </c>
      <c r="W170" s="343">
        <f t="shared" si="74"/>
        <v>0</v>
      </c>
      <c r="X170" s="343">
        <f t="shared" si="75"/>
        <v>0</v>
      </c>
      <c r="Y170" s="343">
        <f t="shared" si="82"/>
        <v>3195.22</v>
      </c>
      <c r="Z170" s="343">
        <f t="shared" si="83"/>
        <v>152883.22999999998</v>
      </c>
      <c r="AA170" s="343">
        <f t="shared" si="84"/>
        <v>131931.43000000002</v>
      </c>
      <c r="AB170" s="343">
        <f t="shared" si="95"/>
        <v>201491.77000000014</v>
      </c>
      <c r="AC170" s="411">
        <f t="shared" si="104"/>
        <v>110</v>
      </c>
      <c r="AD170" s="511">
        <f t="shared" si="105"/>
        <v>-29684.490000000009</v>
      </c>
      <c r="AE170" s="511">
        <f t="shared" si="76"/>
        <v>143916.10000000015</v>
      </c>
      <c r="AF170" s="511">
        <f t="shared" si="77"/>
        <v>114231.61000000015</v>
      </c>
      <c r="AG170" s="511">
        <f t="shared" si="106"/>
        <v>2813.1099999999997</v>
      </c>
      <c r="AH170" s="511">
        <f t="shared" si="107"/>
        <v>232466.94000000006</v>
      </c>
      <c r="AI170" s="511"/>
      <c r="AJ170" s="21">
        <f t="shared" si="85"/>
        <v>2813.1099999999997</v>
      </c>
      <c r="AK170" s="21">
        <f t="shared" si="86"/>
        <v>237815.12999999939</v>
      </c>
      <c r="AL170" s="511">
        <f>IF(R170&lt;=0,0,+(Profit!$B$4+AM169)*$AL$1/12)</f>
        <v>1233.8240135765097</v>
      </c>
      <c r="AM170" s="21">
        <f t="shared" si="108"/>
        <v>119763.42944418048</v>
      </c>
    </row>
    <row r="171" spans="1:39" x14ac:dyDescent="0.25">
      <c r="A171" s="499">
        <f t="shared" si="96"/>
        <v>49089</v>
      </c>
      <c r="B171" s="288">
        <f t="shared" si="97"/>
        <v>57575.67</v>
      </c>
      <c r="C171" s="14">
        <f t="shared" si="87"/>
        <v>382.11</v>
      </c>
      <c r="D171" s="14">
        <f t="shared" si="109"/>
        <v>202.19000000000003</v>
      </c>
      <c r="E171" s="14">
        <f t="shared" si="88"/>
        <v>179.92</v>
      </c>
      <c r="F171" s="288">
        <f t="shared" si="98"/>
        <v>25393.460000000006</v>
      </c>
      <c r="G171" s="288">
        <f t="shared" si="99"/>
        <v>34855.65</v>
      </c>
      <c r="H171" s="288">
        <f t="shared" si="89"/>
        <v>57373.479999999996</v>
      </c>
      <c r="I171" s="410">
        <f t="shared" si="90"/>
        <v>9</v>
      </c>
      <c r="J171" s="288">
        <f t="shared" si="100"/>
        <v>307520.06</v>
      </c>
      <c r="K171" s="288">
        <f t="shared" si="79"/>
        <v>2298.4699999999998</v>
      </c>
      <c r="L171" s="288">
        <f t="shared" si="110"/>
        <v>568.66999999999985</v>
      </c>
      <c r="M171" s="288">
        <f t="shared" si="80"/>
        <v>1729.8</v>
      </c>
      <c r="N171" s="288">
        <f t="shared" si="101"/>
        <v>47423.609999999986</v>
      </c>
      <c r="O171" s="288">
        <f t="shared" si="102"/>
        <v>210005.03000000009</v>
      </c>
      <c r="P171" s="288">
        <f t="shared" si="91"/>
        <v>306951.39</v>
      </c>
      <c r="Q171" s="499">
        <f t="shared" si="92"/>
        <v>49089</v>
      </c>
      <c r="R171" s="288">
        <f t="shared" si="78"/>
        <v>201491.77000000014</v>
      </c>
      <c r="S171" s="492">
        <f t="shared" si="103"/>
        <v>6.7500000000000004E-2</v>
      </c>
      <c r="T171" s="288">
        <f t="shared" si="93"/>
        <v>3195.22</v>
      </c>
      <c r="U171" s="288">
        <f t="shared" si="81"/>
        <v>2061.83</v>
      </c>
      <c r="V171" s="288">
        <f t="shared" si="94"/>
        <v>1133.3900000000001</v>
      </c>
      <c r="W171" s="288">
        <f t="shared" si="74"/>
        <v>0</v>
      </c>
      <c r="X171" s="288">
        <f t="shared" si="75"/>
        <v>0</v>
      </c>
      <c r="Y171" s="288">
        <f t="shared" si="82"/>
        <v>3195.2200000000003</v>
      </c>
      <c r="Z171" s="288">
        <f t="shared" si="83"/>
        <v>154945.05999999997</v>
      </c>
      <c r="AA171" s="288">
        <f t="shared" si="84"/>
        <v>133064.82000000004</v>
      </c>
      <c r="AB171" s="288">
        <f t="shared" si="95"/>
        <v>199429.94000000015</v>
      </c>
      <c r="AC171" s="410">
        <f t="shared" si="104"/>
        <v>111</v>
      </c>
      <c r="AD171" s="510">
        <f t="shared" si="105"/>
        <v>-30581.240000000009</v>
      </c>
      <c r="AE171" s="510">
        <f t="shared" si="76"/>
        <v>142056.46000000014</v>
      </c>
      <c r="AF171" s="510">
        <f t="shared" si="77"/>
        <v>111475.22000000013</v>
      </c>
      <c r="AG171" s="510">
        <f t="shared" si="106"/>
        <v>2813.1099999999997</v>
      </c>
      <c r="AH171" s="510">
        <f t="shared" si="107"/>
        <v>230607.30000000008</v>
      </c>
      <c r="AI171" s="510"/>
      <c r="AJ171" s="14">
        <f t="shared" si="85"/>
        <v>2813.1099999999997</v>
      </c>
      <c r="AK171" s="14">
        <f t="shared" si="86"/>
        <v>240628.23999999938</v>
      </c>
      <c r="AL171" s="510">
        <f>IF(R171&lt;=0,0,+(Profit!$B$4+AM170)*$AL$1/12)</f>
        <v>1236.908573610451</v>
      </c>
      <c r="AM171" s="14">
        <f t="shared" si="108"/>
        <v>121000.33801779093</v>
      </c>
    </row>
    <row r="172" spans="1:39" x14ac:dyDescent="0.25">
      <c r="A172" s="499">
        <f t="shared" si="96"/>
        <v>49119</v>
      </c>
      <c r="B172" s="288">
        <f t="shared" si="97"/>
        <v>57373.479999999996</v>
      </c>
      <c r="C172" s="14">
        <f t="shared" si="87"/>
        <v>382.11</v>
      </c>
      <c r="D172" s="14">
        <f t="shared" si="109"/>
        <v>202.82000000000002</v>
      </c>
      <c r="E172" s="14">
        <f t="shared" si="88"/>
        <v>179.29</v>
      </c>
      <c r="F172" s="288">
        <f t="shared" si="98"/>
        <v>25596.280000000006</v>
      </c>
      <c r="G172" s="288">
        <f t="shared" si="99"/>
        <v>35034.94</v>
      </c>
      <c r="H172" s="288">
        <f t="shared" si="89"/>
        <v>57170.659999999996</v>
      </c>
      <c r="I172" s="410">
        <f t="shared" si="90"/>
        <v>9</v>
      </c>
      <c r="J172" s="288">
        <f t="shared" si="100"/>
        <v>306951.39</v>
      </c>
      <c r="K172" s="288">
        <f t="shared" si="79"/>
        <v>2298.4699999999998</v>
      </c>
      <c r="L172" s="288">
        <f t="shared" si="110"/>
        <v>571.86999999999989</v>
      </c>
      <c r="M172" s="288">
        <f t="shared" si="80"/>
        <v>1726.6</v>
      </c>
      <c r="N172" s="288">
        <f t="shared" si="101"/>
        <v>47995.479999999989</v>
      </c>
      <c r="O172" s="288">
        <f t="shared" si="102"/>
        <v>211731.63000000009</v>
      </c>
      <c r="P172" s="288">
        <f t="shared" si="91"/>
        <v>306379.52000000002</v>
      </c>
      <c r="Q172" s="499">
        <f t="shared" si="92"/>
        <v>49119</v>
      </c>
      <c r="R172" s="288">
        <f t="shared" si="78"/>
        <v>199429.94000000015</v>
      </c>
      <c r="S172" s="492">
        <f t="shared" si="103"/>
        <v>6.7500000000000004E-2</v>
      </c>
      <c r="T172" s="288">
        <f t="shared" si="93"/>
        <v>3195.22</v>
      </c>
      <c r="U172" s="288">
        <f t="shared" si="81"/>
        <v>2073.4299999999998</v>
      </c>
      <c r="V172" s="288">
        <f t="shared" si="94"/>
        <v>1121.79</v>
      </c>
      <c r="W172" s="288">
        <f t="shared" si="74"/>
        <v>0</v>
      </c>
      <c r="X172" s="288">
        <f t="shared" si="75"/>
        <v>0</v>
      </c>
      <c r="Y172" s="288">
        <f t="shared" si="82"/>
        <v>3195.22</v>
      </c>
      <c r="Z172" s="288">
        <f t="shared" si="83"/>
        <v>157018.48999999996</v>
      </c>
      <c r="AA172" s="288">
        <f t="shared" si="84"/>
        <v>134186.61000000004</v>
      </c>
      <c r="AB172" s="288">
        <f t="shared" si="95"/>
        <v>197356.51000000015</v>
      </c>
      <c r="AC172" s="410">
        <f t="shared" si="104"/>
        <v>112</v>
      </c>
      <c r="AD172" s="510">
        <f t="shared" si="105"/>
        <v>-31477.990000000009</v>
      </c>
      <c r="AE172" s="510">
        <f t="shared" si="76"/>
        <v>140185.85000000015</v>
      </c>
      <c r="AF172" s="510">
        <f t="shared" si="77"/>
        <v>108707.86000000015</v>
      </c>
      <c r="AG172" s="510">
        <f t="shared" si="106"/>
        <v>2813.1099999999997</v>
      </c>
      <c r="AH172" s="510">
        <f t="shared" si="107"/>
        <v>228736.69000000009</v>
      </c>
      <c r="AI172" s="510"/>
      <c r="AJ172" s="14">
        <f t="shared" si="85"/>
        <v>2813.1099999999997</v>
      </c>
      <c r="AK172" s="14">
        <f t="shared" si="86"/>
        <v>243441.34999999937</v>
      </c>
      <c r="AL172" s="510">
        <f>IF(R172&lt;=0,0,+(Profit!$B$4+AM171)*$AL$1/12)</f>
        <v>1240.0008450444773</v>
      </c>
      <c r="AM172" s="14">
        <f t="shared" si="108"/>
        <v>122240.3388628354</v>
      </c>
    </row>
    <row r="173" spans="1:39" x14ac:dyDescent="0.25">
      <c r="A173" s="499">
        <f t="shared" si="96"/>
        <v>49149</v>
      </c>
      <c r="B173" s="288">
        <f t="shared" si="97"/>
        <v>57170.659999999996</v>
      </c>
      <c r="C173" s="14">
        <f t="shared" si="87"/>
        <v>382.11</v>
      </c>
      <c r="D173" s="14">
        <f t="shared" si="109"/>
        <v>203.45000000000002</v>
      </c>
      <c r="E173" s="14">
        <f t="shared" si="88"/>
        <v>178.66</v>
      </c>
      <c r="F173" s="288">
        <f t="shared" si="98"/>
        <v>25799.730000000007</v>
      </c>
      <c r="G173" s="288">
        <f t="shared" si="99"/>
        <v>35213.600000000006</v>
      </c>
      <c r="H173" s="288">
        <f t="shared" si="89"/>
        <v>56967.21</v>
      </c>
      <c r="I173" s="410">
        <f t="shared" si="90"/>
        <v>9</v>
      </c>
      <c r="J173" s="288">
        <f t="shared" si="100"/>
        <v>306379.52000000002</v>
      </c>
      <c r="K173" s="288">
        <f t="shared" si="79"/>
        <v>2298.4699999999998</v>
      </c>
      <c r="L173" s="288">
        <f t="shared" si="110"/>
        <v>575.08999999999969</v>
      </c>
      <c r="M173" s="288">
        <f t="shared" si="80"/>
        <v>1723.38</v>
      </c>
      <c r="N173" s="288">
        <f t="shared" si="101"/>
        <v>48570.569999999985</v>
      </c>
      <c r="O173" s="288">
        <f t="shared" si="102"/>
        <v>213455.0100000001</v>
      </c>
      <c r="P173" s="288">
        <f t="shared" si="91"/>
        <v>305804.43</v>
      </c>
      <c r="Q173" s="499">
        <f t="shared" si="92"/>
        <v>49149</v>
      </c>
      <c r="R173" s="288">
        <f t="shared" si="78"/>
        <v>197356.51000000015</v>
      </c>
      <c r="S173" s="492">
        <f t="shared" si="103"/>
        <v>6.7500000000000004E-2</v>
      </c>
      <c r="T173" s="288">
        <f t="shared" si="93"/>
        <v>3195.22</v>
      </c>
      <c r="U173" s="288">
        <f t="shared" si="81"/>
        <v>2085.0899999999997</v>
      </c>
      <c r="V173" s="288">
        <f t="shared" si="94"/>
        <v>1110.1300000000001</v>
      </c>
      <c r="W173" s="288">
        <f t="shared" si="74"/>
        <v>0</v>
      </c>
      <c r="X173" s="288">
        <f t="shared" si="75"/>
        <v>0</v>
      </c>
      <c r="Y173" s="288">
        <f t="shared" si="82"/>
        <v>3195.22</v>
      </c>
      <c r="Z173" s="288">
        <f t="shared" si="83"/>
        <v>159103.57999999996</v>
      </c>
      <c r="AA173" s="288">
        <f t="shared" si="84"/>
        <v>135296.74000000005</v>
      </c>
      <c r="AB173" s="288">
        <f t="shared" si="95"/>
        <v>195271.42000000016</v>
      </c>
      <c r="AC173" s="410">
        <f t="shared" si="104"/>
        <v>113</v>
      </c>
      <c r="AD173" s="510">
        <f t="shared" si="105"/>
        <v>-32374.740000000009</v>
      </c>
      <c r="AE173" s="510">
        <f t="shared" si="76"/>
        <v>138304.21000000017</v>
      </c>
      <c r="AF173" s="510">
        <f t="shared" si="77"/>
        <v>105929.47000000016</v>
      </c>
      <c r="AG173" s="510">
        <f t="shared" si="106"/>
        <v>2813.1099999999997</v>
      </c>
      <c r="AH173" s="510">
        <f t="shared" si="107"/>
        <v>226855.05000000005</v>
      </c>
      <c r="AI173" s="510"/>
      <c r="AJ173" s="14">
        <f t="shared" si="85"/>
        <v>2813.1099999999997</v>
      </c>
      <c r="AK173" s="14">
        <f t="shared" si="86"/>
        <v>246254.45999999935</v>
      </c>
      <c r="AL173" s="510">
        <f>IF(R173&lt;=0,0,+(Profit!$B$4+AM172)*$AL$1/12)</f>
        <v>1243.1008471570885</v>
      </c>
      <c r="AM173" s="14">
        <f t="shared" si="108"/>
        <v>123483.43970999248</v>
      </c>
    </row>
    <row r="174" spans="1:39" x14ac:dyDescent="0.25">
      <c r="A174" s="499">
        <f t="shared" si="96"/>
        <v>49179</v>
      </c>
      <c r="B174" s="288">
        <f t="shared" si="97"/>
        <v>56967.21</v>
      </c>
      <c r="C174" s="14">
        <f t="shared" si="87"/>
        <v>382.11</v>
      </c>
      <c r="D174" s="14">
        <f t="shared" si="109"/>
        <v>204.09</v>
      </c>
      <c r="E174" s="14">
        <f t="shared" si="88"/>
        <v>178.02</v>
      </c>
      <c r="F174" s="288">
        <f t="shared" si="98"/>
        <v>26003.820000000007</v>
      </c>
      <c r="G174" s="288">
        <f t="shared" si="99"/>
        <v>35391.620000000003</v>
      </c>
      <c r="H174" s="288">
        <f t="shared" si="89"/>
        <v>56763.12</v>
      </c>
      <c r="I174" s="410">
        <f t="shared" si="90"/>
        <v>9</v>
      </c>
      <c r="J174" s="288">
        <f t="shared" si="100"/>
        <v>305804.43</v>
      </c>
      <c r="K174" s="288">
        <f t="shared" si="79"/>
        <v>2298.4699999999998</v>
      </c>
      <c r="L174" s="288">
        <f t="shared" si="110"/>
        <v>578.31999999999971</v>
      </c>
      <c r="M174" s="288">
        <f t="shared" si="80"/>
        <v>1720.15</v>
      </c>
      <c r="N174" s="288">
        <f t="shared" si="101"/>
        <v>49148.889999999985</v>
      </c>
      <c r="O174" s="288">
        <f t="shared" si="102"/>
        <v>215175.16000000009</v>
      </c>
      <c r="P174" s="288">
        <f t="shared" si="91"/>
        <v>305226.11</v>
      </c>
      <c r="Q174" s="499">
        <f t="shared" si="92"/>
        <v>49179</v>
      </c>
      <c r="R174" s="288">
        <f t="shared" si="78"/>
        <v>195271.42000000016</v>
      </c>
      <c r="S174" s="492">
        <f t="shared" si="103"/>
        <v>6.7500000000000004E-2</v>
      </c>
      <c r="T174" s="288">
        <f t="shared" si="93"/>
        <v>3195.22</v>
      </c>
      <c r="U174" s="288">
        <f t="shared" si="81"/>
        <v>2096.8199999999997</v>
      </c>
      <c r="V174" s="288">
        <f t="shared" si="94"/>
        <v>1098.4000000000001</v>
      </c>
      <c r="W174" s="288">
        <f t="shared" si="74"/>
        <v>0</v>
      </c>
      <c r="X174" s="288">
        <f t="shared" si="75"/>
        <v>0</v>
      </c>
      <c r="Y174" s="288">
        <f t="shared" si="82"/>
        <v>3195.22</v>
      </c>
      <c r="Z174" s="288">
        <f t="shared" si="83"/>
        <v>161200.39999999997</v>
      </c>
      <c r="AA174" s="288">
        <f t="shared" si="84"/>
        <v>136395.14000000004</v>
      </c>
      <c r="AB174" s="288">
        <f t="shared" si="95"/>
        <v>193174.60000000015</v>
      </c>
      <c r="AC174" s="410">
        <f t="shared" si="104"/>
        <v>114</v>
      </c>
      <c r="AD174" s="510">
        <f t="shared" si="105"/>
        <v>-33271.490000000005</v>
      </c>
      <c r="AE174" s="510">
        <f t="shared" si="76"/>
        <v>136411.48000000016</v>
      </c>
      <c r="AF174" s="510">
        <f t="shared" si="77"/>
        <v>103139.99000000015</v>
      </c>
      <c r="AG174" s="510">
        <f t="shared" si="106"/>
        <v>2813.1099999999997</v>
      </c>
      <c r="AH174" s="510">
        <f t="shared" si="107"/>
        <v>224962.32000000007</v>
      </c>
      <c r="AI174" s="510"/>
      <c r="AJ174" s="14">
        <f t="shared" si="85"/>
        <v>2813.1099999999997</v>
      </c>
      <c r="AK174" s="14">
        <f t="shared" si="86"/>
        <v>249067.56999999934</v>
      </c>
      <c r="AL174" s="510">
        <f>IF(R174&lt;=0,0,+(Profit!$B$4+AM173)*$AL$1/12)</f>
        <v>1246.2085992749812</v>
      </c>
      <c r="AM174" s="14">
        <f t="shared" si="108"/>
        <v>124729.64830926746</v>
      </c>
    </row>
    <row r="175" spans="1:39" x14ac:dyDescent="0.25">
      <c r="A175" s="499">
        <f t="shared" si="96"/>
        <v>49209</v>
      </c>
      <c r="B175" s="288">
        <f t="shared" si="97"/>
        <v>56763.12</v>
      </c>
      <c r="C175" s="14">
        <f t="shared" si="87"/>
        <v>382.11</v>
      </c>
      <c r="D175" s="14">
        <f t="shared" si="109"/>
        <v>204.73000000000002</v>
      </c>
      <c r="E175" s="14">
        <f t="shared" si="88"/>
        <v>177.38</v>
      </c>
      <c r="F175" s="288">
        <f t="shared" si="98"/>
        <v>26208.550000000007</v>
      </c>
      <c r="G175" s="288">
        <f t="shared" si="99"/>
        <v>35569</v>
      </c>
      <c r="H175" s="288">
        <f t="shared" si="89"/>
        <v>56558.39</v>
      </c>
      <c r="I175" s="410">
        <f t="shared" si="90"/>
        <v>9</v>
      </c>
      <c r="J175" s="288">
        <f t="shared" si="100"/>
        <v>305226.11</v>
      </c>
      <c r="K175" s="288">
        <f t="shared" si="79"/>
        <v>2298.4699999999998</v>
      </c>
      <c r="L175" s="288">
        <f t="shared" si="110"/>
        <v>581.56999999999971</v>
      </c>
      <c r="M175" s="288">
        <f t="shared" si="80"/>
        <v>1716.9</v>
      </c>
      <c r="N175" s="288">
        <f t="shared" si="101"/>
        <v>49730.459999999985</v>
      </c>
      <c r="O175" s="288">
        <f t="shared" si="102"/>
        <v>216892.06000000008</v>
      </c>
      <c r="P175" s="288">
        <f t="shared" si="91"/>
        <v>304644.53999999998</v>
      </c>
      <c r="Q175" s="499">
        <f t="shared" si="92"/>
        <v>49209</v>
      </c>
      <c r="R175" s="288">
        <f t="shared" si="78"/>
        <v>193174.60000000015</v>
      </c>
      <c r="S175" s="492">
        <f t="shared" si="103"/>
        <v>6.7500000000000004E-2</v>
      </c>
      <c r="T175" s="288">
        <f t="shared" si="93"/>
        <v>3195.22</v>
      </c>
      <c r="U175" s="288">
        <f t="shared" si="81"/>
        <v>2108.6099999999997</v>
      </c>
      <c r="V175" s="288">
        <f t="shared" si="94"/>
        <v>1086.6099999999999</v>
      </c>
      <c r="W175" s="288">
        <f t="shared" si="74"/>
        <v>0</v>
      </c>
      <c r="X175" s="288">
        <f t="shared" si="75"/>
        <v>0</v>
      </c>
      <c r="Y175" s="288">
        <f t="shared" si="82"/>
        <v>3195.2199999999993</v>
      </c>
      <c r="Z175" s="288">
        <f t="shared" si="83"/>
        <v>163309.00999999995</v>
      </c>
      <c r="AA175" s="288">
        <f t="shared" si="84"/>
        <v>137481.75000000003</v>
      </c>
      <c r="AB175" s="288">
        <f t="shared" si="95"/>
        <v>191065.99000000017</v>
      </c>
      <c r="AC175" s="410">
        <f t="shared" si="104"/>
        <v>115</v>
      </c>
      <c r="AD175" s="510">
        <f t="shared" si="105"/>
        <v>-34168.240000000005</v>
      </c>
      <c r="AE175" s="510">
        <f t="shared" si="76"/>
        <v>134507.60000000015</v>
      </c>
      <c r="AF175" s="510">
        <f t="shared" si="77"/>
        <v>100339.36000000015</v>
      </c>
      <c r="AG175" s="510">
        <f t="shared" si="106"/>
        <v>2813.1099999999997</v>
      </c>
      <c r="AH175" s="510">
        <f t="shared" si="107"/>
        <v>223058.44000000006</v>
      </c>
      <c r="AI175" s="510"/>
      <c r="AJ175" s="14">
        <f t="shared" si="85"/>
        <v>2813.1099999999997</v>
      </c>
      <c r="AK175" s="14">
        <f t="shared" si="86"/>
        <v>251880.67999999932</v>
      </c>
      <c r="AL175" s="510">
        <f>IF(R175&lt;=0,0,+(Profit!$B$4+AM174)*$AL$1/12)</f>
        <v>1249.3241207731687</v>
      </c>
      <c r="AM175" s="14">
        <f t="shared" si="108"/>
        <v>125978.97243004062</v>
      </c>
    </row>
    <row r="176" spans="1:39" x14ac:dyDescent="0.25">
      <c r="A176" s="499">
        <f t="shared" si="96"/>
        <v>49239</v>
      </c>
      <c r="B176" s="288">
        <f t="shared" si="97"/>
        <v>56558.39</v>
      </c>
      <c r="C176" s="14">
        <f t="shared" si="87"/>
        <v>382.11</v>
      </c>
      <c r="D176" s="14">
        <f t="shared" si="109"/>
        <v>205.37</v>
      </c>
      <c r="E176" s="14">
        <f t="shared" si="88"/>
        <v>176.74</v>
      </c>
      <c r="F176" s="288">
        <f t="shared" si="98"/>
        <v>26413.920000000006</v>
      </c>
      <c r="G176" s="288">
        <f t="shared" si="99"/>
        <v>35745.74</v>
      </c>
      <c r="H176" s="288">
        <f t="shared" si="89"/>
        <v>56353.02</v>
      </c>
      <c r="I176" s="410">
        <f t="shared" si="90"/>
        <v>9</v>
      </c>
      <c r="J176" s="288">
        <f t="shared" si="100"/>
        <v>304644.53999999998</v>
      </c>
      <c r="K176" s="288">
        <f t="shared" si="79"/>
        <v>2298.4699999999998</v>
      </c>
      <c r="L176" s="288">
        <f t="shared" si="110"/>
        <v>584.83999999999969</v>
      </c>
      <c r="M176" s="288">
        <f t="shared" si="80"/>
        <v>1713.63</v>
      </c>
      <c r="N176" s="288">
        <f t="shared" si="101"/>
        <v>50315.299999999981</v>
      </c>
      <c r="O176" s="288">
        <f t="shared" si="102"/>
        <v>218605.69000000009</v>
      </c>
      <c r="P176" s="288">
        <f t="shared" si="91"/>
        <v>304059.69999999995</v>
      </c>
      <c r="Q176" s="499">
        <f t="shared" si="92"/>
        <v>49239</v>
      </c>
      <c r="R176" s="288">
        <f t="shared" si="78"/>
        <v>191065.99000000017</v>
      </c>
      <c r="S176" s="492">
        <f t="shared" si="103"/>
        <v>6.7500000000000004E-2</v>
      </c>
      <c r="T176" s="288">
        <f t="shared" si="93"/>
        <v>3195.22</v>
      </c>
      <c r="U176" s="288">
        <f t="shared" si="81"/>
        <v>2120.4699999999998</v>
      </c>
      <c r="V176" s="288">
        <f t="shared" si="94"/>
        <v>1074.75</v>
      </c>
      <c r="W176" s="288">
        <f t="shared" si="74"/>
        <v>0</v>
      </c>
      <c r="X176" s="288">
        <f t="shared" si="75"/>
        <v>0</v>
      </c>
      <c r="Y176" s="288">
        <f t="shared" si="82"/>
        <v>3195.22</v>
      </c>
      <c r="Z176" s="288">
        <f t="shared" si="83"/>
        <v>165429.47999999995</v>
      </c>
      <c r="AA176" s="288">
        <f t="shared" si="84"/>
        <v>138556.50000000003</v>
      </c>
      <c r="AB176" s="288">
        <f t="shared" si="95"/>
        <v>188945.52000000016</v>
      </c>
      <c r="AC176" s="410">
        <f t="shared" si="104"/>
        <v>116</v>
      </c>
      <c r="AD176" s="510">
        <f t="shared" si="105"/>
        <v>-35064.990000000005</v>
      </c>
      <c r="AE176" s="510">
        <f t="shared" si="76"/>
        <v>132592.50000000017</v>
      </c>
      <c r="AF176" s="510">
        <f t="shared" si="77"/>
        <v>97527.510000000169</v>
      </c>
      <c r="AG176" s="510">
        <f t="shared" si="106"/>
        <v>2813.1099999999997</v>
      </c>
      <c r="AH176" s="510">
        <f t="shared" si="107"/>
        <v>221143.34000000005</v>
      </c>
      <c r="AI176" s="510"/>
      <c r="AJ176" s="14">
        <f t="shared" si="85"/>
        <v>2813.1099999999997</v>
      </c>
      <c r="AK176" s="14">
        <f t="shared" si="86"/>
        <v>254693.78999999931</v>
      </c>
      <c r="AL176" s="510">
        <f>IF(R176&lt;=0,0,+(Profit!$B$4+AM175)*$AL$1/12)</f>
        <v>1252.4474310751013</v>
      </c>
      <c r="AM176" s="14">
        <f t="shared" si="108"/>
        <v>127231.41986111572</v>
      </c>
    </row>
    <row r="177" spans="1:39" x14ac:dyDescent="0.25">
      <c r="A177" s="499">
        <f t="shared" si="96"/>
        <v>49269</v>
      </c>
      <c r="B177" s="288">
        <f t="shared" si="97"/>
        <v>56353.02</v>
      </c>
      <c r="C177" s="14">
        <f t="shared" si="87"/>
        <v>382.11</v>
      </c>
      <c r="D177" s="14">
        <f t="shared" si="109"/>
        <v>206.01000000000002</v>
      </c>
      <c r="E177" s="14">
        <f t="shared" si="88"/>
        <v>176.1</v>
      </c>
      <c r="F177" s="288">
        <f t="shared" si="98"/>
        <v>26619.930000000004</v>
      </c>
      <c r="G177" s="288">
        <f t="shared" si="99"/>
        <v>35921.839999999997</v>
      </c>
      <c r="H177" s="288">
        <f t="shared" si="89"/>
        <v>56147.009999999995</v>
      </c>
      <c r="I177" s="410">
        <f t="shared" si="90"/>
        <v>9</v>
      </c>
      <c r="J177" s="288">
        <f t="shared" si="100"/>
        <v>304059.69999999995</v>
      </c>
      <c r="K177" s="288">
        <f t="shared" si="79"/>
        <v>2298.4699999999998</v>
      </c>
      <c r="L177" s="288">
        <f t="shared" si="110"/>
        <v>588.12999999999988</v>
      </c>
      <c r="M177" s="288">
        <f t="shared" si="80"/>
        <v>1710.34</v>
      </c>
      <c r="N177" s="288">
        <f t="shared" si="101"/>
        <v>50903.429999999978</v>
      </c>
      <c r="O177" s="288">
        <f t="shared" si="102"/>
        <v>220316.03000000009</v>
      </c>
      <c r="P177" s="288">
        <f t="shared" si="91"/>
        <v>303471.56999999995</v>
      </c>
      <c r="Q177" s="499">
        <f t="shared" si="92"/>
        <v>49269</v>
      </c>
      <c r="R177" s="288">
        <f t="shared" si="78"/>
        <v>188945.52000000016</v>
      </c>
      <c r="S177" s="492">
        <f t="shared" si="103"/>
        <v>6.7500000000000004E-2</v>
      </c>
      <c r="T177" s="288">
        <f t="shared" si="93"/>
        <v>3195.22</v>
      </c>
      <c r="U177" s="288">
        <f t="shared" si="81"/>
        <v>2132.3999999999996</v>
      </c>
      <c r="V177" s="288">
        <f t="shared" si="94"/>
        <v>1062.82</v>
      </c>
      <c r="W177" s="288">
        <f t="shared" si="74"/>
        <v>0</v>
      </c>
      <c r="X177" s="288">
        <f t="shared" si="75"/>
        <v>0</v>
      </c>
      <c r="Y177" s="288">
        <f t="shared" si="82"/>
        <v>3195.2199999999993</v>
      </c>
      <c r="Z177" s="288">
        <f t="shared" si="83"/>
        <v>167561.87999999995</v>
      </c>
      <c r="AA177" s="288">
        <f t="shared" si="84"/>
        <v>139619.32000000004</v>
      </c>
      <c r="AB177" s="288">
        <f t="shared" si="95"/>
        <v>186813.12000000017</v>
      </c>
      <c r="AC177" s="410">
        <f t="shared" si="104"/>
        <v>117</v>
      </c>
      <c r="AD177" s="510">
        <f t="shared" si="105"/>
        <v>-35961.740000000005</v>
      </c>
      <c r="AE177" s="510">
        <f t="shared" si="76"/>
        <v>130666.11000000018</v>
      </c>
      <c r="AF177" s="510">
        <f t="shared" si="77"/>
        <v>94704.37000000017</v>
      </c>
      <c r="AG177" s="510">
        <f t="shared" si="106"/>
        <v>2813.1099999999997</v>
      </c>
      <c r="AH177" s="510">
        <f t="shared" si="107"/>
        <v>219216.95000000007</v>
      </c>
      <c r="AI177" s="510"/>
      <c r="AJ177" s="14">
        <f t="shared" si="85"/>
        <v>2813.1099999999997</v>
      </c>
      <c r="AK177" s="14">
        <f t="shared" si="86"/>
        <v>257506.8999999993</v>
      </c>
      <c r="AL177" s="510">
        <f>IF(R177&lt;=0,0,+(Profit!$B$4+AM176)*$AL$1/12)</f>
        <v>1255.5785496527894</v>
      </c>
      <c r="AM177" s="14">
        <f t="shared" si="108"/>
        <v>128486.9984107685</v>
      </c>
    </row>
    <row r="178" spans="1:39" x14ac:dyDescent="0.25">
      <c r="A178" s="499">
        <f t="shared" si="96"/>
        <v>49299</v>
      </c>
      <c r="B178" s="288">
        <f t="shared" si="97"/>
        <v>56147.009999999995</v>
      </c>
      <c r="C178" s="14">
        <f t="shared" si="87"/>
        <v>382.11</v>
      </c>
      <c r="D178" s="14">
        <f t="shared" si="109"/>
        <v>206.65</v>
      </c>
      <c r="E178" s="14">
        <f t="shared" si="88"/>
        <v>175.46</v>
      </c>
      <c r="F178" s="288">
        <f t="shared" si="98"/>
        <v>26826.580000000005</v>
      </c>
      <c r="G178" s="288">
        <f t="shared" si="99"/>
        <v>36097.299999999996</v>
      </c>
      <c r="H178" s="288">
        <f t="shared" si="89"/>
        <v>55940.359999999993</v>
      </c>
      <c r="I178" s="410">
        <f t="shared" si="90"/>
        <v>9</v>
      </c>
      <c r="J178" s="288">
        <f t="shared" si="100"/>
        <v>303471.56999999995</v>
      </c>
      <c r="K178" s="288">
        <f t="shared" si="79"/>
        <v>2298.4699999999998</v>
      </c>
      <c r="L178" s="288">
        <f t="shared" si="110"/>
        <v>591.43999999999983</v>
      </c>
      <c r="M178" s="288">
        <f t="shared" si="80"/>
        <v>1707.03</v>
      </c>
      <c r="N178" s="288">
        <f t="shared" si="101"/>
        <v>51494.869999999981</v>
      </c>
      <c r="O178" s="288">
        <f t="shared" si="102"/>
        <v>222023.06000000008</v>
      </c>
      <c r="P178" s="288">
        <f t="shared" si="91"/>
        <v>302880.12999999995</v>
      </c>
      <c r="Q178" s="499">
        <f t="shared" si="92"/>
        <v>49299</v>
      </c>
      <c r="R178" s="288">
        <f t="shared" si="78"/>
        <v>186813.12000000017</v>
      </c>
      <c r="S178" s="492">
        <f t="shared" si="103"/>
        <v>6.7500000000000004E-2</v>
      </c>
      <c r="T178" s="288">
        <f t="shared" si="93"/>
        <v>3195.22</v>
      </c>
      <c r="U178" s="288">
        <f t="shared" si="81"/>
        <v>2144.3999999999996</v>
      </c>
      <c r="V178" s="288">
        <f t="shared" si="94"/>
        <v>1050.82</v>
      </c>
      <c r="W178" s="288">
        <f t="shared" si="74"/>
        <v>0</v>
      </c>
      <c r="X178" s="288">
        <f t="shared" si="75"/>
        <v>0</v>
      </c>
      <c r="Y178" s="288">
        <f t="shared" si="82"/>
        <v>3195.2199999999993</v>
      </c>
      <c r="Z178" s="288">
        <f t="shared" si="83"/>
        <v>169706.27999999994</v>
      </c>
      <c r="AA178" s="288">
        <f t="shared" si="84"/>
        <v>140670.14000000004</v>
      </c>
      <c r="AB178" s="288">
        <f t="shared" si="95"/>
        <v>184668.72000000018</v>
      </c>
      <c r="AC178" s="410">
        <f t="shared" si="104"/>
        <v>118</v>
      </c>
      <c r="AD178" s="510">
        <f t="shared" si="105"/>
        <v>-36858.490000000005</v>
      </c>
      <c r="AE178" s="510">
        <f t="shared" si="76"/>
        <v>128728.36000000019</v>
      </c>
      <c r="AF178" s="510">
        <f t="shared" si="77"/>
        <v>91869.870000000185</v>
      </c>
      <c r="AG178" s="510">
        <f t="shared" si="106"/>
        <v>2813.1099999999997</v>
      </c>
      <c r="AH178" s="510">
        <f t="shared" si="107"/>
        <v>217279.2000000001</v>
      </c>
      <c r="AI178" s="510"/>
      <c r="AJ178" s="14">
        <f t="shared" si="85"/>
        <v>2813.1099999999997</v>
      </c>
      <c r="AK178" s="14">
        <f t="shared" si="86"/>
        <v>260320.00999999928</v>
      </c>
      <c r="AL178" s="510">
        <f>IF(R178&lt;=0,0,+(Profit!$B$4+AM177)*$AL$1/12)</f>
        <v>1258.7174960269213</v>
      </c>
      <c r="AM178" s="14">
        <f t="shared" si="108"/>
        <v>129745.71590679542</v>
      </c>
    </row>
    <row r="179" spans="1:39" x14ac:dyDescent="0.25">
      <c r="A179" s="499">
        <f t="shared" si="96"/>
        <v>49329</v>
      </c>
      <c r="B179" s="288">
        <f t="shared" si="97"/>
        <v>55940.359999999993</v>
      </c>
      <c r="C179" s="14">
        <f t="shared" si="87"/>
        <v>382.11</v>
      </c>
      <c r="D179" s="14">
        <f t="shared" si="109"/>
        <v>207.3</v>
      </c>
      <c r="E179" s="14">
        <f t="shared" si="88"/>
        <v>174.81</v>
      </c>
      <c r="F179" s="288">
        <f t="shared" si="98"/>
        <v>27033.880000000005</v>
      </c>
      <c r="G179" s="288">
        <f t="shared" si="99"/>
        <v>36272.109999999993</v>
      </c>
      <c r="H179" s="288">
        <f t="shared" si="89"/>
        <v>55733.05999999999</v>
      </c>
      <c r="I179" s="410">
        <f t="shared" si="90"/>
        <v>9</v>
      </c>
      <c r="J179" s="288">
        <f t="shared" si="100"/>
        <v>302880.12999999995</v>
      </c>
      <c r="K179" s="288">
        <f t="shared" si="79"/>
        <v>2298.4699999999998</v>
      </c>
      <c r="L179" s="288">
        <f t="shared" si="110"/>
        <v>594.76999999999975</v>
      </c>
      <c r="M179" s="288">
        <f t="shared" si="80"/>
        <v>1703.7</v>
      </c>
      <c r="N179" s="288">
        <f t="shared" si="101"/>
        <v>52089.639999999978</v>
      </c>
      <c r="O179" s="288">
        <f t="shared" si="102"/>
        <v>223726.7600000001</v>
      </c>
      <c r="P179" s="288">
        <f t="shared" si="91"/>
        <v>302285.35999999993</v>
      </c>
      <c r="Q179" s="499">
        <f t="shared" si="92"/>
        <v>49329</v>
      </c>
      <c r="R179" s="288">
        <f t="shared" si="78"/>
        <v>184668.72000000018</v>
      </c>
      <c r="S179" s="492">
        <f t="shared" si="103"/>
        <v>6.7500000000000004E-2</v>
      </c>
      <c r="T179" s="288">
        <f t="shared" si="93"/>
        <v>3195.22</v>
      </c>
      <c r="U179" s="288">
        <f t="shared" si="81"/>
        <v>2156.46</v>
      </c>
      <c r="V179" s="288">
        <f t="shared" si="94"/>
        <v>1038.76</v>
      </c>
      <c r="W179" s="288">
        <f t="shared" si="74"/>
        <v>0</v>
      </c>
      <c r="X179" s="288">
        <f t="shared" si="75"/>
        <v>0</v>
      </c>
      <c r="Y179" s="288">
        <f t="shared" si="82"/>
        <v>3195.2200000000003</v>
      </c>
      <c r="Z179" s="288">
        <f t="shared" si="83"/>
        <v>171862.73999999993</v>
      </c>
      <c r="AA179" s="288">
        <f t="shared" si="84"/>
        <v>141708.90000000005</v>
      </c>
      <c r="AB179" s="288">
        <f t="shared" si="95"/>
        <v>182512.26000000018</v>
      </c>
      <c r="AC179" s="410">
        <f t="shared" si="104"/>
        <v>119</v>
      </c>
      <c r="AD179" s="510">
        <f t="shared" si="105"/>
        <v>-37755.240000000005</v>
      </c>
      <c r="AE179" s="510">
        <f t="shared" si="76"/>
        <v>126779.20000000019</v>
      </c>
      <c r="AF179" s="510">
        <f t="shared" si="77"/>
        <v>89023.960000000181</v>
      </c>
      <c r="AG179" s="510">
        <f t="shared" si="106"/>
        <v>2813.1099999999997</v>
      </c>
      <c r="AH179" s="510">
        <f t="shared" si="107"/>
        <v>215330.0400000001</v>
      </c>
      <c r="AI179" s="510"/>
      <c r="AJ179" s="14">
        <f t="shared" si="85"/>
        <v>2813.1099999999997</v>
      </c>
      <c r="AK179" s="14">
        <f t="shared" si="86"/>
        <v>263133.1199999993</v>
      </c>
      <c r="AL179" s="510">
        <f>IF(R179&lt;=0,0,+(Profit!$B$4+AM178)*$AL$1/12)</f>
        <v>1261.8642897669886</v>
      </c>
      <c r="AM179" s="14">
        <f t="shared" si="108"/>
        <v>131007.58019656241</v>
      </c>
    </row>
    <row r="180" spans="1:39" x14ac:dyDescent="0.25">
      <c r="A180" s="499">
        <f t="shared" si="96"/>
        <v>49359</v>
      </c>
      <c r="B180" s="288">
        <f t="shared" si="97"/>
        <v>55733.05999999999</v>
      </c>
      <c r="C180" s="14">
        <f t="shared" si="87"/>
        <v>382.11</v>
      </c>
      <c r="D180" s="14">
        <f t="shared" si="109"/>
        <v>207.94000000000003</v>
      </c>
      <c r="E180" s="14">
        <f t="shared" si="88"/>
        <v>174.17</v>
      </c>
      <c r="F180" s="288">
        <f t="shared" si="98"/>
        <v>27241.820000000003</v>
      </c>
      <c r="G180" s="288">
        <f t="shared" si="99"/>
        <v>36446.279999999992</v>
      </c>
      <c r="H180" s="288">
        <f t="shared" si="89"/>
        <v>55525.119999999988</v>
      </c>
      <c r="I180" s="410">
        <f t="shared" si="90"/>
        <v>10</v>
      </c>
      <c r="J180" s="288">
        <f t="shared" si="100"/>
        <v>302285.35999999993</v>
      </c>
      <c r="K180" s="288">
        <f t="shared" si="79"/>
        <v>2298.4699999999998</v>
      </c>
      <c r="L180" s="288">
        <f t="shared" si="110"/>
        <v>598.1099999999999</v>
      </c>
      <c r="M180" s="288">
        <f t="shared" si="80"/>
        <v>1700.36</v>
      </c>
      <c r="N180" s="288">
        <f t="shared" si="101"/>
        <v>52687.749999999978</v>
      </c>
      <c r="O180" s="288">
        <f t="shared" si="102"/>
        <v>225427.12000000008</v>
      </c>
      <c r="P180" s="288">
        <f t="shared" si="91"/>
        <v>301687.24999999994</v>
      </c>
      <c r="Q180" s="499">
        <f t="shared" si="92"/>
        <v>49359</v>
      </c>
      <c r="R180" s="288">
        <f t="shared" si="78"/>
        <v>182512.26000000018</v>
      </c>
      <c r="S180" s="492">
        <f t="shared" si="103"/>
        <v>6.7500000000000004E-2</v>
      </c>
      <c r="T180" s="288">
        <f t="shared" si="93"/>
        <v>3195.22</v>
      </c>
      <c r="U180" s="288">
        <f t="shared" si="81"/>
        <v>2168.5899999999997</v>
      </c>
      <c r="V180" s="288">
        <f t="shared" si="94"/>
        <v>1026.6300000000001</v>
      </c>
      <c r="W180" s="288">
        <f t="shared" si="74"/>
        <v>0</v>
      </c>
      <c r="X180" s="288">
        <f t="shared" si="75"/>
        <v>0</v>
      </c>
      <c r="Y180" s="288">
        <f t="shared" si="82"/>
        <v>3195.22</v>
      </c>
      <c r="Z180" s="288">
        <f t="shared" si="83"/>
        <v>174031.32999999993</v>
      </c>
      <c r="AA180" s="288">
        <f t="shared" si="84"/>
        <v>142735.53000000006</v>
      </c>
      <c r="AB180" s="288">
        <f t="shared" si="95"/>
        <v>180343.67000000019</v>
      </c>
      <c r="AC180" s="410">
        <f t="shared" si="104"/>
        <v>120</v>
      </c>
      <c r="AD180" s="510">
        <f t="shared" si="105"/>
        <v>-38651.990000000005</v>
      </c>
      <c r="AE180" s="510">
        <f t="shared" si="76"/>
        <v>124818.55000000019</v>
      </c>
      <c r="AF180" s="510">
        <f t="shared" si="77"/>
        <v>86166.560000000187</v>
      </c>
      <c r="AG180" s="510">
        <f t="shared" si="106"/>
        <v>2813.1099999999997</v>
      </c>
      <c r="AH180" s="510">
        <f t="shared" si="107"/>
        <v>213369.3900000001</v>
      </c>
      <c r="AI180" s="510"/>
      <c r="AJ180" s="14">
        <f t="shared" si="85"/>
        <v>2813.1099999999997</v>
      </c>
      <c r="AK180" s="14">
        <f t="shared" si="86"/>
        <v>265946.22999999928</v>
      </c>
      <c r="AL180" s="510">
        <f>IF(R180&lt;=0,0,+(Profit!$B$4+AM179)*$AL$1/12)</f>
        <v>1265.0189504914058</v>
      </c>
      <c r="AM180" s="14">
        <f t="shared" si="108"/>
        <v>132272.59914705381</v>
      </c>
    </row>
    <row r="181" spans="1:39" x14ac:dyDescent="0.25">
      <c r="A181" s="499">
        <f t="shared" si="96"/>
        <v>49389</v>
      </c>
      <c r="B181" s="288">
        <f t="shared" si="97"/>
        <v>55525.119999999988</v>
      </c>
      <c r="C181" s="14">
        <f t="shared" si="87"/>
        <v>382.11</v>
      </c>
      <c r="D181" s="14">
        <f t="shared" si="109"/>
        <v>208.59</v>
      </c>
      <c r="E181" s="14">
        <f t="shared" si="88"/>
        <v>173.52</v>
      </c>
      <c r="F181" s="288">
        <f t="shared" si="98"/>
        <v>27450.410000000003</v>
      </c>
      <c r="G181" s="288">
        <f t="shared" si="99"/>
        <v>36619.799999999988</v>
      </c>
      <c r="H181" s="288">
        <f t="shared" si="89"/>
        <v>55316.529999999992</v>
      </c>
      <c r="I181" s="410">
        <f t="shared" si="90"/>
        <v>10</v>
      </c>
      <c r="J181" s="288">
        <f t="shared" si="100"/>
        <v>301687.24999999994</v>
      </c>
      <c r="K181" s="288">
        <f t="shared" si="79"/>
        <v>2298.4699999999998</v>
      </c>
      <c r="L181" s="288">
        <f t="shared" si="110"/>
        <v>601.47999999999979</v>
      </c>
      <c r="M181" s="288">
        <f t="shared" si="80"/>
        <v>1696.99</v>
      </c>
      <c r="N181" s="288">
        <f t="shared" si="101"/>
        <v>53289.229999999981</v>
      </c>
      <c r="O181" s="288">
        <f t="shared" si="102"/>
        <v>227124.11000000007</v>
      </c>
      <c r="P181" s="288">
        <f t="shared" si="91"/>
        <v>301085.76999999996</v>
      </c>
      <c r="Q181" s="499">
        <f t="shared" si="92"/>
        <v>49389</v>
      </c>
      <c r="R181" s="288">
        <f t="shared" si="78"/>
        <v>180343.67000000019</v>
      </c>
      <c r="S181" s="492">
        <f t="shared" si="103"/>
        <v>6.7500000000000004E-2</v>
      </c>
      <c r="T181" s="288">
        <f t="shared" si="93"/>
        <v>3195.22</v>
      </c>
      <c r="U181" s="288">
        <f t="shared" si="81"/>
        <v>2180.79</v>
      </c>
      <c r="V181" s="288">
        <f t="shared" si="94"/>
        <v>1014.43</v>
      </c>
      <c r="W181" s="288">
        <f t="shared" si="74"/>
        <v>0</v>
      </c>
      <c r="X181" s="288">
        <f t="shared" si="75"/>
        <v>0</v>
      </c>
      <c r="Y181" s="288">
        <f t="shared" si="82"/>
        <v>3195.22</v>
      </c>
      <c r="Z181" s="288">
        <f t="shared" si="83"/>
        <v>176212.11999999994</v>
      </c>
      <c r="AA181" s="288">
        <f t="shared" si="84"/>
        <v>143749.96000000005</v>
      </c>
      <c r="AB181" s="288">
        <f t="shared" si="95"/>
        <v>178162.88000000018</v>
      </c>
      <c r="AC181" s="410">
        <f t="shared" si="104"/>
        <v>121</v>
      </c>
      <c r="AD181" s="510">
        <f t="shared" si="105"/>
        <v>-39548.740000000005</v>
      </c>
      <c r="AE181" s="510">
        <f t="shared" si="76"/>
        <v>122846.35000000018</v>
      </c>
      <c r="AF181" s="510">
        <f t="shared" si="77"/>
        <v>83297.610000000175</v>
      </c>
      <c r="AG181" s="510">
        <f t="shared" si="106"/>
        <v>2813.1099999999997</v>
      </c>
      <c r="AH181" s="510">
        <f t="shared" si="107"/>
        <v>211397.19000000012</v>
      </c>
      <c r="AI181" s="510"/>
      <c r="AJ181" s="14">
        <f t="shared" si="85"/>
        <v>2813.1099999999997</v>
      </c>
      <c r="AK181" s="14">
        <f t="shared" si="86"/>
        <v>268759.33999999927</v>
      </c>
      <c r="AL181" s="510">
        <f>IF(R181&lt;=0,0,+(Profit!$B$4+AM180)*$AL$1/12)</f>
        <v>1268.1814978676346</v>
      </c>
      <c r="AM181" s="14">
        <f t="shared" si="108"/>
        <v>133540.78064492144</v>
      </c>
    </row>
    <row r="182" spans="1:39" ht="15.75" thickBot="1" x14ac:dyDescent="0.3">
      <c r="A182" s="502">
        <f t="shared" si="96"/>
        <v>49419</v>
      </c>
      <c r="B182" s="343">
        <f t="shared" si="97"/>
        <v>55316.529999999992</v>
      </c>
      <c r="C182" s="21">
        <f t="shared" si="87"/>
        <v>382.11</v>
      </c>
      <c r="D182" s="21">
        <f t="shared" si="109"/>
        <v>209.25</v>
      </c>
      <c r="E182" s="21">
        <f t="shared" si="88"/>
        <v>172.86</v>
      </c>
      <c r="F182" s="343">
        <f t="shared" si="98"/>
        <v>27659.660000000003</v>
      </c>
      <c r="G182" s="343">
        <f t="shared" si="99"/>
        <v>36792.659999999989</v>
      </c>
      <c r="H182" s="343">
        <f t="shared" si="89"/>
        <v>55107.279999999992</v>
      </c>
      <c r="I182" s="411">
        <f t="shared" si="90"/>
        <v>10</v>
      </c>
      <c r="J182" s="343">
        <f t="shared" si="100"/>
        <v>301085.76999999996</v>
      </c>
      <c r="K182" s="343">
        <f t="shared" si="79"/>
        <v>2298.4699999999998</v>
      </c>
      <c r="L182" s="343">
        <f t="shared" si="110"/>
        <v>604.8599999999999</v>
      </c>
      <c r="M182" s="343">
        <f t="shared" si="80"/>
        <v>1693.61</v>
      </c>
      <c r="N182" s="343">
        <f t="shared" si="101"/>
        <v>53894.089999999982</v>
      </c>
      <c r="O182" s="343">
        <f t="shared" si="102"/>
        <v>228817.72000000006</v>
      </c>
      <c r="P182" s="343">
        <f t="shared" si="91"/>
        <v>300480.90999999997</v>
      </c>
      <c r="Q182" s="502">
        <f t="shared" si="92"/>
        <v>49419</v>
      </c>
      <c r="R182" s="343">
        <f t="shared" si="78"/>
        <v>178162.88000000018</v>
      </c>
      <c r="S182" s="493">
        <f t="shared" si="103"/>
        <v>6.7500000000000004E-2</v>
      </c>
      <c r="T182" s="343">
        <f t="shared" si="93"/>
        <v>3195.22</v>
      </c>
      <c r="U182" s="343">
        <f t="shared" si="81"/>
        <v>2193.0499999999997</v>
      </c>
      <c r="V182" s="343">
        <f t="shared" si="94"/>
        <v>1002.17</v>
      </c>
      <c r="W182" s="343">
        <f t="shared" si="74"/>
        <v>0</v>
      </c>
      <c r="X182" s="343">
        <f t="shared" si="75"/>
        <v>0</v>
      </c>
      <c r="Y182" s="343">
        <f t="shared" si="82"/>
        <v>3195.22</v>
      </c>
      <c r="Z182" s="343">
        <f t="shared" si="83"/>
        <v>178405.16999999993</v>
      </c>
      <c r="AA182" s="343">
        <f t="shared" si="84"/>
        <v>144752.13000000006</v>
      </c>
      <c r="AB182" s="343">
        <f t="shared" si="95"/>
        <v>175969.83000000019</v>
      </c>
      <c r="AC182" s="411">
        <f t="shared" si="104"/>
        <v>122</v>
      </c>
      <c r="AD182" s="511">
        <f t="shared" si="105"/>
        <v>-40445.490000000005</v>
      </c>
      <c r="AE182" s="511">
        <f t="shared" si="76"/>
        <v>120862.55000000019</v>
      </c>
      <c r="AF182" s="511">
        <f t="shared" si="77"/>
        <v>80417.060000000187</v>
      </c>
      <c r="AG182" s="511">
        <f t="shared" si="106"/>
        <v>2813.1099999999997</v>
      </c>
      <c r="AH182" s="511">
        <f t="shared" si="107"/>
        <v>209413.39000000013</v>
      </c>
      <c r="AI182" s="511"/>
      <c r="AJ182" s="21">
        <f t="shared" si="85"/>
        <v>2813.1099999999997</v>
      </c>
      <c r="AK182" s="21">
        <f t="shared" si="86"/>
        <v>271572.44999999925</v>
      </c>
      <c r="AL182" s="511">
        <f>IF(R182&lt;=0,0,+(Profit!$B$4+AM181)*$AL$1/12)</f>
        <v>1271.3519516123035</v>
      </c>
      <c r="AM182" s="21">
        <f t="shared" si="108"/>
        <v>134812.13259653375</v>
      </c>
    </row>
    <row r="183" spans="1:39" x14ac:dyDescent="0.25">
      <c r="A183" s="499">
        <f t="shared" si="96"/>
        <v>49449</v>
      </c>
      <c r="B183" s="288">
        <f t="shared" si="97"/>
        <v>55107.279999999992</v>
      </c>
      <c r="C183" s="14">
        <f t="shared" si="87"/>
        <v>382.11</v>
      </c>
      <c r="D183" s="14">
        <f t="shared" si="109"/>
        <v>209.9</v>
      </c>
      <c r="E183" s="14">
        <f t="shared" si="88"/>
        <v>172.21</v>
      </c>
      <c r="F183" s="288">
        <f t="shared" si="98"/>
        <v>27869.560000000005</v>
      </c>
      <c r="G183" s="288">
        <f t="shared" si="99"/>
        <v>36964.869999999988</v>
      </c>
      <c r="H183" s="288">
        <f t="shared" si="89"/>
        <v>54897.37999999999</v>
      </c>
      <c r="I183" s="410">
        <f t="shared" si="90"/>
        <v>10</v>
      </c>
      <c r="J183" s="288">
        <f t="shared" si="100"/>
        <v>300480.90999999997</v>
      </c>
      <c r="K183" s="288">
        <f t="shared" si="79"/>
        <v>2298.4699999999998</v>
      </c>
      <c r="L183" s="288">
        <f t="shared" si="110"/>
        <v>608.25999999999976</v>
      </c>
      <c r="M183" s="288">
        <f t="shared" si="80"/>
        <v>1690.21</v>
      </c>
      <c r="N183" s="288">
        <f t="shared" si="101"/>
        <v>54502.349999999984</v>
      </c>
      <c r="O183" s="288">
        <f t="shared" si="102"/>
        <v>230507.93000000005</v>
      </c>
      <c r="P183" s="288">
        <f t="shared" si="91"/>
        <v>299872.64999999997</v>
      </c>
      <c r="Q183" s="499">
        <f t="shared" si="92"/>
        <v>49449</v>
      </c>
      <c r="R183" s="288">
        <f t="shared" si="78"/>
        <v>175969.83000000019</v>
      </c>
      <c r="S183" s="492">
        <f t="shared" si="103"/>
        <v>6.7500000000000004E-2</v>
      </c>
      <c r="T183" s="288">
        <f t="shared" si="93"/>
        <v>3195.22</v>
      </c>
      <c r="U183" s="288">
        <f t="shared" si="81"/>
        <v>2205.39</v>
      </c>
      <c r="V183" s="288">
        <f t="shared" si="94"/>
        <v>989.83</v>
      </c>
      <c r="W183" s="288">
        <f t="shared" si="74"/>
        <v>0</v>
      </c>
      <c r="X183" s="288">
        <f t="shared" si="75"/>
        <v>0</v>
      </c>
      <c r="Y183" s="288">
        <f t="shared" si="82"/>
        <v>3195.22</v>
      </c>
      <c r="Z183" s="288">
        <f t="shared" si="83"/>
        <v>180610.55999999994</v>
      </c>
      <c r="AA183" s="288">
        <f t="shared" si="84"/>
        <v>145741.96000000005</v>
      </c>
      <c r="AB183" s="288">
        <f t="shared" si="95"/>
        <v>173764.44000000018</v>
      </c>
      <c r="AC183" s="410">
        <f t="shared" si="104"/>
        <v>123</v>
      </c>
      <c r="AD183" s="510">
        <f t="shared" si="105"/>
        <v>-41342.240000000005</v>
      </c>
      <c r="AE183" s="510">
        <f t="shared" si="76"/>
        <v>118867.06000000019</v>
      </c>
      <c r="AF183" s="510">
        <f t="shared" si="77"/>
        <v>77524.820000000182</v>
      </c>
      <c r="AG183" s="510">
        <f t="shared" si="106"/>
        <v>2813.1099999999997</v>
      </c>
      <c r="AH183" s="510">
        <f t="shared" si="107"/>
        <v>207417.90000000008</v>
      </c>
      <c r="AI183" s="510"/>
      <c r="AJ183" s="14">
        <f t="shared" si="85"/>
        <v>2813.1099999999997</v>
      </c>
      <c r="AK183" s="14">
        <f t="shared" si="86"/>
        <v>274385.55999999924</v>
      </c>
      <c r="AL183" s="510">
        <f>IF(R183&lt;=0,0,+(Profit!$B$4+AM182)*$AL$1/12)</f>
        <v>1274.5303314913342</v>
      </c>
      <c r="AM183" s="14">
        <f t="shared" si="108"/>
        <v>136086.66292802509</v>
      </c>
    </row>
    <row r="184" spans="1:39" x14ac:dyDescent="0.25">
      <c r="A184" s="499">
        <f t="shared" si="96"/>
        <v>49479</v>
      </c>
      <c r="B184" s="288">
        <f t="shared" si="97"/>
        <v>54897.37999999999</v>
      </c>
      <c r="C184" s="14">
        <f t="shared" si="87"/>
        <v>382.11</v>
      </c>
      <c r="D184" s="14">
        <f t="shared" si="109"/>
        <v>210.56</v>
      </c>
      <c r="E184" s="14">
        <f t="shared" si="88"/>
        <v>171.55</v>
      </c>
      <c r="F184" s="288">
        <f t="shared" si="98"/>
        <v>28080.120000000006</v>
      </c>
      <c r="G184" s="288">
        <f t="shared" si="99"/>
        <v>37136.419999999991</v>
      </c>
      <c r="H184" s="288">
        <f t="shared" si="89"/>
        <v>54686.819999999992</v>
      </c>
      <c r="I184" s="410">
        <f t="shared" si="90"/>
        <v>10</v>
      </c>
      <c r="J184" s="288">
        <f t="shared" si="100"/>
        <v>299872.64999999997</v>
      </c>
      <c r="K184" s="288">
        <f t="shared" si="79"/>
        <v>2298.4699999999998</v>
      </c>
      <c r="L184" s="288">
        <f t="shared" si="110"/>
        <v>611.68999999999983</v>
      </c>
      <c r="M184" s="288">
        <f t="shared" si="80"/>
        <v>1686.78</v>
      </c>
      <c r="N184" s="288">
        <f t="shared" si="101"/>
        <v>55114.039999999986</v>
      </c>
      <c r="O184" s="288">
        <f t="shared" si="102"/>
        <v>232194.71000000005</v>
      </c>
      <c r="P184" s="288">
        <f t="shared" si="91"/>
        <v>299260.95999999996</v>
      </c>
      <c r="Q184" s="499">
        <f t="shared" si="92"/>
        <v>49479</v>
      </c>
      <c r="R184" s="288">
        <f t="shared" si="78"/>
        <v>173764.44000000018</v>
      </c>
      <c r="S184" s="492">
        <f t="shared" si="103"/>
        <v>6.7500000000000004E-2</v>
      </c>
      <c r="T184" s="288">
        <f t="shared" si="93"/>
        <v>3195.22</v>
      </c>
      <c r="U184" s="288">
        <f t="shared" si="81"/>
        <v>2217.7999999999997</v>
      </c>
      <c r="V184" s="288">
        <f t="shared" si="94"/>
        <v>977.42</v>
      </c>
      <c r="W184" s="288">
        <f t="shared" si="74"/>
        <v>0</v>
      </c>
      <c r="X184" s="288">
        <f t="shared" si="75"/>
        <v>0</v>
      </c>
      <c r="Y184" s="288">
        <f t="shared" si="82"/>
        <v>3195.22</v>
      </c>
      <c r="Z184" s="288">
        <f t="shared" si="83"/>
        <v>182828.35999999993</v>
      </c>
      <c r="AA184" s="288">
        <f t="shared" si="84"/>
        <v>146719.38000000006</v>
      </c>
      <c r="AB184" s="288">
        <f t="shared" si="95"/>
        <v>171546.64000000019</v>
      </c>
      <c r="AC184" s="410">
        <f t="shared" si="104"/>
        <v>124</v>
      </c>
      <c r="AD184" s="510">
        <f t="shared" si="105"/>
        <v>-42238.990000000005</v>
      </c>
      <c r="AE184" s="510">
        <f t="shared" si="76"/>
        <v>116859.8200000002</v>
      </c>
      <c r="AF184" s="510">
        <f t="shared" si="77"/>
        <v>74620.830000000191</v>
      </c>
      <c r="AG184" s="510">
        <f t="shared" si="106"/>
        <v>2813.1099999999997</v>
      </c>
      <c r="AH184" s="510">
        <f t="shared" si="107"/>
        <v>205410.66000000009</v>
      </c>
      <c r="AI184" s="510"/>
      <c r="AJ184" s="14">
        <f t="shared" si="85"/>
        <v>2813.1099999999997</v>
      </c>
      <c r="AK184" s="14">
        <f t="shared" si="86"/>
        <v>277198.66999999923</v>
      </c>
      <c r="AL184" s="510">
        <f>IF(R184&lt;=0,0,+(Profit!$B$4+AM183)*$AL$1/12)</f>
        <v>1277.7166573200627</v>
      </c>
      <c r="AM184" s="14">
        <f t="shared" si="108"/>
        <v>137364.37958534516</v>
      </c>
    </row>
    <row r="185" spans="1:39" x14ac:dyDescent="0.25">
      <c r="A185" s="499">
        <f t="shared" si="96"/>
        <v>49509</v>
      </c>
      <c r="B185" s="288">
        <f t="shared" si="97"/>
        <v>54686.819999999992</v>
      </c>
      <c r="C185" s="14">
        <f t="shared" si="87"/>
        <v>382.11</v>
      </c>
      <c r="D185" s="14">
        <f t="shared" si="109"/>
        <v>211.21</v>
      </c>
      <c r="E185" s="14">
        <f t="shared" si="88"/>
        <v>170.9</v>
      </c>
      <c r="F185" s="288">
        <f t="shared" si="98"/>
        <v>28291.330000000005</v>
      </c>
      <c r="G185" s="288">
        <f t="shared" si="99"/>
        <v>37307.319999999992</v>
      </c>
      <c r="H185" s="288">
        <f t="shared" si="89"/>
        <v>54475.609999999993</v>
      </c>
      <c r="I185" s="410">
        <f t="shared" si="90"/>
        <v>10</v>
      </c>
      <c r="J185" s="288">
        <f t="shared" si="100"/>
        <v>299260.95999999996</v>
      </c>
      <c r="K185" s="288">
        <f t="shared" si="79"/>
        <v>2298.4699999999998</v>
      </c>
      <c r="L185" s="288">
        <f t="shared" si="110"/>
        <v>615.12999999999988</v>
      </c>
      <c r="M185" s="288">
        <f t="shared" si="80"/>
        <v>1683.34</v>
      </c>
      <c r="N185" s="288">
        <f t="shared" si="101"/>
        <v>55729.169999999984</v>
      </c>
      <c r="O185" s="288">
        <f t="shared" si="102"/>
        <v>233878.05000000005</v>
      </c>
      <c r="P185" s="288">
        <f t="shared" si="91"/>
        <v>298645.82999999996</v>
      </c>
      <c r="Q185" s="499">
        <f t="shared" si="92"/>
        <v>49509</v>
      </c>
      <c r="R185" s="288">
        <f t="shared" si="78"/>
        <v>171546.64000000019</v>
      </c>
      <c r="S185" s="492">
        <f t="shared" si="103"/>
        <v>6.7500000000000004E-2</v>
      </c>
      <c r="T185" s="288">
        <f t="shared" si="93"/>
        <v>3195.22</v>
      </c>
      <c r="U185" s="288">
        <f t="shared" si="81"/>
        <v>2230.2699999999995</v>
      </c>
      <c r="V185" s="288">
        <f t="shared" si="94"/>
        <v>964.95</v>
      </c>
      <c r="W185" s="288">
        <f t="shared" si="74"/>
        <v>0</v>
      </c>
      <c r="X185" s="288">
        <f t="shared" si="75"/>
        <v>0</v>
      </c>
      <c r="Y185" s="288">
        <f t="shared" si="82"/>
        <v>3195.2199999999993</v>
      </c>
      <c r="Z185" s="288">
        <f t="shared" si="83"/>
        <v>185058.62999999992</v>
      </c>
      <c r="AA185" s="288">
        <f t="shared" si="84"/>
        <v>147684.33000000007</v>
      </c>
      <c r="AB185" s="288">
        <f t="shared" si="95"/>
        <v>169316.3700000002</v>
      </c>
      <c r="AC185" s="410">
        <f t="shared" si="104"/>
        <v>125</v>
      </c>
      <c r="AD185" s="510">
        <f t="shared" si="105"/>
        <v>-43135.740000000005</v>
      </c>
      <c r="AE185" s="510">
        <f t="shared" si="76"/>
        <v>114840.76000000021</v>
      </c>
      <c r="AF185" s="510">
        <f t="shared" si="77"/>
        <v>71705.020000000208</v>
      </c>
      <c r="AG185" s="510">
        <f t="shared" si="106"/>
        <v>2813.1099999999997</v>
      </c>
      <c r="AH185" s="510">
        <f t="shared" si="107"/>
        <v>203391.60000000012</v>
      </c>
      <c r="AI185" s="510"/>
      <c r="AJ185" s="14">
        <f t="shared" si="85"/>
        <v>2813.1099999999997</v>
      </c>
      <c r="AK185" s="14">
        <f t="shared" si="86"/>
        <v>280011.77999999921</v>
      </c>
      <c r="AL185" s="510">
        <f>IF(R185&lt;=0,0,+(Profit!$B$4+AM184)*$AL$1/12)</f>
        <v>1280.9109489633629</v>
      </c>
      <c r="AM185" s="14">
        <f t="shared" si="108"/>
        <v>138645.29053430853</v>
      </c>
    </row>
    <row r="186" spans="1:39" x14ac:dyDescent="0.25">
      <c r="A186" s="499">
        <f t="shared" si="96"/>
        <v>49539</v>
      </c>
      <c r="B186" s="288">
        <f t="shared" si="97"/>
        <v>54475.609999999993</v>
      </c>
      <c r="C186" s="14">
        <f t="shared" si="87"/>
        <v>382.11</v>
      </c>
      <c r="D186" s="14">
        <f t="shared" si="109"/>
        <v>211.87</v>
      </c>
      <c r="E186" s="14">
        <f t="shared" si="88"/>
        <v>170.24</v>
      </c>
      <c r="F186" s="288">
        <f t="shared" si="98"/>
        <v>28503.200000000004</v>
      </c>
      <c r="G186" s="288">
        <f t="shared" si="99"/>
        <v>37477.55999999999</v>
      </c>
      <c r="H186" s="288">
        <f t="shared" si="89"/>
        <v>54263.739999999991</v>
      </c>
      <c r="I186" s="410">
        <f t="shared" si="90"/>
        <v>10</v>
      </c>
      <c r="J186" s="288">
        <f t="shared" si="100"/>
        <v>298645.82999999996</v>
      </c>
      <c r="K186" s="288">
        <f t="shared" si="79"/>
        <v>2298.4699999999998</v>
      </c>
      <c r="L186" s="288">
        <f t="shared" si="110"/>
        <v>618.58999999999969</v>
      </c>
      <c r="M186" s="288">
        <f t="shared" si="80"/>
        <v>1679.88</v>
      </c>
      <c r="N186" s="288">
        <f t="shared" si="101"/>
        <v>56347.75999999998</v>
      </c>
      <c r="O186" s="288">
        <f t="shared" si="102"/>
        <v>235557.93000000005</v>
      </c>
      <c r="P186" s="288">
        <f t="shared" si="91"/>
        <v>298027.23999999993</v>
      </c>
      <c r="Q186" s="499">
        <f t="shared" si="92"/>
        <v>49539</v>
      </c>
      <c r="R186" s="288">
        <f t="shared" si="78"/>
        <v>169316.3700000002</v>
      </c>
      <c r="S186" s="492">
        <f t="shared" si="103"/>
        <v>6.7500000000000004E-2</v>
      </c>
      <c r="T186" s="288">
        <f t="shared" si="93"/>
        <v>3195.22</v>
      </c>
      <c r="U186" s="288">
        <f t="shared" si="81"/>
        <v>2242.8199999999997</v>
      </c>
      <c r="V186" s="288">
        <f t="shared" si="94"/>
        <v>952.4</v>
      </c>
      <c r="W186" s="288">
        <f t="shared" si="74"/>
        <v>0</v>
      </c>
      <c r="X186" s="288">
        <f t="shared" si="75"/>
        <v>0</v>
      </c>
      <c r="Y186" s="288">
        <f t="shared" si="82"/>
        <v>3195.22</v>
      </c>
      <c r="Z186" s="288">
        <f t="shared" si="83"/>
        <v>187301.44999999992</v>
      </c>
      <c r="AA186" s="288">
        <f t="shared" si="84"/>
        <v>148636.73000000007</v>
      </c>
      <c r="AB186" s="288">
        <f t="shared" si="95"/>
        <v>167073.55000000019</v>
      </c>
      <c r="AC186" s="410">
        <f t="shared" si="104"/>
        <v>126</v>
      </c>
      <c r="AD186" s="510">
        <f t="shared" si="105"/>
        <v>-44032.490000000005</v>
      </c>
      <c r="AE186" s="510">
        <f t="shared" si="76"/>
        <v>112809.8100000002</v>
      </c>
      <c r="AF186" s="510">
        <f t="shared" si="77"/>
        <v>68777.320000000196</v>
      </c>
      <c r="AG186" s="510">
        <f t="shared" si="106"/>
        <v>2813.1099999999997</v>
      </c>
      <c r="AH186" s="510">
        <f t="shared" si="107"/>
        <v>201360.65000000011</v>
      </c>
      <c r="AI186" s="510"/>
      <c r="AJ186" s="14">
        <f t="shared" si="85"/>
        <v>2813.1099999999997</v>
      </c>
      <c r="AK186" s="14">
        <f t="shared" si="86"/>
        <v>282824.8899999992</v>
      </c>
      <c r="AL186" s="510">
        <f>IF(R186&lt;=0,0,+(Profit!$B$4+AM185)*$AL$1/12)</f>
        <v>1284.1132263357713</v>
      </c>
      <c r="AM186" s="14">
        <f t="shared" si="108"/>
        <v>139929.40376064429</v>
      </c>
    </row>
    <row r="187" spans="1:39" x14ac:dyDescent="0.25">
      <c r="A187" s="499">
        <f t="shared" si="96"/>
        <v>49569</v>
      </c>
      <c r="B187" s="288">
        <f t="shared" si="97"/>
        <v>54263.739999999991</v>
      </c>
      <c r="C187" s="14">
        <f t="shared" si="87"/>
        <v>382.11</v>
      </c>
      <c r="D187" s="14">
        <f t="shared" si="109"/>
        <v>212.54000000000002</v>
      </c>
      <c r="E187" s="14">
        <f t="shared" si="88"/>
        <v>169.57</v>
      </c>
      <c r="F187" s="288">
        <f t="shared" si="98"/>
        <v>28715.740000000005</v>
      </c>
      <c r="G187" s="288">
        <f t="shared" si="99"/>
        <v>37647.12999999999</v>
      </c>
      <c r="H187" s="288">
        <f t="shared" si="89"/>
        <v>54051.19999999999</v>
      </c>
      <c r="I187" s="410">
        <f t="shared" si="90"/>
        <v>10</v>
      </c>
      <c r="J187" s="288">
        <f t="shared" si="100"/>
        <v>298027.23999999993</v>
      </c>
      <c r="K187" s="288">
        <f t="shared" si="79"/>
        <v>2298.4699999999998</v>
      </c>
      <c r="L187" s="288">
        <f t="shared" si="110"/>
        <v>622.06999999999971</v>
      </c>
      <c r="M187" s="288">
        <f t="shared" si="80"/>
        <v>1676.4</v>
      </c>
      <c r="N187" s="288">
        <f t="shared" si="101"/>
        <v>56969.82999999998</v>
      </c>
      <c r="O187" s="288">
        <f t="shared" si="102"/>
        <v>237234.33000000005</v>
      </c>
      <c r="P187" s="288">
        <f t="shared" si="91"/>
        <v>297405.16999999993</v>
      </c>
      <c r="Q187" s="499">
        <f t="shared" si="92"/>
        <v>49569</v>
      </c>
      <c r="R187" s="288">
        <f t="shared" si="78"/>
        <v>167073.55000000019</v>
      </c>
      <c r="S187" s="492">
        <f t="shared" si="103"/>
        <v>6.7500000000000004E-2</v>
      </c>
      <c r="T187" s="288">
        <f t="shared" si="93"/>
        <v>3195.22</v>
      </c>
      <c r="U187" s="288">
        <f t="shared" si="81"/>
        <v>2255.4299999999998</v>
      </c>
      <c r="V187" s="288">
        <f t="shared" si="94"/>
        <v>939.79</v>
      </c>
      <c r="W187" s="288">
        <f t="shared" si="74"/>
        <v>0</v>
      </c>
      <c r="X187" s="288">
        <f t="shared" si="75"/>
        <v>0</v>
      </c>
      <c r="Y187" s="288">
        <f t="shared" si="82"/>
        <v>3195.22</v>
      </c>
      <c r="Z187" s="288">
        <f t="shared" si="83"/>
        <v>189556.87999999992</v>
      </c>
      <c r="AA187" s="288">
        <f t="shared" si="84"/>
        <v>149576.52000000008</v>
      </c>
      <c r="AB187" s="288">
        <f t="shared" si="95"/>
        <v>164818.1200000002</v>
      </c>
      <c r="AC187" s="410">
        <f t="shared" si="104"/>
        <v>127</v>
      </c>
      <c r="AD187" s="510">
        <f t="shared" si="105"/>
        <v>-44929.240000000005</v>
      </c>
      <c r="AE187" s="510">
        <f t="shared" si="76"/>
        <v>110766.92000000022</v>
      </c>
      <c r="AF187" s="510">
        <f t="shared" si="77"/>
        <v>65837.680000000211</v>
      </c>
      <c r="AG187" s="510">
        <f t="shared" si="106"/>
        <v>2813.1099999999997</v>
      </c>
      <c r="AH187" s="510">
        <f t="shared" si="107"/>
        <v>199317.7600000001</v>
      </c>
      <c r="AI187" s="510"/>
      <c r="AJ187" s="14">
        <f t="shared" si="85"/>
        <v>2813.1099999999997</v>
      </c>
      <c r="AK187" s="14">
        <f t="shared" si="86"/>
        <v>285637.99999999919</v>
      </c>
      <c r="AL187" s="510">
        <f>IF(R187&lt;=0,0,+(Profit!$B$4+AM186)*$AL$1/12)</f>
        <v>1287.3235094016106</v>
      </c>
      <c r="AM187" s="14">
        <f t="shared" si="108"/>
        <v>141216.7272700459</v>
      </c>
    </row>
    <row r="188" spans="1:39" x14ac:dyDescent="0.25">
      <c r="A188" s="499">
        <f t="shared" si="96"/>
        <v>49599</v>
      </c>
      <c r="B188" s="288">
        <f t="shared" si="97"/>
        <v>54051.19999999999</v>
      </c>
      <c r="C188" s="14">
        <f t="shared" si="87"/>
        <v>382.11</v>
      </c>
      <c r="D188" s="14">
        <f t="shared" si="109"/>
        <v>213.20000000000002</v>
      </c>
      <c r="E188" s="14">
        <f t="shared" si="88"/>
        <v>168.91</v>
      </c>
      <c r="F188" s="288">
        <f t="shared" si="98"/>
        <v>28928.940000000006</v>
      </c>
      <c r="G188" s="288">
        <f t="shared" si="99"/>
        <v>37816.039999999994</v>
      </c>
      <c r="H188" s="288">
        <f t="shared" si="89"/>
        <v>53837.999999999993</v>
      </c>
      <c r="I188" s="410">
        <f t="shared" si="90"/>
        <v>10</v>
      </c>
      <c r="J188" s="288">
        <f t="shared" si="100"/>
        <v>297405.16999999993</v>
      </c>
      <c r="K188" s="288">
        <f t="shared" si="79"/>
        <v>2298.4699999999998</v>
      </c>
      <c r="L188" s="288">
        <f t="shared" si="110"/>
        <v>625.56999999999971</v>
      </c>
      <c r="M188" s="288">
        <f t="shared" si="80"/>
        <v>1672.9</v>
      </c>
      <c r="N188" s="288">
        <f t="shared" si="101"/>
        <v>57595.39999999998</v>
      </c>
      <c r="O188" s="288">
        <f t="shared" si="102"/>
        <v>238907.23000000004</v>
      </c>
      <c r="P188" s="288">
        <f t="shared" si="91"/>
        <v>296779.59999999992</v>
      </c>
      <c r="Q188" s="499">
        <f t="shared" si="92"/>
        <v>49599</v>
      </c>
      <c r="R188" s="288">
        <f t="shared" si="78"/>
        <v>164818.1200000002</v>
      </c>
      <c r="S188" s="492">
        <f t="shared" si="103"/>
        <v>6.7500000000000004E-2</v>
      </c>
      <c r="T188" s="288">
        <f t="shared" si="93"/>
        <v>3195.22</v>
      </c>
      <c r="U188" s="288">
        <f t="shared" si="81"/>
        <v>2268.12</v>
      </c>
      <c r="V188" s="288">
        <f t="shared" si="94"/>
        <v>927.1</v>
      </c>
      <c r="W188" s="288">
        <f t="shared" ref="W188:W251" si="111">+W187</f>
        <v>0</v>
      </c>
      <c r="X188" s="288">
        <f t="shared" ref="X188:X251" si="112">+X187</f>
        <v>0</v>
      </c>
      <c r="Y188" s="288">
        <f t="shared" si="82"/>
        <v>3195.22</v>
      </c>
      <c r="Z188" s="288">
        <f t="shared" si="83"/>
        <v>191824.99999999991</v>
      </c>
      <c r="AA188" s="288">
        <f t="shared" si="84"/>
        <v>150503.62000000008</v>
      </c>
      <c r="AB188" s="288">
        <f t="shared" si="95"/>
        <v>162550.0000000002</v>
      </c>
      <c r="AC188" s="410">
        <f t="shared" si="104"/>
        <v>128</v>
      </c>
      <c r="AD188" s="510">
        <f t="shared" si="105"/>
        <v>-45825.990000000005</v>
      </c>
      <c r="AE188" s="510">
        <f t="shared" ref="AE188:AE251" si="113">AB188-H188</f>
        <v>108712.0000000002</v>
      </c>
      <c r="AF188" s="510">
        <f t="shared" ref="AF188:AF251" si="114">SUM(AD188:AE188)</f>
        <v>62886.010000000198</v>
      </c>
      <c r="AG188" s="510">
        <f t="shared" si="106"/>
        <v>2813.1099999999997</v>
      </c>
      <c r="AH188" s="510">
        <f t="shared" si="107"/>
        <v>197262.84000000011</v>
      </c>
      <c r="AI188" s="510"/>
      <c r="AJ188" s="14">
        <f t="shared" si="85"/>
        <v>2813.1099999999997</v>
      </c>
      <c r="AK188" s="14">
        <f t="shared" si="86"/>
        <v>288451.10999999917</v>
      </c>
      <c r="AL188" s="510">
        <f>IF(R188&lt;=0,0,+(Profit!$B$4+AM187)*$AL$1/12)</f>
        <v>1290.5418181751147</v>
      </c>
      <c r="AM188" s="14">
        <f t="shared" si="108"/>
        <v>142507.26908822102</v>
      </c>
    </row>
    <row r="189" spans="1:39" x14ac:dyDescent="0.25">
      <c r="A189" s="499">
        <f t="shared" si="96"/>
        <v>49629</v>
      </c>
      <c r="B189" s="288">
        <f t="shared" si="97"/>
        <v>53837.999999999993</v>
      </c>
      <c r="C189" s="14">
        <f t="shared" si="87"/>
        <v>382.11</v>
      </c>
      <c r="D189" s="14">
        <f t="shared" si="109"/>
        <v>213.87</v>
      </c>
      <c r="E189" s="14">
        <f t="shared" si="88"/>
        <v>168.24</v>
      </c>
      <c r="F189" s="288">
        <f t="shared" si="98"/>
        <v>29142.810000000005</v>
      </c>
      <c r="G189" s="288">
        <f t="shared" si="99"/>
        <v>37984.279999999992</v>
      </c>
      <c r="H189" s="288">
        <f t="shared" si="89"/>
        <v>53624.12999999999</v>
      </c>
      <c r="I189" s="410">
        <f t="shared" si="90"/>
        <v>10</v>
      </c>
      <c r="J189" s="288">
        <f t="shared" si="100"/>
        <v>296779.59999999992</v>
      </c>
      <c r="K189" s="288">
        <f t="shared" si="79"/>
        <v>2298.4699999999998</v>
      </c>
      <c r="L189" s="288">
        <f t="shared" si="110"/>
        <v>629.0799999999997</v>
      </c>
      <c r="M189" s="288">
        <f t="shared" si="80"/>
        <v>1669.39</v>
      </c>
      <c r="N189" s="288">
        <f t="shared" si="101"/>
        <v>58224.479999999981</v>
      </c>
      <c r="O189" s="288">
        <f t="shared" si="102"/>
        <v>240576.62000000005</v>
      </c>
      <c r="P189" s="288">
        <f t="shared" si="91"/>
        <v>296150.5199999999</v>
      </c>
      <c r="Q189" s="499">
        <f t="shared" si="92"/>
        <v>49629</v>
      </c>
      <c r="R189" s="288">
        <f t="shared" ref="R189:R252" si="115">IF(Q189&gt;$J$10,IF(+AB188&lt;0,0,+AB188),0)</f>
        <v>162550.0000000002</v>
      </c>
      <c r="S189" s="492">
        <f t="shared" si="103"/>
        <v>6.7500000000000004E-2</v>
      </c>
      <c r="T189" s="288">
        <f t="shared" si="93"/>
        <v>3195.22</v>
      </c>
      <c r="U189" s="288">
        <f t="shared" si="81"/>
        <v>2280.8799999999997</v>
      </c>
      <c r="V189" s="288">
        <f t="shared" si="94"/>
        <v>914.34</v>
      </c>
      <c r="W189" s="288">
        <f t="shared" si="111"/>
        <v>0</v>
      </c>
      <c r="X189" s="288">
        <f t="shared" si="112"/>
        <v>0</v>
      </c>
      <c r="Y189" s="288">
        <f t="shared" si="82"/>
        <v>3195.22</v>
      </c>
      <c r="Z189" s="288">
        <f t="shared" si="83"/>
        <v>194105.87999999992</v>
      </c>
      <c r="AA189" s="288">
        <f t="shared" si="84"/>
        <v>151417.96000000008</v>
      </c>
      <c r="AB189" s="288">
        <f t="shared" si="95"/>
        <v>160269.1200000002</v>
      </c>
      <c r="AC189" s="410">
        <f t="shared" si="104"/>
        <v>129</v>
      </c>
      <c r="AD189" s="510">
        <f t="shared" si="105"/>
        <v>-46722.740000000005</v>
      </c>
      <c r="AE189" s="510">
        <f t="shared" si="113"/>
        <v>106644.99000000021</v>
      </c>
      <c r="AF189" s="510">
        <f t="shared" si="114"/>
        <v>59922.250000000204</v>
      </c>
      <c r="AG189" s="510">
        <f t="shared" si="106"/>
        <v>2813.1099999999997</v>
      </c>
      <c r="AH189" s="510">
        <f t="shared" si="107"/>
        <v>195195.8300000001</v>
      </c>
      <c r="AI189" s="510"/>
      <c r="AJ189" s="14">
        <f t="shared" si="85"/>
        <v>2813.1099999999997</v>
      </c>
      <c r="AK189" s="14">
        <f t="shared" si="86"/>
        <v>291264.21999999916</v>
      </c>
      <c r="AL189" s="510">
        <f>IF(R189&lt;=0,0,+(Profit!$B$4+AM188)*$AL$1/12)</f>
        <v>1293.7681727205525</v>
      </c>
      <c r="AM189" s="14">
        <f t="shared" si="108"/>
        <v>143801.03726094158</v>
      </c>
    </row>
    <row r="190" spans="1:39" x14ac:dyDescent="0.25">
      <c r="A190" s="499">
        <f t="shared" si="96"/>
        <v>49659</v>
      </c>
      <c r="B190" s="288">
        <f t="shared" si="97"/>
        <v>53624.12999999999</v>
      </c>
      <c r="C190" s="14">
        <f t="shared" si="87"/>
        <v>382.11</v>
      </c>
      <c r="D190" s="14">
        <f t="shared" si="109"/>
        <v>214.53</v>
      </c>
      <c r="E190" s="14">
        <f t="shared" si="88"/>
        <v>167.58</v>
      </c>
      <c r="F190" s="288">
        <f t="shared" si="98"/>
        <v>29357.340000000004</v>
      </c>
      <c r="G190" s="288">
        <f t="shared" si="99"/>
        <v>38151.859999999993</v>
      </c>
      <c r="H190" s="288">
        <f t="shared" si="89"/>
        <v>53409.599999999991</v>
      </c>
      <c r="I190" s="410">
        <f t="shared" si="90"/>
        <v>10</v>
      </c>
      <c r="J190" s="288">
        <f t="shared" si="100"/>
        <v>296150.5199999999</v>
      </c>
      <c r="K190" s="288">
        <f t="shared" ref="K190:K253" si="116">IF($J$10&lt;=A190,IF(+$P189&lt;=0,0,$J$9),0)</f>
        <v>2298.4699999999998</v>
      </c>
      <c r="L190" s="288">
        <f t="shared" si="110"/>
        <v>632.61999999999989</v>
      </c>
      <c r="M190" s="288">
        <f t="shared" ref="M190:M253" si="117">IF($J$10&lt;=A190,ROUND(J190*($J$7/12),2),0)</f>
        <v>1665.85</v>
      </c>
      <c r="N190" s="288">
        <f t="shared" si="101"/>
        <v>58857.099999999984</v>
      </c>
      <c r="O190" s="288">
        <f t="shared" si="102"/>
        <v>242242.47000000006</v>
      </c>
      <c r="P190" s="288">
        <f t="shared" si="91"/>
        <v>295517.89999999991</v>
      </c>
      <c r="Q190" s="499">
        <f t="shared" si="92"/>
        <v>49659</v>
      </c>
      <c r="R190" s="288">
        <f t="shared" si="115"/>
        <v>160269.1200000002</v>
      </c>
      <c r="S190" s="492">
        <f t="shared" si="103"/>
        <v>6.7500000000000004E-2</v>
      </c>
      <c r="T190" s="288">
        <f t="shared" si="93"/>
        <v>3195.22</v>
      </c>
      <c r="U190" s="288">
        <f t="shared" ref="U190:U253" si="118">+T190-V190</f>
        <v>2293.71</v>
      </c>
      <c r="V190" s="288">
        <f t="shared" si="94"/>
        <v>901.51</v>
      </c>
      <c r="W190" s="288">
        <f t="shared" si="111"/>
        <v>0</v>
      </c>
      <c r="X190" s="288">
        <f t="shared" si="112"/>
        <v>0</v>
      </c>
      <c r="Y190" s="288">
        <f t="shared" ref="Y190:Y253" si="119">SUM(U190:X190)</f>
        <v>3195.2200000000003</v>
      </c>
      <c r="Z190" s="288">
        <f t="shared" ref="Z190:Z253" si="120">+U190+Z189</f>
        <v>196399.58999999991</v>
      </c>
      <c r="AA190" s="288">
        <f t="shared" ref="AA190:AA253" si="121">+AA189+V190</f>
        <v>152319.47000000009</v>
      </c>
      <c r="AB190" s="288">
        <f t="shared" si="95"/>
        <v>157975.41000000021</v>
      </c>
      <c r="AC190" s="410">
        <f t="shared" si="104"/>
        <v>130</v>
      </c>
      <c r="AD190" s="510">
        <f t="shared" si="105"/>
        <v>-47619.490000000005</v>
      </c>
      <c r="AE190" s="510">
        <f t="shared" si="113"/>
        <v>104565.81000000022</v>
      </c>
      <c r="AF190" s="510">
        <f t="shared" si="114"/>
        <v>56946.320000000211</v>
      </c>
      <c r="AG190" s="510">
        <f t="shared" si="106"/>
        <v>2813.1099999999997</v>
      </c>
      <c r="AH190" s="510">
        <f t="shared" si="107"/>
        <v>193116.65000000014</v>
      </c>
      <c r="AI190" s="510"/>
      <c r="AJ190" s="14">
        <f t="shared" ref="AJ190:AJ253" si="122">+AG190-AI190</f>
        <v>2813.1099999999997</v>
      </c>
      <c r="AK190" s="14">
        <f t="shared" si="86"/>
        <v>294077.32999999914</v>
      </c>
      <c r="AL190" s="510">
        <f>IF(R190&lt;=0,0,+(Profit!$B$4+AM189)*$AL$1/12)</f>
        <v>1297.0025931523539</v>
      </c>
      <c r="AM190" s="14">
        <f t="shared" si="108"/>
        <v>145098.03985409392</v>
      </c>
    </row>
    <row r="191" spans="1:39" x14ac:dyDescent="0.25">
      <c r="A191" s="499">
        <f t="shared" si="96"/>
        <v>49689</v>
      </c>
      <c r="B191" s="288">
        <f t="shared" si="97"/>
        <v>53409.599999999991</v>
      </c>
      <c r="C191" s="14">
        <f t="shared" si="87"/>
        <v>382.11</v>
      </c>
      <c r="D191" s="14">
        <f t="shared" si="109"/>
        <v>215.20000000000002</v>
      </c>
      <c r="E191" s="14">
        <f t="shared" si="88"/>
        <v>166.91</v>
      </c>
      <c r="F191" s="288">
        <f t="shared" si="98"/>
        <v>29572.540000000005</v>
      </c>
      <c r="G191" s="288">
        <f t="shared" si="99"/>
        <v>38318.769999999997</v>
      </c>
      <c r="H191" s="288">
        <f t="shared" si="89"/>
        <v>53194.399999999994</v>
      </c>
      <c r="I191" s="410">
        <f t="shared" si="90"/>
        <v>10</v>
      </c>
      <c r="J191" s="288">
        <f t="shared" si="100"/>
        <v>295517.89999999991</v>
      </c>
      <c r="K191" s="288">
        <f t="shared" si="116"/>
        <v>2298.4699999999998</v>
      </c>
      <c r="L191" s="288">
        <f t="shared" si="110"/>
        <v>636.17999999999984</v>
      </c>
      <c r="M191" s="288">
        <f t="shared" si="117"/>
        <v>1662.29</v>
      </c>
      <c r="N191" s="288">
        <f t="shared" si="101"/>
        <v>59493.279999999984</v>
      </c>
      <c r="O191" s="288">
        <f t="shared" si="102"/>
        <v>243904.76000000007</v>
      </c>
      <c r="P191" s="288">
        <f t="shared" si="91"/>
        <v>294881.71999999991</v>
      </c>
      <c r="Q191" s="499">
        <f t="shared" si="92"/>
        <v>49689</v>
      </c>
      <c r="R191" s="288">
        <f t="shared" si="115"/>
        <v>157975.41000000021</v>
      </c>
      <c r="S191" s="492">
        <f t="shared" si="103"/>
        <v>6.7500000000000004E-2</v>
      </c>
      <c r="T191" s="288">
        <f t="shared" si="93"/>
        <v>3195.22</v>
      </c>
      <c r="U191" s="288">
        <f t="shared" si="118"/>
        <v>2306.6099999999997</v>
      </c>
      <c r="V191" s="288">
        <f t="shared" si="94"/>
        <v>888.61</v>
      </c>
      <c r="W191" s="288">
        <f t="shared" si="111"/>
        <v>0</v>
      </c>
      <c r="X191" s="288">
        <f t="shared" si="112"/>
        <v>0</v>
      </c>
      <c r="Y191" s="288">
        <f t="shared" si="119"/>
        <v>3195.22</v>
      </c>
      <c r="Z191" s="288">
        <f t="shared" si="120"/>
        <v>198706.1999999999</v>
      </c>
      <c r="AA191" s="288">
        <f t="shared" si="121"/>
        <v>153208.08000000007</v>
      </c>
      <c r="AB191" s="288">
        <f t="shared" si="95"/>
        <v>155668.80000000022</v>
      </c>
      <c r="AC191" s="410">
        <f t="shared" si="104"/>
        <v>131</v>
      </c>
      <c r="AD191" s="510">
        <f t="shared" si="105"/>
        <v>-48516.240000000005</v>
      </c>
      <c r="AE191" s="510">
        <f t="shared" si="113"/>
        <v>102474.40000000023</v>
      </c>
      <c r="AF191" s="510">
        <f t="shared" si="114"/>
        <v>53958.160000000222</v>
      </c>
      <c r="AG191" s="510">
        <f t="shared" si="106"/>
        <v>2813.1099999999997</v>
      </c>
      <c r="AH191" s="510">
        <f t="shared" si="107"/>
        <v>191025.24000000011</v>
      </c>
      <c r="AI191" s="510"/>
      <c r="AJ191" s="14">
        <f t="shared" si="122"/>
        <v>2813.1099999999997</v>
      </c>
      <c r="AK191" s="14">
        <f t="shared" si="86"/>
        <v>296890.43999999913</v>
      </c>
      <c r="AL191" s="510">
        <f>IF(R191&lt;=0,0,+(Profit!$B$4+AM190)*$AL$1/12)</f>
        <v>1300.2450996352347</v>
      </c>
      <c r="AM191" s="14">
        <f t="shared" si="108"/>
        <v>146398.28495372916</v>
      </c>
    </row>
    <row r="192" spans="1:39" x14ac:dyDescent="0.25">
      <c r="A192" s="499">
        <f t="shared" si="96"/>
        <v>49719</v>
      </c>
      <c r="B192" s="288">
        <f t="shared" si="97"/>
        <v>53194.399999999994</v>
      </c>
      <c r="C192" s="14">
        <f t="shared" si="87"/>
        <v>382.11</v>
      </c>
      <c r="D192" s="14">
        <f t="shared" si="109"/>
        <v>215.88000000000002</v>
      </c>
      <c r="E192" s="14">
        <f t="shared" si="88"/>
        <v>166.23</v>
      </c>
      <c r="F192" s="288">
        <f t="shared" si="98"/>
        <v>29788.420000000006</v>
      </c>
      <c r="G192" s="288">
        <f t="shared" si="99"/>
        <v>38485</v>
      </c>
      <c r="H192" s="288">
        <f t="shared" si="89"/>
        <v>52978.52</v>
      </c>
      <c r="I192" s="410">
        <f t="shared" si="90"/>
        <v>11</v>
      </c>
      <c r="J192" s="288">
        <f t="shared" si="100"/>
        <v>294881.71999999991</v>
      </c>
      <c r="K192" s="288">
        <f t="shared" si="116"/>
        <v>2298.4699999999998</v>
      </c>
      <c r="L192" s="288">
        <f t="shared" si="110"/>
        <v>639.75999999999976</v>
      </c>
      <c r="M192" s="288">
        <f t="shared" si="117"/>
        <v>1658.71</v>
      </c>
      <c r="N192" s="288">
        <f t="shared" si="101"/>
        <v>60133.039999999986</v>
      </c>
      <c r="O192" s="288">
        <f t="shared" si="102"/>
        <v>245563.47000000006</v>
      </c>
      <c r="P192" s="288">
        <f t="shared" si="91"/>
        <v>294241.9599999999</v>
      </c>
      <c r="Q192" s="499">
        <f t="shared" si="92"/>
        <v>49719</v>
      </c>
      <c r="R192" s="288">
        <f t="shared" si="115"/>
        <v>155668.80000000022</v>
      </c>
      <c r="S192" s="492">
        <f t="shared" si="103"/>
        <v>6.7500000000000004E-2</v>
      </c>
      <c r="T192" s="288">
        <f t="shared" si="93"/>
        <v>3195.22</v>
      </c>
      <c r="U192" s="288">
        <f t="shared" si="118"/>
        <v>2319.58</v>
      </c>
      <c r="V192" s="288">
        <f t="shared" si="94"/>
        <v>875.64</v>
      </c>
      <c r="W192" s="288">
        <f t="shared" si="111"/>
        <v>0</v>
      </c>
      <c r="X192" s="288">
        <f t="shared" si="112"/>
        <v>0</v>
      </c>
      <c r="Y192" s="288">
        <f t="shared" si="119"/>
        <v>3195.22</v>
      </c>
      <c r="Z192" s="288">
        <f t="shared" si="120"/>
        <v>201025.77999999988</v>
      </c>
      <c r="AA192" s="288">
        <f t="shared" si="121"/>
        <v>154083.72000000009</v>
      </c>
      <c r="AB192" s="288">
        <f t="shared" si="95"/>
        <v>153349.22000000023</v>
      </c>
      <c r="AC192" s="410">
        <f t="shared" si="104"/>
        <v>132</v>
      </c>
      <c r="AD192" s="510">
        <f t="shared" si="105"/>
        <v>-49412.990000000005</v>
      </c>
      <c r="AE192" s="510">
        <f t="shared" si="113"/>
        <v>100370.70000000024</v>
      </c>
      <c r="AF192" s="510">
        <f t="shared" si="114"/>
        <v>50957.710000000239</v>
      </c>
      <c r="AG192" s="510">
        <f t="shared" si="106"/>
        <v>2813.1099999999997</v>
      </c>
      <c r="AH192" s="510">
        <f t="shared" si="107"/>
        <v>188921.54000000012</v>
      </c>
      <c r="AI192" s="510"/>
      <c r="AJ192" s="14">
        <f t="shared" si="122"/>
        <v>2813.1099999999997</v>
      </c>
      <c r="AK192" s="14">
        <f t="shared" si="86"/>
        <v>299703.54999999912</v>
      </c>
      <c r="AL192" s="510">
        <f>IF(R192&lt;=0,0,+(Profit!$B$4+AM191)*$AL$1/12)</f>
        <v>1303.4957123843228</v>
      </c>
      <c r="AM192" s="14">
        <f t="shared" si="108"/>
        <v>147701.78066611348</v>
      </c>
    </row>
    <row r="193" spans="1:39" x14ac:dyDescent="0.25">
      <c r="A193" s="499">
        <f t="shared" si="96"/>
        <v>49749</v>
      </c>
      <c r="B193" s="288">
        <f t="shared" si="97"/>
        <v>52978.52</v>
      </c>
      <c r="C193" s="14">
        <f t="shared" si="87"/>
        <v>382.11</v>
      </c>
      <c r="D193" s="14">
        <f t="shared" si="109"/>
        <v>216.55</v>
      </c>
      <c r="E193" s="14">
        <f t="shared" si="88"/>
        <v>165.56</v>
      </c>
      <c r="F193" s="288">
        <f t="shared" si="98"/>
        <v>30004.970000000005</v>
      </c>
      <c r="G193" s="288">
        <f t="shared" si="99"/>
        <v>38650.559999999998</v>
      </c>
      <c r="H193" s="288">
        <f t="shared" si="89"/>
        <v>52761.969999999994</v>
      </c>
      <c r="I193" s="410">
        <f t="shared" si="90"/>
        <v>11</v>
      </c>
      <c r="J193" s="288">
        <f t="shared" si="100"/>
        <v>294241.9599999999</v>
      </c>
      <c r="K193" s="288">
        <f t="shared" si="116"/>
        <v>2298.4699999999998</v>
      </c>
      <c r="L193" s="288">
        <f t="shared" si="110"/>
        <v>643.3599999999999</v>
      </c>
      <c r="M193" s="288">
        <f t="shared" si="117"/>
        <v>1655.11</v>
      </c>
      <c r="N193" s="288">
        <f t="shared" si="101"/>
        <v>60776.399999999987</v>
      </c>
      <c r="O193" s="288">
        <f t="shared" si="102"/>
        <v>247218.58000000005</v>
      </c>
      <c r="P193" s="288">
        <f t="shared" si="91"/>
        <v>293598.59999999992</v>
      </c>
      <c r="Q193" s="499">
        <f t="shared" si="92"/>
        <v>49749</v>
      </c>
      <c r="R193" s="288">
        <f t="shared" si="115"/>
        <v>153349.22000000023</v>
      </c>
      <c r="S193" s="492">
        <f t="shared" si="103"/>
        <v>6.7500000000000004E-2</v>
      </c>
      <c r="T193" s="288">
        <f t="shared" si="93"/>
        <v>3195.22</v>
      </c>
      <c r="U193" s="288">
        <f t="shared" si="118"/>
        <v>2332.6299999999997</v>
      </c>
      <c r="V193" s="288">
        <f t="shared" si="94"/>
        <v>862.59</v>
      </c>
      <c r="W193" s="288">
        <f t="shared" si="111"/>
        <v>0</v>
      </c>
      <c r="X193" s="288">
        <f t="shared" si="112"/>
        <v>0</v>
      </c>
      <c r="Y193" s="288">
        <f t="shared" si="119"/>
        <v>3195.22</v>
      </c>
      <c r="Z193" s="288">
        <f t="shared" si="120"/>
        <v>203358.40999999989</v>
      </c>
      <c r="AA193" s="288">
        <f t="shared" si="121"/>
        <v>154946.31000000008</v>
      </c>
      <c r="AB193" s="288">
        <f t="shared" si="95"/>
        <v>151016.59000000023</v>
      </c>
      <c r="AC193" s="410">
        <f t="shared" si="104"/>
        <v>133</v>
      </c>
      <c r="AD193" s="510">
        <f t="shared" si="105"/>
        <v>-50309.740000000005</v>
      </c>
      <c r="AE193" s="510">
        <f t="shared" si="113"/>
        <v>98254.620000000228</v>
      </c>
      <c r="AF193" s="510">
        <f t="shared" si="114"/>
        <v>47944.880000000223</v>
      </c>
      <c r="AG193" s="510">
        <f t="shared" si="106"/>
        <v>2813.1099999999997</v>
      </c>
      <c r="AH193" s="510">
        <f t="shared" si="107"/>
        <v>186805.46000000017</v>
      </c>
      <c r="AI193" s="510"/>
      <c r="AJ193" s="14">
        <f t="shared" si="122"/>
        <v>2813.1099999999997</v>
      </c>
      <c r="AK193" s="14">
        <f t="shared" si="86"/>
        <v>302516.6599999991</v>
      </c>
      <c r="AL193" s="510">
        <f>IF(R193&lt;=0,0,+(Profit!$B$4+AM192)*$AL$1/12)</f>
        <v>1306.7544516652836</v>
      </c>
      <c r="AM193" s="14">
        <f t="shared" si="108"/>
        <v>149008.53511777875</v>
      </c>
    </row>
    <row r="194" spans="1:39" ht="15.75" thickBot="1" x14ac:dyDescent="0.3">
      <c r="A194" s="502">
        <f t="shared" si="96"/>
        <v>49779</v>
      </c>
      <c r="B194" s="343">
        <f t="shared" si="97"/>
        <v>52761.969999999994</v>
      </c>
      <c r="C194" s="21">
        <f t="shared" si="87"/>
        <v>382.11</v>
      </c>
      <c r="D194" s="21">
        <f t="shared" si="109"/>
        <v>217.23000000000002</v>
      </c>
      <c r="E194" s="21">
        <f t="shared" si="88"/>
        <v>164.88</v>
      </c>
      <c r="F194" s="343">
        <f t="shared" si="98"/>
        <v>30222.200000000004</v>
      </c>
      <c r="G194" s="343">
        <f t="shared" si="99"/>
        <v>38815.439999999995</v>
      </c>
      <c r="H194" s="343">
        <f t="shared" si="89"/>
        <v>52544.739999999991</v>
      </c>
      <c r="I194" s="411">
        <f t="shared" si="90"/>
        <v>11</v>
      </c>
      <c r="J194" s="343">
        <f t="shared" si="100"/>
        <v>293598.59999999992</v>
      </c>
      <c r="K194" s="343">
        <f t="shared" si="116"/>
        <v>2298.4699999999998</v>
      </c>
      <c r="L194" s="343">
        <f t="shared" si="110"/>
        <v>646.97999999999979</v>
      </c>
      <c r="M194" s="343">
        <f t="shared" si="117"/>
        <v>1651.49</v>
      </c>
      <c r="N194" s="343">
        <f t="shared" si="101"/>
        <v>61423.37999999999</v>
      </c>
      <c r="O194" s="343">
        <f t="shared" si="102"/>
        <v>248870.07000000004</v>
      </c>
      <c r="P194" s="343">
        <f t="shared" si="91"/>
        <v>292951.61999999994</v>
      </c>
      <c r="Q194" s="502">
        <f t="shared" si="92"/>
        <v>49779</v>
      </c>
      <c r="R194" s="343">
        <f t="shared" si="115"/>
        <v>151016.59000000023</v>
      </c>
      <c r="S194" s="493">
        <f t="shared" si="103"/>
        <v>6.7500000000000004E-2</v>
      </c>
      <c r="T194" s="343">
        <f t="shared" si="93"/>
        <v>3195.22</v>
      </c>
      <c r="U194" s="343">
        <f t="shared" si="118"/>
        <v>2345.75</v>
      </c>
      <c r="V194" s="343">
        <f t="shared" si="94"/>
        <v>849.47</v>
      </c>
      <c r="W194" s="343">
        <f t="shared" si="111"/>
        <v>0</v>
      </c>
      <c r="X194" s="343">
        <f t="shared" si="112"/>
        <v>0</v>
      </c>
      <c r="Y194" s="343">
        <f t="shared" si="119"/>
        <v>3195.2200000000003</v>
      </c>
      <c r="Z194" s="343">
        <f t="shared" si="120"/>
        <v>205704.15999999989</v>
      </c>
      <c r="AA194" s="343">
        <f t="shared" si="121"/>
        <v>155795.78000000009</v>
      </c>
      <c r="AB194" s="343">
        <f t="shared" si="95"/>
        <v>148670.84000000023</v>
      </c>
      <c r="AC194" s="411">
        <f t="shared" si="104"/>
        <v>134</v>
      </c>
      <c r="AD194" s="511">
        <f t="shared" si="105"/>
        <v>-51206.490000000005</v>
      </c>
      <c r="AE194" s="511">
        <f t="shared" si="113"/>
        <v>96126.100000000239</v>
      </c>
      <c r="AF194" s="511">
        <f t="shared" si="114"/>
        <v>44919.610000000233</v>
      </c>
      <c r="AG194" s="511">
        <f t="shared" si="106"/>
        <v>2813.1099999999997</v>
      </c>
      <c r="AH194" s="511">
        <f t="shared" si="107"/>
        <v>184676.94000000015</v>
      </c>
      <c r="AI194" s="511"/>
      <c r="AJ194" s="21">
        <f t="shared" si="122"/>
        <v>2813.1099999999997</v>
      </c>
      <c r="AK194" s="21">
        <f t="shared" ref="AK194:AK257" si="123">IF(P194&lt;=0,0,+AJ194+AK193)</f>
        <v>305329.76999999909</v>
      </c>
      <c r="AL194" s="511">
        <f>IF(R194&lt;=0,0,+(Profit!$B$4+AM193)*$AL$1/12)</f>
        <v>1310.0213377944467</v>
      </c>
      <c r="AM194" s="21">
        <f t="shared" si="108"/>
        <v>150318.55645557321</v>
      </c>
    </row>
    <row r="195" spans="1:39" x14ac:dyDescent="0.25">
      <c r="A195" s="499">
        <f t="shared" si="96"/>
        <v>49809</v>
      </c>
      <c r="B195" s="288">
        <f t="shared" si="97"/>
        <v>52544.739999999991</v>
      </c>
      <c r="C195" s="14">
        <f t="shared" si="87"/>
        <v>382.11</v>
      </c>
      <c r="D195" s="14">
        <f t="shared" si="109"/>
        <v>217.91000000000003</v>
      </c>
      <c r="E195" s="14">
        <f t="shared" si="88"/>
        <v>164.2</v>
      </c>
      <c r="F195" s="288">
        <f t="shared" si="98"/>
        <v>30440.110000000004</v>
      </c>
      <c r="G195" s="288">
        <f t="shared" si="99"/>
        <v>38979.639999999992</v>
      </c>
      <c r="H195" s="288">
        <f t="shared" si="89"/>
        <v>52326.829999999987</v>
      </c>
      <c r="I195" s="410">
        <f t="shared" si="90"/>
        <v>11</v>
      </c>
      <c r="J195" s="288">
        <f t="shared" si="100"/>
        <v>292951.61999999994</v>
      </c>
      <c r="K195" s="288">
        <f t="shared" si="116"/>
        <v>2298.4699999999998</v>
      </c>
      <c r="L195" s="288">
        <f t="shared" si="110"/>
        <v>650.61999999999989</v>
      </c>
      <c r="M195" s="288">
        <f t="shared" si="117"/>
        <v>1647.85</v>
      </c>
      <c r="N195" s="288">
        <f t="shared" si="101"/>
        <v>62073.999999999993</v>
      </c>
      <c r="O195" s="288">
        <f t="shared" si="102"/>
        <v>250517.92000000004</v>
      </c>
      <c r="P195" s="288">
        <f t="shared" si="91"/>
        <v>292300.99999999994</v>
      </c>
      <c r="Q195" s="499">
        <f t="shared" si="92"/>
        <v>49809</v>
      </c>
      <c r="R195" s="288">
        <f t="shared" si="115"/>
        <v>148670.84000000023</v>
      </c>
      <c r="S195" s="492">
        <f t="shared" si="103"/>
        <v>6.7500000000000004E-2</v>
      </c>
      <c r="T195" s="288">
        <f t="shared" si="93"/>
        <v>3195.22</v>
      </c>
      <c r="U195" s="288">
        <f t="shared" si="118"/>
        <v>2358.9499999999998</v>
      </c>
      <c r="V195" s="288">
        <f t="shared" si="94"/>
        <v>836.27</v>
      </c>
      <c r="W195" s="288">
        <f t="shared" si="111"/>
        <v>0</v>
      </c>
      <c r="X195" s="288">
        <f t="shared" si="112"/>
        <v>0</v>
      </c>
      <c r="Y195" s="288">
        <f t="shared" si="119"/>
        <v>3195.22</v>
      </c>
      <c r="Z195" s="288">
        <f t="shared" si="120"/>
        <v>208063.1099999999</v>
      </c>
      <c r="AA195" s="288">
        <f t="shared" si="121"/>
        <v>156632.05000000008</v>
      </c>
      <c r="AB195" s="288">
        <f t="shared" si="95"/>
        <v>146311.89000000022</v>
      </c>
      <c r="AC195" s="410">
        <f t="shared" si="104"/>
        <v>135</v>
      </c>
      <c r="AD195" s="510">
        <f t="shared" si="105"/>
        <v>-52103.240000000005</v>
      </c>
      <c r="AE195" s="510">
        <f t="shared" si="113"/>
        <v>93985.060000000231</v>
      </c>
      <c r="AF195" s="510">
        <f t="shared" si="114"/>
        <v>41881.820000000225</v>
      </c>
      <c r="AG195" s="510">
        <f t="shared" si="106"/>
        <v>2813.1099999999997</v>
      </c>
      <c r="AH195" s="510">
        <f t="shared" si="107"/>
        <v>182535.90000000011</v>
      </c>
      <c r="AI195" s="510"/>
      <c r="AJ195" s="14">
        <f t="shared" si="122"/>
        <v>2813.1099999999997</v>
      </c>
      <c r="AK195" s="14">
        <f t="shared" si="123"/>
        <v>308142.87999999907</v>
      </c>
      <c r="AL195" s="510">
        <f>IF(R195&lt;=0,0,+(Profit!$B$4+AM194)*$AL$1/12)</f>
        <v>1313.2963911389329</v>
      </c>
      <c r="AM195" s="14">
        <f t="shared" si="108"/>
        <v>151631.85284671214</v>
      </c>
    </row>
    <row r="196" spans="1:39" x14ac:dyDescent="0.25">
      <c r="A196" s="499">
        <f t="shared" si="96"/>
        <v>49839</v>
      </c>
      <c r="B196" s="288">
        <f t="shared" si="97"/>
        <v>52326.829999999987</v>
      </c>
      <c r="C196" s="14">
        <f t="shared" si="87"/>
        <v>382.11</v>
      </c>
      <c r="D196" s="14">
        <f t="shared" si="109"/>
        <v>218.59</v>
      </c>
      <c r="E196" s="14">
        <f t="shared" si="88"/>
        <v>163.52000000000001</v>
      </c>
      <c r="F196" s="288">
        <f t="shared" si="98"/>
        <v>30658.700000000004</v>
      </c>
      <c r="G196" s="288">
        <f t="shared" si="99"/>
        <v>39143.159999999989</v>
      </c>
      <c r="H196" s="288">
        <f t="shared" si="89"/>
        <v>52108.239999999991</v>
      </c>
      <c r="I196" s="410">
        <f t="shared" si="90"/>
        <v>11</v>
      </c>
      <c r="J196" s="288">
        <f t="shared" si="100"/>
        <v>292300.99999999994</v>
      </c>
      <c r="K196" s="288">
        <f t="shared" si="116"/>
        <v>2298.4699999999998</v>
      </c>
      <c r="L196" s="288">
        <f t="shared" si="110"/>
        <v>654.27999999999975</v>
      </c>
      <c r="M196" s="288">
        <f t="shared" si="117"/>
        <v>1644.19</v>
      </c>
      <c r="N196" s="288">
        <f t="shared" si="101"/>
        <v>62728.279999999992</v>
      </c>
      <c r="O196" s="288">
        <f t="shared" si="102"/>
        <v>252162.11000000004</v>
      </c>
      <c r="P196" s="288">
        <f t="shared" si="91"/>
        <v>291646.71999999991</v>
      </c>
      <c r="Q196" s="499">
        <f t="shared" si="92"/>
        <v>49839</v>
      </c>
      <c r="R196" s="288">
        <f t="shared" si="115"/>
        <v>146311.89000000022</v>
      </c>
      <c r="S196" s="492">
        <f t="shared" si="103"/>
        <v>6.7500000000000004E-2</v>
      </c>
      <c r="T196" s="288">
        <f t="shared" si="93"/>
        <v>3195.22</v>
      </c>
      <c r="U196" s="288">
        <f t="shared" si="118"/>
        <v>2372.2199999999998</v>
      </c>
      <c r="V196" s="288">
        <f t="shared" si="94"/>
        <v>823</v>
      </c>
      <c r="W196" s="288">
        <f t="shared" si="111"/>
        <v>0</v>
      </c>
      <c r="X196" s="288">
        <f t="shared" si="112"/>
        <v>0</v>
      </c>
      <c r="Y196" s="288">
        <f t="shared" si="119"/>
        <v>3195.22</v>
      </c>
      <c r="Z196" s="288">
        <f t="shared" si="120"/>
        <v>210435.3299999999</v>
      </c>
      <c r="AA196" s="288">
        <f t="shared" si="121"/>
        <v>157455.05000000008</v>
      </c>
      <c r="AB196" s="288">
        <f t="shared" si="95"/>
        <v>143939.67000000022</v>
      </c>
      <c r="AC196" s="410">
        <f t="shared" si="104"/>
        <v>136</v>
      </c>
      <c r="AD196" s="510">
        <f t="shared" si="105"/>
        <v>-52999.990000000005</v>
      </c>
      <c r="AE196" s="510">
        <f t="shared" si="113"/>
        <v>91831.430000000226</v>
      </c>
      <c r="AF196" s="510">
        <f t="shared" si="114"/>
        <v>38831.440000000221</v>
      </c>
      <c r="AG196" s="510">
        <f t="shared" si="106"/>
        <v>2813.1099999999997</v>
      </c>
      <c r="AH196" s="510">
        <f t="shared" si="107"/>
        <v>180382.27000000014</v>
      </c>
      <c r="AI196" s="510"/>
      <c r="AJ196" s="14">
        <f t="shared" si="122"/>
        <v>2813.1099999999997</v>
      </c>
      <c r="AK196" s="14">
        <f t="shared" si="123"/>
        <v>310955.98999999906</v>
      </c>
      <c r="AL196" s="510">
        <f>IF(R196&lt;=0,0,+(Profit!$B$4+AM195)*$AL$1/12)</f>
        <v>1316.5796321167802</v>
      </c>
      <c r="AM196" s="14">
        <f t="shared" si="108"/>
        <v>152948.43247882891</v>
      </c>
    </row>
    <row r="197" spans="1:39" x14ac:dyDescent="0.25">
      <c r="A197" s="499">
        <f t="shared" si="96"/>
        <v>49869</v>
      </c>
      <c r="B197" s="288">
        <f t="shared" si="97"/>
        <v>52108.239999999991</v>
      </c>
      <c r="C197" s="14">
        <f t="shared" si="87"/>
        <v>382.11</v>
      </c>
      <c r="D197" s="14">
        <f t="shared" si="109"/>
        <v>219.27</v>
      </c>
      <c r="E197" s="14">
        <f t="shared" si="88"/>
        <v>162.84</v>
      </c>
      <c r="F197" s="288">
        <f t="shared" si="98"/>
        <v>30877.970000000005</v>
      </c>
      <c r="G197" s="288">
        <f t="shared" si="99"/>
        <v>39305.999999999985</v>
      </c>
      <c r="H197" s="288">
        <f t="shared" si="89"/>
        <v>51888.969999999994</v>
      </c>
      <c r="I197" s="410">
        <f t="shared" si="90"/>
        <v>11</v>
      </c>
      <c r="J197" s="288">
        <f t="shared" si="100"/>
        <v>291646.71999999991</v>
      </c>
      <c r="K197" s="288">
        <f t="shared" si="116"/>
        <v>2298.4699999999998</v>
      </c>
      <c r="L197" s="288">
        <f t="shared" si="110"/>
        <v>657.95999999999981</v>
      </c>
      <c r="M197" s="288">
        <f t="shared" si="117"/>
        <v>1640.51</v>
      </c>
      <c r="N197" s="288">
        <f t="shared" si="101"/>
        <v>63386.239999999991</v>
      </c>
      <c r="O197" s="288">
        <f t="shared" si="102"/>
        <v>253802.62000000005</v>
      </c>
      <c r="P197" s="288">
        <f t="shared" si="91"/>
        <v>290988.75999999989</v>
      </c>
      <c r="Q197" s="499">
        <f t="shared" si="92"/>
        <v>49869</v>
      </c>
      <c r="R197" s="288">
        <f t="shared" si="115"/>
        <v>143939.67000000022</v>
      </c>
      <c r="S197" s="492">
        <f t="shared" si="103"/>
        <v>6.7500000000000004E-2</v>
      </c>
      <c r="T197" s="288">
        <f t="shared" si="93"/>
        <v>3195.22</v>
      </c>
      <c r="U197" s="288">
        <f t="shared" si="118"/>
        <v>2385.56</v>
      </c>
      <c r="V197" s="288">
        <f t="shared" si="94"/>
        <v>809.66</v>
      </c>
      <c r="W197" s="288">
        <f t="shared" si="111"/>
        <v>0</v>
      </c>
      <c r="X197" s="288">
        <f t="shared" si="112"/>
        <v>0</v>
      </c>
      <c r="Y197" s="288">
        <f t="shared" si="119"/>
        <v>3195.22</v>
      </c>
      <c r="Z197" s="288">
        <f t="shared" si="120"/>
        <v>212820.8899999999</v>
      </c>
      <c r="AA197" s="288">
        <f t="shared" si="121"/>
        <v>158264.71000000008</v>
      </c>
      <c r="AB197" s="288">
        <f t="shared" si="95"/>
        <v>141554.11000000022</v>
      </c>
      <c r="AC197" s="410">
        <f t="shared" si="104"/>
        <v>137</v>
      </c>
      <c r="AD197" s="510">
        <f t="shared" si="105"/>
        <v>-53896.740000000005</v>
      </c>
      <c r="AE197" s="510">
        <f t="shared" si="113"/>
        <v>89665.140000000218</v>
      </c>
      <c r="AF197" s="510">
        <f t="shared" si="114"/>
        <v>35768.400000000212</v>
      </c>
      <c r="AG197" s="510">
        <f t="shared" si="106"/>
        <v>2813.1099999999997</v>
      </c>
      <c r="AH197" s="510">
        <f t="shared" si="107"/>
        <v>178215.98000000016</v>
      </c>
      <c r="AI197" s="510"/>
      <c r="AJ197" s="14">
        <f t="shared" si="122"/>
        <v>2813.1099999999997</v>
      </c>
      <c r="AK197" s="14">
        <f t="shared" si="123"/>
        <v>313769.09999999905</v>
      </c>
      <c r="AL197" s="510">
        <f>IF(R197&lt;=0,0,+(Profit!$B$4+AM196)*$AL$1/12)</f>
        <v>1319.8710811970723</v>
      </c>
      <c r="AM197" s="14">
        <f t="shared" si="108"/>
        <v>154268.30356002599</v>
      </c>
    </row>
    <row r="198" spans="1:39" x14ac:dyDescent="0.25">
      <c r="A198" s="499">
        <f t="shared" si="96"/>
        <v>49899</v>
      </c>
      <c r="B198" s="288">
        <f t="shared" si="97"/>
        <v>51888.969999999994</v>
      </c>
      <c r="C198" s="14">
        <f t="shared" si="87"/>
        <v>382.11</v>
      </c>
      <c r="D198" s="14">
        <f t="shared" si="109"/>
        <v>219.96</v>
      </c>
      <c r="E198" s="14">
        <f t="shared" si="88"/>
        <v>162.15</v>
      </c>
      <c r="F198" s="288">
        <f t="shared" si="98"/>
        <v>31097.930000000004</v>
      </c>
      <c r="G198" s="288">
        <f t="shared" si="99"/>
        <v>39468.149999999987</v>
      </c>
      <c r="H198" s="288">
        <f t="shared" si="89"/>
        <v>51669.009999999995</v>
      </c>
      <c r="I198" s="410">
        <f t="shared" si="90"/>
        <v>11</v>
      </c>
      <c r="J198" s="288">
        <f t="shared" si="100"/>
        <v>290988.75999999989</v>
      </c>
      <c r="K198" s="288">
        <f t="shared" si="116"/>
        <v>2298.4699999999998</v>
      </c>
      <c r="L198" s="288">
        <f t="shared" si="110"/>
        <v>661.65999999999985</v>
      </c>
      <c r="M198" s="288">
        <f t="shared" si="117"/>
        <v>1636.81</v>
      </c>
      <c r="N198" s="288">
        <f t="shared" si="101"/>
        <v>64047.899999999994</v>
      </c>
      <c r="O198" s="288">
        <f t="shared" si="102"/>
        <v>255439.43000000005</v>
      </c>
      <c r="P198" s="288">
        <f t="shared" si="91"/>
        <v>290327.09999999992</v>
      </c>
      <c r="Q198" s="499">
        <f t="shared" si="92"/>
        <v>49899</v>
      </c>
      <c r="R198" s="288">
        <f t="shared" si="115"/>
        <v>141554.11000000022</v>
      </c>
      <c r="S198" s="492">
        <f t="shared" si="103"/>
        <v>6.7500000000000004E-2</v>
      </c>
      <c r="T198" s="288">
        <f t="shared" si="93"/>
        <v>3195.22</v>
      </c>
      <c r="U198" s="288">
        <f t="shared" si="118"/>
        <v>2398.9799999999996</v>
      </c>
      <c r="V198" s="288">
        <f t="shared" si="94"/>
        <v>796.24</v>
      </c>
      <c r="W198" s="288">
        <f t="shared" si="111"/>
        <v>0</v>
      </c>
      <c r="X198" s="288">
        <f t="shared" si="112"/>
        <v>0</v>
      </c>
      <c r="Y198" s="288">
        <f t="shared" si="119"/>
        <v>3195.2199999999993</v>
      </c>
      <c r="Z198" s="288">
        <f t="shared" si="120"/>
        <v>215219.86999999991</v>
      </c>
      <c r="AA198" s="288">
        <f t="shared" si="121"/>
        <v>159060.95000000007</v>
      </c>
      <c r="AB198" s="288">
        <f t="shared" si="95"/>
        <v>139155.13000000021</v>
      </c>
      <c r="AC198" s="410">
        <f t="shared" si="104"/>
        <v>138</v>
      </c>
      <c r="AD198" s="510">
        <f t="shared" si="105"/>
        <v>-54793.490000000005</v>
      </c>
      <c r="AE198" s="510">
        <f t="shared" si="113"/>
        <v>87486.120000000214</v>
      </c>
      <c r="AF198" s="510">
        <f t="shared" si="114"/>
        <v>32692.630000000208</v>
      </c>
      <c r="AG198" s="510">
        <f t="shared" si="106"/>
        <v>2813.1099999999997</v>
      </c>
      <c r="AH198" s="510">
        <f t="shared" si="107"/>
        <v>176036.96000000011</v>
      </c>
      <c r="AI198" s="510"/>
      <c r="AJ198" s="14">
        <f t="shared" si="122"/>
        <v>2813.1099999999997</v>
      </c>
      <c r="AK198" s="14">
        <f t="shared" si="123"/>
        <v>316582.20999999903</v>
      </c>
      <c r="AL198" s="510">
        <f>IF(R198&lt;=0,0,+(Profit!$B$4+AM197)*$AL$1/12)</f>
        <v>1323.170758900065</v>
      </c>
      <c r="AM198" s="14">
        <f t="shared" si="108"/>
        <v>155591.47431892605</v>
      </c>
    </row>
    <row r="199" spans="1:39" x14ac:dyDescent="0.25">
      <c r="A199" s="499">
        <f t="shared" si="96"/>
        <v>49929</v>
      </c>
      <c r="B199" s="288">
        <f t="shared" si="97"/>
        <v>51669.009999999995</v>
      </c>
      <c r="C199" s="14">
        <f t="shared" si="87"/>
        <v>382.11</v>
      </c>
      <c r="D199" s="14">
        <f t="shared" si="109"/>
        <v>220.64000000000001</v>
      </c>
      <c r="E199" s="14">
        <f t="shared" si="88"/>
        <v>161.47</v>
      </c>
      <c r="F199" s="288">
        <f t="shared" si="98"/>
        <v>31318.570000000003</v>
      </c>
      <c r="G199" s="288">
        <f t="shared" si="99"/>
        <v>39629.619999999988</v>
      </c>
      <c r="H199" s="288">
        <f t="shared" si="89"/>
        <v>51448.369999999995</v>
      </c>
      <c r="I199" s="410">
        <f t="shared" si="90"/>
        <v>11</v>
      </c>
      <c r="J199" s="288">
        <f t="shared" si="100"/>
        <v>290327.09999999992</v>
      </c>
      <c r="K199" s="288">
        <f t="shared" si="116"/>
        <v>2298.4699999999998</v>
      </c>
      <c r="L199" s="288">
        <f t="shared" si="110"/>
        <v>665.37999999999988</v>
      </c>
      <c r="M199" s="288">
        <f t="shared" si="117"/>
        <v>1633.09</v>
      </c>
      <c r="N199" s="288">
        <f t="shared" si="101"/>
        <v>64713.279999999992</v>
      </c>
      <c r="O199" s="288">
        <f t="shared" si="102"/>
        <v>257072.52000000005</v>
      </c>
      <c r="P199" s="288">
        <f t="shared" si="91"/>
        <v>289661.71999999991</v>
      </c>
      <c r="Q199" s="499">
        <f t="shared" si="92"/>
        <v>49929</v>
      </c>
      <c r="R199" s="288">
        <f t="shared" si="115"/>
        <v>139155.13000000021</v>
      </c>
      <c r="S199" s="492">
        <f t="shared" si="103"/>
        <v>6.7500000000000004E-2</v>
      </c>
      <c r="T199" s="288">
        <f t="shared" si="93"/>
        <v>3195.22</v>
      </c>
      <c r="U199" s="288">
        <f t="shared" si="118"/>
        <v>2412.4699999999998</v>
      </c>
      <c r="V199" s="288">
        <f t="shared" si="94"/>
        <v>782.75</v>
      </c>
      <c r="W199" s="288">
        <f t="shared" si="111"/>
        <v>0</v>
      </c>
      <c r="X199" s="288">
        <f t="shared" si="112"/>
        <v>0</v>
      </c>
      <c r="Y199" s="288">
        <f t="shared" si="119"/>
        <v>3195.22</v>
      </c>
      <c r="Z199" s="288">
        <f t="shared" si="120"/>
        <v>217632.33999999991</v>
      </c>
      <c r="AA199" s="288">
        <f t="shared" si="121"/>
        <v>159843.70000000007</v>
      </c>
      <c r="AB199" s="288">
        <f t="shared" si="95"/>
        <v>136742.66000000021</v>
      </c>
      <c r="AC199" s="410">
        <f t="shared" si="104"/>
        <v>139</v>
      </c>
      <c r="AD199" s="510">
        <f t="shared" si="105"/>
        <v>-55690.240000000005</v>
      </c>
      <c r="AE199" s="510">
        <f t="shared" si="113"/>
        <v>85294.290000000212</v>
      </c>
      <c r="AF199" s="510">
        <f t="shared" si="114"/>
        <v>29604.050000000207</v>
      </c>
      <c r="AG199" s="510">
        <f t="shared" si="106"/>
        <v>2813.1099999999997</v>
      </c>
      <c r="AH199" s="510">
        <f t="shared" si="107"/>
        <v>173845.13000000012</v>
      </c>
      <c r="AI199" s="510"/>
      <c r="AJ199" s="14">
        <f t="shared" si="122"/>
        <v>2813.1099999999997</v>
      </c>
      <c r="AK199" s="14">
        <f t="shared" si="123"/>
        <v>319395.31999999902</v>
      </c>
      <c r="AL199" s="510">
        <f>IF(R199&lt;=0,0,+(Profit!$B$4+AM198)*$AL$1/12)</f>
        <v>1326.4786857973149</v>
      </c>
      <c r="AM199" s="14">
        <f t="shared" si="108"/>
        <v>156917.95300472336</v>
      </c>
    </row>
    <row r="200" spans="1:39" x14ac:dyDescent="0.25">
      <c r="A200" s="499">
        <f t="shared" si="96"/>
        <v>49959</v>
      </c>
      <c r="B200" s="288">
        <f t="shared" si="97"/>
        <v>51448.369999999995</v>
      </c>
      <c r="C200" s="14">
        <f t="shared" si="87"/>
        <v>382.11</v>
      </c>
      <c r="D200" s="14">
        <f t="shared" si="109"/>
        <v>221.33</v>
      </c>
      <c r="E200" s="14">
        <f t="shared" si="88"/>
        <v>160.78</v>
      </c>
      <c r="F200" s="288">
        <f t="shared" si="98"/>
        <v>31539.900000000005</v>
      </c>
      <c r="G200" s="288">
        <f t="shared" si="99"/>
        <v>39790.399999999987</v>
      </c>
      <c r="H200" s="288">
        <f t="shared" si="89"/>
        <v>51227.039999999994</v>
      </c>
      <c r="I200" s="410">
        <f t="shared" si="90"/>
        <v>11</v>
      </c>
      <c r="J200" s="288">
        <f t="shared" si="100"/>
        <v>289661.71999999991</v>
      </c>
      <c r="K200" s="288">
        <f t="shared" si="116"/>
        <v>2298.4699999999998</v>
      </c>
      <c r="L200" s="288">
        <f t="shared" si="110"/>
        <v>669.11999999999989</v>
      </c>
      <c r="M200" s="288">
        <f t="shared" si="117"/>
        <v>1629.35</v>
      </c>
      <c r="N200" s="288">
        <f t="shared" si="101"/>
        <v>65382.399999999994</v>
      </c>
      <c r="O200" s="288">
        <f t="shared" si="102"/>
        <v>258701.87000000005</v>
      </c>
      <c r="P200" s="288">
        <f t="shared" si="91"/>
        <v>288992.59999999992</v>
      </c>
      <c r="Q200" s="499">
        <f t="shared" si="92"/>
        <v>49959</v>
      </c>
      <c r="R200" s="288">
        <f t="shared" si="115"/>
        <v>136742.66000000021</v>
      </c>
      <c r="S200" s="492">
        <f t="shared" si="103"/>
        <v>6.7500000000000004E-2</v>
      </c>
      <c r="T200" s="288">
        <f t="shared" si="93"/>
        <v>3195.22</v>
      </c>
      <c r="U200" s="288">
        <f t="shared" si="118"/>
        <v>2426.04</v>
      </c>
      <c r="V200" s="288">
        <f t="shared" si="94"/>
        <v>769.18</v>
      </c>
      <c r="W200" s="288">
        <f t="shared" si="111"/>
        <v>0</v>
      </c>
      <c r="X200" s="288">
        <f t="shared" si="112"/>
        <v>0</v>
      </c>
      <c r="Y200" s="288">
        <f t="shared" si="119"/>
        <v>3195.22</v>
      </c>
      <c r="Z200" s="288">
        <f t="shared" si="120"/>
        <v>220058.37999999992</v>
      </c>
      <c r="AA200" s="288">
        <f t="shared" si="121"/>
        <v>160612.88000000006</v>
      </c>
      <c r="AB200" s="288">
        <f t="shared" si="95"/>
        <v>134316.6200000002</v>
      </c>
      <c r="AC200" s="410">
        <f t="shared" si="104"/>
        <v>140</v>
      </c>
      <c r="AD200" s="510">
        <f t="shared" si="105"/>
        <v>-56586.990000000005</v>
      </c>
      <c r="AE200" s="510">
        <f t="shared" si="113"/>
        <v>83089.580000000205</v>
      </c>
      <c r="AF200" s="510">
        <f t="shared" si="114"/>
        <v>26502.5900000002</v>
      </c>
      <c r="AG200" s="510">
        <f t="shared" si="106"/>
        <v>2813.1099999999997</v>
      </c>
      <c r="AH200" s="510">
        <f t="shared" si="107"/>
        <v>171640.42000000013</v>
      </c>
      <c r="AI200" s="510"/>
      <c r="AJ200" s="14">
        <f t="shared" si="122"/>
        <v>2813.1099999999997</v>
      </c>
      <c r="AK200" s="14">
        <f t="shared" si="123"/>
        <v>322208.429999999</v>
      </c>
      <c r="AL200" s="510">
        <f>IF(R200&lt;=0,0,+(Profit!$B$4+AM199)*$AL$1/12)</f>
        <v>1329.7948825118085</v>
      </c>
      <c r="AM200" s="14">
        <f t="shared" si="108"/>
        <v>158247.74788723516</v>
      </c>
    </row>
    <row r="201" spans="1:39" x14ac:dyDescent="0.25">
      <c r="A201" s="499">
        <f t="shared" si="96"/>
        <v>49989</v>
      </c>
      <c r="B201" s="288">
        <f t="shared" si="97"/>
        <v>51227.039999999994</v>
      </c>
      <c r="C201" s="14">
        <f t="shared" si="87"/>
        <v>382.11</v>
      </c>
      <c r="D201" s="14">
        <f t="shared" si="109"/>
        <v>222.03</v>
      </c>
      <c r="E201" s="14">
        <f t="shared" si="88"/>
        <v>160.08000000000001</v>
      </c>
      <c r="F201" s="288">
        <f t="shared" si="98"/>
        <v>31761.930000000004</v>
      </c>
      <c r="G201" s="288">
        <f t="shared" si="99"/>
        <v>39950.479999999989</v>
      </c>
      <c r="H201" s="288">
        <f t="shared" si="89"/>
        <v>51005.009999999995</v>
      </c>
      <c r="I201" s="410">
        <f t="shared" si="90"/>
        <v>11</v>
      </c>
      <c r="J201" s="288">
        <f t="shared" si="100"/>
        <v>288992.59999999992</v>
      </c>
      <c r="K201" s="288">
        <f t="shared" si="116"/>
        <v>2298.4699999999998</v>
      </c>
      <c r="L201" s="288">
        <f t="shared" si="110"/>
        <v>672.88999999999987</v>
      </c>
      <c r="M201" s="288">
        <f t="shared" si="117"/>
        <v>1625.58</v>
      </c>
      <c r="N201" s="288">
        <f t="shared" si="101"/>
        <v>66055.289999999994</v>
      </c>
      <c r="O201" s="288">
        <f t="shared" si="102"/>
        <v>260327.45000000004</v>
      </c>
      <c r="P201" s="288">
        <f t="shared" si="91"/>
        <v>288319.7099999999</v>
      </c>
      <c r="Q201" s="499">
        <f t="shared" si="92"/>
        <v>49989</v>
      </c>
      <c r="R201" s="288">
        <f t="shared" si="115"/>
        <v>134316.6200000002</v>
      </c>
      <c r="S201" s="492">
        <f t="shared" si="103"/>
        <v>6.7500000000000004E-2</v>
      </c>
      <c r="T201" s="288">
        <f t="shared" si="93"/>
        <v>3195.22</v>
      </c>
      <c r="U201" s="288">
        <f t="shared" si="118"/>
        <v>2439.6899999999996</v>
      </c>
      <c r="V201" s="288">
        <f t="shared" si="94"/>
        <v>755.53</v>
      </c>
      <c r="W201" s="288">
        <f t="shared" si="111"/>
        <v>0</v>
      </c>
      <c r="X201" s="288">
        <f t="shared" si="112"/>
        <v>0</v>
      </c>
      <c r="Y201" s="288">
        <f t="shared" si="119"/>
        <v>3195.2199999999993</v>
      </c>
      <c r="Z201" s="288">
        <f t="shared" si="120"/>
        <v>222498.06999999992</v>
      </c>
      <c r="AA201" s="288">
        <f t="shared" si="121"/>
        <v>161368.41000000006</v>
      </c>
      <c r="AB201" s="288">
        <f t="shared" si="95"/>
        <v>131876.9300000002</v>
      </c>
      <c r="AC201" s="410">
        <f t="shared" si="104"/>
        <v>141</v>
      </c>
      <c r="AD201" s="510">
        <f t="shared" si="105"/>
        <v>-57483.740000000005</v>
      </c>
      <c r="AE201" s="510">
        <f t="shared" si="113"/>
        <v>80871.920000000202</v>
      </c>
      <c r="AF201" s="510">
        <f t="shared" si="114"/>
        <v>23388.180000000197</v>
      </c>
      <c r="AG201" s="510">
        <f t="shared" si="106"/>
        <v>2813.1099999999997</v>
      </c>
      <c r="AH201" s="510">
        <f t="shared" si="107"/>
        <v>169422.7600000001</v>
      </c>
      <c r="AI201" s="510"/>
      <c r="AJ201" s="14">
        <f t="shared" si="122"/>
        <v>2813.1099999999997</v>
      </c>
      <c r="AK201" s="14">
        <f t="shared" si="123"/>
        <v>325021.53999999899</v>
      </c>
      <c r="AL201" s="510">
        <f>IF(R201&lt;=0,0,+(Profit!$B$4+AM200)*$AL$1/12)</f>
        <v>1333.1193697180877</v>
      </c>
      <c r="AM201" s="14">
        <f t="shared" si="108"/>
        <v>159580.86725695326</v>
      </c>
    </row>
    <row r="202" spans="1:39" x14ac:dyDescent="0.25">
      <c r="A202" s="499">
        <f t="shared" si="96"/>
        <v>50019</v>
      </c>
      <c r="B202" s="288">
        <f t="shared" si="97"/>
        <v>51005.009999999995</v>
      </c>
      <c r="C202" s="14">
        <f t="shared" si="87"/>
        <v>382.11</v>
      </c>
      <c r="D202" s="14">
        <f t="shared" si="109"/>
        <v>222.72000000000003</v>
      </c>
      <c r="E202" s="14">
        <f t="shared" si="88"/>
        <v>159.38999999999999</v>
      </c>
      <c r="F202" s="288">
        <f t="shared" si="98"/>
        <v>31984.650000000005</v>
      </c>
      <c r="G202" s="288">
        <f t="shared" si="99"/>
        <v>40109.869999999988</v>
      </c>
      <c r="H202" s="288">
        <f t="shared" si="89"/>
        <v>50782.289999999994</v>
      </c>
      <c r="I202" s="410">
        <f t="shared" si="90"/>
        <v>11</v>
      </c>
      <c r="J202" s="288">
        <f t="shared" si="100"/>
        <v>288319.7099999999</v>
      </c>
      <c r="K202" s="288">
        <f t="shared" si="116"/>
        <v>2298.4699999999998</v>
      </c>
      <c r="L202" s="288">
        <f t="shared" si="110"/>
        <v>676.66999999999985</v>
      </c>
      <c r="M202" s="288">
        <f t="shared" si="117"/>
        <v>1621.8</v>
      </c>
      <c r="N202" s="288">
        <f t="shared" si="101"/>
        <v>66731.959999999992</v>
      </c>
      <c r="O202" s="288">
        <f t="shared" si="102"/>
        <v>261949.25000000003</v>
      </c>
      <c r="P202" s="288">
        <f t="shared" si="91"/>
        <v>287643.03999999992</v>
      </c>
      <c r="Q202" s="499">
        <f t="shared" si="92"/>
        <v>50019</v>
      </c>
      <c r="R202" s="288">
        <f t="shared" si="115"/>
        <v>131876.9300000002</v>
      </c>
      <c r="S202" s="492">
        <f t="shared" si="103"/>
        <v>6.7500000000000004E-2</v>
      </c>
      <c r="T202" s="288">
        <f t="shared" si="93"/>
        <v>3195.22</v>
      </c>
      <c r="U202" s="288">
        <f t="shared" si="118"/>
        <v>2453.41</v>
      </c>
      <c r="V202" s="288">
        <f t="shared" si="94"/>
        <v>741.81</v>
      </c>
      <c r="W202" s="288">
        <f t="shared" si="111"/>
        <v>0</v>
      </c>
      <c r="X202" s="288">
        <f t="shared" si="112"/>
        <v>0</v>
      </c>
      <c r="Y202" s="288">
        <f t="shared" si="119"/>
        <v>3195.22</v>
      </c>
      <c r="Z202" s="288">
        <f t="shared" si="120"/>
        <v>224951.47999999992</v>
      </c>
      <c r="AA202" s="288">
        <f t="shared" si="121"/>
        <v>162110.22000000006</v>
      </c>
      <c r="AB202" s="288">
        <f t="shared" si="95"/>
        <v>129423.52000000019</v>
      </c>
      <c r="AC202" s="410">
        <f t="shared" si="104"/>
        <v>142</v>
      </c>
      <c r="AD202" s="510">
        <f t="shared" si="105"/>
        <v>-58380.490000000005</v>
      </c>
      <c r="AE202" s="510">
        <f t="shared" si="113"/>
        <v>78641.2300000002</v>
      </c>
      <c r="AF202" s="510">
        <f t="shared" si="114"/>
        <v>20260.740000000194</v>
      </c>
      <c r="AG202" s="510">
        <f t="shared" si="106"/>
        <v>2813.1099999999997</v>
      </c>
      <c r="AH202" s="510">
        <f t="shared" si="107"/>
        <v>167192.07000000012</v>
      </c>
      <c r="AI202" s="510"/>
      <c r="AJ202" s="14">
        <f t="shared" si="122"/>
        <v>2813.1099999999997</v>
      </c>
      <c r="AK202" s="14">
        <f t="shared" si="123"/>
        <v>327834.64999999898</v>
      </c>
      <c r="AL202" s="510">
        <f>IF(R202&lt;=0,0,+(Profit!$B$4+AM201)*$AL$1/12)</f>
        <v>1336.4521681423832</v>
      </c>
      <c r="AM202" s="14">
        <f t="shared" si="108"/>
        <v>160917.31942509566</v>
      </c>
    </row>
    <row r="203" spans="1:39" x14ac:dyDescent="0.25">
      <c r="A203" s="499">
        <f t="shared" si="96"/>
        <v>50049</v>
      </c>
      <c r="B203" s="288">
        <f t="shared" si="97"/>
        <v>50782.289999999994</v>
      </c>
      <c r="C203" s="14">
        <f t="shared" si="87"/>
        <v>382.11</v>
      </c>
      <c r="D203" s="14">
        <f t="shared" si="109"/>
        <v>223.42000000000002</v>
      </c>
      <c r="E203" s="14">
        <f t="shared" si="88"/>
        <v>158.69</v>
      </c>
      <c r="F203" s="288">
        <f t="shared" si="98"/>
        <v>32208.070000000003</v>
      </c>
      <c r="G203" s="288">
        <f t="shared" si="99"/>
        <v>40268.55999999999</v>
      </c>
      <c r="H203" s="288">
        <f t="shared" si="89"/>
        <v>50558.869999999995</v>
      </c>
      <c r="I203" s="410">
        <f t="shared" si="90"/>
        <v>11</v>
      </c>
      <c r="J203" s="288">
        <f t="shared" si="100"/>
        <v>287643.03999999992</v>
      </c>
      <c r="K203" s="288">
        <f t="shared" si="116"/>
        <v>2298.4699999999998</v>
      </c>
      <c r="L203" s="288">
        <f t="shared" si="110"/>
        <v>680.47999999999979</v>
      </c>
      <c r="M203" s="288">
        <f t="shared" si="117"/>
        <v>1617.99</v>
      </c>
      <c r="N203" s="288">
        <f t="shared" si="101"/>
        <v>67412.439999999988</v>
      </c>
      <c r="O203" s="288">
        <f t="shared" si="102"/>
        <v>263567.24000000005</v>
      </c>
      <c r="P203" s="288">
        <f t="shared" si="91"/>
        <v>286962.55999999994</v>
      </c>
      <c r="Q203" s="499">
        <f t="shared" si="92"/>
        <v>50049</v>
      </c>
      <c r="R203" s="288">
        <f t="shared" si="115"/>
        <v>129423.52000000019</v>
      </c>
      <c r="S203" s="492">
        <f t="shared" si="103"/>
        <v>6.7500000000000004E-2</v>
      </c>
      <c r="T203" s="288">
        <f t="shared" si="93"/>
        <v>3195.22</v>
      </c>
      <c r="U203" s="288">
        <f t="shared" si="118"/>
        <v>2467.21</v>
      </c>
      <c r="V203" s="288">
        <f t="shared" si="94"/>
        <v>728.01</v>
      </c>
      <c r="W203" s="288">
        <f t="shared" si="111"/>
        <v>0</v>
      </c>
      <c r="X203" s="288">
        <f t="shared" si="112"/>
        <v>0</v>
      </c>
      <c r="Y203" s="288">
        <f t="shared" si="119"/>
        <v>3195.2200000000003</v>
      </c>
      <c r="Z203" s="288">
        <f t="shared" si="120"/>
        <v>227418.68999999992</v>
      </c>
      <c r="AA203" s="288">
        <f t="shared" si="121"/>
        <v>162838.23000000007</v>
      </c>
      <c r="AB203" s="288">
        <f t="shared" si="95"/>
        <v>126956.31000000019</v>
      </c>
      <c r="AC203" s="410">
        <f t="shared" si="104"/>
        <v>143</v>
      </c>
      <c r="AD203" s="510">
        <f t="shared" si="105"/>
        <v>-59277.240000000005</v>
      </c>
      <c r="AE203" s="510">
        <f t="shared" si="113"/>
        <v>76397.440000000192</v>
      </c>
      <c r="AF203" s="510">
        <f t="shared" si="114"/>
        <v>17120.200000000186</v>
      </c>
      <c r="AG203" s="510">
        <f t="shared" si="106"/>
        <v>2813.1099999999997</v>
      </c>
      <c r="AH203" s="510">
        <f t="shared" si="107"/>
        <v>164948.28000000012</v>
      </c>
      <c r="AI203" s="510"/>
      <c r="AJ203" s="14">
        <f t="shared" si="122"/>
        <v>2813.1099999999997</v>
      </c>
      <c r="AK203" s="14">
        <f t="shared" si="123"/>
        <v>330647.75999999896</v>
      </c>
      <c r="AL203" s="510">
        <f>IF(R203&lt;=0,0,+(Profit!$B$4+AM202)*$AL$1/12)</f>
        <v>1339.7932985627392</v>
      </c>
      <c r="AM203" s="14">
        <f t="shared" si="108"/>
        <v>162257.11272365839</v>
      </c>
    </row>
    <row r="204" spans="1:39" x14ac:dyDescent="0.25">
      <c r="A204" s="499">
        <f t="shared" si="96"/>
        <v>50079</v>
      </c>
      <c r="B204" s="288">
        <f t="shared" si="97"/>
        <v>50558.869999999995</v>
      </c>
      <c r="C204" s="14">
        <f t="shared" si="87"/>
        <v>382.11</v>
      </c>
      <c r="D204" s="14">
        <f t="shared" si="109"/>
        <v>224.11</v>
      </c>
      <c r="E204" s="14">
        <f t="shared" si="88"/>
        <v>158</v>
      </c>
      <c r="F204" s="288">
        <f t="shared" si="98"/>
        <v>32432.180000000004</v>
      </c>
      <c r="G204" s="288">
        <f t="shared" si="99"/>
        <v>40426.55999999999</v>
      </c>
      <c r="H204" s="288">
        <f t="shared" si="89"/>
        <v>50334.759999999995</v>
      </c>
      <c r="I204" s="410">
        <f t="shared" si="90"/>
        <v>12</v>
      </c>
      <c r="J204" s="288">
        <f t="shared" si="100"/>
        <v>286962.55999999994</v>
      </c>
      <c r="K204" s="288">
        <f t="shared" si="116"/>
        <v>2298.4699999999998</v>
      </c>
      <c r="L204" s="288">
        <f t="shared" si="110"/>
        <v>684.30999999999972</v>
      </c>
      <c r="M204" s="288">
        <f t="shared" si="117"/>
        <v>1614.16</v>
      </c>
      <c r="N204" s="288">
        <f t="shared" si="101"/>
        <v>68096.749999999985</v>
      </c>
      <c r="O204" s="288">
        <f t="shared" si="102"/>
        <v>265181.40000000002</v>
      </c>
      <c r="P204" s="288">
        <f t="shared" si="91"/>
        <v>286278.24999999994</v>
      </c>
      <c r="Q204" s="499">
        <f t="shared" si="92"/>
        <v>50079</v>
      </c>
      <c r="R204" s="288">
        <f t="shared" si="115"/>
        <v>126956.31000000019</v>
      </c>
      <c r="S204" s="492">
        <f t="shared" si="103"/>
        <v>6.7500000000000004E-2</v>
      </c>
      <c r="T204" s="288">
        <f t="shared" si="93"/>
        <v>3195.22</v>
      </c>
      <c r="U204" s="288">
        <f t="shared" si="118"/>
        <v>2481.0899999999997</v>
      </c>
      <c r="V204" s="288">
        <f t="shared" si="94"/>
        <v>714.13</v>
      </c>
      <c r="W204" s="288">
        <f t="shared" si="111"/>
        <v>0</v>
      </c>
      <c r="X204" s="288">
        <f t="shared" si="112"/>
        <v>0</v>
      </c>
      <c r="Y204" s="288">
        <f t="shared" si="119"/>
        <v>3195.22</v>
      </c>
      <c r="Z204" s="288">
        <f t="shared" si="120"/>
        <v>229899.77999999991</v>
      </c>
      <c r="AA204" s="288">
        <f t="shared" si="121"/>
        <v>163552.36000000007</v>
      </c>
      <c r="AB204" s="288">
        <f t="shared" si="95"/>
        <v>124475.22000000019</v>
      </c>
      <c r="AC204" s="410">
        <f t="shared" si="104"/>
        <v>144</v>
      </c>
      <c r="AD204" s="510">
        <f t="shared" si="105"/>
        <v>-60173.990000000005</v>
      </c>
      <c r="AE204" s="510">
        <f t="shared" si="113"/>
        <v>74140.460000000196</v>
      </c>
      <c r="AF204" s="510">
        <f t="shared" si="114"/>
        <v>13966.47000000019</v>
      </c>
      <c r="AG204" s="510">
        <f t="shared" si="106"/>
        <v>2813.1099999999997</v>
      </c>
      <c r="AH204" s="510">
        <f t="shared" si="107"/>
        <v>162691.3000000001</v>
      </c>
      <c r="AI204" s="510"/>
      <c r="AJ204" s="14">
        <f t="shared" si="122"/>
        <v>2813.1099999999997</v>
      </c>
      <c r="AK204" s="14">
        <f t="shared" si="123"/>
        <v>333460.86999999895</v>
      </c>
      <c r="AL204" s="510">
        <f>IF(R204&lt;=0,0,+(Profit!$B$4+AM203)*$AL$1/12)</f>
        <v>1343.1427818091458</v>
      </c>
      <c r="AM204" s="14">
        <f t="shared" si="108"/>
        <v>163600.25550546753</v>
      </c>
    </row>
    <row r="205" spans="1:39" x14ac:dyDescent="0.25">
      <c r="A205" s="499">
        <f t="shared" si="96"/>
        <v>50109</v>
      </c>
      <c r="B205" s="288">
        <f t="shared" si="97"/>
        <v>50334.759999999995</v>
      </c>
      <c r="C205" s="14">
        <f t="shared" si="87"/>
        <v>382.11</v>
      </c>
      <c r="D205" s="14">
        <f t="shared" si="109"/>
        <v>224.81</v>
      </c>
      <c r="E205" s="14">
        <f t="shared" si="88"/>
        <v>157.30000000000001</v>
      </c>
      <c r="F205" s="288">
        <f t="shared" si="98"/>
        <v>32656.990000000005</v>
      </c>
      <c r="G205" s="288">
        <f t="shared" si="99"/>
        <v>40583.859999999993</v>
      </c>
      <c r="H205" s="288">
        <f t="shared" si="89"/>
        <v>50109.95</v>
      </c>
      <c r="I205" s="410">
        <f t="shared" si="90"/>
        <v>12</v>
      </c>
      <c r="J205" s="288">
        <f t="shared" si="100"/>
        <v>286278.24999999994</v>
      </c>
      <c r="K205" s="288">
        <f t="shared" si="116"/>
        <v>2298.4699999999998</v>
      </c>
      <c r="L205" s="288">
        <f t="shared" si="110"/>
        <v>688.14999999999986</v>
      </c>
      <c r="M205" s="288">
        <f t="shared" si="117"/>
        <v>1610.32</v>
      </c>
      <c r="N205" s="288">
        <f t="shared" si="101"/>
        <v>68784.89999999998</v>
      </c>
      <c r="O205" s="288">
        <f t="shared" si="102"/>
        <v>266791.72000000003</v>
      </c>
      <c r="P205" s="288">
        <f t="shared" si="91"/>
        <v>285590.09999999992</v>
      </c>
      <c r="Q205" s="499">
        <f t="shared" si="92"/>
        <v>50109</v>
      </c>
      <c r="R205" s="288">
        <f t="shared" si="115"/>
        <v>124475.22000000019</v>
      </c>
      <c r="S205" s="492">
        <f t="shared" si="103"/>
        <v>6.7500000000000004E-2</v>
      </c>
      <c r="T205" s="288">
        <f t="shared" si="93"/>
        <v>3195.22</v>
      </c>
      <c r="U205" s="288">
        <f t="shared" si="118"/>
        <v>2495.0499999999997</v>
      </c>
      <c r="V205" s="288">
        <f t="shared" si="94"/>
        <v>700.17</v>
      </c>
      <c r="W205" s="288">
        <f t="shared" si="111"/>
        <v>0</v>
      </c>
      <c r="X205" s="288">
        <f t="shared" si="112"/>
        <v>0</v>
      </c>
      <c r="Y205" s="288">
        <f t="shared" si="119"/>
        <v>3195.22</v>
      </c>
      <c r="Z205" s="288">
        <f t="shared" si="120"/>
        <v>232394.8299999999</v>
      </c>
      <c r="AA205" s="288">
        <f t="shared" si="121"/>
        <v>164252.53000000009</v>
      </c>
      <c r="AB205" s="288">
        <f t="shared" si="95"/>
        <v>121980.17000000019</v>
      </c>
      <c r="AC205" s="410">
        <f t="shared" si="104"/>
        <v>145</v>
      </c>
      <c r="AD205" s="510">
        <f t="shared" si="105"/>
        <v>-61070.740000000005</v>
      </c>
      <c r="AE205" s="510">
        <f t="shared" si="113"/>
        <v>71870.22000000019</v>
      </c>
      <c r="AF205" s="510">
        <f t="shared" si="114"/>
        <v>10799.480000000185</v>
      </c>
      <c r="AG205" s="510">
        <f t="shared" si="106"/>
        <v>2813.1099999999997</v>
      </c>
      <c r="AH205" s="510">
        <f t="shared" si="107"/>
        <v>160421.06000000011</v>
      </c>
      <c r="AI205" s="510"/>
      <c r="AJ205" s="14">
        <f t="shared" si="122"/>
        <v>2813.1099999999997</v>
      </c>
      <c r="AK205" s="14">
        <f t="shared" si="123"/>
        <v>336273.97999999893</v>
      </c>
      <c r="AL205" s="510">
        <f>IF(R205&lt;=0,0,+(Profit!$B$4+AM204)*$AL$1/12)</f>
        <v>1346.5006387636688</v>
      </c>
      <c r="AM205" s="14">
        <f t="shared" si="108"/>
        <v>164946.75614423121</v>
      </c>
    </row>
    <row r="206" spans="1:39" ht="15.75" thickBot="1" x14ac:dyDescent="0.3">
      <c r="A206" s="502">
        <f t="shared" si="96"/>
        <v>50139</v>
      </c>
      <c r="B206" s="343">
        <f t="shared" si="97"/>
        <v>50109.95</v>
      </c>
      <c r="C206" s="21">
        <f t="shared" si="87"/>
        <v>382.11</v>
      </c>
      <c r="D206" s="21">
        <f t="shared" si="109"/>
        <v>225.52</v>
      </c>
      <c r="E206" s="21">
        <f t="shared" si="88"/>
        <v>156.59</v>
      </c>
      <c r="F206" s="343">
        <f t="shared" si="98"/>
        <v>32882.51</v>
      </c>
      <c r="G206" s="343">
        <f t="shared" si="99"/>
        <v>40740.44999999999</v>
      </c>
      <c r="H206" s="343">
        <f t="shared" si="89"/>
        <v>49884.43</v>
      </c>
      <c r="I206" s="411">
        <f t="shared" si="90"/>
        <v>12</v>
      </c>
      <c r="J206" s="343">
        <f t="shared" si="100"/>
        <v>285590.09999999992</v>
      </c>
      <c r="K206" s="343">
        <f t="shared" si="116"/>
        <v>2298.4699999999998</v>
      </c>
      <c r="L206" s="343">
        <f t="shared" si="110"/>
        <v>692.02999999999975</v>
      </c>
      <c r="M206" s="343">
        <f t="shared" si="117"/>
        <v>1606.44</v>
      </c>
      <c r="N206" s="343">
        <f t="shared" si="101"/>
        <v>69476.929999999978</v>
      </c>
      <c r="O206" s="343">
        <f t="shared" si="102"/>
        <v>268398.16000000003</v>
      </c>
      <c r="P206" s="343">
        <f t="shared" si="91"/>
        <v>284898.06999999989</v>
      </c>
      <c r="Q206" s="502">
        <f t="shared" si="92"/>
        <v>50139</v>
      </c>
      <c r="R206" s="343">
        <f t="shared" si="115"/>
        <v>121980.17000000019</v>
      </c>
      <c r="S206" s="493">
        <f t="shared" si="103"/>
        <v>6.7500000000000004E-2</v>
      </c>
      <c r="T206" s="343">
        <f t="shared" si="93"/>
        <v>3195.22</v>
      </c>
      <c r="U206" s="343">
        <f t="shared" si="118"/>
        <v>2509.08</v>
      </c>
      <c r="V206" s="343">
        <f t="shared" si="94"/>
        <v>686.14</v>
      </c>
      <c r="W206" s="343">
        <f t="shared" si="111"/>
        <v>0</v>
      </c>
      <c r="X206" s="343">
        <f t="shared" si="112"/>
        <v>0</v>
      </c>
      <c r="Y206" s="343">
        <f t="shared" si="119"/>
        <v>3195.22</v>
      </c>
      <c r="Z206" s="343">
        <f t="shared" si="120"/>
        <v>234903.90999999989</v>
      </c>
      <c r="AA206" s="343">
        <f t="shared" si="121"/>
        <v>164938.6700000001</v>
      </c>
      <c r="AB206" s="343">
        <f t="shared" si="95"/>
        <v>119471.09000000019</v>
      </c>
      <c r="AC206" s="411">
        <f t="shared" si="104"/>
        <v>146</v>
      </c>
      <c r="AD206" s="511">
        <f t="shared" si="105"/>
        <v>-61967.490000000005</v>
      </c>
      <c r="AE206" s="511">
        <f t="shared" si="113"/>
        <v>69586.660000000178</v>
      </c>
      <c r="AF206" s="511">
        <f t="shared" si="114"/>
        <v>7619.1700000001729</v>
      </c>
      <c r="AG206" s="511">
        <f t="shared" si="106"/>
        <v>2813.1099999999997</v>
      </c>
      <c r="AH206" s="511">
        <f t="shared" si="107"/>
        <v>158137.50000000015</v>
      </c>
      <c r="AI206" s="511"/>
      <c r="AJ206" s="21">
        <f t="shared" si="122"/>
        <v>2813.1099999999997</v>
      </c>
      <c r="AK206" s="21">
        <f t="shared" si="123"/>
        <v>339087.08999999892</v>
      </c>
      <c r="AL206" s="511">
        <f>IF(R206&lt;=0,0,+(Profit!$B$4+AM205)*$AL$1/12)</f>
        <v>1349.8668903605778</v>
      </c>
      <c r="AM206" s="21">
        <f t="shared" si="108"/>
        <v>166296.62303459179</v>
      </c>
    </row>
    <row r="207" spans="1:39" x14ac:dyDescent="0.25">
      <c r="A207" s="499">
        <f t="shared" si="96"/>
        <v>50169</v>
      </c>
      <c r="B207" s="288">
        <f t="shared" si="97"/>
        <v>49884.43</v>
      </c>
      <c r="C207" s="14">
        <f t="shared" ref="C207:C270" si="124">IF(+$H206&lt;=0,0,$C$5)</f>
        <v>382.11</v>
      </c>
      <c r="D207" s="14">
        <f t="shared" si="109"/>
        <v>226.22000000000003</v>
      </c>
      <c r="E207" s="14">
        <f t="shared" ref="E207:E270" si="125">ROUND($B207*($C$3/12), 2)</f>
        <v>155.88999999999999</v>
      </c>
      <c r="F207" s="288">
        <f t="shared" si="98"/>
        <v>33108.730000000003</v>
      </c>
      <c r="G207" s="288">
        <f t="shared" si="99"/>
        <v>40896.339999999989</v>
      </c>
      <c r="H207" s="288">
        <f t="shared" ref="H207:H270" si="126">+B207-D207</f>
        <v>49658.21</v>
      </c>
      <c r="I207" s="410">
        <f t="shared" ref="I207:I270" si="127">IF(MOD(AC207,12)=0,AC207/12,I206)</f>
        <v>12</v>
      </c>
      <c r="J207" s="288">
        <f t="shared" si="100"/>
        <v>284898.06999999989</v>
      </c>
      <c r="K207" s="288">
        <f t="shared" si="116"/>
        <v>2298.4699999999998</v>
      </c>
      <c r="L207" s="288">
        <f t="shared" si="110"/>
        <v>695.91999999999985</v>
      </c>
      <c r="M207" s="288">
        <f t="shared" si="117"/>
        <v>1602.55</v>
      </c>
      <c r="N207" s="288">
        <f t="shared" si="101"/>
        <v>70172.849999999977</v>
      </c>
      <c r="O207" s="288">
        <f t="shared" si="102"/>
        <v>270000.71000000002</v>
      </c>
      <c r="P207" s="288">
        <f t="shared" ref="P207:P270" si="128">+J207-L207</f>
        <v>284202.14999999991</v>
      </c>
      <c r="Q207" s="499">
        <f t="shared" ref="Q207:Q270" si="129">+A207</f>
        <v>50169</v>
      </c>
      <c r="R207" s="288">
        <f t="shared" si="115"/>
        <v>119471.09000000019</v>
      </c>
      <c r="S207" s="492">
        <f t="shared" si="103"/>
        <v>6.7500000000000004E-2</v>
      </c>
      <c r="T207" s="288">
        <f t="shared" ref="T207:T270" si="130">IF($J$10&lt;=$A207,IF(+AB206&lt;=0,0,IF(S207=$T$9,$S$9,$S$10)),0)</f>
        <v>3195.22</v>
      </c>
      <c r="U207" s="288">
        <f t="shared" si="118"/>
        <v>2523.1999999999998</v>
      </c>
      <c r="V207" s="288">
        <f t="shared" ref="V207:V270" si="131">IF($J$10&lt;=$A207,ROUND(R207*(S207/12),2),0)</f>
        <v>672.02</v>
      </c>
      <c r="W207" s="288">
        <f t="shared" si="111"/>
        <v>0</v>
      </c>
      <c r="X207" s="288">
        <f t="shared" si="112"/>
        <v>0</v>
      </c>
      <c r="Y207" s="288">
        <f t="shared" si="119"/>
        <v>3195.22</v>
      </c>
      <c r="Z207" s="288">
        <f t="shared" si="120"/>
        <v>237427.1099999999</v>
      </c>
      <c r="AA207" s="288">
        <f t="shared" si="121"/>
        <v>165610.69000000009</v>
      </c>
      <c r="AB207" s="288">
        <f t="shared" ref="AB207:AB270" si="132">IF(Q207&lt;$J$10,$J$6,+R207-U207)</f>
        <v>116947.89000000019</v>
      </c>
      <c r="AC207" s="410">
        <f t="shared" si="104"/>
        <v>147</v>
      </c>
      <c r="AD207" s="510">
        <f t="shared" si="105"/>
        <v>-62864.240000000005</v>
      </c>
      <c r="AE207" s="510">
        <f t="shared" si="113"/>
        <v>67289.680000000197</v>
      </c>
      <c r="AF207" s="510">
        <f t="shared" si="114"/>
        <v>4425.4400000001915</v>
      </c>
      <c r="AG207" s="510">
        <f t="shared" si="106"/>
        <v>2813.1099999999997</v>
      </c>
      <c r="AH207" s="510">
        <f t="shared" si="107"/>
        <v>155840.52000000011</v>
      </c>
      <c r="AI207" s="510"/>
      <c r="AJ207" s="14">
        <f t="shared" si="122"/>
        <v>2813.1099999999997</v>
      </c>
      <c r="AK207" s="14">
        <f t="shared" si="123"/>
        <v>341900.19999999891</v>
      </c>
      <c r="AL207" s="510">
        <f>IF(R207&lt;=0,0,+(Profit!$B$4+AM206)*$AL$1/12)</f>
        <v>1353.2415575864795</v>
      </c>
      <c r="AM207" s="14">
        <f t="shared" si="108"/>
        <v>167649.86459217826</v>
      </c>
    </row>
    <row r="208" spans="1:39" x14ac:dyDescent="0.25">
      <c r="A208" s="499">
        <f t="shared" ref="A208:A271" si="133">IF(H208&lt;=0," ",+A207+30)</f>
        <v>50199</v>
      </c>
      <c r="B208" s="288">
        <f t="shared" ref="B208:B271" si="134">IF(+H207&lt;0,0,+H207)</f>
        <v>49658.21</v>
      </c>
      <c r="C208" s="14">
        <f t="shared" si="124"/>
        <v>382.11</v>
      </c>
      <c r="D208" s="14">
        <f t="shared" si="109"/>
        <v>226.93</v>
      </c>
      <c r="E208" s="14">
        <f t="shared" si="125"/>
        <v>155.18</v>
      </c>
      <c r="F208" s="288">
        <f t="shared" ref="F208:F271" si="135">$D208+$F207</f>
        <v>33335.660000000003</v>
      </c>
      <c r="G208" s="288">
        <f t="shared" ref="G208:G271" si="136">$E208+$G207</f>
        <v>41051.51999999999</v>
      </c>
      <c r="H208" s="288">
        <f t="shared" si="126"/>
        <v>49431.28</v>
      </c>
      <c r="I208" s="410">
        <f t="shared" si="127"/>
        <v>12</v>
      </c>
      <c r="J208" s="288">
        <f t="shared" ref="J208:J271" si="137">IF(+P207&lt;0,0,+P207)</f>
        <v>284202.14999999991</v>
      </c>
      <c r="K208" s="288">
        <f t="shared" si="116"/>
        <v>2298.4699999999998</v>
      </c>
      <c r="L208" s="288">
        <f t="shared" si="110"/>
        <v>699.8299999999997</v>
      </c>
      <c r="M208" s="288">
        <f t="shared" si="117"/>
        <v>1598.64</v>
      </c>
      <c r="N208" s="288">
        <f t="shared" ref="N208:N271" si="138">+L208+N207</f>
        <v>70872.679999999978</v>
      </c>
      <c r="O208" s="288">
        <f t="shared" ref="O208:O271" si="139">+O207+M208</f>
        <v>271599.35000000003</v>
      </c>
      <c r="P208" s="288">
        <f t="shared" si="128"/>
        <v>283502.31999999989</v>
      </c>
      <c r="Q208" s="499">
        <f t="shared" si="129"/>
        <v>50199</v>
      </c>
      <c r="R208" s="288">
        <f t="shared" si="115"/>
        <v>116947.89000000019</v>
      </c>
      <c r="S208" s="492">
        <f t="shared" ref="S208:S271" si="140">IF(AC208&gt;60,$T$10,$T$9)</f>
        <v>6.7500000000000004E-2</v>
      </c>
      <c r="T208" s="288">
        <f t="shared" si="130"/>
        <v>3195.22</v>
      </c>
      <c r="U208" s="288">
        <f t="shared" si="118"/>
        <v>2537.39</v>
      </c>
      <c r="V208" s="288">
        <f t="shared" si="131"/>
        <v>657.83</v>
      </c>
      <c r="W208" s="288">
        <f t="shared" si="111"/>
        <v>0</v>
      </c>
      <c r="X208" s="288">
        <f t="shared" si="112"/>
        <v>0</v>
      </c>
      <c r="Y208" s="288">
        <f t="shared" si="119"/>
        <v>3195.22</v>
      </c>
      <c r="Z208" s="288">
        <f t="shared" si="120"/>
        <v>239964.49999999991</v>
      </c>
      <c r="AA208" s="288">
        <f t="shared" si="121"/>
        <v>166268.52000000008</v>
      </c>
      <c r="AB208" s="288">
        <f t="shared" si="132"/>
        <v>114410.50000000019</v>
      </c>
      <c r="AC208" s="410">
        <f t="shared" ref="AC208:AC271" si="141">IF(J208&lt;&gt;"",IF(J208=$J$6,0,+AC207+1),0)</f>
        <v>148</v>
      </c>
      <c r="AD208" s="510">
        <f t="shared" ref="AD208:AD271" si="142">K208-T208+AD207</f>
        <v>-63760.990000000005</v>
      </c>
      <c r="AE208" s="510">
        <f t="shared" si="113"/>
        <v>64979.22000000019</v>
      </c>
      <c r="AF208" s="510">
        <f t="shared" si="114"/>
        <v>1218.2300000001851</v>
      </c>
      <c r="AG208" s="510">
        <f t="shared" ref="AG208:AG271" si="143">IF(Q208&lt;=$C$10,0,+T208-$C208)</f>
        <v>2813.1099999999997</v>
      </c>
      <c r="AH208" s="510">
        <f t="shared" ref="AH208:AH271" si="144">IF(P208&lt;=0,0,+$T$5-$C$2+F208-Z208)</f>
        <v>153530.06000000014</v>
      </c>
      <c r="AI208" s="510"/>
      <c r="AJ208" s="14">
        <f t="shared" si="122"/>
        <v>2813.1099999999997</v>
      </c>
      <c r="AK208" s="14">
        <f t="shared" si="123"/>
        <v>344713.30999999889</v>
      </c>
      <c r="AL208" s="510">
        <f>IF(R208&lt;=0,0,+(Profit!$B$4+AM207)*$AL$1/12)</f>
        <v>1356.6246614804456</v>
      </c>
      <c r="AM208" s="14">
        <f t="shared" ref="AM208:AM271" si="145">IF(P208&lt;=0,0,+AM207+AL208)</f>
        <v>169006.48925365871</v>
      </c>
    </row>
    <row r="209" spans="1:39" x14ac:dyDescent="0.25">
      <c r="A209" s="499">
        <f t="shared" si="133"/>
        <v>50229</v>
      </c>
      <c r="B209" s="288">
        <f t="shared" si="134"/>
        <v>49431.28</v>
      </c>
      <c r="C209" s="14">
        <f t="shared" si="124"/>
        <v>382.11</v>
      </c>
      <c r="D209" s="14">
        <f t="shared" ref="D209:D272" si="146">+C209-E209</f>
        <v>227.64000000000001</v>
      </c>
      <c r="E209" s="14">
        <f t="shared" si="125"/>
        <v>154.47</v>
      </c>
      <c r="F209" s="288">
        <f t="shared" si="135"/>
        <v>33563.300000000003</v>
      </c>
      <c r="G209" s="288">
        <f t="shared" si="136"/>
        <v>41205.989999999991</v>
      </c>
      <c r="H209" s="288">
        <f t="shared" si="126"/>
        <v>49203.64</v>
      </c>
      <c r="I209" s="410">
        <f t="shared" si="127"/>
        <v>12</v>
      </c>
      <c r="J209" s="288">
        <f t="shared" si="137"/>
        <v>283502.31999999989</v>
      </c>
      <c r="K209" s="288">
        <f t="shared" si="116"/>
        <v>2298.4699999999998</v>
      </c>
      <c r="L209" s="288">
        <f t="shared" ref="L209:L272" si="147">+K209-M209</f>
        <v>703.76999999999975</v>
      </c>
      <c r="M209" s="288">
        <f t="shared" si="117"/>
        <v>1594.7</v>
      </c>
      <c r="N209" s="288">
        <f t="shared" si="138"/>
        <v>71576.449999999983</v>
      </c>
      <c r="O209" s="288">
        <f t="shared" si="139"/>
        <v>273194.05000000005</v>
      </c>
      <c r="P209" s="288">
        <f t="shared" si="128"/>
        <v>282798.54999999987</v>
      </c>
      <c r="Q209" s="499">
        <f t="shared" si="129"/>
        <v>50229</v>
      </c>
      <c r="R209" s="288">
        <f t="shared" si="115"/>
        <v>114410.50000000019</v>
      </c>
      <c r="S209" s="492">
        <f t="shared" si="140"/>
        <v>6.7500000000000004E-2</v>
      </c>
      <c r="T209" s="288">
        <f t="shared" si="130"/>
        <v>3195.22</v>
      </c>
      <c r="U209" s="288">
        <f t="shared" si="118"/>
        <v>2551.66</v>
      </c>
      <c r="V209" s="288">
        <f t="shared" si="131"/>
        <v>643.55999999999995</v>
      </c>
      <c r="W209" s="288">
        <f t="shared" si="111"/>
        <v>0</v>
      </c>
      <c r="X209" s="288">
        <f t="shared" si="112"/>
        <v>0</v>
      </c>
      <c r="Y209" s="288">
        <f t="shared" si="119"/>
        <v>3195.22</v>
      </c>
      <c r="Z209" s="288">
        <f t="shared" si="120"/>
        <v>242516.15999999992</v>
      </c>
      <c r="AA209" s="288">
        <f t="shared" si="121"/>
        <v>166912.08000000007</v>
      </c>
      <c r="AB209" s="288">
        <f t="shared" si="132"/>
        <v>111858.84000000019</v>
      </c>
      <c r="AC209" s="410">
        <f t="shared" si="141"/>
        <v>149</v>
      </c>
      <c r="AD209" s="510">
        <f t="shared" si="142"/>
        <v>-64657.740000000005</v>
      </c>
      <c r="AE209" s="510">
        <f t="shared" si="113"/>
        <v>62655.200000000186</v>
      </c>
      <c r="AF209" s="510">
        <f t="shared" si="114"/>
        <v>-2002.539999999819</v>
      </c>
      <c r="AG209" s="510">
        <f t="shared" si="143"/>
        <v>2813.1099999999997</v>
      </c>
      <c r="AH209" s="510">
        <f t="shared" si="144"/>
        <v>151206.0400000001</v>
      </c>
      <c r="AI209" s="510"/>
      <c r="AJ209" s="14">
        <f t="shared" si="122"/>
        <v>2813.1099999999997</v>
      </c>
      <c r="AK209" s="14">
        <f t="shared" si="123"/>
        <v>347526.41999999888</v>
      </c>
      <c r="AL209" s="510">
        <f>IF(R209&lt;=0,0,+(Profit!$B$4+AM208)*$AL$1/12)</f>
        <v>1360.0162231341467</v>
      </c>
      <c r="AM209" s="14">
        <f t="shared" si="145"/>
        <v>170366.50547679287</v>
      </c>
    </row>
    <row r="210" spans="1:39" x14ac:dyDescent="0.25">
      <c r="A210" s="499">
        <f t="shared" si="133"/>
        <v>50259</v>
      </c>
      <c r="B210" s="288">
        <f t="shared" si="134"/>
        <v>49203.64</v>
      </c>
      <c r="C210" s="14">
        <f t="shared" si="124"/>
        <v>382.11</v>
      </c>
      <c r="D210" s="14">
        <f t="shared" si="146"/>
        <v>228.35000000000002</v>
      </c>
      <c r="E210" s="14">
        <f t="shared" si="125"/>
        <v>153.76</v>
      </c>
      <c r="F210" s="288">
        <f t="shared" si="135"/>
        <v>33791.65</v>
      </c>
      <c r="G210" s="288">
        <f t="shared" si="136"/>
        <v>41359.749999999993</v>
      </c>
      <c r="H210" s="288">
        <f t="shared" si="126"/>
        <v>48975.29</v>
      </c>
      <c r="I210" s="410">
        <f t="shared" si="127"/>
        <v>12</v>
      </c>
      <c r="J210" s="288">
        <f t="shared" si="137"/>
        <v>282798.54999999987</v>
      </c>
      <c r="K210" s="288">
        <f t="shared" si="116"/>
        <v>2298.4699999999998</v>
      </c>
      <c r="L210" s="288">
        <f t="shared" si="147"/>
        <v>707.72999999999979</v>
      </c>
      <c r="M210" s="288">
        <f t="shared" si="117"/>
        <v>1590.74</v>
      </c>
      <c r="N210" s="288">
        <f t="shared" si="138"/>
        <v>72284.179999999978</v>
      </c>
      <c r="O210" s="288">
        <f t="shared" si="139"/>
        <v>274784.79000000004</v>
      </c>
      <c r="P210" s="288">
        <f t="shared" si="128"/>
        <v>282090.81999999989</v>
      </c>
      <c r="Q210" s="499">
        <f t="shared" si="129"/>
        <v>50259</v>
      </c>
      <c r="R210" s="288">
        <f t="shared" si="115"/>
        <v>111858.84000000019</v>
      </c>
      <c r="S210" s="492">
        <f t="shared" si="140"/>
        <v>6.7500000000000004E-2</v>
      </c>
      <c r="T210" s="288">
        <f t="shared" si="130"/>
        <v>3195.22</v>
      </c>
      <c r="U210" s="288">
        <f t="shared" si="118"/>
        <v>2566.0099999999998</v>
      </c>
      <c r="V210" s="288">
        <f t="shared" si="131"/>
        <v>629.21</v>
      </c>
      <c r="W210" s="288">
        <f t="shared" si="111"/>
        <v>0</v>
      </c>
      <c r="X210" s="288">
        <f t="shared" si="112"/>
        <v>0</v>
      </c>
      <c r="Y210" s="288">
        <f t="shared" si="119"/>
        <v>3195.22</v>
      </c>
      <c r="Z210" s="288">
        <f t="shared" si="120"/>
        <v>245082.16999999993</v>
      </c>
      <c r="AA210" s="288">
        <f t="shared" si="121"/>
        <v>167541.29000000007</v>
      </c>
      <c r="AB210" s="288">
        <f t="shared" si="132"/>
        <v>109292.83000000019</v>
      </c>
      <c r="AC210" s="410">
        <f t="shared" si="141"/>
        <v>150</v>
      </c>
      <c r="AD210" s="510">
        <f t="shared" si="142"/>
        <v>-65554.490000000005</v>
      </c>
      <c r="AE210" s="510">
        <f t="shared" si="113"/>
        <v>60317.54000000019</v>
      </c>
      <c r="AF210" s="510">
        <f t="shared" si="114"/>
        <v>-5236.9499999998152</v>
      </c>
      <c r="AG210" s="510">
        <f t="shared" si="143"/>
        <v>2813.1099999999997</v>
      </c>
      <c r="AH210" s="510">
        <f t="shared" si="144"/>
        <v>148868.38000000012</v>
      </c>
      <c r="AI210" s="510"/>
      <c r="AJ210" s="14">
        <f t="shared" si="122"/>
        <v>2813.1099999999997</v>
      </c>
      <c r="AK210" s="14">
        <f t="shared" si="123"/>
        <v>350339.52999999886</v>
      </c>
      <c r="AL210" s="510">
        <f>IF(R210&lt;=0,0,+(Profit!$B$4+AM209)*$AL$1/12)</f>
        <v>1363.4162636919821</v>
      </c>
      <c r="AM210" s="14">
        <f t="shared" si="145"/>
        <v>171729.92174048486</v>
      </c>
    </row>
    <row r="211" spans="1:39" x14ac:dyDescent="0.25">
      <c r="A211" s="499">
        <f t="shared" si="133"/>
        <v>50289</v>
      </c>
      <c r="B211" s="288">
        <f t="shared" si="134"/>
        <v>48975.29</v>
      </c>
      <c r="C211" s="14">
        <f t="shared" si="124"/>
        <v>382.11</v>
      </c>
      <c r="D211" s="14">
        <f t="shared" si="146"/>
        <v>229.06</v>
      </c>
      <c r="E211" s="14">
        <f t="shared" si="125"/>
        <v>153.05000000000001</v>
      </c>
      <c r="F211" s="288">
        <f t="shared" si="135"/>
        <v>34020.71</v>
      </c>
      <c r="G211" s="288">
        <f t="shared" si="136"/>
        <v>41512.799999999996</v>
      </c>
      <c r="H211" s="288">
        <f t="shared" si="126"/>
        <v>48746.23</v>
      </c>
      <c r="I211" s="410">
        <f t="shared" si="127"/>
        <v>12</v>
      </c>
      <c r="J211" s="288">
        <f t="shared" si="137"/>
        <v>282090.81999999989</v>
      </c>
      <c r="K211" s="288">
        <f t="shared" si="116"/>
        <v>2298.4699999999998</v>
      </c>
      <c r="L211" s="288">
        <f t="shared" si="147"/>
        <v>711.70999999999981</v>
      </c>
      <c r="M211" s="288">
        <f t="shared" si="117"/>
        <v>1586.76</v>
      </c>
      <c r="N211" s="288">
        <f t="shared" si="138"/>
        <v>72995.889999999985</v>
      </c>
      <c r="O211" s="288">
        <f t="shared" si="139"/>
        <v>276371.55000000005</v>
      </c>
      <c r="P211" s="288">
        <f t="shared" si="128"/>
        <v>281379.10999999987</v>
      </c>
      <c r="Q211" s="499">
        <f t="shared" si="129"/>
        <v>50289</v>
      </c>
      <c r="R211" s="288">
        <f t="shared" si="115"/>
        <v>109292.83000000019</v>
      </c>
      <c r="S211" s="492">
        <f t="shared" si="140"/>
        <v>6.7500000000000004E-2</v>
      </c>
      <c r="T211" s="288">
        <f t="shared" si="130"/>
        <v>3195.22</v>
      </c>
      <c r="U211" s="288">
        <f t="shared" si="118"/>
        <v>2580.4499999999998</v>
      </c>
      <c r="V211" s="288">
        <f t="shared" si="131"/>
        <v>614.77</v>
      </c>
      <c r="W211" s="288">
        <f t="shared" si="111"/>
        <v>0</v>
      </c>
      <c r="X211" s="288">
        <f t="shared" si="112"/>
        <v>0</v>
      </c>
      <c r="Y211" s="288">
        <f t="shared" si="119"/>
        <v>3195.22</v>
      </c>
      <c r="Z211" s="288">
        <f t="shared" si="120"/>
        <v>247662.61999999994</v>
      </c>
      <c r="AA211" s="288">
        <f t="shared" si="121"/>
        <v>168156.06000000006</v>
      </c>
      <c r="AB211" s="288">
        <f t="shared" si="132"/>
        <v>106712.38000000019</v>
      </c>
      <c r="AC211" s="410">
        <f t="shared" si="141"/>
        <v>151</v>
      </c>
      <c r="AD211" s="510">
        <f t="shared" si="142"/>
        <v>-66451.240000000005</v>
      </c>
      <c r="AE211" s="510">
        <f t="shared" si="113"/>
        <v>57966.150000000191</v>
      </c>
      <c r="AF211" s="510">
        <f t="shared" si="114"/>
        <v>-8485.0899999998146</v>
      </c>
      <c r="AG211" s="510">
        <f t="shared" si="143"/>
        <v>2813.1099999999997</v>
      </c>
      <c r="AH211" s="510">
        <f t="shared" si="144"/>
        <v>146516.99000000011</v>
      </c>
      <c r="AI211" s="510"/>
      <c r="AJ211" s="14">
        <f t="shared" si="122"/>
        <v>2813.1099999999997</v>
      </c>
      <c r="AK211" s="14">
        <f t="shared" si="123"/>
        <v>353152.63999999885</v>
      </c>
      <c r="AL211" s="510">
        <f>IF(R211&lt;=0,0,+(Profit!$B$4+AM210)*$AL$1/12)</f>
        <v>1366.8248043512122</v>
      </c>
      <c r="AM211" s="14">
        <f t="shared" si="145"/>
        <v>173096.74654483606</v>
      </c>
    </row>
    <row r="212" spans="1:39" x14ac:dyDescent="0.25">
      <c r="A212" s="499">
        <f t="shared" si="133"/>
        <v>50319</v>
      </c>
      <c r="B212" s="288">
        <f t="shared" si="134"/>
        <v>48746.23</v>
      </c>
      <c r="C212" s="14">
        <f t="shared" si="124"/>
        <v>382.11</v>
      </c>
      <c r="D212" s="14">
        <f t="shared" si="146"/>
        <v>229.78</v>
      </c>
      <c r="E212" s="14">
        <f t="shared" si="125"/>
        <v>152.33000000000001</v>
      </c>
      <c r="F212" s="288">
        <f t="shared" si="135"/>
        <v>34250.49</v>
      </c>
      <c r="G212" s="288">
        <f t="shared" si="136"/>
        <v>41665.129999999997</v>
      </c>
      <c r="H212" s="288">
        <f t="shared" si="126"/>
        <v>48516.450000000004</v>
      </c>
      <c r="I212" s="410">
        <f t="shared" si="127"/>
        <v>12</v>
      </c>
      <c r="J212" s="288">
        <f t="shared" si="137"/>
        <v>281379.10999999987</v>
      </c>
      <c r="K212" s="288">
        <f t="shared" si="116"/>
        <v>2298.4699999999998</v>
      </c>
      <c r="L212" s="288">
        <f t="shared" si="147"/>
        <v>715.70999999999981</v>
      </c>
      <c r="M212" s="288">
        <f t="shared" si="117"/>
        <v>1582.76</v>
      </c>
      <c r="N212" s="288">
        <f t="shared" si="138"/>
        <v>73711.599999999991</v>
      </c>
      <c r="O212" s="288">
        <f t="shared" si="139"/>
        <v>277954.31000000006</v>
      </c>
      <c r="P212" s="288">
        <f t="shared" si="128"/>
        <v>280663.39999999985</v>
      </c>
      <c r="Q212" s="499">
        <f t="shared" si="129"/>
        <v>50319</v>
      </c>
      <c r="R212" s="288">
        <f t="shared" si="115"/>
        <v>106712.38000000019</v>
      </c>
      <c r="S212" s="492">
        <f t="shared" si="140"/>
        <v>6.7500000000000004E-2</v>
      </c>
      <c r="T212" s="288">
        <f t="shared" si="130"/>
        <v>3195.22</v>
      </c>
      <c r="U212" s="288">
        <f t="shared" si="118"/>
        <v>2594.96</v>
      </c>
      <c r="V212" s="288">
        <f t="shared" si="131"/>
        <v>600.26</v>
      </c>
      <c r="W212" s="288">
        <f t="shared" si="111"/>
        <v>0</v>
      </c>
      <c r="X212" s="288">
        <f t="shared" si="112"/>
        <v>0</v>
      </c>
      <c r="Y212" s="288">
        <f t="shared" si="119"/>
        <v>3195.2200000000003</v>
      </c>
      <c r="Z212" s="288">
        <f t="shared" si="120"/>
        <v>250257.57999999993</v>
      </c>
      <c r="AA212" s="288">
        <f t="shared" si="121"/>
        <v>168756.32000000007</v>
      </c>
      <c r="AB212" s="288">
        <f t="shared" si="132"/>
        <v>104117.42000000019</v>
      </c>
      <c r="AC212" s="410">
        <f t="shared" si="141"/>
        <v>152</v>
      </c>
      <c r="AD212" s="510">
        <f t="shared" si="142"/>
        <v>-67347.990000000005</v>
      </c>
      <c r="AE212" s="510">
        <f t="shared" si="113"/>
        <v>55600.970000000183</v>
      </c>
      <c r="AF212" s="510">
        <f t="shared" si="114"/>
        <v>-11747.019999999822</v>
      </c>
      <c r="AG212" s="510">
        <f t="shared" si="143"/>
        <v>2813.1099999999997</v>
      </c>
      <c r="AH212" s="510">
        <f t="shared" si="144"/>
        <v>144151.81000000008</v>
      </c>
      <c r="AI212" s="510"/>
      <c r="AJ212" s="14">
        <f t="shared" si="122"/>
        <v>2813.1099999999997</v>
      </c>
      <c r="AK212" s="14">
        <f t="shared" si="123"/>
        <v>355965.74999999884</v>
      </c>
      <c r="AL212" s="510">
        <f>IF(R212&lt;=0,0,+(Profit!$B$4+AM211)*$AL$1/12)</f>
        <v>1370.2418663620901</v>
      </c>
      <c r="AM212" s="14">
        <f t="shared" si="145"/>
        <v>174466.98841119814</v>
      </c>
    </row>
    <row r="213" spans="1:39" x14ac:dyDescent="0.25">
      <c r="A213" s="499">
        <f t="shared" si="133"/>
        <v>50349</v>
      </c>
      <c r="B213" s="288">
        <f t="shared" si="134"/>
        <v>48516.450000000004</v>
      </c>
      <c r="C213" s="14">
        <f t="shared" si="124"/>
        <v>382.11</v>
      </c>
      <c r="D213" s="14">
        <f t="shared" si="146"/>
        <v>230.5</v>
      </c>
      <c r="E213" s="14">
        <f t="shared" si="125"/>
        <v>151.61000000000001</v>
      </c>
      <c r="F213" s="288">
        <f t="shared" si="135"/>
        <v>34480.99</v>
      </c>
      <c r="G213" s="288">
        <f t="shared" si="136"/>
        <v>41816.74</v>
      </c>
      <c r="H213" s="288">
        <f t="shared" si="126"/>
        <v>48285.950000000004</v>
      </c>
      <c r="I213" s="410">
        <f t="shared" si="127"/>
        <v>12</v>
      </c>
      <c r="J213" s="288">
        <f t="shared" si="137"/>
        <v>280663.39999999985</v>
      </c>
      <c r="K213" s="288">
        <f t="shared" si="116"/>
        <v>2298.4699999999998</v>
      </c>
      <c r="L213" s="288">
        <f t="shared" si="147"/>
        <v>719.73999999999978</v>
      </c>
      <c r="M213" s="288">
        <f t="shared" si="117"/>
        <v>1578.73</v>
      </c>
      <c r="N213" s="288">
        <f t="shared" si="138"/>
        <v>74431.34</v>
      </c>
      <c r="O213" s="288">
        <f t="shared" si="139"/>
        <v>279533.04000000004</v>
      </c>
      <c r="P213" s="288">
        <f t="shared" si="128"/>
        <v>279943.65999999986</v>
      </c>
      <c r="Q213" s="499">
        <f t="shared" si="129"/>
        <v>50349</v>
      </c>
      <c r="R213" s="288">
        <f t="shared" si="115"/>
        <v>104117.42000000019</v>
      </c>
      <c r="S213" s="492">
        <f t="shared" si="140"/>
        <v>6.7500000000000004E-2</v>
      </c>
      <c r="T213" s="288">
        <f t="shared" si="130"/>
        <v>3195.22</v>
      </c>
      <c r="U213" s="288">
        <f t="shared" si="118"/>
        <v>2609.56</v>
      </c>
      <c r="V213" s="288">
        <f t="shared" si="131"/>
        <v>585.66</v>
      </c>
      <c r="W213" s="288">
        <f t="shared" si="111"/>
        <v>0</v>
      </c>
      <c r="X213" s="288">
        <f t="shared" si="112"/>
        <v>0</v>
      </c>
      <c r="Y213" s="288">
        <f t="shared" si="119"/>
        <v>3195.22</v>
      </c>
      <c r="Z213" s="288">
        <f t="shared" si="120"/>
        <v>252867.13999999993</v>
      </c>
      <c r="AA213" s="288">
        <f t="shared" si="121"/>
        <v>169341.98000000007</v>
      </c>
      <c r="AB213" s="288">
        <f t="shared" si="132"/>
        <v>101507.86000000019</v>
      </c>
      <c r="AC213" s="410">
        <f t="shared" si="141"/>
        <v>153</v>
      </c>
      <c r="AD213" s="510">
        <f t="shared" si="142"/>
        <v>-68244.740000000005</v>
      </c>
      <c r="AE213" s="510">
        <f t="shared" si="113"/>
        <v>53221.910000000185</v>
      </c>
      <c r="AF213" s="510">
        <f t="shared" si="114"/>
        <v>-15022.82999999982</v>
      </c>
      <c r="AG213" s="510">
        <f t="shared" si="143"/>
        <v>2813.1099999999997</v>
      </c>
      <c r="AH213" s="510">
        <f t="shared" si="144"/>
        <v>141772.75000000009</v>
      </c>
      <c r="AI213" s="510"/>
      <c r="AJ213" s="14">
        <f t="shared" si="122"/>
        <v>2813.1099999999997</v>
      </c>
      <c r="AK213" s="14">
        <f t="shared" si="123"/>
        <v>358778.85999999882</v>
      </c>
      <c r="AL213" s="510">
        <f>IF(R213&lt;=0,0,+(Profit!$B$4+AM212)*$AL$1/12)</f>
        <v>1373.6674710279951</v>
      </c>
      <c r="AM213" s="14">
        <f t="shared" si="145"/>
        <v>175840.65588222613</v>
      </c>
    </row>
    <row r="214" spans="1:39" x14ac:dyDescent="0.25">
      <c r="A214" s="499">
        <f t="shared" si="133"/>
        <v>50379</v>
      </c>
      <c r="B214" s="288">
        <f t="shared" si="134"/>
        <v>48285.950000000004</v>
      </c>
      <c r="C214" s="14">
        <f t="shared" si="124"/>
        <v>382.11</v>
      </c>
      <c r="D214" s="14">
        <f t="shared" si="146"/>
        <v>231.22000000000003</v>
      </c>
      <c r="E214" s="14">
        <f t="shared" si="125"/>
        <v>150.88999999999999</v>
      </c>
      <c r="F214" s="288">
        <f t="shared" si="135"/>
        <v>34712.21</v>
      </c>
      <c r="G214" s="288">
        <f t="shared" si="136"/>
        <v>41967.63</v>
      </c>
      <c r="H214" s="288">
        <f t="shared" si="126"/>
        <v>48054.73</v>
      </c>
      <c r="I214" s="410">
        <f t="shared" si="127"/>
        <v>12</v>
      </c>
      <c r="J214" s="288">
        <f t="shared" si="137"/>
        <v>279943.65999999986</v>
      </c>
      <c r="K214" s="288">
        <f t="shared" si="116"/>
        <v>2298.4699999999998</v>
      </c>
      <c r="L214" s="288">
        <f t="shared" si="147"/>
        <v>723.78999999999974</v>
      </c>
      <c r="M214" s="288">
        <f t="shared" si="117"/>
        <v>1574.68</v>
      </c>
      <c r="N214" s="288">
        <f t="shared" si="138"/>
        <v>75155.12999999999</v>
      </c>
      <c r="O214" s="288">
        <f t="shared" si="139"/>
        <v>281107.72000000003</v>
      </c>
      <c r="P214" s="288">
        <f t="shared" si="128"/>
        <v>279219.86999999988</v>
      </c>
      <c r="Q214" s="499">
        <f t="shared" si="129"/>
        <v>50379</v>
      </c>
      <c r="R214" s="288">
        <f t="shared" si="115"/>
        <v>101507.86000000019</v>
      </c>
      <c r="S214" s="492">
        <f t="shared" si="140"/>
        <v>6.7500000000000004E-2</v>
      </c>
      <c r="T214" s="288">
        <f t="shared" si="130"/>
        <v>3195.22</v>
      </c>
      <c r="U214" s="288">
        <f t="shared" si="118"/>
        <v>2624.24</v>
      </c>
      <c r="V214" s="288">
        <f t="shared" si="131"/>
        <v>570.98</v>
      </c>
      <c r="W214" s="288">
        <f t="shared" si="111"/>
        <v>0</v>
      </c>
      <c r="X214" s="288">
        <f t="shared" si="112"/>
        <v>0</v>
      </c>
      <c r="Y214" s="288">
        <f t="shared" si="119"/>
        <v>3195.22</v>
      </c>
      <c r="Z214" s="288">
        <f t="shared" si="120"/>
        <v>255491.37999999992</v>
      </c>
      <c r="AA214" s="288">
        <f t="shared" si="121"/>
        <v>169912.96000000008</v>
      </c>
      <c r="AB214" s="288">
        <f t="shared" si="132"/>
        <v>98883.620000000185</v>
      </c>
      <c r="AC214" s="410">
        <f t="shared" si="141"/>
        <v>154</v>
      </c>
      <c r="AD214" s="510">
        <f t="shared" si="142"/>
        <v>-69141.490000000005</v>
      </c>
      <c r="AE214" s="510">
        <f t="shared" si="113"/>
        <v>50828.890000000181</v>
      </c>
      <c r="AF214" s="510">
        <f t="shared" si="114"/>
        <v>-18312.599999999824</v>
      </c>
      <c r="AG214" s="510">
        <f t="shared" si="143"/>
        <v>2813.1099999999997</v>
      </c>
      <c r="AH214" s="510">
        <f t="shared" si="144"/>
        <v>139379.73000000013</v>
      </c>
      <c r="AI214" s="510"/>
      <c r="AJ214" s="14">
        <f t="shared" si="122"/>
        <v>2813.1099999999997</v>
      </c>
      <c r="AK214" s="14">
        <f t="shared" si="123"/>
        <v>361591.96999999881</v>
      </c>
      <c r="AL214" s="510">
        <f>IF(R214&lt;=0,0,+(Profit!$B$4+AM213)*$AL$1/12)</f>
        <v>1377.1016397055653</v>
      </c>
      <c r="AM214" s="14">
        <f t="shared" si="145"/>
        <v>177217.75752193169</v>
      </c>
    </row>
    <row r="215" spans="1:39" x14ac:dyDescent="0.25">
      <c r="A215" s="499">
        <f t="shared" si="133"/>
        <v>50409</v>
      </c>
      <c r="B215" s="288">
        <f t="shared" si="134"/>
        <v>48054.73</v>
      </c>
      <c r="C215" s="14">
        <f t="shared" si="124"/>
        <v>382.11</v>
      </c>
      <c r="D215" s="14">
        <f t="shared" si="146"/>
        <v>231.94000000000003</v>
      </c>
      <c r="E215" s="14">
        <f t="shared" si="125"/>
        <v>150.16999999999999</v>
      </c>
      <c r="F215" s="288">
        <f t="shared" si="135"/>
        <v>34944.15</v>
      </c>
      <c r="G215" s="288">
        <f t="shared" si="136"/>
        <v>42117.799999999996</v>
      </c>
      <c r="H215" s="288">
        <f t="shared" si="126"/>
        <v>47822.79</v>
      </c>
      <c r="I215" s="410">
        <f t="shared" si="127"/>
        <v>12</v>
      </c>
      <c r="J215" s="288">
        <f t="shared" si="137"/>
        <v>279219.86999999988</v>
      </c>
      <c r="K215" s="288">
        <f t="shared" si="116"/>
        <v>2298.4699999999998</v>
      </c>
      <c r="L215" s="288">
        <f t="shared" si="147"/>
        <v>727.8599999999999</v>
      </c>
      <c r="M215" s="288">
        <f t="shared" si="117"/>
        <v>1570.61</v>
      </c>
      <c r="N215" s="288">
        <f t="shared" si="138"/>
        <v>75882.989999999991</v>
      </c>
      <c r="O215" s="288">
        <f t="shared" si="139"/>
        <v>282678.33</v>
      </c>
      <c r="P215" s="288">
        <f t="shared" si="128"/>
        <v>278492.00999999989</v>
      </c>
      <c r="Q215" s="499">
        <f t="shared" si="129"/>
        <v>50409</v>
      </c>
      <c r="R215" s="288">
        <f t="shared" si="115"/>
        <v>98883.620000000185</v>
      </c>
      <c r="S215" s="492">
        <f t="shared" si="140"/>
        <v>6.7500000000000004E-2</v>
      </c>
      <c r="T215" s="288">
        <f t="shared" si="130"/>
        <v>3195.22</v>
      </c>
      <c r="U215" s="288">
        <f t="shared" si="118"/>
        <v>2639</v>
      </c>
      <c r="V215" s="288">
        <f t="shared" si="131"/>
        <v>556.22</v>
      </c>
      <c r="W215" s="288">
        <f t="shared" si="111"/>
        <v>0</v>
      </c>
      <c r="X215" s="288">
        <f t="shared" si="112"/>
        <v>0</v>
      </c>
      <c r="Y215" s="288">
        <f t="shared" si="119"/>
        <v>3195.2200000000003</v>
      </c>
      <c r="Z215" s="288">
        <f t="shared" si="120"/>
        <v>258130.37999999992</v>
      </c>
      <c r="AA215" s="288">
        <f t="shared" si="121"/>
        <v>170469.18000000008</v>
      </c>
      <c r="AB215" s="288">
        <f t="shared" si="132"/>
        <v>96244.620000000185</v>
      </c>
      <c r="AC215" s="410">
        <f t="shared" si="141"/>
        <v>155</v>
      </c>
      <c r="AD215" s="510">
        <f t="shared" si="142"/>
        <v>-70038.240000000005</v>
      </c>
      <c r="AE215" s="510">
        <f t="shared" si="113"/>
        <v>48421.830000000184</v>
      </c>
      <c r="AF215" s="510">
        <f t="shared" si="114"/>
        <v>-21616.409999999822</v>
      </c>
      <c r="AG215" s="510">
        <f t="shared" si="143"/>
        <v>2813.1099999999997</v>
      </c>
      <c r="AH215" s="510">
        <f t="shared" si="144"/>
        <v>136972.67000000013</v>
      </c>
      <c r="AI215" s="510"/>
      <c r="AJ215" s="14">
        <f t="shared" si="122"/>
        <v>2813.1099999999997</v>
      </c>
      <c r="AK215" s="14">
        <f t="shared" si="123"/>
        <v>364405.07999999879</v>
      </c>
      <c r="AL215" s="510">
        <f>IF(R215&lt;=0,0,+(Profit!$B$4+AM214)*$AL$1/12)</f>
        <v>1380.544393804829</v>
      </c>
      <c r="AM215" s="14">
        <f t="shared" si="145"/>
        <v>178598.30191573652</v>
      </c>
    </row>
    <row r="216" spans="1:39" x14ac:dyDescent="0.25">
      <c r="A216" s="499">
        <f t="shared" si="133"/>
        <v>50439</v>
      </c>
      <c r="B216" s="288">
        <f t="shared" si="134"/>
        <v>47822.79</v>
      </c>
      <c r="C216" s="14">
        <f t="shared" si="124"/>
        <v>382.11</v>
      </c>
      <c r="D216" s="14">
        <f t="shared" si="146"/>
        <v>232.66000000000003</v>
      </c>
      <c r="E216" s="14">
        <f t="shared" si="125"/>
        <v>149.44999999999999</v>
      </c>
      <c r="F216" s="288">
        <f t="shared" si="135"/>
        <v>35176.810000000005</v>
      </c>
      <c r="G216" s="288">
        <f t="shared" si="136"/>
        <v>42267.249999999993</v>
      </c>
      <c r="H216" s="288">
        <f t="shared" si="126"/>
        <v>47590.13</v>
      </c>
      <c r="I216" s="410">
        <f t="shared" si="127"/>
        <v>13</v>
      </c>
      <c r="J216" s="288">
        <f t="shared" si="137"/>
        <v>278492.00999999989</v>
      </c>
      <c r="K216" s="288">
        <f t="shared" si="116"/>
        <v>2298.4699999999998</v>
      </c>
      <c r="L216" s="288">
        <f t="shared" si="147"/>
        <v>731.94999999999982</v>
      </c>
      <c r="M216" s="288">
        <f t="shared" si="117"/>
        <v>1566.52</v>
      </c>
      <c r="N216" s="288">
        <f t="shared" si="138"/>
        <v>76614.939999999988</v>
      </c>
      <c r="O216" s="288">
        <f t="shared" si="139"/>
        <v>284244.85000000003</v>
      </c>
      <c r="P216" s="288">
        <f t="shared" si="128"/>
        <v>277760.05999999988</v>
      </c>
      <c r="Q216" s="499">
        <f t="shared" si="129"/>
        <v>50439</v>
      </c>
      <c r="R216" s="288">
        <f t="shared" si="115"/>
        <v>96244.620000000185</v>
      </c>
      <c r="S216" s="492">
        <f t="shared" si="140"/>
        <v>6.7500000000000004E-2</v>
      </c>
      <c r="T216" s="288">
        <f t="shared" si="130"/>
        <v>3195.22</v>
      </c>
      <c r="U216" s="288">
        <f t="shared" si="118"/>
        <v>2653.8399999999997</v>
      </c>
      <c r="V216" s="288">
        <f t="shared" si="131"/>
        <v>541.38</v>
      </c>
      <c r="W216" s="288">
        <f t="shared" si="111"/>
        <v>0</v>
      </c>
      <c r="X216" s="288">
        <f t="shared" si="112"/>
        <v>0</v>
      </c>
      <c r="Y216" s="288">
        <f t="shared" si="119"/>
        <v>3195.22</v>
      </c>
      <c r="Z216" s="288">
        <f t="shared" si="120"/>
        <v>260784.21999999991</v>
      </c>
      <c r="AA216" s="288">
        <f t="shared" si="121"/>
        <v>171010.56000000008</v>
      </c>
      <c r="AB216" s="288">
        <f t="shared" si="132"/>
        <v>93590.780000000188</v>
      </c>
      <c r="AC216" s="410">
        <f t="shared" si="141"/>
        <v>156</v>
      </c>
      <c r="AD216" s="510">
        <f t="shared" si="142"/>
        <v>-70934.990000000005</v>
      </c>
      <c r="AE216" s="510">
        <f t="shared" si="113"/>
        <v>46000.650000000191</v>
      </c>
      <c r="AF216" s="510">
        <f t="shared" si="114"/>
        <v>-24934.339999999815</v>
      </c>
      <c r="AG216" s="510">
        <f t="shared" si="143"/>
        <v>2813.1099999999997</v>
      </c>
      <c r="AH216" s="510">
        <f t="shared" si="144"/>
        <v>134551.49000000011</v>
      </c>
      <c r="AI216" s="510"/>
      <c r="AJ216" s="14">
        <f t="shared" si="122"/>
        <v>2813.1099999999997</v>
      </c>
      <c r="AK216" s="14">
        <f t="shared" si="123"/>
        <v>367218.18999999878</v>
      </c>
      <c r="AL216" s="510">
        <f>IF(R216&lt;=0,0,+(Profit!$B$4+AM215)*$AL$1/12)</f>
        <v>1383.9957547893412</v>
      </c>
      <c r="AM216" s="14">
        <f t="shared" si="145"/>
        <v>179982.29767052585</v>
      </c>
    </row>
    <row r="217" spans="1:39" x14ac:dyDescent="0.25">
      <c r="A217" s="499">
        <f t="shared" si="133"/>
        <v>50469</v>
      </c>
      <c r="B217" s="288">
        <f t="shared" si="134"/>
        <v>47590.13</v>
      </c>
      <c r="C217" s="14">
        <f t="shared" si="124"/>
        <v>382.11</v>
      </c>
      <c r="D217" s="14">
        <f t="shared" si="146"/>
        <v>233.39000000000001</v>
      </c>
      <c r="E217" s="14">
        <f t="shared" si="125"/>
        <v>148.72</v>
      </c>
      <c r="F217" s="288">
        <f t="shared" si="135"/>
        <v>35410.200000000004</v>
      </c>
      <c r="G217" s="288">
        <f t="shared" si="136"/>
        <v>42415.969999999994</v>
      </c>
      <c r="H217" s="288">
        <f t="shared" si="126"/>
        <v>47356.74</v>
      </c>
      <c r="I217" s="410">
        <f t="shared" si="127"/>
        <v>13</v>
      </c>
      <c r="J217" s="288">
        <f t="shared" si="137"/>
        <v>277760.05999999988</v>
      </c>
      <c r="K217" s="288">
        <f t="shared" si="116"/>
        <v>2298.4699999999998</v>
      </c>
      <c r="L217" s="288">
        <f t="shared" si="147"/>
        <v>736.06999999999971</v>
      </c>
      <c r="M217" s="288">
        <f t="shared" si="117"/>
        <v>1562.4</v>
      </c>
      <c r="N217" s="288">
        <f t="shared" si="138"/>
        <v>77351.00999999998</v>
      </c>
      <c r="O217" s="288">
        <f t="shared" si="139"/>
        <v>285807.25000000006</v>
      </c>
      <c r="P217" s="288">
        <f t="shared" si="128"/>
        <v>277023.98999999987</v>
      </c>
      <c r="Q217" s="499">
        <f t="shared" si="129"/>
        <v>50469</v>
      </c>
      <c r="R217" s="288">
        <f t="shared" si="115"/>
        <v>93590.780000000188</v>
      </c>
      <c r="S217" s="492">
        <f t="shared" si="140"/>
        <v>6.7500000000000004E-2</v>
      </c>
      <c r="T217" s="288">
        <f t="shared" si="130"/>
        <v>3195.22</v>
      </c>
      <c r="U217" s="288">
        <f t="shared" si="118"/>
        <v>2668.7699999999995</v>
      </c>
      <c r="V217" s="288">
        <f t="shared" si="131"/>
        <v>526.45000000000005</v>
      </c>
      <c r="W217" s="288">
        <f t="shared" si="111"/>
        <v>0</v>
      </c>
      <c r="X217" s="288">
        <f t="shared" si="112"/>
        <v>0</v>
      </c>
      <c r="Y217" s="288">
        <f t="shared" si="119"/>
        <v>3195.2199999999993</v>
      </c>
      <c r="Z217" s="288">
        <f t="shared" si="120"/>
        <v>263452.98999999993</v>
      </c>
      <c r="AA217" s="288">
        <f t="shared" si="121"/>
        <v>171537.0100000001</v>
      </c>
      <c r="AB217" s="288">
        <f t="shared" si="132"/>
        <v>90922.010000000184</v>
      </c>
      <c r="AC217" s="410">
        <f t="shared" si="141"/>
        <v>157</v>
      </c>
      <c r="AD217" s="510">
        <f t="shared" si="142"/>
        <v>-71831.740000000005</v>
      </c>
      <c r="AE217" s="510">
        <f t="shared" si="113"/>
        <v>43565.270000000186</v>
      </c>
      <c r="AF217" s="510">
        <f t="shared" si="114"/>
        <v>-28266.469999999819</v>
      </c>
      <c r="AG217" s="510">
        <f t="shared" si="143"/>
        <v>2813.1099999999997</v>
      </c>
      <c r="AH217" s="510">
        <f t="shared" si="144"/>
        <v>132116.1100000001</v>
      </c>
      <c r="AI217" s="510"/>
      <c r="AJ217" s="14">
        <f t="shared" si="122"/>
        <v>2813.1099999999997</v>
      </c>
      <c r="AK217" s="14">
        <f t="shared" si="123"/>
        <v>370031.29999999877</v>
      </c>
      <c r="AL217" s="510">
        <f>IF(R217&lt;=0,0,+(Profit!$B$4+AM216)*$AL$1/12)</f>
        <v>1387.4557441763145</v>
      </c>
      <c r="AM217" s="14">
        <f t="shared" si="145"/>
        <v>181369.75341470217</v>
      </c>
    </row>
    <row r="218" spans="1:39" ht="15.75" thickBot="1" x14ac:dyDescent="0.3">
      <c r="A218" s="502">
        <f t="shared" si="133"/>
        <v>50499</v>
      </c>
      <c r="B218" s="343">
        <f t="shared" si="134"/>
        <v>47356.74</v>
      </c>
      <c r="C218" s="21">
        <f t="shared" si="124"/>
        <v>382.11</v>
      </c>
      <c r="D218" s="21">
        <f t="shared" si="146"/>
        <v>234.12</v>
      </c>
      <c r="E218" s="21">
        <f t="shared" si="125"/>
        <v>147.99</v>
      </c>
      <c r="F218" s="343">
        <f t="shared" si="135"/>
        <v>35644.320000000007</v>
      </c>
      <c r="G218" s="343">
        <f t="shared" si="136"/>
        <v>42563.959999999992</v>
      </c>
      <c r="H218" s="343">
        <f t="shared" si="126"/>
        <v>47122.619999999995</v>
      </c>
      <c r="I218" s="411">
        <f t="shared" si="127"/>
        <v>13</v>
      </c>
      <c r="J218" s="343">
        <f t="shared" si="137"/>
        <v>277023.98999999987</v>
      </c>
      <c r="K218" s="343">
        <f t="shared" si="116"/>
        <v>2298.4699999999998</v>
      </c>
      <c r="L218" s="343">
        <f t="shared" si="147"/>
        <v>740.20999999999981</v>
      </c>
      <c r="M218" s="343">
        <f t="shared" si="117"/>
        <v>1558.26</v>
      </c>
      <c r="N218" s="343">
        <f t="shared" si="138"/>
        <v>78091.219999999987</v>
      </c>
      <c r="O218" s="343">
        <f t="shared" si="139"/>
        <v>287365.51000000007</v>
      </c>
      <c r="P218" s="343">
        <f t="shared" si="128"/>
        <v>276283.77999999985</v>
      </c>
      <c r="Q218" s="502">
        <f t="shared" si="129"/>
        <v>50499</v>
      </c>
      <c r="R218" s="343">
        <f t="shared" si="115"/>
        <v>90922.010000000184</v>
      </c>
      <c r="S218" s="493">
        <f t="shared" si="140"/>
        <v>6.7500000000000004E-2</v>
      </c>
      <c r="T218" s="343">
        <f t="shared" si="130"/>
        <v>3195.22</v>
      </c>
      <c r="U218" s="343">
        <f t="shared" si="118"/>
        <v>2683.7799999999997</v>
      </c>
      <c r="V218" s="343">
        <f t="shared" si="131"/>
        <v>511.44</v>
      </c>
      <c r="W218" s="343">
        <f t="shared" si="111"/>
        <v>0</v>
      </c>
      <c r="X218" s="343">
        <f t="shared" si="112"/>
        <v>0</v>
      </c>
      <c r="Y218" s="343">
        <f t="shared" si="119"/>
        <v>3195.22</v>
      </c>
      <c r="Z218" s="343">
        <f t="shared" si="120"/>
        <v>266136.76999999996</v>
      </c>
      <c r="AA218" s="343">
        <f t="shared" si="121"/>
        <v>172048.4500000001</v>
      </c>
      <c r="AB218" s="343">
        <f t="shared" si="132"/>
        <v>88238.230000000185</v>
      </c>
      <c r="AC218" s="411">
        <f t="shared" si="141"/>
        <v>158</v>
      </c>
      <c r="AD218" s="511">
        <f t="shared" si="142"/>
        <v>-72728.490000000005</v>
      </c>
      <c r="AE218" s="511">
        <f t="shared" si="113"/>
        <v>41115.61000000019</v>
      </c>
      <c r="AF218" s="511">
        <f t="shared" si="114"/>
        <v>-31612.879999999815</v>
      </c>
      <c r="AG218" s="511">
        <f t="shared" si="143"/>
        <v>2813.1099999999997</v>
      </c>
      <c r="AH218" s="511">
        <f t="shared" si="144"/>
        <v>129666.45000000007</v>
      </c>
      <c r="AI218" s="511"/>
      <c r="AJ218" s="21">
        <f t="shared" si="122"/>
        <v>2813.1099999999997</v>
      </c>
      <c r="AK218" s="21">
        <f t="shared" si="123"/>
        <v>372844.40999999875</v>
      </c>
      <c r="AL218" s="511">
        <f>IF(R218&lt;=0,0,+(Profit!$B$4+AM217)*$AL$1/12)</f>
        <v>1390.9243835367552</v>
      </c>
      <c r="AM218" s="21">
        <f t="shared" si="145"/>
        <v>182760.67779823893</v>
      </c>
    </row>
    <row r="219" spans="1:39" x14ac:dyDescent="0.25">
      <c r="A219" s="499">
        <f t="shared" si="133"/>
        <v>50529</v>
      </c>
      <c r="B219" s="288">
        <f t="shared" si="134"/>
        <v>47122.619999999995</v>
      </c>
      <c r="C219" s="14">
        <f t="shared" si="124"/>
        <v>382.11</v>
      </c>
      <c r="D219" s="14">
        <f t="shared" si="146"/>
        <v>234.85000000000002</v>
      </c>
      <c r="E219" s="14">
        <f t="shared" si="125"/>
        <v>147.26</v>
      </c>
      <c r="F219" s="288">
        <f t="shared" si="135"/>
        <v>35879.170000000006</v>
      </c>
      <c r="G219" s="288">
        <f t="shared" si="136"/>
        <v>42711.219999999994</v>
      </c>
      <c r="H219" s="288">
        <f t="shared" si="126"/>
        <v>46887.77</v>
      </c>
      <c r="I219" s="410">
        <f t="shared" si="127"/>
        <v>13</v>
      </c>
      <c r="J219" s="288">
        <f t="shared" si="137"/>
        <v>276283.77999999985</v>
      </c>
      <c r="K219" s="288">
        <f t="shared" si="116"/>
        <v>2298.4699999999998</v>
      </c>
      <c r="L219" s="288">
        <f t="shared" si="147"/>
        <v>744.36999999999989</v>
      </c>
      <c r="M219" s="288">
        <f t="shared" si="117"/>
        <v>1554.1</v>
      </c>
      <c r="N219" s="288">
        <f t="shared" si="138"/>
        <v>78835.589999999982</v>
      </c>
      <c r="O219" s="288">
        <f t="shared" si="139"/>
        <v>288919.61000000004</v>
      </c>
      <c r="P219" s="288">
        <f t="shared" si="128"/>
        <v>275539.40999999986</v>
      </c>
      <c r="Q219" s="499">
        <f t="shared" si="129"/>
        <v>50529</v>
      </c>
      <c r="R219" s="288">
        <f t="shared" si="115"/>
        <v>88238.230000000185</v>
      </c>
      <c r="S219" s="492">
        <f t="shared" si="140"/>
        <v>6.7500000000000004E-2</v>
      </c>
      <c r="T219" s="288">
        <f t="shared" si="130"/>
        <v>3195.22</v>
      </c>
      <c r="U219" s="288">
        <f t="shared" si="118"/>
        <v>2698.8799999999997</v>
      </c>
      <c r="V219" s="288">
        <f t="shared" si="131"/>
        <v>496.34</v>
      </c>
      <c r="W219" s="288">
        <f t="shared" si="111"/>
        <v>0</v>
      </c>
      <c r="X219" s="288">
        <f t="shared" si="112"/>
        <v>0</v>
      </c>
      <c r="Y219" s="288">
        <f t="shared" si="119"/>
        <v>3195.22</v>
      </c>
      <c r="Z219" s="288">
        <f t="shared" si="120"/>
        <v>268835.64999999997</v>
      </c>
      <c r="AA219" s="288">
        <f t="shared" si="121"/>
        <v>172544.7900000001</v>
      </c>
      <c r="AB219" s="288">
        <f t="shared" si="132"/>
        <v>85539.35000000018</v>
      </c>
      <c r="AC219" s="410">
        <f t="shared" si="141"/>
        <v>159</v>
      </c>
      <c r="AD219" s="510">
        <f t="shared" si="142"/>
        <v>-73625.240000000005</v>
      </c>
      <c r="AE219" s="510">
        <f t="shared" si="113"/>
        <v>38651.580000000184</v>
      </c>
      <c r="AF219" s="510">
        <f t="shared" si="114"/>
        <v>-34973.659999999822</v>
      </c>
      <c r="AG219" s="510">
        <f t="shared" si="143"/>
        <v>2813.1099999999997</v>
      </c>
      <c r="AH219" s="510">
        <f t="shared" si="144"/>
        <v>127202.42000000004</v>
      </c>
      <c r="AI219" s="510"/>
      <c r="AJ219" s="14">
        <f t="shared" si="122"/>
        <v>2813.1099999999997</v>
      </c>
      <c r="AK219" s="14">
        <f t="shared" si="123"/>
        <v>375657.51999999874</v>
      </c>
      <c r="AL219" s="510">
        <f>IF(R219&lt;=0,0,+(Profit!$B$4+AM218)*$AL$1/12)</f>
        <v>1394.4016944955972</v>
      </c>
      <c r="AM219" s="14">
        <f t="shared" si="145"/>
        <v>184155.07949273454</v>
      </c>
    </row>
    <row r="220" spans="1:39" x14ac:dyDescent="0.25">
      <c r="A220" s="499">
        <f t="shared" si="133"/>
        <v>50559</v>
      </c>
      <c r="B220" s="288">
        <f t="shared" si="134"/>
        <v>46887.77</v>
      </c>
      <c r="C220" s="14">
        <f t="shared" si="124"/>
        <v>382.11</v>
      </c>
      <c r="D220" s="14">
        <f t="shared" si="146"/>
        <v>235.59</v>
      </c>
      <c r="E220" s="14">
        <f t="shared" si="125"/>
        <v>146.52000000000001</v>
      </c>
      <c r="F220" s="288">
        <f t="shared" si="135"/>
        <v>36114.76</v>
      </c>
      <c r="G220" s="288">
        <f t="shared" si="136"/>
        <v>42857.739999999991</v>
      </c>
      <c r="H220" s="288">
        <f t="shared" si="126"/>
        <v>46652.18</v>
      </c>
      <c r="I220" s="410">
        <f t="shared" si="127"/>
        <v>13</v>
      </c>
      <c r="J220" s="288">
        <f t="shared" si="137"/>
        <v>275539.40999999986</v>
      </c>
      <c r="K220" s="288">
        <f t="shared" si="116"/>
        <v>2298.4699999999998</v>
      </c>
      <c r="L220" s="288">
        <f t="shared" si="147"/>
        <v>748.55999999999972</v>
      </c>
      <c r="M220" s="288">
        <f t="shared" si="117"/>
        <v>1549.91</v>
      </c>
      <c r="N220" s="288">
        <f t="shared" si="138"/>
        <v>79584.14999999998</v>
      </c>
      <c r="O220" s="288">
        <f t="shared" si="139"/>
        <v>290469.52</v>
      </c>
      <c r="P220" s="288">
        <f t="shared" si="128"/>
        <v>274790.84999999986</v>
      </c>
      <c r="Q220" s="499">
        <f t="shared" si="129"/>
        <v>50559</v>
      </c>
      <c r="R220" s="288">
        <f t="shared" si="115"/>
        <v>85539.35000000018</v>
      </c>
      <c r="S220" s="492">
        <f t="shared" si="140"/>
        <v>6.7500000000000004E-2</v>
      </c>
      <c r="T220" s="288">
        <f t="shared" si="130"/>
        <v>3195.22</v>
      </c>
      <c r="U220" s="288">
        <f t="shared" si="118"/>
        <v>2714.06</v>
      </c>
      <c r="V220" s="288">
        <f t="shared" si="131"/>
        <v>481.16</v>
      </c>
      <c r="W220" s="288">
        <f t="shared" si="111"/>
        <v>0</v>
      </c>
      <c r="X220" s="288">
        <f t="shared" si="112"/>
        <v>0</v>
      </c>
      <c r="Y220" s="288">
        <f t="shared" si="119"/>
        <v>3195.22</v>
      </c>
      <c r="Z220" s="288">
        <f t="shared" si="120"/>
        <v>271549.70999999996</v>
      </c>
      <c r="AA220" s="288">
        <f t="shared" si="121"/>
        <v>173025.9500000001</v>
      </c>
      <c r="AB220" s="288">
        <f t="shared" si="132"/>
        <v>82825.290000000183</v>
      </c>
      <c r="AC220" s="410">
        <f t="shared" si="141"/>
        <v>160</v>
      </c>
      <c r="AD220" s="510">
        <f t="shared" si="142"/>
        <v>-74521.990000000005</v>
      </c>
      <c r="AE220" s="510">
        <f t="shared" si="113"/>
        <v>36173.110000000182</v>
      </c>
      <c r="AF220" s="510">
        <f t="shared" si="114"/>
        <v>-38348.879999999823</v>
      </c>
      <c r="AG220" s="510">
        <f t="shared" si="143"/>
        <v>2813.1099999999997</v>
      </c>
      <c r="AH220" s="510">
        <f t="shared" si="144"/>
        <v>124723.95000000007</v>
      </c>
      <c r="AI220" s="510"/>
      <c r="AJ220" s="14">
        <f t="shared" si="122"/>
        <v>2813.1099999999997</v>
      </c>
      <c r="AK220" s="14">
        <f t="shared" si="123"/>
        <v>378470.62999999872</v>
      </c>
      <c r="AL220" s="510">
        <f>IF(R220&lt;=0,0,+(Profit!$B$4+AM219)*$AL$1/12)</f>
        <v>1397.8876987318363</v>
      </c>
      <c r="AM220" s="14">
        <f t="shared" si="145"/>
        <v>185552.96719146636</v>
      </c>
    </row>
    <row r="221" spans="1:39" x14ac:dyDescent="0.25">
      <c r="A221" s="499">
        <f t="shared" si="133"/>
        <v>50589</v>
      </c>
      <c r="B221" s="288">
        <f t="shared" si="134"/>
        <v>46652.18</v>
      </c>
      <c r="C221" s="14">
        <f t="shared" si="124"/>
        <v>382.11</v>
      </c>
      <c r="D221" s="14">
        <f t="shared" si="146"/>
        <v>236.32000000000002</v>
      </c>
      <c r="E221" s="14">
        <f t="shared" si="125"/>
        <v>145.79</v>
      </c>
      <c r="F221" s="288">
        <f t="shared" si="135"/>
        <v>36351.08</v>
      </c>
      <c r="G221" s="288">
        <f t="shared" si="136"/>
        <v>43003.529999999992</v>
      </c>
      <c r="H221" s="288">
        <f t="shared" si="126"/>
        <v>46415.86</v>
      </c>
      <c r="I221" s="410">
        <f t="shared" si="127"/>
        <v>13</v>
      </c>
      <c r="J221" s="288">
        <f t="shared" si="137"/>
        <v>274790.84999999986</v>
      </c>
      <c r="K221" s="288">
        <f t="shared" si="116"/>
        <v>2298.4699999999998</v>
      </c>
      <c r="L221" s="288">
        <f t="shared" si="147"/>
        <v>752.76999999999975</v>
      </c>
      <c r="M221" s="288">
        <f t="shared" si="117"/>
        <v>1545.7</v>
      </c>
      <c r="N221" s="288">
        <f t="shared" si="138"/>
        <v>80336.919999999984</v>
      </c>
      <c r="O221" s="288">
        <f t="shared" si="139"/>
        <v>292015.22000000003</v>
      </c>
      <c r="P221" s="288">
        <f t="shared" si="128"/>
        <v>274038.07999999984</v>
      </c>
      <c r="Q221" s="499">
        <f t="shared" si="129"/>
        <v>50589</v>
      </c>
      <c r="R221" s="288">
        <f t="shared" si="115"/>
        <v>82825.290000000183</v>
      </c>
      <c r="S221" s="492">
        <f t="shared" si="140"/>
        <v>6.7500000000000004E-2</v>
      </c>
      <c r="T221" s="288">
        <f t="shared" si="130"/>
        <v>3195.22</v>
      </c>
      <c r="U221" s="288">
        <f t="shared" si="118"/>
        <v>2729.33</v>
      </c>
      <c r="V221" s="288">
        <f t="shared" si="131"/>
        <v>465.89</v>
      </c>
      <c r="W221" s="288">
        <f t="shared" si="111"/>
        <v>0</v>
      </c>
      <c r="X221" s="288">
        <f t="shared" si="112"/>
        <v>0</v>
      </c>
      <c r="Y221" s="288">
        <f t="shared" si="119"/>
        <v>3195.22</v>
      </c>
      <c r="Z221" s="288">
        <f t="shared" si="120"/>
        <v>274279.03999999998</v>
      </c>
      <c r="AA221" s="288">
        <f t="shared" si="121"/>
        <v>173491.84000000011</v>
      </c>
      <c r="AB221" s="288">
        <f t="shared" si="132"/>
        <v>80095.960000000181</v>
      </c>
      <c r="AC221" s="410">
        <f t="shared" si="141"/>
        <v>161</v>
      </c>
      <c r="AD221" s="510">
        <f t="shared" si="142"/>
        <v>-75418.740000000005</v>
      </c>
      <c r="AE221" s="510">
        <f t="shared" si="113"/>
        <v>33680.10000000018</v>
      </c>
      <c r="AF221" s="510">
        <f t="shared" si="114"/>
        <v>-41738.639999999825</v>
      </c>
      <c r="AG221" s="510">
        <f t="shared" si="143"/>
        <v>2813.1099999999997</v>
      </c>
      <c r="AH221" s="510">
        <f t="shared" si="144"/>
        <v>122230.94000000006</v>
      </c>
      <c r="AI221" s="510"/>
      <c r="AJ221" s="14">
        <f t="shared" si="122"/>
        <v>2813.1099999999997</v>
      </c>
      <c r="AK221" s="14">
        <f t="shared" si="123"/>
        <v>381283.73999999871</v>
      </c>
      <c r="AL221" s="510">
        <f>IF(R221&lt;=0,0,+(Profit!$B$4+AM220)*$AL$1/12)</f>
        <v>1401.3824179786659</v>
      </c>
      <c r="AM221" s="14">
        <f t="shared" si="145"/>
        <v>186954.34960944502</v>
      </c>
    </row>
    <row r="222" spans="1:39" x14ac:dyDescent="0.25">
      <c r="A222" s="499">
        <f t="shared" si="133"/>
        <v>50619</v>
      </c>
      <c r="B222" s="288">
        <f t="shared" si="134"/>
        <v>46415.86</v>
      </c>
      <c r="C222" s="14">
        <f t="shared" si="124"/>
        <v>382.11</v>
      </c>
      <c r="D222" s="14">
        <f t="shared" si="146"/>
        <v>237.06</v>
      </c>
      <c r="E222" s="14">
        <f t="shared" si="125"/>
        <v>145.05000000000001</v>
      </c>
      <c r="F222" s="288">
        <f t="shared" si="135"/>
        <v>36588.14</v>
      </c>
      <c r="G222" s="288">
        <f t="shared" si="136"/>
        <v>43148.579999999994</v>
      </c>
      <c r="H222" s="288">
        <f t="shared" si="126"/>
        <v>46178.8</v>
      </c>
      <c r="I222" s="410">
        <f t="shared" si="127"/>
        <v>13</v>
      </c>
      <c r="J222" s="288">
        <f t="shared" si="137"/>
        <v>274038.07999999984</v>
      </c>
      <c r="K222" s="288">
        <f t="shared" si="116"/>
        <v>2298.4699999999998</v>
      </c>
      <c r="L222" s="288">
        <f t="shared" si="147"/>
        <v>757.00999999999976</v>
      </c>
      <c r="M222" s="288">
        <f t="shared" si="117"/>
        <v>1541.46</v>
      </c>
      <c r="N222" s="288">
        <f t="shared" si="138"/>
        <v>81093.929999999978</v>
      </c>
      <c r="O222" s="288">
        <f t="shared" si="139"/>
        <v>293556.68000000005</v>
      </c>
      <c r="P222" s="288">
        <f t="shared" si="128"/>
        <v>273281.06999999983</v>
      </c>
      <c r="Q222" s="499">
        <f t="shared" si="129"/>
        <v>50619</v>
      </c>
      <c r="R222" s="288">
        <f t="shared" si="115"/>
        <v>80095.960000000181</v>
      </c>
      <c r="S222" s="492">
        <f t="shared" si="140"/>
        <v>6.7500000000000004E-2</v>
      </c>
      <c r="T222" s="288">
        <f t="shared" si="130"/>
        <v>3195.22</v>
      </c>
      <c r="U222" s="288">
        <f t="shared" si="118"/>
        <v>2744.68</v>
      </c>
      <c r="V222" s="288">
        <f t="shared" si="131"/>
        <v>450.54</v>
      </c>
      <c r="W222" s="288">
        <f t="shared" si="111"/>
        <v>0</v>
      </c>
      <c r="X222" s="288">
        <f t="shared" si="112"/>
        <v>0</v>
      </c>
      <c r="Y222" s="288">
        <f t="shared" si="119"/>
        <v>3195.22</v>
      </c>
      <c r="Z222" s="288">
        <f t="shared" si="120"/>
        <v>277023.71999999997</v>
      </c>
      <c r="AA222" s="288">
        <f t="shared" si="121"/>
        <v>173942.38000000012</v>
      </c>
      <c r="AB222" s="288">
        <f t="shared" si="132"/>
        <v>77351.280000000188</v>
      </c>
      <c r="AC222" s="410">
        <f t="shared" si="141"/>
        <v>162</v>
      </c>
      <c r="AD222" s="510">
        <f t="shared" si="142"/>
        <v>-76315.490000000005</v>
      </c>
      <c r="AE222" s="510">
        <f t="shared" si="113"/>
        <v>31172.480000000185</v>
      </c>
      <c r="AF222" s="510">
        <f t="shared" si="114"/>
        <v>-45143.00999999982</v>
      </c>
      <c r="AG222" s="510">
        <f t="shared" si="143"/>
        <v>2813.1099999999997</v>
      </c>
      <c r="AH222" s="510">
        <f t="shared" si="144"/>
        <v>119723.32000000007</v>
      </c>
      <c r="AI222" s="510"/>
      <c r="AJ222" s="14">
        <f t="shared" si="122"/>
        <v>2813.1099999999997</v>
      </c>
      <c r="AK222" s="14">
        <f t="shared" si="123"/>
        <v>384096.8499999987</v>
      </c>
      <c r="AL222" s="510">
        <f>IF(R222&lt;=0,0,+(Profit!$B$4+AM221)*$AL$1/12)</f>
        <v>1404.8858740236126</v>
      </c>
      <c r="AM222" s="14">
        <f t="shared" si="145"/>
        <v>188359.23548346863</v>
      </c>
    </row>
    <row r="223" spans="1:39" x14ac:dyDescent="0.25">
      <c r="A223" s="499">
        <f t="shared" si="133"/>
        <v>50649</v>
      </c>
      <c r="B223" s="288">
        <f t="shared" si="134"/>
        <v>46178.8</v>
      </c>
      <c r="C223" s="14">
        <f t="shared" si="124"/>
        <v>382.11</v>
      </c>
      <c r="D223" s="14">
        <f t="shared" si="146"/>
        <v>237.8</v>
      </c>
      <c r="E223" s="14">
        <f t="shared" si="125"/>
        <v>144.31</v>
      </c>
      <c r="F223" s="288">
        <f t="shared" si="135"/>
        <v>36825.94</v>
      </c>
      <c r="G223" s="288">
        <f t="shared" si="136"/>
        <v>43292.889999999992</v>
      </c>
      <c r="H223" s="288">
        <f t="shared" si="126"/>
        <v>45941</v>
      </c>
      <c r="I223" s="410">
        <f t="shared" si="127"/>
        <v>13</v>
      </c>
      <c r="J223" s="288">
        <f t="shared" si="137"/>
        <v>273281.06999999983</v>
      </c>
      <c r="K223" s="288">
        <f t="shared" si="116"/>
        <v>2298.4699999999998</v>
      </c>
      <c r="L223" s="288">
        <f t="shared" si="147"/>
        <v>761.25999999999976</v>
      </c>
      <c r="M223" s="288">
        <f t="shared" si="117"/>
        <v>1537.21</v>
      </c>
      <c r="N223" s="288">
        <f t="shared" si="138"/>
        <v>81855.189999999973</v>
      </c>
      <c r="O223" s="288">
        <f t="shared" si="139"/>
        <v>295093.89000000007</v>
      </c>
      <c r="P223" s="288">
        <f t="shared" si="128"/>
        <v>272519.80999999982</v>
      </c>
      <c r="Q223" s="499">
        <f t="shared" si="129"/>
        <v>50649</v>
      </c>
      <c r="R223" s="288">
        <f t="shared" si="115"/>
        <v>77351.280000000188</v>
      </c>
      <c r="S223" s="492">
        <f t="shared" si="140"/>
        <v>6.7500000000000004E-2</v>
      </c>
      <c r="T223" s="288">
        <f t="shared" si="130"/>
        <v>3195.22</v>
      </c>
      <c r="U223" s="288">
        <f t="shared" si="118"/>
        <v>2760.12</v>
      </c>
      <c r="V223" s="288">
        <f t="shared" si="131"/>
        <v>435.1</v>
      </c>
      <c r="W223" s="288">
        <f t="shared" si="111"/>
        <v>0</v>
      </c>
      <c r="X223" s="288">
        <f t="shared" si="112"/>
        <v>0</v>
      </c>
      <c r="Y223" s="288">
        <f t="shared" si="119"/>
        <v>3195.22</v>
      </c>
      <c r="Z223" s="288">
        <f t="shared" si="120"/>
        <v>279783.83999999997</v>
      </c>
      <c r="AA223" s="288">
        <f t="shared" si="121"/>
        <v>174377.48000000013</v>
      </c>
      <c r="AB223" s="288">
        <f t="shared" si="132"/>
        <v>74591.160000000193</v>
      </c>
      <c r="AC223" s="410">
        <f t="shared" si="141"/>
        <v>163</v>
      </c>
      <c r="AD223" s="510">
        <f t="shared" si="142"/>
        <v>-77212.240000000005</v>
      </c>
      <c r="AE223" s="510">
        <f t="shared" si="113"/>
        <v>28650.160000000193</v>
      </c>
      <c r="AF223" s="510">
        <f t="shared" si="114"/>
        <v>-48562.079999999813</v>
      </c>
      <c r="AG223" s="510">
        <f t="shared" si="143"/>
        <v>2813.1099999999997</v>
      </c>
      <c r="AH223" s="510">
        <f t="shared" si="144"/>
        <v>117201.00000000006</v>
      </c>
      <c r="AI223" s="510"/>
      <c r="AJ223" s="14">
        <f t="shared" si="122"/>
        <v>2813.1099999999997</v>
      </c>
      <c r="AK223" s="14">
        <f t="shared" si="123"/>
        <v>386909.95999999868</v>
      </c>
      <c r="AL223" s="510">
        <f>IF(R223&lt;=0,0,+(Profit!$B$4+AM222)*$AL$1/12)</f>
        <v>1408.3980887086716</v>
      </c>
      <c r="AM223" s="14">
        <f t="shared" si="145"/>
        <v>189767.63357217729</v>
      </c>
    </row>
    <row r="224" spans="1:39" x14ac:dyDescent="0.25">
      <c r="A224" s="499">
        <f t="shared" si="133"/>
        <v>50679</v>
      </c>
      <c r="B224" s="288">
        <f t="shared" si="134"/>
        <v>45941</v>
      </c>
      <c r="C224" s="14">
        <f t="shared" si="124"/>
        <v>382.11</v>
      </c>
      <c r="D224" s="14">
        <f t="shared" si="146"/>
        <v>238.54000000000002</v>
      </c>
      <c r="E224" s="14">
        <f t="shared" si="125"/>
        <v>143.57</v>
      </c>
      <c r="F224" s="288">
        <f t="shared" si="135"/>
        <v>37064.480000000003</v>
      </c>
      <c r="G224" s="288">
        <f t="shared" si="136"/>
        <v>43436.459999999992</v>
      </c>
      <c r="H224" s="288">
        <f t="shared" si="126"/>
        <v>45702.46</v>
      </c>
      <c r="I224" s="410">
        <f t="shared" si="127"/>
        <v>13</v>
      </c>
      <c r="J224" s="288">
        <f t="shared" si="137"/>
        <v>272519.80999999982</v>
      </c>
      <c r="K224" s="288">
        <f t="shared" si="116"/>
        <v>2298.4699999999998</v>
      </c>
      <c r="L224" s="288">
        <f t="shared" si="147"/>
        <v>765.54999999999973</v>
      </c>
      <c r="M224" s="288">
        <f t="shared" si="117"/>
        <v>1532.92</v>
      </c>
      <c r="N224" s="288">
        <f t="shared" si="138"/>
        <v>82620.739999999976</v>
      </c>
      <c r="O224" s="288">
        <f t="shared" si="139"/>
        <v>296626.81000000006</v>
      </c>
      <c r="P224" s="288">
        <f t="shared" si="128"/>
        <v>271754.25999999983</v>
      </c>
      <c r="Q224" s="499">
        <f t="shared" si="129"/>
        <v>50679</v>
      </c>
      <c r="R224" s="288">
        <f t="shared" si="115"/>
        <v>74591.160000000193</v>
      </c>
      <c r="S224" s="492">
        <f t="shared" si="140"/>
        <v>6.7500000000000004E-2</v>
      </c>
      <c r="T224" s="288">
        <f t="shared" si="130"/>
        <v>3195.22</v>
      </c>
      <c r="U224" s="288">
        <f t="shared" si="118"/>
        <v>2775.64</v>
      </c>
      <c r="V224" s="288">
        <f t="shared" si="131"/>
        <v>419.58</v>
      </c>
      <c r="W224" s="288">
        <f t="shared" si="111"/>
        <v>0</v>
      </c>
      <c r="X224" s="288">
        <f t="shared" si="112"/>
        <v>0</v>
      </c>
      <c r="Y224" s="288">
        <f t="shared" si="119"/>
        <v>3195.22</v>
      </c>
      <c r="Z224" s="288">
        <f t="shared" si="120"/>
        <v>282559.48</v>
      </c>
      <c r="AA224" s="288">
        <f t="shared" si="121"/>
        <v>174797.06000000011</v>
      </c>
      <c r="AB224" s="288">
        <f t="shared" si="132"/>
        <v>71815.520000000193</v>
      </c>
      <c r="AC224" s="410">
        <f t="shared" si="141"/>
        <v>164</v>
      </c>
      <c r="AD224" s="510">
        <f t="shared" si="142"/>
        <v>-78108.990000000005</v>
      </c>
      <c r="AE224" s="510">
        <f t="shared" si="113"/>
        <v>26113.060000000194</v>
      </c>
      <c r="AF224" s="510">
        <f t="shared" si="114"/>
        <v>-51995.929999999811</v>
      </c>
      <c r="AG224" s="510">
        <f t="shared" si="143"/>
        <v>2813.1099999999997</v>
      </c>
      <c r="AH224" s="510">
        <f t="shared" si="144"/>
        <v>114663.90000000002</v>
      </c>
      <c r="AI224" s="510"/>
      <c r="AJ224" s="14">
        <f t="shared" si="122"/>
        <v>2813.1099999999997</v>
      </c>
      <c r="AK224" s="14">
        <f t="shared" si="123"/>
        <v>389723.06999999867</v>
      </c>
      <c r="AL224" s="510">
        <f>IF(R224&lt;=0,0,+(Profit!$B$4+AM223)*$AL$1/12)</f>
        <v>1411.9190839304431</v>
      </c>
      <c r="AM224" s="14">
        <f t="shared" si="145"/>
        <v>191179.55265610773</v>
      </c>
    </row>
    <row r="225" spans="1:39" x14ac:dyDescent="0.25">
      <c r="A225" s="499">
        <f t="shared" si="133"/>
        <v>50709</v>
      </c>
      <c r="B225" s="288">
        <f t="shared" si="134"/>
        <v>45702.46</v>
      </c>
      <c r="C225" s="14">
        <f t="shared" si="124"/>
        <v>382.11</v>
      </c>
      <c r="D225" s="14">
        <f t="shared" si="146"/>
        <v>239.29000000000002</v>
      </c>
      <c r="E225" s="14">
        <f t="shared" si="125"/>
        <v>142.82</v>
      </c>
      <c r="F225" s="288">
        <f t="shared" si="135"/>
        <v>37303.770000000004</v>
      </c>
      <c r="G225" s="288">
        <f t="shared" si="136"/>
        <v>43579.279999999992</v>
      </c>
      <c r="H225" s="288">
        <f t="shared" si="126"/>
        <v>45463.17</v>
      </c>
      <c r="I225" s="410">
        <f t="shared" si="127"/>
        <v>13</v>
      </c>
      <c r="J225" s="288">
        <f t="shared" si="137"/>
        <v>271754.25999999983</v>
      </c>
      <c r="K225" s="288">
        <f t="shared" si="116"/>
        <v>2298.4699999999998</v>
      </c>
      <c r="L225" s="288">
        <f t="shared" si="147"/>
        <v>769.84999999999991</v>
      </c>
      <c r="M225" s="288">
        <f t="shared" si="117"/>
        <v>1528.62</v>
      </c>
      <c r="N225" s="288">
        <f t="shared" si="138"/>
        <v>83390.589999999982</v>
      </c>
      <c r="O225" s="288">
        <f t="shared" si="139"/>
        <v>298155.43000000005</v>
      </c>
      <c r="P225" s="288">
        <f t="shared" si="128"/>
        <v>270984.40999999986</v>
      </c>
      <c r="Q225" s="499">
        <f t="shared" si="129"/>
        <v>50709</v>
      </c>
      <c r="R225" s="288">
        <f t="shared" si="115"/>
        <v>71815.520000000193</v>
      </c>
      <c r="S225" s="492">
        <f t="shared" si="140"/>
        <v>6.7500000000000004E-2</v>
      </c>
      <c r="T225" s="288">
        <f t="shared" si="130"/>
        <v>3195.22</v>
      </c>
      <c r="U225" s="288">
        <f t="shared" si="118"/>
        <v>2791.2599999999998</v>
      </c>
      <c r="V225" s="288">
        <f t="shared" si="131"/>
        <v>403.96</v>
      </c>
      <c r="W225" s="288">
        <f t="shared" si="111"/>
        <v>0</v>
      </c>
      <c r="X225" s="288">
        <f t="shared" si="112"/>
        <v>0</v>
      </c>
      <c r="Y225" s="288">
        <f t="shared" si="119"/>
        <v>3195.22</v>
      </c>
      <c r="Z225" s="288">
        <f t="shared" si="120"/>
        <v>285350.74</v>
      </c>
      <c r="AA225" s="288">
        <f t="shared" si="121"/>
        <v>175201.02000000011</v>
      </c>
      <c r="AB225" s="288">
        <f t="shared" si="132"/>
        <v>69024.260000000198</v>
      </c>
      <c r="AC225" s="410">
        <f t="shared" si="141"/>
        <v>165</v>
      </c>
      <c r="AD225" s="510">
        <f t="shared" si="142"/>
        <v>-79005.740000000005</v>
      </c>
      <c r="AE225" s="510">
        <f t="shared" si="113"/>
        <v>23561.0900000002</v>
      </c>
      <c r="AF225" s="510">
        <f t="shared" si="114"/>
        <v>-55444.649999999805</v>
      </c>
      <c r="AG225" s="510">
        <f t="shared" si="143"/>
        <v>2813.1099999999997</v>
      </c>
      <c r="AH225" s="510">
        <f t="shared" si="144"/>
        <v>112111.93000000005</v>
      </c>
      <c r="AI225" s="510"/>
      <c r="AJ225" s="14">
        <f t="shared" si="122"/>
        <v>2813.1099999999997</v>
      </c>
      <c r="AK225" s="14">
        <f t="shared" si="123"/>
        <v>392536.17999999865</v>
      </c>
      <c r="AL225" s="510">
        <f>IF(R225&lt;=0,0,+(Profit!$B$4+AM224)*$AL$1/12)</f>
        <v>1415.4488816402691</v>
      </c>
      <c r="AM225" s="14">
        <f t="shared" si="145"/>
        <v>192595.001537748</v>
      </c>
    </row>
    <row r="226" spans="1:39" x14ac:dyDescent="0.25">
      <c r="A226" s="499">
        <f t="shared" si="133"/>
        <v>50739</v>
      </c>
      <c r="B226" s="288">
        <f t="shared" si="134"/>
        <v>45463.17</v>
      </c>
      <c r="C226" s="14">
        <f t="shared" si="124"/>
        <v>382.11</v>
      </c>
      <c r="D226" s="14">
        <f t="shared" si="146"/>
        <v>240.04000000000002</v>
      </c>
      <c r="E226" s="14">
        <f t="shared" si="125"/>
        <v>142.07</v>
      </c>
      <c r="F226" s="288">
        <f t="shared" si="135"/>
        <v>37543.810000000005</v>
      </c>
      <c r="G226" s="288">
        <f t="shared" si="136"/>
        <v>43721.349999999991</v>
      </c>
      <c r="H226" s="288">
        <f t="shared" si="126"/>
        <v>45223.13</v>
      </c>
      <c r="I226" s="410">
        <f t="shared" si="127"/>
        <v>13</v>
      </c>
      <c r="J226" s="288">
        <f t="shared" si="137"/>
        <v>270984.40999999986</v>
      </c>
      <c r="K226" s="288">
        <f t="shared" si="116"/>
        <v>2298.4699999999998</v>
      </c>
      <c r="L226" s="288">
        <f t="shared" si="147"/>
        <v>774.17999999999984</v>
      </c>
      <c r="M226" s="288">
        <f t="shared" si="117"/>
        <v>1524.29</v>
      </c>
      <c r="N226" s="288">
        <f t="shared" si="138"/>
        <v>84164.769999999975</v>
      </c>
      <c r="O226" s="288">
        <f t="shared" si="139"/>
        <v>299679.72000000003</v>
      </c>
      <c r="P226" s="288">
        <f t="shared" si="128"/>
        <v>270210.22999999986</v>
      </c>
      <c r="Q226" s="499">
        <f t="shared" si="129"/>
        <v>50739</v>
      </c>
      <c r="R226" s="288">
        <f t="shared" si="115"/>
        <v>69024.260000000198</v>
      </c>
      <c r="S226" s="492">
        <f t="shared" si="140"/>
        <v>6.7500000000000004E-2</v>
      </c>
      <c r="T226" s="288">
        <f t="shared" si="130"/>
        <v>3195.22</v>
      </c>
      <c r="U226" s="288">
        <f t="shared" si="118"/>
        <v>2806.96</v>
      </c>
      <c r="V226" s="288">
        <f t="shared" si="131"/>
        <v>388.26</v>
      </c>
      <c r="W226" s="288">
        <f t="shared" si="111"/>
        <v>0</v>
      </c>
      <c r="X226" s="288">
        <f t="shared" si="112"/>
        <v>0</v>
      </c>
      <c r="Y226" s="288">
        <f t="shared" si="119"/>
        <v>3195.2200000000003</v>
      </c>
      <c r="Z226" s="288">
        <f t="shared" si="120"/>
        <v>288157.7</v>
      </c>
      <c r="AA226" s="288">
        <f t="shared" si="121"/>
        <v>175589.28000000012</v>
      </c>
      <c r="AB226" s="288">
        <f t="shared" si="132"/>
        <v>66217.300000000192</v>
      </c>
      <c r="AC226" s="410">
        <f t="shared" si="141"/>
        <v>166</v>
      </c>
      <c r="AD226" s="510">
        <f t="shared" si="142"/>
        <v>-79902.490000000005</v>
      </c>
      <c r="AE226" s="510">
        <f t="shared" si="113"/>
        <v>20994.170000000195</v>
      </c>
      <c r="AF226" s="510">
        <f t="shared" si="114"/>
        <v>-58908.319999999811</v>
      </c>
      <c r="AG226" s="510">
        <f t="shared" si="143"/>
        <v>2813.1099999999997</v>
      </c>
      <c r="AH226" s="510">
        <f t="shared" si="144"/>
        <v>109545.01000000001</v>
      </c>
      <c r="AI226" s="510"/>
      <c r="AJ226" s="14">
        <f t="shared" si="122"/>
        <v>2813.1099999999997</v>
      </c>
      <c r="AK226" s="14">
        <f t="shared" si="123"/>
        <v>395349.28999999864</v>
      </c>
      <c r="AL226" s="510">
        <f>IF(R226&lt;=0,0,+(Profit!$B$4+AM225)*$AL$1/12)</f>
        <v>1418.9875038443699</v>
      </c>
      <c r="AM226" s="14">
        <f t="shared" si="145"/>
        <v>194013.98904159237</v>
      </c>
    </row>
    <row r="227" spans="1:39" x14ac:dyDescent="0.25">
      <c r="A227" s="499">
        <f t="shared" si="133"/>
        <v>50769</v>
      </c>
      <c r="B227" s="288">
        <f t="shared" si="134"/>
        <v>45223.13</v>
      </c>
      <c r="C227" s="14">
        <f t="shared" si="124"/>
        <v>382.11</v>
      </c>
      <c r="D227" s="14">
        <f t="shared" si="146"/>
        <v>240.79000000000002</v>
      </c>
      <c r="E227" s="14">
        <f t="shared" si="125"/>
        <v>141.32</v>
      </c>
      <c r="F227" s="288">
        <f t="shared" si="135"/>
        <v>37784.600000000006</v>
      </c>
      <c r="G227" s="288">
        <f t="shared" si="136"/>
        <v>43862.669999999991</v>
      </c>
      <c r="H227" s="288">
        <f t="shared" si="126"/>
        <v>44982.34</v>
      </c>
      <c r="I227" s="410">
        <f t="shared" si="127"/>
        <v>13</v>
      </c>
      <c r="J227" s="288">
        <f t="shared" si="137"/>
        <v>270210.22999999986</v>
      </c>
      <c r="K227" s="288">
        <f t="shared" si="116"/>
        <v>2298.4699999999998</v>
      </c>
      <c r="L227" s="288">
        <f t="shared" si="147"/>
        <v>778.53999999999974</v>
      </c>
      <c r="M227" s="288">
        <f t="shared" si="117"/>
        <v>1519.93</v>
      </c>
      <c r="N227" s="288">
        <f t="shared" si="138"/>
        <v>84943.309999999969</v>
      </c>
      <c r="O227" s="288">
        <f t="shared" si="139"/>
        <v>301199.65000000002</v>
      </c>
      <c r="P227" s="288">
        <f t="shared" si="128"/>
        <v>269431.68999999989</v>
      </c>
      <c r="Q227" s="499">
        <f t="shared" si="129"/>
        <v>50769</v>
      </c>
      <c r="R227" s="288">
        <f t="shared" si="115"/>
        <v>66217.300000000192</v>
      </c>
      <c r="S227" s="492">
        <f t="shared" si="140"/>
        <v>6.7500000000000004E-2</v>
      </c>
      <c r="T227" s="288">
        <f t="shared" si="130"/>
        <v>3195.22</v>
      </c>
      <c r="U227" s="288">
        <f t="shared" si="118"/>
        <v>2822.75</v>
      </c>
      <c r="V227" s="288">
        <f t="shared" si="131"/>
        <v>372.47</v>
      </c>
      <c r="W227" s="288">
        <f t="shared" si="111"/>
        <v>0</v>
      </c>
      <c r="X227" s="288">
        <f t="shared" si="112"/>
        <v>0</v>
      </c>
      <c r="Y227" s="288">
        <f t="shared" si="119"/>
        <v>3195.2200000000003</v>
      </c>
      <c r="Z227" s="288">
        <f t="shared" si="120"/>
        <v>290980.45</v>
      </c>
      <c r="AA227" s="288">
        <f t="shared" si="121"/>
        <v>175961.75000000012</v>
      </c>
      <c r="AB227" s="288">
        <f t="shared" si="132"/>
        <v>63394.550000000192</v>
      </c>
      <c r="AC227" s="410">
        <f t="shared" si="141"/>
        <v>167</v>
      </c>
      <c r="AD227" s="510">
        <f t="shared" si="142"/>
        <v>-80799.240000000005</v>
      </c>
      <c r="AE227" s="510">
        <f t="shared" si="113"/>
        <v>18412.210000000196</v>
      </c>
      <c r="AF227" s="510">
        <f t="shared" si="114"/>
        <v>-62387.02999999981</v>
      </c>
      <c r="AG227" s="510">
        <f t="shared" si="143"/>
        <v>2813.1099999999997</v>
      </c>
      <c r="AH227" s="510">
        <f t="shared" si="144"/>
        <v>106963.04999999999</v>
      </c>
      <c r="AI227" s="510"/>
      <c r="AJ227" s="14">
        <f t="shared" si="122"/>
        <v>2813.1099999999997</v>
      </c>
      <c r="AK227" s="14">
        <f t="shared" si="123"/>
        <v>398162.39999999863</v>
      </c>
      <c r="AL227" s="510">
        <f>IF(R227&lt;=0,0,+(Profit!$B$4+AM226)*$AL$1/12)</f>
        <v>1422.534972603981</v>
      </c>
      <c r="AM227" s="14">
        <f t="shared" si="145"/>
        <v>195436.52401419636</v>
      </c>
    </row>
    <row r="228" spans="1:39" x14ac:dyDescent="0.25">
      <c r="A228" s="499">
        <f t="shared" si="133"/>
        <v>50799</v>
      </c>
      <c r="B228" s="288">
        <f t="shared" si="134"/>
        <v>44982.34</v>
      </c>
      <c r="C228" s="14">
        <f t="shared" si="124"/>
        <v>382.11</v>
      </c>
      <c r="D228" s="14">
        <f t="shared" si="146"/>
        <v>241.54000000000002</v>
      </c>
      <c r="E228" s="14">
        <f t="shared" si="125"/>
        <v>140.57</v>
      </c>
      <c r="F228" s="288">
        <f t="shared" si="135"/>
        <v>38026.140000000007</v>
      </c>
      <c r="G228" s="288">
        <f t="shared" si="136"/>
        <v>44003.239999999991</v>
      </c>
      <c r="H228" s="288">
        <f t="shared" si="126"/>
        <v>44740.799999999996</v>
      </c>
      <c r="I228" s="410">
        <f t="shared" si="127"/>
        <v>14</v>
      </c>
      <c r="J228" s="288">
        <f t="shared" si="137"/>
        <v>269431.68999999989</v>
      </c>
      <c r="K228" s="288">
        <f t="shared" si="116"/>
        <v>2298.4699999999998</v>
      </c>
      <c r="L228" s="288">
        <f t="shared" si="147"/>
        <v>782.91999999999985</v>
      </c>
      <c r="M228" s="288">
        <f t="shared" si="117"/>
        <v>1515.55</v>
      </c>
      <c r="N228" s="288">
        <f t="shared" si="138"/>
        <v>85726.229999999967</v>
      </c>
      <c r="O228" s="288">
        <f t="shared" si="139"/>
        <v>302715.2</v>
      </c>
      <c r="P228" s="288">
        <f t="shared" si="128"/>
        <v>268648.7699999999</v>
      </c>
      <c r="Q228" s="499">
        <f t="shared" si="129"/>
        <v>50799</v>
      </c>
      <c r="R228" s="288">
        <f t="shared" si="115"/>
        <v>63394.550000000192</v>
      </c>
      <c r="S228" s="492">
        <f t="shared" si="140"/>
        <v>6.7500000000000004E-2</v>
      </c>
      <c r="T228" s="288">
        <f t="shared" si="130"/>
        <v>3195.22</v>
      </c>
      <c r="U228" s="288">
        <f t="shared" si="118"/>
        <v>2838.6299999999997</v>
      </c>
      <c r="V228" s="288">
        <f t="shared" si="131"/>
        <v>356.59</v>
      </c>
      <c r="W228" s="288">
        <f t="shared" si="111"/>
        <v>0</v>
      </c>
      <c r="X228" s="288">
        <f t="shared" si="112"/>
        <v>0</v>
      </c>
      <c r="Y228" s="288">
        <f t="shared" si="119"/>
        <v>3195.22</v>
      </c>
      <c r="Z228" s="288">
        <f t="shared" si="120"/>
        <v>293819.08</v>
      </c>
      <c r="AA228" s="288">
        <f t="shared" si="121"/>
        <v>176318.34000000011</v>
      </c>
      <c r="AB228" s="288">
        <f t="shared" si="132"/>
        <v>60555.920000000195</v>
      </c>
      <c r="AC228" s="410">
        <f t="shared" si="141"/>
        <v>168</v>
      </c>
      <c r="AD228" s="510">
        <f t="shared" si="142"/>
        <v>-81695.990000000005</v>
      </c>
      <c r="AE228" s="510">
        <f t="shared" si="113"/>
        <v>15815.120000000199</v>
      </c>
      <c r="AF228" s="510">
        <f t="shared" si="114"/>
        <v>-65880.869999999806</v>
      </c>
      <c r="AG228" s="510">
        <f t="shared" si="143"/>
        <v>2813.1099999999997</v>
      </c>
      <c r="AH228" s="510">
        <f t="shared" si="144"/>
        <v>104365.96000000002</v>
      </c>
      <c r="AI228" s="510"/>
      <c r="AJ228" s="14">
        <f t="shared" si="122"/>
        <v>2813.1099999999997</v>
      </c>
      <c r="AK228" s="14">
        <f t="shared" si="123"/>
        <v>400975.50999999861</v>
      </c>
      <c r="AL228" s="510">
        <f>IF(R228&lt;=0,0,+(Profit!$B$4+AM227)*$AL$1/12)</f>
        <v>1426.0913100354908</v>
      </c>
      <c r="AM228" s="14">
        <f t="shared" si="145"/>
        <v>196862.61532423185</v>
      </c>
    </row>
    <row r="229" spans="1:39" x14ac:dyDescent="0.25">
      <c r="A229" s="499">
        <f t="shared" si="133"/>
        <v>50829</v>
      </c>
      <c r="B229" s="288">
        <f t="shared" si="134"/>
        <v>44740.799999999996</v>
      </c>
      <c r="C229" s="14">
        <f t="shared" si="124"/>
        <v>382.11</v>
      </c>
      <c r="D229" s="14">
        <f t="shared" si="146"/>
        <v>242.29000000000002</v>
      </c>
      <c r="E229" s="14">
        <f t="shared" si="125"/>
        <v>139.82</v>
      </c>
      <c r="F229" s="288">
        <f t="shared" si="135"/>
        <v>38268.430000000008</v>
      </c>
      <c r="G229" s="288">
        <f t="shared" si="136"/>
        <v>44143.05999999999</v>
      </c>
      <c r="H229" s="288">
        <f t="shared" si="126"/>
        <v>44498.509999999995</v>
      </c>
      <c r="I229" s="410">
        <f t="shared" si="127"/>
        <v>14</v>
      </c>
      <c r="J229" s="288">
        <f t="shared" si="137"/>
        <v>268648.7699999999</v>
      </c>
      <c r="K229" s="288">
        <f t="shared" si="116"/>
        <v>2298.4699999999998</v>
      </c>
      <c r="L229" s="288">
        <f t="shared" si="147"/>
        <v>787.31999999999971</v>
      </c>
      <c r="M229" s="288">
        <f t="shared" si="117"/>
        <v>1511.15</v>
      </c>
      <c r="N229" s="288">
        <f t="shared" si="138"/>
        <v>86513.549999999959</v>
      </c>
      <c r="O229" s="288">
        <f t="shared" si="139"/>
        <v>304226.35000000003</v>
      </c>
      <c r="P229" s="288">
        <f t="shared" si="128"/>
        <v>267861.4499999999</v>
      </c>
      <c r="Q229" s="499">
        <f t="shared" si="129"/>
        <v>50829</v>
      </c>
      <c r="R229" s="288">
        <f t="shared" si="115"/>
        <v>60555.920000000195</v>
      </c>
      <c r="S229" s="492">
        <f t="shared" si="140"/>
        <v>6.7500000000000004E-2</v>
      </c>
      <c r="T229" s="288">
        <f t="shared" si="130"/>
        <v>3195.22</v>
      </c>
      <c r="U229" s="288">
        <f t="shared" si="118"/>
        <v>2854.5899999999997</v>
      </c>
      <c r="V229" s="288">
        <f t="shared" si="131"/>
        <v>340.63</v>
      </c>
      <c r="W229" s="288">
        <f t="shared" si="111"/>
        <v>0</v>
      </c>
      <c r="X229" s="288">
        <f t="shared" si="112"/>
        <v>0</v>
      </c>
      <c r="Y229" s="288">
        <f t="shared" si="119"/>
        <v>3195.22</v>
      </c>
      <c r="Z229" s="288">
        <f t="shared" si="120"/>
        <v>296673.67000000004</v>
      </c>
      <c r="AA229" s="288">
        <f t="shared" si="121"/>
        <v>176658.97000000012</v>
      </c>
      <c r="AB229" s="288">
        <f t="shared" si="132"/>
        <v>57701.330000000198</v>
      </c>
      <c r="AC229" s="410">
        <f t="shared" si="141"/>
        <v>169</v>
      </c>
      <c r="AD229" s="510">
        <f t="shared" si="142"/>
        <v>-82592.740000000005</v>
      </c>
      <c r="AE229" s="510">
        <f t="shared" si="113"/>
        <v>13202.820000000203</v>
      </c>
      <c r="AF229" s="510">
        <f t="shared" si="114"/>
        <v>-69389.919999999809</v>
      </c>
      <c r="AG229" s="510">
        <f t="shared" si="143"/>
        <v>2813.1099999999997</v>
      </c>
      <c r="AH229" s="510">
        <f t="shared" si="144"/>
        <v>101753.65999999997</v>
      </c>
      <c r="AI229" s="510"/>
      <c r="AJ229" s="14">
        <f t="shared" si="122"/>
        <v>2813.1099999999997</v>
      </c>
      <c r="AK229" s="14">
        <f t="shared" si="123"/>
        <v>403788.6199999986</v>
      </c>
      <c r="AL229" s="510">
        <f>IF(R229&lt;=0,0,+(Profit!$B$4+AM228)*$AL$1/12)</f>
        <v>1429.6565383105797</v>
      </c>
      <c r="AM229" s="14">
        <f t="shared" si="145"/>
        <v>198292.27186254243</v>
      </c>
    </row>
    <row r="230" spans="1:39" ht="15.75" thickBot="1" x14ac:dyDescent="0.3">
      <c r="A230" s="502">
        <f t="shared" si="133"/>
        <v>50859</v>
      </c>
      <c r="B230" s="343">
        <f t="shared" si="134"/>
        <v>44498.509999999995</v>
      </c>
      <c r="C230" s="21">
        <f t="shared" si="124"/>
        <v>382.11</v>
      </c>
      <c r="D230" s="21">
        <f t="shared" si="146"/>
        <v>243.05</v>
      </c>
      <c r="E230" s="21">
        <f t="shared" si="125"/>
        <v>139.06</v>
      </c>
      <c r="F230" s="343">
        <f t="shared" si="135"/>
        <v>38511.48000000001</v>
      </c>
      <c r="G230" s="343">
        <f t="shared" si="136"/>
        <v>44282.119999999988</v>
      </c>
      <c r="H230" s="343">
        <f t="shared" si="126"/>
        <v>44255.459999999992</v>
      </c>
      <c r="I230" s="411">
        <f t="shared" si="127"/>
        <v>14</v>
      </c>
      <c r="J230" s="343">
        <f t="shared" si="137"/>
        <v>267861.4499999999</v>
      </c>
      <c r="K230" s="343">
        <f t="shared" si="116"/>
        <v>2298.4699999999998</v>
      </c>
      <c r="L230" s="343">
        <f t="shared" si="147"/>
        <v>791.74999999999977</v>
      </c>
      <c r="M230" s="343">
        <f t="shared" si="117"/>
        <v>1506.72</v>
      </c>
      <c r="N230" s="343">
        <f t="shared" si="138"/>
        <v>87305.299999999959</v>
      </c>
      <c r="O230" s="343">
        <f t="shared" si="139"/>
        <v>305733.07</v>
      </c>
      <c r="P230" s="343">
        <f t="shared" si="128"/>
        <v>267069.6999999999</v>
      </c>
      <c r="Q230" s="502">
        <f t="shared" si="129"/>
        <v>50859</v>
      </c>
      <c r="R230" s="343">
        <f t="shared" si="115"/>
        <v>57701.330000000198</v>
      </c>
      <c r="S230" s="493">
        <f t="shared" si="140"/>
        <v>6.7500000000000004E-2</v>
      </c>
      <c r="T230" s="343">
        <f t="shared" si="130"/>
        <v>3195.22</v>
      </c>
      <c r="U230" s="343">
        <f t="shared" si="118"/>
        <v>2870.6499999999996</v>
      </c>
      <c r="V230" s="343">
        <f t="shared" si="131"/>
        <v>324.57</v>
      </c>
      <c r="W230" s="343">
        <f t="shared" si="111"/>
        <v>0</v>
      </c>
      <c r="X230" s="343">
        <f t="shared" si="112"/>
        <v>0</v>
      </c>
      <c r="Y230" s="343">
        <f t="shared" si="119"/>
        <v>3195.22</v>
      </c>
      <c r="Z230" s="343">
        <f t="shared" si="120"/>
        <v>299544.32000000007</v>
      </c>
      <c r="AA230" s="343">
        <f t="shared" si="121"/>
        <v>176983.54000000012</v>
      </c>
      <c r="AB230" s="343">
        <f t="shared" si="132"/>
        <v>54830.680000000197</v>
      </c>
      <c r="AC230" s="411">
        <f t="shared" si="141"/>
        <v>170</v>
      </c>
      <c r="AD230" s="511">
        <f t="shared" si="142"/>
        <v>-83489.490000000005</v>
      </c>
      <c r="AE230" s="511">
        <f t="shared" si="113"/>
        <v>10575.220000000205</v>
      </c>
      <c r="AF230" s="511">
        <f t="shared" si="114"/>
        <v>-72914.2699999998</v>
      </c>
      <c r="AG230" s="511">
        <f t="shared" si="143"/>
        <v>2813.1099999999997</v>
      </c>
      <c r="AH230" s="511">
        <f t="shared" si="144"/>
        <v>99126.059999999939</v>
      </c>
      <c r="AI230" s="511"/>
      <c r="AJ230" s="21">
        <f t="shared" si="122"/>
        <v>2813.1099999999997</v>
      </c>
      <c r="AK230" s="21">
        <f t="shared" si="123"/>
        <v>406601.72999999858</v>
      </c>
      <c r="AL230" s="511">
        <f>IF(R230&lt;=0,0,+(Profit!$B$4+AM229)*$AL$1/12)</f>
        <v>1433.2306796563562</v>
      </c>
      <c r="AM230" s="21">
        <f t="shared" si="145"/>
        <v>199725.50254219878</v>
      </c>
    </row>
    <row r="231" spans="1:39" x14ac:dyDescent="0.25">
      <c r="A231" s="499">
        <f t="shared" si="133"/>
        <v>50889</v>
      </c>
      <c r="B231" s="288">
        <f t="shared" si="134"/>
        <v>44255.459999999992</v>
      </c>
      <c r="C231" s="14">
        <f t="shared" si="124"/>
        <v>382.11</v>
      </c>
      <c r="D231" s="14">
        <f t="shared" si="146"/>
        <v>243.81</v>
      </c>
      <c r="E231" s="14">
        <f t="shared" si="125"/>
        <v>138.30000000000001</v>
      </c>
      <c r="F231" s="288">
        <f t="shared" si="135"/>
        <v>38755.290000000008</v>
      </c>
      <c r="G231" s="288">
        <f t="shared" si="136"/>
        <v>44420.419999999991</v>
      </c>
      <c r="H231" s="288">
        <f t="shared" si="126"/>
        <v>44011.649999999994</v>
      </c>
      <c r="I231" s="410">
        <f t="shared" si="127"/>
        <v>14</v>
      </c>
      <c r="J231" s="288">
        <f t="shared" si="137"/>
        <v>267069.6999999999</v>
      </c>
      <c r="K231" s="288">
        <f t="shared" si="116"/>
        <v>2298.4699999999998</v>
      </c>
      <c r="L231" s="288">
        <f t="shared" si="147"/>
        <v>796.19999999999982</v>
      </c>
      <c r="M231" s="288">
        <f t="shared" si="117"/>
        <v>1502.27</v>
      </c>
      <c r="N231" s="288">
        <f t="shared" si="138"/>
        <v>88101.499999999956</v>
      </c>
      <c r="O231" s="288">
        <f t="shared" si="139"/>
        <v>307235.34000000003</v>
      </c>
      <c r="P231" s="288">
        <f t="shared" si="128"/>
        <v>266273.49999999988</v>
      </c>
      <c r="Q231" s="499">
        <f t="shared" si="129"/>
        <v>50889</v>
      </c>
      <c r="R231" s="288">
        <f t="shared" si="115"/>
        <v>54830.680000000197</v>
      </c>
      <c r="S231" s="492">
        <f t="shared" si="140"/>
        <v>6.7500000000000004E-2</v>
      </c>
      <c r="T231" s="288">
        <f t="shared" si="130"/>
        <v>3195.22</v>
      </c>
      <c r="U231" s="288">
        <f t="shared" si="118"/>
        <v>2886.7999999999997</v>
      </c>
      <c r="V231" s="288">
        <f t="shared" si="131"/>
        <v>308.42</v>
      </c>
      <c r="W231" s="288">
        <f t="shared" si="111"/>
        <v>0</v>
      </c>
      <c r="X231" s="288">
        <f t="shared" si="112"/>
        <v>0</v>
      </c>
      <c r="Y231" s="288">
        <f t="shared" si="119"/>
        <v>3195.22</v>
      </c>
      <c r="Z231" s="288">
        <f t="shared" si="120"/>
        <v>302431.12000000005</v>
      </c>
      <c r="AA231" s="288">
        <f t="shared" si="121"/>
        <v>177291.96000000014</v>
      </c>
      <c r="AB231" s="288">
        <f t="shared" si="132"/>
        <v>51943.880000000194</v>
      </c>
      <c r="AC231" s="410">
        <f t="shared" si="141"/>
        <v>171</v>
      </c>
      <c r="AD231" s="510">
        <f t="shared" si="142"/>
        <v>-84386.240000000005</v>
      </c>
      <c r="AE231" s="510">
        <f t="shared" si="113"/>
        <v>7932.2300000001997</v>
      </c>
      <c r="AF231" s="510">
        <f t="shared" si="114"/>
        <v>-76454.009999999806</v>
      </c>
      <c r="AG231" s="510">
        <f t="shared" si="143"/>
        <v>2813.1099999999997</v>
      </c>
      <c r="AH231" s="510">
        <f t="shared" si="144"/>
        <v>96483.07</v>
      </c>
      <c r="AI231" s="510"/>
      <c r="AJ231" s="14">
        <f t="shared" si="122"/>
        <v>2813.1099999999997</v>
      </c>
      <c r="AK231" s="14">
        <f t="shared" si="123"/>
        <v>409414.83999999857</v>
      </c>
      <c r="AL231" s="510">
        <f>IF(R231&lt;=0,0,+(Profit!$B$4+AM230)*$AL$1/12)</f>
        <v>1436.8137563554967</v>
      </c>
      <c r="AM231" s="14">
        <f t="shared" si="145"/>
        <v>201162.31629855427</v>
      </c>
    </row>
    <row r="232" spans="1:39" x14ac:dyDescent="0.25">
      <c r="A232" s="499">
        <f t="shared" si="133"/>
        <v>50919</v>
      </c>
      <c r="B232" s="288">
        <f t="shared" si="134"/>
        <v>44011.649999999994</v>
      </c>
      <c r="C232" s="14">
        <f t="shared" si="124"/>
        <v>382.11</v>
      </c>
      <c r="D232" s="14">
        <f t="shared" si="146"/>
        <v>244.57000000000002</v>
      </c>
      <c r="E232" s="14">
        <f t="shared" si="125"/>
        <v>137.54</v>
      </c>
      <c r="F232" s="288">
        <f t="shared" si="135"/>
        <v>38999.860000000008</v>
      </c>
      <c r="G232" s="288">
        <f t="shared" si="136"/>
        <v>44557.959999999992</v>
      </c>
      <c r="H232" s="288">
        <f t="shared" si="126"/>
        <v>43767.079999999994</v>
      </c>
      <c r="I232" s="410">
        <f t="shared" si="127"/>
        <v>14</v>
      </c>
      <c r="J232" s="288">
        <f t="shared" si="137"/>
        <v>266273.49999999988</v>
      </c>
      <c r="K232" s="288">
        <f t="shared" si="116"/>
        <v>2298.4699999999998</v>
      </c>
      <c r="L232" s="288">
        <f t="shared" si="147"/>
        <v>800.67999999999984</v>
      </c>
      <c r="M232" s="288">
        <f t="shared" si="117"/>
        <v>1497.79</v>
      </c>
      <c r="N232" s="288">
        <f t="shared" si="138"/>
        <v>88902.179999999949</v>
      </c>
      <c r="O232" s="288">
        <f t="shared" si="139"/>
        <v>308733.13</v>
      </c>
      <c r="P232" s="288">
        <f t="shared" si="128"/>
        <v>265472.81999999989</v>
      </c>
      <c r="Q232" s="499">
        <f t="shared" si="129"/>
        <v>50919</v>
      </c>
      <c r="R232" s="288">
        <f t="shared" si="115"/>
        <v>51943.880000000194</v>
      </c>
      <c r="S232" s="492">
        <f t="shared" si="140"/>
        <v>6.7500000000000004E-2</v>
      </c>
      <c r="T232" s="288">
        <f t="shared" si="130"/>
        <v>3195.22</v>
      </c>
      <c r="U232" s="288">
        <f t="shared" si="118"/>
        <v>2903.04</v>
      </c>
      <c r="V232" s="288">
        <f t="shared" si="131"/>
        <v>292.18</v>
      </c>
      <c r="W232" s="288">
        <f t="shared" si="111"/>
        <v>0</v>
      </c>
      <c r="X232" s="288">
        <f t="shared" si="112"/>
        <v>0</v>
      </c>
      <c r="Y232" s="288">
        <f t="shared" si="119"/>
        <v>3195.22</v>
      </c>
      <c r="Z232" s="288">
        <f t="shared" si="120"/>
        <v>305334.16000000003</v>
      </c>
      <c r="AA232" s="288">
        <f t="shared" si="121"/>
        <v>177584.14000000013</v>
      </c>
      <c r="AB232" s="288">
        <f t="shared" si="132"/>
        <v>49040.840000000193</v>
      </c>
      <c r="AC232" s="410">
        <f t="shared" si="141"/>
        <v>172</v>
      </c>
      <c r="AD232" s="510">
        <f t="shared" si="142"/>
        <v>-85282.99</v>
      </c>
      <c r="AE232" s="510">
        <f t="shared" si="113"/>
        <v>5273.7600000001985</v>
      </c>
      <c r="AF232" s="510">
        <f t="shared" si="114"/>
        <v>-80009.229999999807</v>
      </c>
      <c r="AG232" s="510">
        <f t="shared" si="143"/>
        <v>2813.1099999999997</v>
      </c>
      <c r="AH232" s="510">
        <f t="shared" si="144"/>
        <v>93824.599999999977</v>
      </c>
      <c r="AI232" s="510"/>
      <c r="AJ232" s="14">
        <f t="shared" si="122"/>
        <v>2813.1099999999997</v>
      </c>
      <c r="AK232" s="14">
        <f t="shared" si="123"/>
        <v>412227.94999999856</v>
      </c>
      <c r="AL232" s="510">
        <f>IF(R232&lt;=0,0,+(Profit!$B$4+AM231)*$AL$1/12)</f>
        <v>1440.4057907463857</v>
      </c>
      <c r="AM232" s="14">
        <f t="shared" si="145"/>
        <v>202602.72208930066</v>
      </c>
    </row>
    <row r="233" spans="1:39" x14ac:dyDescent="0.25">
      <c r="A233" s="499">
        <f t="shared" si="133"/>
        <v>50949</v>
      </c>
      <c r="B233" s="288">
        <f t="shared" si="134"/>
        <v>43767.079999999994</v>
      </c>
      <c r="C233" s="14">
        <f t="shared" si="124"/>
        <v>382.11</v>
      </c>
      <c r="D233" s="14">
        <f t="shared" si="146"/>
        <v>245.34</v>
      </c>
      <c r="E233" s="14">
        <f t="shared" si="125"/>
        <v>136.77000000000001</v>
      </c>
      <c r="F233" s="288">
        <f t="shared" si="135"/>
        <v>39245.200000000004</v>
      </c>
      <c r="G233" s="288">
        <f t="shared" si="136"/>
        <v>44694.729999999989</v>
      </c>
      <c r="H233" s="288">
        <f t="shared" si="126"/>
        <v>43521.74</v>
      </c>
      <c r="I233" s="410">
        <f t="shared" si="127"/>
        <v>14</v>
      </c>
      <c r="J233" s="288">
        <f t="shared" si="137"/>
        <v>265472.81999999989</v>
      </c>
      <c r="K233" s="288">
        <f t="shared" si="116"/>
        <v>2298.4699999999998</v>
      </c>
      <c r="L233" s="288">
        <f t="shared" si="147"/>
        <v>805.18999999999983</v>
      </c>
      <c r="M233" s="288">
        <f t="shared" si="117"/>
        <v>1493.28</v>
      </c>
      <c r="N233" s="288">
        <f t="shared" si="138"/>
        <v>89707.369999999952</v>
      </c>
      <c r="O233" s="288">
        <f t="shared" si="139"/>
        <v>310226.41000000003</v>
      </c>
      <c r="P233" s="288">
        <f t="shared" si="128"/>
        <v>264667.62999999989</v>
      </c>
      <c r="Q233" s="499">
        <f t="shared" si="129"/>
        <v>50949</v>
      </c>
      <c r="R233" s="288">
        <f t="shared" si="115"/>
        <v>49040.840000000193</v>
      </c>
      <c r="S233" s="492">
        <f t="shared" si="140"/>
        <v>6.7500000000000004E-2</v>
      </c>
      <c r="T233" s="288">
        <f t="shared" si="130"/>
        <v>3195.22</v>
      </c>
      <c r="U233" s="288">
        <f t="shared" si="118"/>
        <v>2919.37</v>
      </c>
      <c r="V233" s="288">
        <f t="shared" si="131"/>
        <v>275.85000000000002</v>
      </c>
      <c r="W233" s="288">
        <f t="shared" si="111"/>
        <v>0</v>
      </c>
      <c r="X233" s="288">
        <f t="shared" si="112"/>
        <v>0</v>
      </c>
      <c r="Y233" s="288">
        <f t="shared" si="119"/>
        <v>3195.22</v>
      </c>
      <c r="Z233" s="288">
        <f t="shared" si="120"/>
        <v>308253.53000000003</v>
      </c>
      <c r="AA233" s="288">
        <f t="shared" si="121"/>
        <v>177859.99000000014</v>
      </c>
      <c r="AB233" s="288">
        <f t="shared" si="132"/>
        <v>46121.47000000019</v>
      </c>
      <c r="AC233" s="410">
        <f t="shared" si="141"/>
        <v>173</v>
      </c>
      <c r="AD233" s="510">
        <f t="shared" si="142"/>
        <v>-86179.74</v>
      </c>
      <c r="AE233" s="510">
        <f t="shared" si="113"/>
        <v>2599.7300000001924</v>
      </c>
      <c r="AF233" s="510">
        <f t="shared" si="114"/>
        <v>-83580.009999999806</v>
      </c>
      <c r="AG233" s="510">
        <f t="shared" si="143"/>
        <v>2813.1099999999997</v>
      </c>
      <c r="AH233" s="510">
        <f t="shared" si="144"/>
        <v>91150.57</v>
      </c>
      <c r="AI233" s="510"/>
      <c r="AJ233" s="14">
        <f t="shared" si="122"/>
        <v>2813.1099999999997</v>
      </c>
      <c r="AK233" s="14">
        <f t="shared" si="123"/>
        <v>415041.05999999854</v>
      </c>
      <c r="AL233" s="510">
        <f>IF(R233&lt;=0,0,+(Profit!$B$4+AM232)*$AL$1/12)</f>
        <v>1444.0068052232516</v>
      </c>
      <c r="AM233" s="14">
        <f t="shared" si="145"/>
        <v>204046.7288945239</v>
      </c>
    </row>
    <row r="234" spans="1:39" x14ac:dyDescent="0.25">
      <c r="A234" s="499">
        <f t="shared" si="133"/>
        <v>50979</v>
      </c>
      <c r="B234" s="288">
        <f t="shared" si="134"/>
        <v>43521.74</v>
      </c>
      <c r="C234" s="14">
        <f t="shared" si="124"/>
        <v>382.11</v>
      </c>
      <c r="D234" s="14">
        <f t="shared" si="146"/>
        <v>246.10000000000002</v>
      </c>
      <c r="E234" s="14">
        <f t="shared" si="125"/>
        <v>136.01</v>
      </c>
      <c r="F234" s="288">
        <f t="shared" si="135"/>
        <v>39491.300000000003</v>
      </c>
      <c r="G234" s="288">
        <f t="shared" si="136"/>
        <v>44830.739999999991</v>
      </c>
      <c r="H234" s="288">
        <f t="shared" si="126"/>
        <v>43275.64</v>
      </c>
      <c r="I234" s="410">
        <f t="shared" si="127"/>
        <v>14</v>
      </c>
      <c r="J234" s="288">
        <f t="shared" si="137"/>
        <v>264667.62999999989</v>
      </c>
      <c r="K234" s="288">
        <f t="shared" si="116"/>
        <v>2298.4699999999998</v>
      </c>
      <c r="L234" s="288">
        <f t="shared" si="147"/>
        <v>809.70999999999981</v>
      </c>
      <c r="M234" s="288">
        <f t="shared" si="117"/>
        <v>1488.76</v>
      </c>
      <c r="N234" s="288">
        <f t="shared" si="138"/>
        <v>90517.079999999958</v>
      </c>
      <c r="O234" s="288">
        <f t="shared" si="139"/>
        <v>311715.17000000004</v>
      </c>
      <c r="P234" s="288">
        <f t="shared" si="128"/>
        <v>263857.91999999987</v>
      </c>
      <c r="Q234" s="499">
        <f t="shared" si="129"/>
        <v>50979</v>
      </c>
      <c r="R234" s="288">
        <f t="shared" si="115"/>
        <v>46121.47000000019</v>
      </c>
      <c r="S234" s="492">
        <f t="shared" si="140"/>
        <v>6.7500000000000004E-2</v>
      </c>
      <c r="T234" s="288">
        <f t="shared" si="130"/>
        <v>3195.22</v>
      </c>
      <c r="U234" s="288">
        <f t="shared" si="118"/>
        <v>2935.79</v>
      </c>
      <c r="V234" s="288">
        <f t="shared" si="131"/>
        <v>259.43</v>
      </c>
      <c r="W234" s="288">
        <f t="shared" si="111"/>
        <v>0</v>
      </c>
      <c r="X234" s="288">
        <f t="shared" si="112"/>
        <v>0</v>
      </c>
      <c r="Y234" s="288">
        <f t="shared" si="119"/>
        <v>3195.22</v>
      </c>
      <c r="Z234" s="288">
        <f t="shared" si="120"/>
        <v>311189.32</v>
      </c>
      <c r="AA234" s="288">
        <f t="shared" si="121"/>
        <v>178119.42000000013</v>
      </c>
      <c r="AB234" s="288">
        <f t="shared" si="132"/>
        <v>43185.680000000189</v>
      </c>
      <c r="AC234" s="410">
        <f t="shared" si="141"/>
        <v>174</v>
      </c>
      <c r="AD234" s="510">
        <f t="shared" si="142"/>
        <v>-87076.49</v>
      </c>
      <c r="AE234" s="510">
        <f t="shared" si="113"/>
        <v>-89.959999999809952</v>
      </c>
      <c r="AF234" s="510">
        <f t="shared" si="114"/>
        <v>-87166.449999999808</v>
      </c>
      <c r="AG234" s="510">
        <f t="shared" si="143"/>
        <v>2813.1099999999997</v>
      </c>
      <c r="AH234" s="510">
        <f t="shared" si="144"/>
        <v>88460.88</v>
      </c>
      <c r="AI234" s="510"/>
      <c r="AJ234" s="14">
        <f t="shared" si="122"/>
        <v>2813.1099999999997</v>
      </c>
      <c r="AK234" s="14">
        <f t="shared" si="123"/>
        <v>417854.16999999853</v>
      </c>
      <c r="AL234" s="510">
        <f>IF(R234&lt;=0,0,+(Profit!$B$4+AM233)*$AL$1/12)</f>
        <v>1447.6168222363096</v>
      </c>
      <c r="AM234" s="14">
        <f t="shared" si="145"/>
        <v>205494.3457167602</v>
      </c>
    </row>
    <row r="235" spans="1:39" x14ac:dyDescent="0.25">
      <c r="A235" s="499">
        <f t="shared" si="133"/>
        <v>51009</v>
      </c>
      <c r="B235" s="288">
        <f t="shared" si="134"/>
        <v>43275.64</v>
      </c>
      <c r="C235" s="14">
        <f t="shared" si="124"/>
        <v>382.11</v>
      </c>
      <c r="D235" s="14">
        <f t="shared" si="146"/>
        <v>246.87</v>
      </c>
      <c r="E235" s="14">
        <f t="shared" si="125"/>
        <v>135.24</v>
      </c>
      <c r="F235" s="288">
        <f t="shared" si="135"/>
        <v>39738.170000000006</v>
      </c>
      <c r="G235" s="288">
        <f t="shared" si="136"/>
        <v>44965.979999999989</v>
      </c>
      <c r="H235" s="288">
        <f t="shared" si="126"/>
        <v>43028.77</v>
      </c>
      <c r="I235" s="410">
        <f t="shared" si="127"/>
        <v>14</v>
      </c>
      <c r="J235" s="288">
        <f t="shared" si="137"/>
        <v>263857.91999999987</v>
      </c>
      <c r="K235" s="288">
        <f t="shared" si="116"/>
        <v>2298.4699999999998</v>
      </c>
      <c r="L235" s="288">
        <f t="shared" si="147"/>
        <v>814.26999999999975</v>
      </c>
      <c r="M235" s="288">
        <f t="shared" si="117"/>
        <v>1484.2</v>
      </c>
      <c r="N235" s="288">
        <f t="shared" si="138"/>
        <v>91331.349999999962</v>
      </c>
      <c r="O235" s="288">
        <f t="shared" si="139"/>
        <v>313199.37000000005</v>
      </c>
      <c r="P235" s="288">
        <f t="shared" si="128"/>
        <v>263043.64999999985</v>
      </c>
      <c r="Q235" s="499">
        <f t="shared" si="129"/>
        <v>51009</v>
      </c>
      <c r="R235" s="288">
        <f t="shared" si="115"/>
        <v>43185.680000000189</v>
      </c>
      <c r="S235" s="492">
        <f t="shared" si="140"/>
        <v>6.7500000000000004E-2</v>
      </c>
      <c r="T235" s="288">
        <f t="shared" si="130"/>
        <v>3195.22</v>
      </c>
      <c r="U235" s="288">
        <f t="shared" si="118"/>
        <v>2952.2999999999997</v>
      </c>
      <c r="V235" s="288">
        <f t="shared" si="131"/>
        <v>242.92</v>
      </c>
      <c r="W235" s="288">
        <f t="shared" si="111"/>
        <v>0</v>
      </c>
      <c r="X235" s="288">
        <f t="shared" si="112"/>
        <v>0</v>
      </c>
      <c r="Y235" s="288">
        <f t="shared" si="119"/>
        <v>3195.22</v>
      </c>
      <c r="Z235" s="288">
        <f t="shared" si="120"/>
        <v>314141.62</v>
      </c>
      <c r="AA235" s="288">
        <f t="shared" si="121"/>
        <v>178362.34000000014</v>
      </c>
      <c r="AB235" s="288">
        <f t="shared" si="132"/>
        <v>40233.380000000187</v>
      </c>
      <c r="AC235" s="410">
        <f t="shared" si="141"/>
        <v>175</v>
      </c>
      <c r="AD235" s="510">
        <f t="shared" si="142"/>
        <v>-87973.24</v>
      </c>
      <c r="AE235" s="510">
        <f t="shared" si="113"/>
        <v>-2795.3899999998102</v>
      </c>
      <c r="AF235" s="510">
        <f t="shared" si="114"/>
        <v>-90768.629999999815</v>
      </c>
      <c r="AG235" s="510">
        <f t="shared" si="143"/>
        <v>2813.1099999999997</v>
      </c>
      <c r="AH235" s="510">
        <f t="shared" si="144"/>
        <v>85755.450000000012</v>
      </c>
      <c r="AI235" s="510"/>
      <c r="AJ235" s="14">
        <f t="shared" si="122"/>
        <v>2813.1099999999997</v>
      </c>
      <c r="AK235" s="14">
        <f t="shared" si="123"/>
        <v>420667.27999999851</v>
      </c>
      <c r="AL235" s="510">
        <f>IF(R235&lt;=0,0,+(Profit!$B$4+AM234)*$AL$1/12)</f>
        <v>1451.2358642919007</v>
      </c>
      <c r="AM235" s="14">
        <f t="shared" si="145"/>
        <v>206945.5815810521</v>
      </c>
    </row>
    <row r="236" spans="1:39" x14ac:dyDescent="0.25">
      <c r="A236" s="499">
        <f t="shared" si="133"/>
        <v>51039</v>
      </c>
      <c r="B236" s="288">
        <f t="shared" si="134"/>
        <v>43028.77</v>
      </c>
      <c r="C236" s="14">
        <f t="shared" si="124"/>
        <v>382.11</v>
      </c>
      <c r="D236" s="14">
        <f t="shared" si="146"/>
        <v>247.65</v>
      </c>
      <c r="E236" s="14">
        <f t="shared" si="125"/>
        <v>134.46</v>
      </c>
      <c r="F236" s="288">
        <f t="shared" si="135"/>
        <v>39985.820000000007</v>
      </c>
      <c r="G236" s="288">
        <f t="shared" si="136"/>
        <v>45100.439999999988</v>
      </c>
      <c r="H236" s="288">
        <f t="shared" si="126"/>
        <v>42781.119999999995</v>
      </c>
      <c r="I236" s="410">
        <f t="shared" si="127"/>
        <v>14</v>
      </c>
      <c r="J236" s="288">
        <f t="shared" si="137"/>
        <v>263043.64999999985</v>
      </c>
      <c r="K236" s="288">
        <f t="shared" si="116"/>
        <v>2298.4699999999998</v>
      </c>
      <c r="L236" s="288">
        <f t="shared" si="147"/>
        <v>818.84999999999991</v>
      </c>
      <c r="M236" s="288">
        <f t="shared" si="117"/>
        <v>1479.62</v>
      </c>
      <c r="N236" s="288">
        <f t="shared" si="138"/>
        <v>92150.199999999968</v>
      </c>
      <c r="O236" s="288">
        <f t="shared" si="139"/>
        <v>314678.99000000005</v>
      </c>
      <c r="P236" s="288">
        <f t="shared" si="128"/>
        <v>262224.79999999987</v>
      </c>
      <c r="Q236" s="499">
        <f t="shared" si="129"/>
        <v>51039</v>
      </c>
      <c r="R236" s="288">
        <f t="shared" si="115"/>
        <v>40233.380000000187</v>
      </c>
      <c r="S236" s="492">
        <f t="shared" si="140"/>
        <v>6.7500000000000004E-2</v>
      </c>
      <c r="T236" s="288">
        <f t="shared" si="130"/>
        <v>3195.22</v>
      </c>
      <c r="U236" s="288">
        <f t="shared" si="118"/>
        <v>2968.91</v>
      </c>
      <c r="V236" s="288">
        <f t="shared" si="131"/>
        <v>226.31</v>
      </c>
      <c r="W236" s="288">
        <f t="shared" si="111"/>
        <v>0</v>
      </c>
      <c r="X236" s="288">
        <f t="shared" si="112"/>
        <v>0</v>
      </c>
      <c r="Y236" s="288">
        <f t="shared" si="119"/>
        <v>3195.22</v>
      </c>
      <c r="Z236" s="288">
        <f t="shared" si="120"/>
        <v>317110.52999999997</v>
      </c>
      <c r="AA236" s="288">
        <f t="shared" si="121"/>
        <v>178588.65000000014</v>
      </c>
      <c r="AB236" s="288">
        <f t="shared" si="132"/>
        <v>37264.47000000019</v>
      </c>
      <c r="AC236" s="410">
        <f t="shared" si="141"/>
        <v>176</v>
      </c>
      <c r="AD236" s="510">
        <f t="shared" si="142"/>
        <v>-88869.99</v>
      </c>
      <c r="AE236" s="510">
        <f t="shared" si="113"/>
        <v>-5516.649999999805</v>
      </c>
      <c r="AF236" s="510">
        <f t="shared" si="114"/>
        <v>-94386.63999999981</v>
      </c>
      <c r="AG236" s="510">
        <f t="shared" si="143"/>
        <v>2813.1099999999997</v>
      </c>
      <c r="AH236" s="510">
        <f t="shared" si="144"/>
        <v>83034.190000000061</v>
      </c>
      <c r="AI236" s="510"/>
      <c r="AJ236" s="14">
        <f t="shared" si="122"/>
        <v>2813.1099999999997</v>
      </c>
      <c r="AK236" s="14">
        <f t="shared" si="123"/>
        <v>423480.3899999985</v>
      </c>
      <c r="AL236" s="510">
        <f>IF(R236&lt;=0,0,+(Profit!$B$4+AM235)*$AL$1/12)</f>
        <v>1454.8639539526303</v>
      </c>
      <c r="AM236" s="14">
        <f t="shared" si="145"/>
        <v>208400.44553500472</v>
      </c>
    </row>
    <row r="237" spans="1:39" x14ac:dyDescent="0.25">
      <c r="A237" s="499">
        <f t="shared" si="133"/>
        <v>51069</v>
      </c>
      <c r="B237" s="288">
        <f t="shared" si="134"/>
        <v>42781.119999999995</v>
      </c>
      <c r="C237" s="14">
        <f t="shared" si="124"/>
        <v>382.11</v>
      </c>
      <c r="D237" s="14">
        <f t="shared" si="146"/>
        <v>248.42000000000002</v>
      </c>
      <c r="E237" s="14">
        <f t="shared" si="125"/>
        <v>133.69</v>
      </c>
      <c r="F237" s="288">
        <f t="shared" si="135"/>
        <v>40234.240000000005</v>
      </c>
      <c r="G237" s="288">
        <f t="shared" si="136"/>
        <v>45234.12999999999</v>
      </c>
      <c r="H237" s="288">
        <f t="shared" si="126"/>
        <v>42532.7</v>
      </c>
      <c r="I237" s="410">
        <f t="shared" si="127"/>
        <v>14</v>
      </c>
      <c r="J237" s="288">
        <f t="shared" si="137"/>
        <v>262224.79999999987</v>
      </c>
      <c r="K237" s="288">
        <f t="shared" si="116"/>
        <v>2298.4699999999998</v>
      </c>
      <c r="L237" s="288">
        <f t="shared" si="147"/>
        <v>823.45999999999981</v>
      </c>
      <c r="M237" s="288">
        <f t="shared" si="117"/>
        <v>1475.01</v>
      </c>
      <c r="N237" s="288">
        <f t="shared" si="138"/>
        <v>92973.659999999974</v>
      </c>
      <c r="O237" s="288">
        <f t="shared" si="139"/>
        <v>316154.00000000006</v>
      </c>
      <c r="P237" s="288">
        <f t="shared" si="128"/>
        <v>261401.33999999988</v>
      </c>
      <c r="Q237" s="499">
        <f t="shared" si="129"/>
        <v>51069</v>
      </c>
      <c r="R237" s="288">
        <f t="shared" si="115"/>
        <v>37264.47000000019</v>
      </c>
      <c r="S237" s="492">
        <f t="shared" si="140"/>
        <v>6.7500000000000004E-2</v>
      </c>
      <c r="T237" s="288">
        <f t="shared" si="130"/>
        <v>3195.22</v>
      </c>
      <c r="U237" s="288">
        <f t="shared" si="118"/>
        <v>2985.6099999999997</v>
      </c>
      <c r="V237" s="288">
        <f t="shared" si="131"/>
        <v>209.61</v>
      </c>
      <c r="W237" s="288">
        <f t="shared" si="111"/>
        <v>0</v>
      </c>
      <c r="X237" s="288">
        <f t="shared" si="112"/>
        <v>0</v>
      </c>
      <c r="Y237" s="288">
        <f t="shared" si="119"/>
        <v>3195.22</v>
      </c>
      <c r="Z237" s="288">
        <f t="shared" si="120"/>
        <v>320096.13999999996</v>
      </c>
      <c r="AA237" s="288">
        <f t="shared" si="121"/>
        <v>178798.26000000013</v>
      </c>
      <c r="AB237" s="288">
        <f t="shared" si="132"/>
        <v>34278.86000000019</v>
      </c>
      <c r="AC237" s="410">
        <f t="shared" si="141"/>
        <v>177</v>
      </c>
      <c r="AD237" s="510">
        <f t="shared" si="142"/>
        <v>-89766.74</v>
      </c>
      <c r="AE237" s="510">
        <f t="shared" si="113"/>
        <v>-8253.8399999998073</v>
      </c>
      <c r="AF237" s="510">
        <f t="shared" si="114"/>
        <v>-98020.579999999813</v>
      </c>
      <c r="AG237" s="510">
        <f t="shared" si="143"/>
        <v>2813.1099999999997</v>
      </c>
      <c r="AH237" s="510">
        <f t="shared" si="144"/>
        <v>80297.000000000058</v>
      </c>
      <c r="AI237" s="510"/>
      <c r="AJ237" s="14">
        <f t="shared" si="122"/>
        <v>2813.1099999999997</v>
      </c>
      <c r="AK237" s="14">
        <f t="shared" si="123"/>
        <v>426293.49999999849</v>
      </c>
      <c r="AL237" s="510">
        <f>IF(R237&lt;=0,0,+(Profit!$B$4+AM236)*$AL$1/12)</f>
        <v>1458.5011138375119</v>
      </c>
      <c r="AM237" s="14">
        <f t="shared" si="145"/>
        <v>209858.94664884222</v>
      </c>
    </row>
    <row r="238" spans="1:39" x14ac:dyDescent="0.25">
      <c r="A238" s="499">
        <f t="shared" si="133"/>
        <v>51099</v>
      </c>
      <c r="B238" s="288">
        <f t="shared" si="134"/>
        <v>42532.7</v>
      </c>
      <c r="C238" s="14">
        <f t="shared" si="124"/>
        <v>382.11</v>
      </c>
      <c r="D238" s="14">
        <f t="shared" si="146"/>
        <v>249.20000000000002</v>
      </c>
      <c r="E238" s="14">
        <f t="shared" si="125"/>
        <v>132.91</v>
      </c>
      <c r="F238" s="288">
        <f t="shared" si="135"/>
        <v>40483.440000000002</v>
      </c>
      <c r="G238" s="288">
        <f t="shared" si="136"/>
        <v>45367.039999999994</v>
      </c>
      <c r="H238" s="288">
        <f t="shared" si="126"/>
        <v>42283.5</v>
      </c>
      <c r="I238" s="410">
        <f t="shared" si="127"/>
        <v>14</v>
      </c>
      <c r="J238" s="288">
        <f t="shared" si="137"/>
        <v>261401.33999999988</v>
      </c>
      <c r="K238" s="288">
        <f t="shared" si="116"/>
        <v>2298.4699999999998</v>
      </c>
      <c r="L238" s="288">
        <f t="shared" si="147"/>
        <v>828.08999999999969</v>
      </c>
      <c r="M238" s="288">
        <f t="shared" si="117"/>
        <v>1470.38</v>
      </c>
      <c r="N238" s="288">
        <f t="shared" si="138"/>
        <v>93801.749999999971</v>
      </c>
      <c r="O238" s="288">
        <f t="shared" si="139"/>
        <v>317624.38000000006</v>
      </c>
      <c r="P238" s="288">
        <f t="shared" si="128"/>
        <v>260573.24999999988</v>
      </c>
      <c r="Q238" s="499">
        <f t="shared" si="129"/>
        <v>51099</v>
      </c>
      <c r="R238" s="288">
        <f t="shared" si="115"/>
        <v>34278.86000000019</v>
      </c>
      <c r="S238" s="492">
        <f t="shared" si="140"/>
        <v>6.7500000000000004E-2</v>
      </c>
      <c r="T238" s="288">
        <f t="shared" si="130"/>
        <v>3195.22</v>
      </c>
      <c r="U238" s="288">
        <f t="shared" si="118"/>
        <v>3002.3999999999996</v>
      </c>
      <c r="V238" s="288">
        <f t="shared" si="131"/>
        <v>192.82</v>
      </c>
      <c r="W238" s="288">
        <f t="shared" si="111"/>
        <v>0</v>
      </c>
      <c r="X238" s="288">
        <f t="shared" si="112"/>
        <v>0</v>
      </c>
      <c r="Y238" s="288">
        <f t="shared" si="119"/>
        <v>3195.22</v>
      </c>
      <c r="Z238" s="288">
        <f t="shared" si="120"/>
        <v>323098.53999999998</v>
      </c>
      <c r="AA238" s="288">
        <f t="shared" si="121"/>
        <v>178991.08000000013</v>
      </c>
      <c r="AB238" s="288">
        <f t="shared" si="132"/>
        <v>31276.460000000188</v>
      </c>
      <c r="AC238" s="410">
        <f t="shared" si="141"/>
        <v>178</v>
      </c>
      <c r="AD238" s="510">
        <f t="shared" si="142"/>
        <v>-90663.49</v>
      </c>
      <c r="AE238" s="510">
        <f t="shared" si="113"/>
        <v>-11007.039999999812</v>
      </c>
      <c r="AF238" s="510">
        <f t="shared" si="114"/>
        <v>-101670.52999999982</v>
      </c>
      <c r="AG238" s="510">
        <f t="shared" si="143"/>
        <v>2813.1099999999997</v>
      </c>
      <c r="AH238" s="510">
        <f t="shared" si="144"/>
        <v>77543.800000000047</v>
      </c>
      <c r="AI238" s="510"/>
      <c r="AJ238" s="14">
        <f t="shared" si="122"/>
        <v>2813.1099999999997</v>
      </c>
      <c r="AK238" s="14">
        <f t="shared" si="123"/>
        <v>429106.60999999847</v>
      </c>
      <c r="AL238" s="510">
        <f>IF(R238&lt;=0,0,+(Profit!$B$4+AM237)*$AL$1/12)</f>
        <v>1462.1473666221054</v>
      </c>
      <c r="AM238" s="14">
        <f t="shared" si="145"/>
        <v>211321.09401546433</v>
      </c>
    </row>
    <row r="239" spans="1:39" x14ac:dyDescent="0.25">
      <c r="A239" s="499">
        <f t="shared" si="133"/>
        <v>51129</v>
      </c>
      <c r="B239" s="288">
        <f t="shared" si="134"/>
        <v>42283.5</v>
      </c>
      <c r="C239" s="14">
        <f t="shared" si="124"/>
        <v>382.11</v>
      </c>
      <c r="D239" s="14">
        <f t="shared" si="146"/>
        <v>249.97000000000003</v>
      </c>
      <c r="E239" s="14">
        <f t="shared" si="125"/>
        <v>132.13999999999999</v>
      </c>
      <c r="F239" s="288">
        <f t="shared" si="135"/>
        <v>40733.410000000003</v>
      </c>
      <c r="G239" s="288">
        <f t="shared" si="136"/>
        <v>45499.179999999993</v>
      </c>
      <c r="H239" s="288">
        <f t="shared" si="126"/>
        <v>42033.53</v>
      </c>
      <c r="I239" s="410">
        <f t="shared" si="127"/>
        <v>14</v>
      </c>
      <c r="J239" s="288">
        <f t="shared" si="137"/>
        <v>260573.24999999988</v>
      </c>
      <c r="K239" s="288">
        <f t="shared" si="116"/>
        <v>2298.4699999999998</v>
      </c>
      <c r="L239" s="288">
        <f t="shared" si="147"/>
        <v>832.74999999999977</v>
      </c>
      <c r="M239" s="288">
        <f t="shared" si="117"/>
        <v>1465.72</v>
      </c>
      <c r="N239" s="288">
        <f t="shared" si="138"/>
        <v>94634.499999999971</v>
      </c>
      <c r="O239" s="288">
        <f t="shared" si="139"/>
        <v>319090.10000000003</v>
      </c>
      <c r="P239" s="288">
        <f t="shared" si="128"/>
        <v>259740.49999999988</v>
      </c>
      <c r="Q239" s="499">
        <f t="shared" si="129"/>
        <v>51129</v>
      </c>
      <c r="R239" s="288">
        <f t="shared" si="115"/>
        <v>31276.460000000188</v>
      </c>
      <c r="S239" s="492">
        <f t="shared" si="140"/>
        <v>6.7500000000000004E-2</v>
      </c>
      <c r="T239" s="288">
        <f t="shared" si="130"/>
        <v>3195.22</v>
      </c>
      <c r="U239" s="288">
        <f t="shared" si="118"/>
        <v>3019.29</v>
      </c>
      <c r="V239" s="288">
        <f t="shared" si="131"/>
        <v>175.93</v>
      </c>
      <c r="W239" s="288">
        <f t="shared" si="111"/>
        <v>0</v>
      </c>
      <c r="X239" s="288">
        <f t="shared" si="112"/>
        <v>0</v>
      </c>
      <c r="Y239" s="288">
        <f t="shared" si="119"/>
        <v>3195.22</v>
      </c>
      <c r="Z239" s="288">
        <f t="shared" si="120"/>
        <v>326117.82999999996</v>
      </c>
      <c r="AA239" s="288">
        <f t="shared" si="121"/>
        <v>179167.01000000013</v>
      </c>
      <c r="AB239" s="288">
        <f t="shared" si="132"/>
        <v>28257.170000000187</v>
      </c>
      <c r="AC239" s="410">
        <f t="shared" si="141"/>
        <v>179</v>
      </c>
      <c r="AD239" s="510">
        <f t="shared" si="142"/>
        <v>-91560.24</v>
      </c>
      <c r="AE239" s="510">
        <f t="shared" si="113"/>
        <v>-13776.359999999811</v>
      </c>
      <c r="AF239" s="510">
        <f t="shared" si="114"/>
        <v>-105336.59999999982</v>
      </c>
      <c r="AG239" s="510">
        <f t="shared" si="143"/>
        <v>2813.1099999999997</v>
      </c>
      <c r="AH239" s="510">
        <f t="shared" si="144"/>
        <v>74774.480000000098</v>
      </c>
      <c r="AI239" s="510"/>
      <c r="AJ239" s="14">
        <f t="shared" si="122"/>
        <v>2813.1099999999997</v>
      </c>
      <c r="AK239" s="14">
        <f t="shared" si="123"/>
        <v>431919.71999999846</v>
      </c>
      <c r="AL239" s="510">
        <f>IF(R239&lt;=0,0,+(Profit!$B$4+AM238)*$AL$1/12)</f>
        <v>1465.8027350386608</v>
      </c>
      <c r="AM239" s="14">
        <f t="shared" si="145"/>
        <v>212786.89675050299</v>
      </c>
    </row>
    <row r="240" spans="1:39" x14ac:dyDescent="0.25">
      <c r="A240" s="499">
        <f t="shared" si="133"/>
        <v>51159</v>
      </c>
      <c r="B240" s="288">
        <f t="shared" si="134"/>
        <v>42033.53</v>
      </c>
      <c r="C240" s="14">
        <f t="shared" si="124"/>
        <v>382.11</v>
      </c>
      <c r="D240" s="14">
        <f t="shared" si="146"/>
        <v>250.76000000000002</v>
      </c>
      <c r="E240" s="14">
        <f t="shared" si="125"/>
        <v>131.35</v>
      </c>
      <c r="F240" s="288">
        <f t="shared" si="135"/>
        <v>40984.170000000006</v>
      </c>
      <c r="G240" s="288">
        <f t="shared" si="136"/>
        <v>45630.529999999992</v>
      </c>
      <c r="H240" s="288">
        <f t="shared" si="126"/>
        <v>41782.769999999997</v>
      </c>
      <c r="I240" s="410">
        <f t="shared" si="127"/>
        <v>15</v>
      </c>
      <c r="J240" s="288">
        <f t="shared" si="137"/>
        <v>259740.49999999988</v>
      </c>
      <c r="K240" s="288">
        <f t="shared" si="116"/>
        <v>2298.4699999999998</v>
      </c>
      <c r="L240" s="288">
        <f t="shared" si="147"/>
        <v>837.42999999999984</v>
      </c>
      <c r="M240" s="288">
        <f t="shared" si="117"/>
        <v>1461.04</v>
      </c>
      <c r="N240" s="288">
        <f t="shared" si="138"/>
        <v>95471.929999999964</v>
      </c>
      <c r="O240" s="288">
        <f t="shared" si="139"/>
        <v>320551.14</v>
      </c>
      <c r="P240" s="288">
        <f t="shared" si="128"/>
        <v>258903.06999999989</v>
      </c>
      <c r="Q240" s="499">
        <f t="shared" si="129"/>
        <v>51159</v>
      </c>
      <c r="R240" s="288">
        <f t="shared" si="115"/>
        <v>28257.170000000187</v>
      </c>
      <c r="S240" s="492">
        <f t="shared" si="140"/>
        <v>6.7500000000000004E-2</v>
      </c>
      <c r="T240" s="288">
        <f t="shared" si="130"/>
        <v>3195.22</v>
      </c>
      <c r="U240" s="288">
        <f t="shared" si="118"/>
        <v>3036.27</v>
      </c>
      <c r="V240" s="288">
        <f t="shared" si="131"/>
        <v>158.94999999999999</v>
      </c>
      <c r="W240" s="288">
        <f t="shared" si="111"/>
        <v>0</v>
      </c>
      <c r="X240" s="288">
        <f t="shared" si="112"/>
        <v>0</v>
      </c>
      <c r="Y240" s="288">
        <f t="shared" si="119"/>
        <v>3195.22</v>
      </c>
      <c r="Z240" s="288">
        <f t="shared" si="120"/>
        <v>329154.09999999998</v>
      </c>
      <c r="AA240" s="288">
        <f t="shared" si="121"/>
        <v>179325.96000000014</v>
      </c>
      <c r="AB240" s="288">
        <f t="shared" si="132"/>
        <v>25220.900000000187</v>
      </c>
      <c r="AC240" s="410">
        <f t="shared" si="141"/>
        <v>180</v>
      </c>
      <c r="AD240" s="510">
        <f t="shared" si="142"/>
        <v>-92456.99</v>
      </c>
      <c r="AE240" s="510">
        <f t="shared" si="113"/>
        <v>-16561.86999999981</v>
      </c>
      <c r="AF240" s="510">
        <f t="shared" si="114"/>
        <v>-109018.85999999981</v>
      </c>
      <c r="AG240" s="510">
        <f t="shared" si="143"/>
        <v>2813.1099999999997</v>
      </c>
      <c r="AH240" s="510">
        <f t="shared" si="144"/>
        <v>71988.97000000003</v>
      </c>
      <c r="AI240" s="510"/>
      <c r="AJ240" s="14">
        <f t="shared" si="122"/>
        <v>2813.1099999999997</v>
      </c>
      <c r="AK240" s="14">
        <f t="shared" si="123"/>
        <v>434732.82999999844</v>
      </c>
      <c r="AL240" s="510">
        <f>IF(R240&lt;=0,0,+(Profit!$B$4+AM239)*$AL$1/12)</f>
        <v>1469.4672418762575</v>
      </c>
      <c r="AM240" s="14">
        <f t="shared" si="145"/>
        <v>214256.36399237925</v>
      </c>
    </row>
    <row r="241" spans="1:39" x14ac:dyDescent="0.25">
      <c r="A241" s="499">
        <f t="shared" si="133"/>
        <v>51189</v>
      </c>
      <c r="B241" s="288">
        <f t="shared" si="134"/>
        <v>41782.769999999997</v>
      </c>
      <c r="C241" s="14">
        <f t="shared" si="124"/>
        <v>382.11</v>
      </c>
      <c r="D241" s="14">
        <f t="shared" si="146"/>
        <v>251.54000000000002</v>
      </c>
      <c r="E241" s="14">
        <f t="shared" si="125"/>
        <v>130.57</v>
      </c>
      <c r="F241" s="288">
        <f t="shared" si="135"/>
        <v>41235.710000000006</v>
      </c>
      <c r="G241" s="288">
        <f t="shared" si="136"/>
        <v>45761.099999999991</v>
      </c>
      <c r="H241" s="288">
        <f t="shared" si="126"/>
        <v>41531.229999999996</v>
      </c>
      <c r="I241" s="410">
        <f t="shared" si="127"/>
        <v>15</v>
      </c>
      <c r="J241" s="288">
        <f t="shared" si="137"/>
        <v>258903.06999999989</v>
      </c>
      <c r="K241" s="288">
        <f t="shared" si="116"/>
        <v>2298.4699999999998</v>
      </c>
      <c r="L241" s="288">
        <f t="shared" si="147"/>
        <v>842.13999999999987</v>
      </c>
      <c r="M241" s="288">
        <f t="shared" si="117"/>
        <v>1456.33</v>
      </c>
      <c r="N241" s="288">
        <f t="shared" si="138"/>
        <v>96314.069999999963</v>
      </c>
      <c r="O241" s="288">
        <f t="shared" si="139"/>
        <v>322007.47000000003</v>
      </c>
      <c r="P241" s="288">
        <f t="shared" si="128"/>
        <v>258060.92999999988</v>
      </c>
      <c r="Q241" s="499">
        <f t="shared" si="129"/>
        <v>51189</v>
      </c>
      <c r="R241" s="288">
        <f t="shared" si="115"/>
        <v>25220.900000000187</v>
      </c>
      <c r="S241" s="492">
        <f t="shared" si="140"/>
        <v>6.7500000000000004E-2</v>
      </c>
      <c r="T241" s="288">
        <f t="shared" si="130"/>
        <v>3195.22</v>
      </c>
      <c r="U241" s="288">
        <f t="shared" si="118"/>
        <v>3053.35</v>
      </c>
      <c r="V241" s="288">
        <f t="shared" si="131"/>
        <v>141.87</v>
      </c>
      <c r="W241" s="288">
        <f t="shared" si="111"/>
        <v>0</v>
      </c>
      <c r="X241" s="288">
        <f t="shared" si="112"/>
        <v>0</v>
      </c>
      <c r="Y241" s="288">
        <f t="shared" si="119"/>
        <v>3195.22</v>
      </c>
      <c r="Z241" s="288">
        <f t="shared" si="120"/>
        <v>332207.44999999995</v>
      </c>
      <c r="AA241" s="288">
        <f t="shared" si="121"/>
        <v>179467.83000000013</v>
      </c>
      <c r="AB241" s="288">
        <f t="shared" si="132"/>
        <v>22167.550000000188</v>
      </c>
      <c r="AC241" s="410">
        <f t="shared" si="141"/>
        <v>181</v>
      </c>
      <c r="AD241" s="510">
        <f t="shared" si="142"/>
        <v>-93353.74</v>
      </c>
      <c r="AE241" s="510">
        <f t="shared" si="113"/>
        <v>-19363.679999999807</v>
      </c>
      <c r="AF241" s="510">
        <f t="shared" si="114"/>
        <v>-112717.41999999981</v>
      </c>
      <c r="AG241" s="510">
        <f t="shared" si="143"/>
        <v>2813.1099999999997</v>
      </c>
      <c r="AH241" s="510">
        <f t="shared" si="144"/>
        <v>69187.160000000091</v>
      </c>
      <c r="AI241" s="510"/>
      <c r="AJ241" s="14">
        <f t="shared" si="122"/>
        <v>2813.1099999999997</v>
      </c>
      <c r="AK241" s="14">
        <f t="shared" si="123"/>
        <v>437545.93999999843</v>
      </c>
      <c r="AL241" s="510">
        <f>IF(R241&lt;=0,0,+(Profit!$B$4+AM240)*$AL$1/12)</f>
        <v>1473.1409099809482</v>
      </c>
      <c r="AM241" s="14">
        <f t="shared" si="145"/>
        <v>215729.5049023602</v>
      </c>
    </row>
    <row r="242" spans="1:39" ht="15.75" thickBot="1" x14ac:dyDescent="0.3">
      <c r="A242" s="502">
        <f t="shared" si="133"/>
        <v>51219</v>
      </c>
      <c r="B242" s="343">
        <f t="shared" si="134"/>
        <v>41531.229999999996</v>
      </c>
      <c r="C242" s="21">
        <f t="shared" si="124"/>
        <v>382.11</v>
      </c>
      <c r="D242" s="21">
        <f t="shared" si="146"/>
        <v>252.32000000000002</v>
      </c>
      <c r="E242" s="21">
        <f t="shared" si="125"/>
        <v>129.79</v>
      </c>
      <c r="F242" s="343">
        <f t="shared" si="135"/>
        <v>41488.030000000006</v>
      </c>
      <c r="G242" s="343">
        <f t="shared" si="136"/>
        <v>45890.889999999992</v>
      </c>
      <c r="H242" s="343">
        <f t="shared" si="126"/>
        <v>41278.909999999996</v>
      </c>
      <c r="I242" s="411">
        <f t="shared" si="127"/>
        <v>15</v>
      </c>
      <c r="J242" s="343">
        <f t="shared" si="137"/>
        <v>258060.92999999988</v>
      </c>
      <c r="K242" s="343">
        <f t="shared" si="116"/>
        <v>2298.4699999999998</v>
      </c>
      <c r="L242" s="343">
        <f t="shared" si="147"/>
        <v>846.87999999999988</v>
      </c>
      <c r="M242" s="343">
        <f t="shared" si="117"/>
        <v>1451.59</v>
      </c>
      <c r="N242" s="343">
        <f t="shared" si="138"/>
        <v>97160.949999999968</v>
      </c>
      <c r="O242" s="343">
        <f t="shared" si="139"/>
        <v>323459.06000000006</v>
      </c>
      <c r="P242" s="343">
        <f t="shared" si="128"/>
        <v>257214.04999999987</v>
      </c>
      <c r="Q242" s="502">
        <f t="shared" si="129"/>
        <v>51219</v>
      </c>
      <c r="R242" s="343">
        <f t="shared" si="115"/>
        <v>22167.550000000188</v>
      </c>
      <c r="S242" s="493">
        <f t="shared" si="140"/>
        <v>6.7500000000000004E-2</v>
      </c>
      <c r="T242" s="343">
        <f t="shared" si="130"/>
        <v>3195.22</v>
      </c>
      <c r="U242" s="343">
        <f t="shared" si="118"/>
        <v>3070.5299999999997</v>
      </c>
      <c r="V242" s="343">
        <f t="shared" si="131"/>
        <v>124.69</v>
      </c>
      <c r="W242" s="343">
        <f t="shared" si="111"/>
        <v>0</v>
      </c>
      <c r="X242" s="343">
        <f t="shared" si="112"/>
        <v>0</v>
      </c>
      <c r="Y242" s="343">
        <f t="shared" si="119"/>
        <v>3195.22</v>
      </c>
      <c r="Z242" s="343">
        <f t="shared" si="120"/>
        <v>335277.98</v>
      </c>
      <c r="AA242" s="343">
        <f t="shared" si="121"/>
        <v>179592.52000000014</v>
      </c>
      <c r="AB242" s="343">
        <f t="shared" si="132"/>
        <v>19097.02000000019</v>
      </c>
      <c r="AC242" s="411">
        <f t="shared" si="141"/>
        <v>182</v>
      </c>
      <c r="AD242" s="511">
        <f t="shared" si="142"/>
        <v>-94250.49</v>
      </c>
      <c r="AE242" s="511">
        <f t="shared" si="113"/>
        <v>-22181.889999999807</v>
      </c>
      <c r="AF242" s="511">
        <f t="shared" si="114"/>
        <v>-116432.37999999982</v>
      </c>
      <c r="AG242" s="511">
        <f t="shared" si="143"/>
        <v>2813.1099999999997</v>
      </c>
      <c r="AH242" s="511">
        <f t="shared" si="144"/>
        <v>66368.95000000007</v>
      </c>
      <c r="AI242" s="511"/>
      <c r="AJ242" s="21">
        <f t="shared" si="122"/>
        <v>2813.1099999999997</v>
      </c>
      <c r="AK242" s="21">
        <f t="shared" si="123"/>
        <v>440359.04999999842</v>
      </c>
      <c r="AL242" s="511">
        <f>IF(R242&lt;=0,0,+(Profit!$B$4+AM241)*$AL$1/12)</f>
        <v>1476.8237622559006</v>
      </c>
      <c r="AM242" s="21">
        <f t="shared" si="145"/>
        <v>217206.3286646161</v>
      </c>
    </row>
    <row r="243" spans="1:39" x14ac:dyDescent="0.25">
      <c r="A243" s="499">
        <f t="shared" si="133"/>
        <v>51249</v>
      </c>
      <c r="B243" s="288">
        <f t="shared" si="134"/>
        <v>41278.909999999996</v>
      </c>
      <c r="C243" s="14">
        <f t="shared" si="124"/>
        <v>382.11</v>
      </c>
      <c r="D243" s="14">
        <f t="shared" si="146"/>
        <v>253.11</v>
      </c>
      <c r="E243" s="14">
        <f t="shared" si="125"/>
        <v>129</v>
      </c>
      <c r="F243" s="288">
        <f t="shared" si="135"/>
        <v>41741.140000000007</v>
      </c>
      <c r="G243" s="288">
        <f t="shared" si="136"/>
        <v>46019.889999999992</v>
      </c>
      <c r="H243" s="288">
        <f t="shared" si="126"/>
        <v>41025.799999999996</v>
      </c>
      <c r="I243" s="410">
        <f t="shared" si="127"/>
        <v>15</v>
      </c>
      <c r="J243" s="288">
        <f t="shared" si="137"/>
        <v>257214.04999999987</v>
      </c>
      <c r="K243" s="288">
        <f t="shared" si="116"/>
        <v>2298.4699999999998</v>
      </c>
      <c r="L243" s="288">
        <f t="shared" si="147"/>
        <v>851.63999999999987</v>
      </c>
      <c r="M243" s="288">
        <f t="shared" si="117"/>
        <v>1446.83</v>
      </c>
      <c r="N243" s="288">
        <f t="shared" si="138"/>
        <v>98012.589999999967</v>
      </c>
      <c r="O243" s="288">
        <f t="shared" si="139"/>
        <v>324905.89000000007</v>
      </c>
      <c r="P243" s="288">
        <f t="shared" si="128"/>
        <v>256362.40999999986</v>
      </c>
      <c r="Q243" s="499">
        <f t="shared" si="129"/>
        <v>51249</v>
      </c>
      <c r="R243" s="288">
        <f t="shared" si="115"/>
        <v>19097.02000000019</v>
      </c>
      <c r="S243" s="492">
        <f t="shared" si="140"/>
        <v>6.7500000000000004E-2</v>
      </c>
      <c r="T243" s="288">
        <f t="shared" si="130"/>
        <v>3195.22</v>
      </c>
      <c r="U243" s="288">
        <f t="shared" si="118"/>
        <v>3087.7999999999997</v>
      </c>
      <c r="V243" s="288">
        <f t="shared" si="131"/>
        <v>107.42</v>
      </c>
      <c r="W243" s="288">
        <f t="shared" si="111"/>
        <v>0</v>
      </c>
      <c r="X243" s="288">
        <f t="shared" si="112"/>
        <v>0</v>
      </c>
      <c r="Y243" s="288">
        <f t="shared" si="119"/>
        <v>3195.22</v>
      </c>
      <c r="Z243" s="288">
        <f t="shared" si="120"/>
        <v>338365.77999999997</v>
      </c>
      <c r="AA243" s="288">
        <f t="shared" si="121"/>
        <v>179699.94000000015</v>
      </c>
      <c r="AB243" s="288">
        <f t="shared" si="132"/>
        <v>16009.22000000019</v>
      </c>
      <c r="AC243" s="410">
        <f t="shared" si="141"/>
        <v>183</v>
      </c>
      <c r="AD243" s="510">
        <f t="shared" si="142"/>
        <v>-95147.24</v>
      </c>
      <c r="AE243" s="510">
        <f t="shared" si="113"/>
        <v>-25016.579999999805</v>
      </c>
      <c r="AF243" s="510">
        <f t="shared" si="114"/>
        <v>-120163.8199999998</v>
      </c>
      <c r="AG243" s="510">
        <f t="shared" si="143"/>
        <v>2813.1099999999997</v>
      </c>
      <c r="AH243" s="510">
        <f t="shared" si="144"/>
        <v>63534.260000000068</v>
      </c>
      <c r="AI243" s="510"/>
      <c r="AJ243" s="14">
        <f t="shared" si="122"/>
        <v>2813.1099999999997</v>
      </c>
      <c r="AK243" s="14">
        <f t="shared" si="123"/>
        <v>443172.1599999984</v>
      </c>
      <c r="AL243" s="510">
        <f>IF(R243&lt;=0,0,+(Profit!$B$4+AM242)*$AL$1/12)</f>
        <v>1480.5158216615403</v>
      </c>
      <c r="AM243" s="14">
        <f t="shared" si="145"/>
        <v>218686.84448627764</v>
      </c>
    </row>
    <row r="244" spans="1:39" x14ac:dyDescent="0.25">
      <c r="A244" s="499">
        <f t="shared" si="133"/>
        <v>51279</v>
      </c>
      <c r="B244" s="288">
        <f t="shared" si="134"/>
        <v>41025.799999999996</v>
      </c>
      <c r="C244" s="14">
        <f t="shared" si="124"/>
        <v>382.11</v>
      </c>
      <c r="D244" s="14">
        <f t="shared" si="146"/>
        <v>253.9</v>
      </c>
      <c r="E244" s="14">
        <f t="shared" si="125"/>
        <v>128.21</v>
      </c>
      <c r="F244" s="288">
        <f t="shared" si="135"/>
        <v>41995.040000000008</v>
      </c>
      <c r="G244" s="288">
        <f t="shared" si="136"/>
        <v>46148.099999999991</v>
      </c>
      <c r="H244" s="288">
        <f t="shared" si="126"/>
        <v>40771.899999999994</v>
      </c>
      <c r="I244" s="410">
        <f t="shared" si="127"/>
        <v>15</v>
      </c>
      <c r="J244" s="288">
        <f t="shared" si="137"/>
        <v>256362.40999999986</v>
      </c>
      <c r="K244" s="288">
        <f t="shared" si="116"/>
        <v>2298.4699999999998</v>
      </c>
      <c r="L244" s="288">
        <f t="shared" si="147"/>
        <v>856.42999999999984</v>
      </c>
      <c r="M244" s="288">
        <f t="shared" si="117"/>
        <v>1442.04</v>
      </c>
      <c r="N244" s="288">
        <f t="shared" si="138"/>
        <v>98869.01999999996</v>
      </c>
      <c r="O244" s="288">
        <f t="shared" si="139"/>
        <v>326347.93000000005</v>
      </c>
      <c r="P244" s="288">
        <f t="shared" si="128"/>
        <v>255505.97999999986</v>
      </c>
      <c r="Q244" s="499">
        <f t="shared" si="129"/>
        <v>51279</v>
      </c>
      <c r="R244" s="288">
        <f t="shared" si="115"/>
        <v>16009.22000000019</v>
      </c>
      <c r="S244" s="492">
        <f t="shared" si="140"/>
        <v>6.7500000000000004E-2</v>
      </c>
      <c r="T244" s="288">
        <f t="shared" si="130"/>
        <v>3195.22</v>
      </c>
      <c r="U244" s="288">
        <f t="shared" si="118"/>
        <v>3105.1699999999996</v>
      </c>
      <c r="V244" s="288">
        <f t="shared" si="131"/>
        <v>90.05</v>
      </c>
      <c r="W244" s="288">
        <f t="shared" si="111"/>
        <v>0</v>
      </c>
      <c r="X244" s="288">
        <f t="shared" si="112"/>
        <v>0</v>
      </c>
      <c r="Y244" s="288">
        <f t="shared" si="119"/>
        <v>3195.22</v>
      </c>
      <c r="Z244" s="288">
        <f t="shared" si="120"/>
        <v>341470.94999999995</v>
      </c>
      <c r="AA244" s="288">
        <f t="shared" si="121"/>
        <v>179789.99000000014</v>
      </c>
      <c r="AB244" s="288">
        <f t="shared" si="132"/>
        <v>12904.05000000019</v>
      </c>
      <c r="AC244" s="410">
        <f t="shared" si="141"/>
        <v>184</v>
      </c>
      <c r="AD244" s="510">
        <f t="shared" si="142"/>
        <v>-96043.99</v>
      </c>
      <c r="AE244" s="510">
        <f t="shared" si="113"/>
        <v>-27867.849999999802</v>
      </c>
      <c r="AF244" s="510">
        <f t="shared" si="114"/>
        <v>-123911.83999999981</v>
      </c>
      <c r="AG244" s="510">
        <f t="shared" si="143"/>
        <v>2813.1099999999997</v>
      </c>
      <c r="AH244" s="510">
        <f t="shared" si="144"/>
        <v>60682.990000000107</v>
      </c>
      <c r="AI244" s="510"/>
      <c r="AJ244" s="14">
        <f t="shared" si="122"/>
        <v>2813.1099999999997</v>
      </c>
      <c r="AK244" s="14">
        <f t="shared" si="123"/>
        <v>445985.26999999839</v>
      </c>
      <c r="AL244" s="510">
        <f>IF(R244&lt;=0,0,+(Profit!$B$4+AM243)*$AL$1/12)</f>
        <v>1484.2171112156941</v>
      </c>
      <c r="AM244" s="14">
        <f t="shared" si="145"/>
        <v>220171.06159749333</v>
      </c>
    </row>
    <row r="245" spans="1:39" x14ac:dyDescent="0.25">
      <c r="A245" s="499">
        <f t="shared" si="133"/>
        <v>51309</v>
      </c>
      <c r="B245" s="288">
        <f t="shared" si="134"/>
        <v>40771.899999999994</v>
      </c>
      <c r="C245" s="14">
        <f t="shared" si="124"/>
        <v>382.11</v>
      </c>
      <c r="D245" s="14">
        <f t="shared" si="146"/>
        <v>254.70000000000002</v>
      </c>
      <c r="E245" s="14">
        <f t="shared" si="125"/>
        <v>127.41</v>
      </c>
      <c r="F245" s="288">
        <f t="shared" si="135"/>
        <v>42249.740000000005</v>
      </c>
      <c r="G245" s="288">
        <f t="shared" si="136"/>
        <v>46275.509999999995</v>
      </c>
      <c r="H245" s="288">
        <f t="shared" si="126"/>
        <v>40517.199999999997</v>
      </c>
      <c r="I245" s="410">
        <f t="shared" si="127"/>
        <v>15</v>
      </c>
      <c r="J245" s="288">
        <f t="shared" si="137"/>
        <v>255505.97999999986</v>
      </c>
      <c r="K245" s="288">
        <f t="shared" si="116"/>
        <v>2298.4699999999998</v>
      </c>
      <c r="L245" s="288">
        <f t="shared" si="147"/>
        <v>861.24999999999977</v>
      </c>
      <c r="M245" s="288">
        <f t="shared" si="117"/>
        <v>1437.22</v>
      </c>
      <c r="N245" s="288">
        <f t="shared" si="138"/>
        <v>99730.26999999996</v>
      </c>
      <c r="O245" s="288">
        <f t="shared" si="139"/>
        <v>327785.15000000002</v>
      </c>
      <c r="P245" s="288">
        <f t="shared" si="128"/>
        <v>254644.72999999986</v>
      </c>
      <c r="Q245" s="499">
        <f t="shared" si="129"/>
        <v>51309</v>
      </c>
      <c r="R245" s="288">
        <f t="shared" si="115"/>
        <v>12904.05000000019</v>
      </c>
      <c r="S245" s="492">
        <f t="shared" si="140"/>
        <v>6.7500000000000004E-2</v>
      </c>
      <c r="T245" s="288">
        <f t="shared" si="130"/>
        <v>3195.22</v>
      </c>
      <c r="U245" s="288">
        <f t="shared" si="118"/>
        <v>3122.6299999999997</v>
      </c>
      <c r="V245" s="288">
        <f t="shared" si="131"/>
        <v>72.59</v>
      </c>
      <c r="W245" s="288">
        <f t="shared" si="111"/>
        <v>0</v>
      </c>
      <c r="X245" s="288">
        <f t="shared" si="112"/>
        <v>0</v>
      </c>
      <c r="Y245" s="288">
        <f t="shared" si="119"/>
        <v>3195.22</v>
      </c>
      <c r="Z245" s="288">
        <f t="shared" si="120"/>
        <v>344593.57999999996</v>
      </c>
      <c r="AA245" s="288">
        <f t="shared" si="121"/>
        <v>179862.58000000013</v>
      </c>
      <c r="AB245" s="288">
        <f t="shared" si="132"/>
        <v>9781.4200000001911</v>
      </c>
      <c r="AC245" s="410">
        <f t="shared" si="141"/>
        <v>185</v>
      </c>
      <c r="AD245" s="510">
        <f t="shared" si="142"/>
        <v>-96940.74</v>
      </c>
      <c r="AE245" s="510">
        <f t="shared" si="113"/>
        <v>-30735.779999999806</v>
      </c>
      <c r="AF245" s="510">
        <f t="shared" si="114"/>
        <v>-127676.51999999981</v>
      </c>
      <c r="AG245" s="510">
        <f t="shared" si="143"/>
        <v>2813.1099999999997</v>
      </c>
      <c r="AH245" s="510">
        <f t="shared" si="144"/>
        <v>57815.060000000056</v>
      </c>
      <c r="AI245" s="510"/>
      <c r="AJ245" s="14">
        <f t="shared" si="122"/>
        <v>2813.1099999999997</v>
      </c>
      <c r="AK245" s="14">
        <f t="shared" si="123"/>
        <v>448798.37999999837</v>
      </c>
      <c r="AL245" s="510">
        <f>IF(R245&lt;=0,0,+(Profit!$B$4+AM244)*$AL$1/12)</f>
        <v>1487.9276539937334</v>
      </c>
      <c r="AM245" s="14">
        <f t="shared" si="145"/>
        <v>221658.98925148707</v>
      </c>
    </row>
    <row r="246" spans="1:39" x14ac:dyDescent="0.25">
      <c r="A246" s="499">
        <f t="shared" si="133"/>
        <v>51339</v>
      </c>
      <c r="B246" s="288">
        <f t="shared" si="134"/>
        <v>40517.199999999997</v>
      </c>
      <c r="C246" s="14">
        <f t="shared" si="124"/>
        <v>382.11</v>
      </c>
      <c r="D246" s="14">
        <f t="shared" si="146"/>
        <v>255.49</v>
      </c>
      <c r="E246" s="14">
        <f t="shared" si="125"/>
        <v>126.62</v>
      </c>
      <c r="F246" s="288">
        <f t="shared" si="135"/>
        <v>42505.23</v>
      </c>
      <c r="G246" s="288">
        <f t="shared" si="136"/>
        <v>46402.13</v>
      </c>
      <c r="H246" s="288">
        <f t="shared" si="126"/>
        <v>40261.71</v>
      </c>
      <c r="I246" s="410">
        <f t="shared" si="127"/>
        <v>15</v>
      </c>
      <c r="J246" s="288">
        <f t="shared" si="137"/>
        <v>254644.72999999986</v>
      </c>
      <c r="K246" s="288">
        <f t="shared" si="116"/>
        <v>2298.4699999999998</v>
      </c>
      <c r="L246" s="288">
        <f t="shared" si="147"/>
        <v>866.08999999999969</v>
      </c>
      <c r="M246" s="288">
        <f t="shared" si="117"/>
        <v>1432.38</v>
      </c>
      <c r="N246" s="288">
        <f t="shared" si="138"/>
        <v>100596.35999999996</v>
      </c>
      <c r="O246" s="288">
        <f t="shared" si="139"/>
        <v>329217.53000000003</v>
      </c>
      <c r="P246" s="288">
        <f t="shared" si="128"/>
        <v>253778.63999999987</v>
      </c>
      <c r="Q246" s="499">
        <f t="shared" si="129"/>
        <v>51339</v>
      </c>
      <c r="R246" s="288">
        <f t="shared" si="115"/>
        <v>9781.4200000001911</v>
      </c>
      <c r="S246" s="492">
        <f t="shared" si="140"/>
        <v>6.7500000000000004E-2</v>
      </c>
      <c r="T246" s="288">
        <f t="shared" si="130"/>
        <v>3195.22</v>
      </c>
      <c r="U246" s="288">
        <f t="shared" si="118"/>
        <v>3140.2</v>
      </c>
      <c r="V246" s="288">
        <f t="shared" si="131"/>
        <v>55.02</v>
      </c>
      <c r="W246" s="288">
        <f t="shared" si="111"/>
        <v>0</v>
      </c>
      <c r="X246" s="288">
        <f t="shared" si="112"/>
        <v>0</v>
      </c>
      <c r="Y246" s="288">
        <f t="shared" si="119"/>
        <v>3195.22</v>
      </c>
      <c r="Z246" s="288">
        <f t="shared" si="120"/>
        <v>347733.77999999997</v>
      </c>
      <c r="AA246" s="288">
        <f t="shared" si="121"/>
        <v>179917.60000000012</v>
      </c>
      <c r="AB246" s="288">
        <f t="shared" si="132"/>
        <v>6641.2200000001912</v>
      </c>
      <c r="AC246" s="410">
        <f t="shared" si="141"/>
        <v>186</v>
      </c>
      <c r="AD246" s="510">
        <f t="shared" si="142"/>
        <v>-97837.49</v>
      </c>
      <c r="AE246" s="510">
        <f t="shared" si="113"/>
        <v>-33620.489999999809</v>
      </c>
      <c r="AF246" s="510">
        <f t="shared" si="114"/>
        <v>-131457.97999999981</v>
      </c>
      <c r="AG246" s="510">
        <f t="shared" si="143"/>
        <v>2813.1099999999997</v>
      </c>
      <c r="AH246" s="510">
        <f t="shared" si="144"/>
        <v>54930.350000000035</v>
      </c>
      <c r="AI246" s="510"/>
      <c r="AJ246" s="14">
        <f t="shared" si="122"/>
        <v>2813.1099999999997</v>
      </c>
      <c r="AK246" s="14">
        <f t="shared" si="123"/>
        <v>451611.48999999836</v>
      </c>
      <c r="AL246" s="510">
        <f>IF(R246&lt;=0,0,+(Profit!$B$4+AM245)*$AL$1/12)</f>
        <v>1491.6474731287178</v>
      </c>
      <c r="AM246" s="14">
        <f t="shared" si="145"/>
        <v>223150.63672461579</v>
      </c>
    </row>
    <row r="247" spans="1:39" x14ac:dyDescent="0.25">
      <c r="A247" s="499">
        <f t="shared" si="133"/>
        <v>51369</v>
      </c>
      <c r="B247" s="288">
        <f t="shared" si="134"/>
        <v>40261.71</v>
      </c>
      <c r="C247" s="14">
        <f t="shared" si="124"/>
        <v>382.11</v>
      </c>
      <c r="D247" s="14">
        <f t="shared" si="146"/>
        <v>256.29000000000002</v>
      </c>
      <c r="E247" s="14">
        <f t="shared" si="125"/>
        <v>125.82</v>
      </c>
      <c r="F247" s="288">
        <f t="shared" si="135"/>
        <v>42761.520000000004</v>
      </c>
      <c r="G247" s="288">
        <f t="shared" si="136"/>
        <v>46527.95</v>
      </c>
      <c r="H247" s="288">
        <f t="shared" si="126"/>
        <v>40005.42</v>
      </c>
      <c r="I247" s="410">
        <f t="shared" si="127"/>
        <v>15</v>
      </c>
      <c r="J247" s="288">
        <f t="shared" si="137"/>
        <v>253778.63999999987</v>
      </c>
      <c r="K247" s="288">
        <f t="shared" si="116"/>
        <v>2298.4699999999998</v>
      </c>
      <c r="L247" s="288">
        <f t="shared" si="147"/>
        <v>870.9699999999998</v>
      </c>
      <c r="M247" s="288">
        <f t="shared" si="117"/>
        <v>1427.5</v>
      </c>
      <c r="N247" s="288">
        <f t="shared" si="138"/>
        <v>101467.32999999996</v>
      </c>
      <c r="O247" s="288">
        <f t="shared" si="139"/>
        <v>330645.03000000003</v>
      </c>
      <c r="P247" s="288">
        <f t="shared" si="128"/>
        <v>252907.66999999987</v>
      </c>
      <c r="Q247" s="499">
        <f t="shared" si="129"/>
        <v>51369</v>
      </c>
      <c r="R247" s="288">
        <f t="shared" si="115"/>
        <v>6641.2200000001912</v>
      </c>
      <c r="S247" s="492">
        <f t="shared" si="140"/>
        <v>6.7500000000000004E-2</v>
      </c>
      <c r="T247" s="288">
        <f t="shared" si="130"/>
        <v>3195.22</v>
      </c>
      <c r="U247" s="288">
        <f t="shared" si="118"/>
        <v>3157.8599999999997</v>
      </c>
      <c r="V247" s="288">
        <f t="shared" si="131"/>
        <v>37.36</v>
      </c>
      <c r="W247" s="288">
        <f t="shared" si="111"/>
        <v>0</v>
      </c>
      <c r="X247" s="288">
        <f t="shared" si="112"/>
        <v>0</v>
      </c>
      <c r="Y247" s="288">
        <f t="shared" si="119"/>
        <v>3195.22</v>
      </c>
      <c r="Z247" s="288">
        <f t="shared" si="120"/>
        <v>350891.63999999996</v>
      </c>
      <c r="AA247" s="288">
        <f t="shared" si="121"/>
        <v>179954.96000000011</v>
      </c>
      <c r="AB247" s="288">
        <f t="shared" si="132"/>
        <v>3483.3600000001916</v>
      </c>
      <c r="AC247" s="410">
        <f t="shared" si="141"/>
        <v>187</v>
      </c>
      <c r="AD247" s="510">
        <f t="shared" si="142"/>
        <v>-98734.24</v>
      </c>
      <c r="AE247" s="510">
        <f t="shared" si="113"/>
        <v>-36522.059999999808</v>
      </c>
      <c r="AF247" s="510">
        <f t="shared" si="114"/>
        <v>-135256.29999999981</v>
      </c>
      <c r="AG247" s="510">
        <f t="shared" si="143"/>
        <v>2813.1099999999997</v>
      </c>
      <c r="AH247" s="510">
        <f t="shared" si="144"/>
        <v>52028.780000000086</v>
      </c>
      <c r="AI247" s="510"/>
      <c r="AJ247" s="14">
        <f t="shared" si="122"/>
        <v>2813.1099999999997</v>
      </c>
      <c r="AK247" s="14">
        <f t="shared" si="123"/>
        <v>454424.59999999835</v>
      </c>
      <c r="AL247" s="510">
        <f>IF(R247&lt;=0,0,+(Profit!$B$4+AM246)*$AL$1/12)</f>
        <v>1495.3765918115396</v>
      </c>
      <c r="AM247" s="14">
        <f t="shared" si="145"/>
        <v>224646.01331642733</v>
      </c>
    </row>
    <row r="248" spans="1:39" x14ac:dyDescent="0.25">
      <c r="A248" s="499">
        <f t="shared" si="133"/>
        <v>51399</v>
      </c>
      <c r="B248" s="288">
        <f t="shared" si="134"/>
        <v>40005.42</v>
      </c>
      <c r="C248" s="14">
        <f t="shared" si="124"/>
        <v>382.11</v>
      </c>
      <c r="D248" s="14">
        <f t="shared" si="146"/>
        <v>257.09000000000003</v>
      </c>
      <c r="E248" s="14">
        <f t="shared" si="125"/>
        <v>125.02</v>
      </c>
      <c r="F248" s="288">
        <f t="shared" si="135"/>
        <v>43018.61</v>
      </c>
      <c r="G248" s="288">
        <f t="shared" si="136"/>
        <v>46652.969999999994</v>
      </c>
      <c r="H248" s="288">
        <f t="shared" si="126"/>
        <v>39748.33</v>
      </c>
      <c r="I248" s="410">
        <f t="shared" si="127"/>
        <v>15</v>
      </c>
      <c r="J248" s="288">
        <f t="shared" si="137"/>
        <v>252907.66999999987</v>
      </c>
      <c r="K248" s="288">
        <f t="shared" si="116"/>
        <v>2298.4699999999998</v>
      </c>
      <c r="L248" s="288">
        <f t="shared" si="147"/>
        <v>875.8599999999999</v>
      </c>
      <c r="M248" s="288">
        <f t="shared" si="117"/>
        <v>1422.61</v>
      </c>
      <c r="N248" s="288">
        <f t="shared" si="138"/>
        <v>102343.18999999996</v>
      </c>
      <c r="O248" s="288">
        <f t="shared" si="139"/>
        <v>332067.64</v>
      </c>
      <c r="P248" s="288">
        <f t="shared" si="128"/>
        <v>252031.80999999988</v>
      </c>
      <c r="Q248" s="499">
        <f t="shared" si="129"/>
        <v>51399</v>
      </c>
      <c r="R248" s="288">
        <f t="shared" si="115"/>
        <v>3483.3600000001916</v>
      </c>
      <c r="S248" s="492">
        <f t="shared" si="140"/>
        <v>6.7500000000000004E-2</v>
      </c>
      <c r="T248" s="288">
        <f t="shared" si="130"/>
        <v>3195.22</v>
      </c>
      <c r="U248" s="288">
        <f t="shared" si="118"/>
        <v>3175.6299999999997</v>
      </c>
      <c r="V248" s="288">
        <f t="shared" si="131"/>
        <v>19.59</v>
      </c>
      <c r="W248" s="288">
        <f t="shared" si="111"/>
        <v>0</v>
      </c>
      <c r="X248" s="288">
        <f t="shared" si="112"/>
        <v>0</v>
      </c>
      <c r="Y248" s="288">
        <f t="shared" si="119"/>
        <v>3195.22</v>
      </c>
      <c r="Z248" s="288">
        <f t="shared" si="120"/>
        <v>354067.26999999996</v>
      </c>
      <c r="AA248" s="288">
        <f t="shared" si="121"/>
        <v>179974.5500000001</v>
      </c>
      <c r="AB248" s="288">
        <f t="shared" si="132"/>
        <v>307.73000000019192</v>
      </c>
      <c r="AC248" s="410">
        <f t="shared" si="141"/>
        <v>188</v>
      </c>
      <c r="AD248" s="510">
        <f t="shared" si="142"/>
        <v>-99630.99</v>
      </c>
      <c r="AE248" s="510">
        <f t="shared" si="113"/>
        <v>-39440.599999999809</v>
      </c>
      <c r="AF248" s="510">
        <f t="shared" si="114"/>
        <v>-139071.58999999982</v>
      </c>
      <c r="AG248" s="510">
        <f t="shared" si="143"/>
        <v>2813.1099999999997</v>
      </c>
      <c r="AH248" s="510">
        <f t="shared" si="144"/>
        <v>49110.240000000049</v>
      </c>
      <c r="AI248" s="510"/>
      <c r="AJ248" s="14">
        <f t="shared" si="122"/>
        <v>2813.1099999999997</v>
      </c>
      <c r="AK248" s="14">
        <f t="shared" si="123"/>
        <v>457237.70999999833</v>
      </c>
      <c r="AL248" s="510">
        <f>IF(R248&lt;=0,0,+(Profit!$B$4+AM247)*$AL$1/12)</f>
        <v>1499.1150332910684</v>
      </c>
      <c r="AM248" s="14">
        <f t="shared" si="145"/>
        <v>226145.1283497184</v>
      </c>
    </row>
    <row r="249" spans="1:39" x14ac:dyDescent="0.25">
      <c r="A249" s="499">
        <f t="shared" si="133"/>
        <v>51429</v>
      </c>
      <c r="B249" s="288">
        <f t="shared" si="134"/>
        <v>39748.33</v>
      </c>
      <c r="C249" s="14">
        <f t="shared" si="124"/>
        <v>382.11</v>
      </c>
      <c r="D249" s="14">
        <f t="shared" si="146"/>
        <v>257.90000000000003</v>
      </c>
      <c r="E249" s="14">
        <f t="shared" si="125"/>
        <v>124.21</v>
      </c>
      <c r="F249" s="288">
        <f t="shared" si="135"/>
        <v>43276.51</v>
      </c>
      <c r="G249" s="288">
        <f t="shared" si="136"/>
        <v>46777.179999999993</v>
      </c>
      <c r="H249" s="288">
        <f t="shared" si="126"/>
        <v>39490.43</v>
      </c>
      <c r="I249" s="410">
        <f t="shared" si="127"/>
        <v>15</v>
      </c>
      <c r="J249" s="288">
        <f t="shared" si="137"/>
        <v>252031.80999999988</v>
      </c>
      <c r="K249" s="288">
        <f t="shared" si="116"/>
        <v>2298.4699999999998</v>
      </c>
      <c r="L249" s="288">
        <f t="shared" si="147"/>
        <v>880.78999999999974</v>
      </c>
      <c r="M249" s="288">
        <f t="shared" si="117"/>
        <v>1417.68</v>
      </c>
      <c r="N249" s="288">
        <f t="shared" si="138"/>
        <v>103223.97999999995</v>
      </c>
      <c r="O249" s="288">
        <f t="shared" si="139"/>
        <v>333485.32</v>
      </c>
      <c r="P249" s="288">
        <f t="shared" si="128"/>
        <v>251151.01999999987</v>
      </c>
      <c r="Q249" s="499">
        <f t="shared" si="129"/>
        <v>51429</v>
      </c>
      <c r="R249" s="288">
        <f t="shared" si="115"/>
        <v>307.73000000019192</v>
      </c>
      <c r="S249" s="492">
        <f t="shared" si="140"/>
        <v>6.7500000000000004E-2</v>
      </c>
      <c r="T249" s="288">
        <f t="shared" si="130"/>
        <v>3195.22</v>
      </c>
      <c r="U249" s="288">
        <f t="shared" si="118"/>
        <v>3193.49</v>
      </c>
      <c r="V249" s="288">
        <f t="shared" si="131"/>
        <v>1.73</v>
      </c>
      <c r="W249" s="288">
        <f t="shared" si="111"/>
        <v>0</v>
      </c>
      <c r="X249" s="288">
        <f t="shared" si="112"/>
        <v>0</v>
      </c>
      <c r="Y249" s="288">
        <f t="shared" si="119"/>
        <v>3195.22</v>
      </c>
      <c r="Z249" s="288">
        <f t="shared" si="120"/>
        <v>357260.75999999995</v>
      </c>
      <c r="AA249" s="288">
        <f t="shared" si="121"/>
        <v>179976.28000000012</v>
      </c>
      <c r="AB249" s="288">
        <f t="shared" si="132"/>
        <v>-2885.7599999998079</v>
      </c>
      <c r="AC249" s="410">
        <f t="shared" si="141"/>
        <v>189</v>
      </c>
      <c r="AD249" s="510">
        <f t="shared" si="142"/>
        <v>-100527.74</v>
      </c>
      <c r="AE249" s="510">
        <f t="shared" si="113"/>
        <v>-42376.189999999806</v>
      </c>
      <c r="AF249" s="510">
        <f t="shared" si="114"/>
        <v>-142903.92999999982</v>
      </c>
      <c r="AG249" s="510">
        <f t="shared" si="143"/>
        <v>2813.1099999999997</v>
      </c>
      <c r="AH249" s="510">
        <f t="shared" si="144"/>
        <v>46174.650000000081</v>
      </c>
      <c r="AI249" s="510"/>
      <c r="AJ249" s="14">
        <f t="shared" si="122"/>
        <v>2813.1099999999997</v>
      </c>
      <c r="AK249" s="14">
        <f t="shared" si="123"/>
        <v>460050.81999999832</v>
      </c>
      <c r="AL249" s="510">
        <f>IF(R249&lt;=0,0,+(Profit!$B$4+AM248)*$AL$1/12)</f>
        <v>1502.8628208742959</v>
      </c>
      <c r="AM249" s="14">
        <f t="shared" si="145"/>
        <v>227647.99117059269</v>
      </c>
    </row>
    <row r="250" spans="1:39" x14ac:dyDescent="0.25">
      <c r="A250" s="499">
        <f t="shared" si="133"/>
        <v>51459</v>
      </c>
      <c r="B250" s="288">
        <f t="shared" si="134"/>
        <v>39490.43</v>
      </c>
      <c r="C250" s="14">
        <f t="shared" si="124"/>
        <v>382.11</v>
      </c>
      <c r="D250" s="14">
        <f t="shared" si="146"/>
        <v>258.70000000000005</v>
      </c>
      <c r="E250" s="14">
        <f t="shared" si="125"/>
        <v>123.41</v>
      </c>
      <c r="F250" s="288">
        <f t="shared" si="135"/>
        <v>43535.21</v>
      </c>
      <c r="G250" s="288">
        <f t="shared" si="136"/>
        <v>46900.59</v>
      </c>
      <c r="H250" s="288">
        <f t="shared" si="126"/>
        <v>39231.730000000003</v>
      </c>
      <c r="I250" s="410">
        <f t="shared" si="127"/>
        <v>15</v>
      </c>
      <c r="J250" s="288">
        <f t="shared" si="137"/>
        <v>251151.01999999987</v>
      </c>
      <c r="K250" s="288">
        <f t="shared" si="116"/>
        <v>2298.4699999999998</v>
      </c>
      <c r="L250" s="288">
        <f t="shared" si="147"/>
        <v>885.74999999999977</v>
      </c>
      <c r="M250" s="288">
        <f t="shared" si="117"/>
        <v>1412.72</v>
      </c>
      <c r="N250" s="288">
        <f t="shared" si="138"/>
        <v>104109.72999999995</v>
      </c>
      <c r="O250" s="288">
        <f t="shared" si="139"/>
        <v>334898.03999999998</v>
      </c>
      <c r="P250" s="288">
        <f t="shared" si="128"/>
        <v>250265.26999999987</v>
      </c>
      <c r="Q250" s="499">
        <f t="shared" si="129"/>
        <v>51459</v>
      </c>
      <c r="R250" s="288">
        <f t="shared" si="115"/>
        <v>0</v>
      </c>
      <c r="S250" s="492">
        <f t="shared" si="140"/>
        <v>6.7500000000000004E-2</v>
      </c>
      <c r="T250" s="288">
        <f t="shared" si="130"/>
        <v>0</v>
      </c>
      <c r="U250" s="288">
        <f t="shared" si="118"/>
        <v>0</v>
      </c>
      <c r="V250" s="288">
        <f t="shared" si="131"/>
        <v>0</v>
      </c>
      <c r="W250" s="288">
        <f t="shared" si="111"/>
        <v>0</v>
      </c>
      <c r="X250" s="288">
        <f t="shared" si="112"/>
        <v>0</v>
      </c>
      <c r="Y250" s="288">
        <f t="shared" si="119"/>
        <v>0</v>
      </c>
      <c r="Z250" s="288">
        <f t="shared" si="120"/>
        <v>357260.75999999995</v>
      </c>
      <c r="AA250" s="288">
        <f t="shared" si="121"/>
        <v>179976.28000000012</v>
      </c>
      <c r="AB250" s="288">
        <f t="shared" si="132"/>
        <v>0</v>
      </c>
      <c r="AC250" s="410">
        <f t="shared" si="141"/>
        <v>190</v>
      </c>
      <c r="AD250" s="510">
        <f t="shared" si="142"/>
        <v>-98229.27</v>
      </c>
      <c r="AE250" s="510">
        <f t="shared" si="113"/>
        <v>-39231.730000000003</v>
      </c>
      <c r="AF250" s="510">
        <f t="shared" si="114"/>
        <v>-137461</v>
      </c>
      <c r="AG250" s="510">
        <f t="shared" si="143"/>
        <v>-382.11</v>
      </c>
      <c r="AH250" s="510">
        <f t="shared" si="144"/>
        <v>46433.350000000093</v>
      </c>
      <c r="AI250" s="510"/>
      <c r="AJ250" s="14">
        <f t="shared" si="122"/>
        <v>-382.11</v>
      </c>
      <c r="AK250" s="14">
        <f t="shared" si="123"/>
        <v>459668.70999999833</v>
      </c>
      <c r="AL250" s="510">
        <f>IF(R250&lt;=0,0,+(Profit!$B$4+AM249)*$AL$1/12)</f>
        <v>0</v>
      </c>
      <c r="AM250" s="14">
        <f t="shared" si="145"/>
        <v>227647.99117059269</v>
      </c>
    </row>
    <row r="251" spans="1:39" x14ac:dyDescent="0.25">
      <c r="A251" s="499">
        <f t="shared" si="133"/>
        <v>51489</v>
      </c>
      <c r="B251" s="288">
        <f t="shared" si="134"/>
        <v>39231.730000000003</v>
      </c>
      <c r="C251" s="14">
        <f t="shared" si="124"/>
        <v>382.11</v>
      </c>
      <c r="D251" s="14">
        <f t="shared" si="146"/>
        <v>259.51</v>
      </c>
      <c r="E251" s="14">
        <f t="shared" si="125"/>
        <v>122.6</v>
      </c>
      <c r="F251" s="288">
        <f t="shared" si="135"/>
        <v>43794.720000000001</v>
      </c>
      <c r="G251" s="288">
        <f t="shared" si="136"/>
        <v>47023.189999999995</v>
      </c>
      <c r="H251" s="288">
        <f t="shared" si="126"/>
        <v>38972.22</v>
      </c>
      <c r="I251" s="410">
        <f t="shared" si="127"/>
        <v>15</v>
      </c>
      <c r="J251" s="288">
        <f t="shared" si="137"/>
        <v>250265.26999999987</v>
      </c>
      <c r="K251" s="288">
        <f t="shared" si="116"/>
        <v>2298.4699999999998</v>
      </c>
      <c r="L251" s="288">
        <f t="shared" si="147"/>
        <v>890.72999999999979</v>
      </c>
      <c r="M251" s="288">
        <f t="shared" si="117"/>
        <v>1407.74</v>
      </c>
      <c r="N251" s="288">
        <f t="shared" si="138"/>
        <v>105000.45999999995</v>
      </c>
      <c r="O251" s="288">
        <f t="shared" si="139"/>
        <v>336305.77999999997</v>
      </c>
      <c r="P251" s="288">
        <f t="shared" si="128"/>
        <v>249374.53999999986</v>
      </c>
      <c r="Q251" s="499">
        <f t="shared" si="129"/>
        <v>51489</v>
      </c>
      <c r="R251" s="288">
        <f t="shared" si="115"/>
        <v>0</v>
      </c>
      <c r="S251" s="492">
        <f t="shared" si="140"/>
        <v>6.7500000000000004E-2</v>
      </c>
      <c r="T251" s="288">
        <f t="shared" si="130"/>
        <v>0</v>
      </c>
      <c r="U251" s="288">
        <f t="shared" si="118"/>
        <v>0</v>
      </c>
      <c r="V251" s="288">
        <f t="shared" si="131"/>
        <v>0</v>
      </c>
      <c r="W251" s="288">
        <f t="shared" si="111"/>
        <v>0</v>
      </c>
      <c r="X251" s="288">
        <f t="shared" si="112"/>
        <v>0</v>
      </c>
      <c r="Y251" s="288">
        <f t="shared" si="119"/>
        <v>0</v>
      </c>
      <c r="Z251" s="288">
        <f t="shared" si="120"/>
        <v>357260.75999999995</v>
      </c>
      <c r="AA251" s="288">
        <f t="shared" si="121"/>
        <v>179976.28000000012</v>
      </c>
      <c r="AB251" s="288">
        <f t="shared" si="132"/>
        <v>0</v>
      </c>
      <c r="AC251" s="410">
        <f t="shared" si="141"/>
        <v>191</v>
      </c>
      <c r="AD251" s="510">
        <f t="shared" si="142"/>
        <v>-95930.8</v>
      </c>
      <c r="AE251" s="510">
        <f t="shared" si="113"/>
        <v>-38972.22</v>
      </c>
      <c r="AF251" s="510">
        <f t="shared" si="114"/>
        <v>-134903.02000000002</v>
      </c>
      <c r="AG251" s="510">
        <f t="shared" si="143"/>
        <v>-382.11</v>
      </c>
      <c r="AH251" s="510">
        <f t="shared" si="144"/>
        <v>46692.860000000044</v>
      </c>
      <c r="AI251" s="510"/>
      <c r="AJ251" s="14">
        <f t="shared" si="122"/>
        <v>-382.11</v>
      </c>
      <c r="AK251" s="14">
        <f t="shared" si="123"/>
        <v>459286.59999999835</v>
      </c>
      <c r="AL251" s="510">
        <f>IF(R251&lt;=0,0,+(Profit!$B$4+AM250)*$AL$1/12)</f>
        <v>0</v>
      </c>
      <c r="AM251" s="14">
        <f t="shared" si="145"/>
        <v>227647.99117059269</v>
      </c>
    </row>
    <row r="252" spans="1:39" x14ac:dyDescent="0.25">
      <c r="A252" s="499">
        <f t="shared" si="133"/>
        <v>51519</v>
      </c>
      <c r="B252" s="288">
        <f t="shared" si="134"/>
        <v>38972.22</v>
      </c>
      <c r="C252" s="14">
        <f t="shared" si="124"/>
        <v>382.11</v>
      </c>
      <c r="D252" s="14">
        <f t="shared" si="146"/>
        <v>260.32</v>
      </c>
      <c r="E252" s="14">
        <f t="shared" si="125"/>
        <v>121.79</v>
      </c>
      <c r="F252" s="288">
        <f t="shared" si="135"/>
        <v>44055.040000000001</v>
      </c>
      <c r="G252" s="288">
        <f t="shared" si="136"/>
        <v>47144.979999999996</v>
      </c>
      <c r="H252" s="288">
        <f t="shared" si="126"/>
        <v>38711.9</v>
      </c>
      <c r="I252" s="410">
        <f t="shared" si="127"/>
        <v>16</v>
      </c>
      <c r="J252" s="288">
        <f t="shared" si="137"/>
        <v>249374.53999999986</v>
      </c>
      <c r="K252" s="288">
        <f t="shared" si="116"/>
        <v>2298.4699999999998</v>
      </c>
      <c r="L252" s="288">
        <f t="shared" si="147"/>
        <v>895.73999999999978</v>
      </c>
      <c r="M252" s="288">
        <f t="shared" si="117"/>
        <v>1402.73</v>
      </c>
      <c r="N252" s="288">
        <f t="shared" si="138"/>
        <v>105896.19999999995</v>
      </c>
      <c r="O252" s="288">
        <f t="shared" si="139"/>
        <v>337708.50999999995</v>
      </c>
      <c r="P252" s="288">
        <f t="shared" si="128"/>
        <v>248478.79999999987</v>
      </c>
      <c r="Q252" s="499">
        <f t="shared" si="129"/>
        <v>51519</v>
      </c>
      <c r="R252" s="288">
        <f t="shared" si="115"/>
        <v>0</v>
      </c>
      <c r="S252" s="492">
        <f t="shared" si="140"/>
        <v>6.7500000000000004E-2</v>
      </c>
      <c r="T252" s="288">
        <f t="shared" si="130"/>
        <v>0</v>
      </c>
      <c r="U252" s="288">
        <f t="shared" si="118"/>
        <v>0</v>
      </c>
      <c r="V252" s="288">
        <f t="shared" si="131"/>
        <v>0</v>
      </c>
      <c r="W252" s="288">
        <f t="shared" ref="W252:W315" si="148">+W251</f>
        <v>0</v>
      </c>
      <c r="X252" s="288">
        <f t="shared" ref="X252:X315" si="149">+X251</f>
        <v>0</v>
      </c>
      <c r="Y252" s="288">
        <f t="shared" si="119"/>
        <v>0</v>
      </c>
      <c r="Z252" s="288">
        <f t="shared" si="120"/>
        <v>357260.75999999995</v>
      </c>
      <c r="AA252" s="288">
        <f t="shared" si="121"/>
        <v>179976.28000000012</v>
      </c>
      <c r="AB252" s="288">
        <f t="shared" si="132"/>
        <v>0</v>
      </c>
      <c r="AC252" s="410">
        <f t="shared" si="141"/>
        <v>192</v>
      </c>
      <c r="AD252" s="510">
        <f t="shared" si="142"/>
        <v>-93632.33</v>
      </c>
      <c r="AE252" s="510">
        <f t="shared" ref="AE252:AE315" si="150">AB252-H252</f>
        <v>-38711.9</v>
      </c>
      <c r="AF252" s="510">
        <f t="shared" ref="AF252:AF315" si="151">SUM(AD252:AE252)</f>
        <v>-132344.23000000001</v>
      </c>
      <c r="AG252" s="510">
        <f t="shared" si="143"/>
        <v>-382.11</v>
      </c>
      <c r="AH252" s="510">
        <f t="shared" si="144"/>
        <v>46953.180000000051</v>
      </c>
      <c r="AI252" s="510"/>
      <c r="AJ252" s="14">
        <f t="shared" si="122"/>
        <v>-382.11</v>
      </c>
      <c r="AK252" s="14">
        <f t="shared" si="123"/>
        <v>458904.48999999836</v>
      </c>
      <c r="AL252" s="510">
        <f>IF(R252&lt;=0,0,+(Profit!$B$4+AM251)*$AL$1/12)</f>
        <v>0</v>
      </c>
      <c r="AM252" s="14">
        <f t="shared" si="145"/>
        <v>227647.99117059269</v>
      </c>
    </row>
    <row r="253" spans="1:39" x14ac:dyDescent="0.25">
      <c r="A253" s="499">
        <f t="shared" si="133"/>
        <v>51549</v>
      </c>
      <c r="B253" s="288">
        <f t="shared" si="134"/>
        <v>38711.9</v>
      </c>
      <c r="C253" s="14">
        <f t="shared" si="124"/>
        <v>382.11</v>
      </c>
      <c r="D253" s="14">
        <f t="shared" si="146"/>
        <v>261.14</v>
      </c>
      <c r="E253" s="14">
        <f t="shared" si="125"/>
        <v>120.97</v>
      </c>
      <c r="F253" s="288">
        <f t="shared" si="135"/>
        <v>44316.18</v>
      </c>
      <c r="G253" s="288">
        <f t="shared" si="136"/>
        <v>47265.95</v>
      </c>
      <c r="H253" s="288">
        <f t="shared" si="126"/>
        <v>38450.76</v>
      </c>
      <c r="I253" s="410">
        <f t="shared" si="127"/>
        <v>16</v>
      </c>
      <c r="J253" s="288">
        <f t="shared" si="137"/>
        <v>248478.79999999987</v>
      </c>
      <c r="K253" s="288">
        <f t="shared" si="116"/>
        <v>2298.4699999999998</v>
      </c>
      <c r="L253" s="288">
        <f t="shared" si="147"/>
        <v>900.77999999999975</v>
      </c>
      <c r="M253" s="288">
        <f t="shared" si="117"/>
        <v>1397.69</v>
      </c>
      <c r="N253" s="288">
        <f t="shared" si="138"/>
        <v>106796.97999999995</v>
      </c>
      <c r="O253" s="288">
        <f t="shared" si="139"/>
        <v>339106.19999999995</v>
      </c>
      <c r="P253" s="288">
        <f t="shared" si="128"/>
        <v>247578.01999999987</v>
      </c>
      <c r="Q253" s="499">
        <f t="shared" si="129"/>
        <v>51549</v>
      </c>
      <c r="R253" s="288">
        <f t="shared" ref="R253:R316" si="152">IF(Q253&gt;$J$10,IF(+AB252&lt;0,0,+AB252),0)</f>
        <v>0</v>
      </c>
      <c r="S253" s="492">
        <f t="shared" si="140"/>
        <v>6.7500000000000004E-2</v>
      </c>
      <c r="T253" s="288">
        <f t="shared" si="130"/>
        <v>0</v>
      </c>
      <c r="U253" s="288">
        <f t="shared" si="118"/>
        <v>0</v>
      </c>
      <c r="V253" s="288">
        <f t="shared" si="131"/>
        <v>0</v>
      </c>
      <c r="W253" s="288">
        <f t="shared" si="148"/>
        <v>0</v>
      </c>
      <c r="X253" s="288">
        <f t="shared" si="149"/>
        <v>0</v>
      </c>
      <c r="Y253" s="288">
        <f t="shared" si="119"/>
        <v>0</v>
      </c>
      <c r="Z253" s="288">
        <f t="shared" si="120"/>
        <v>357260.75999999995</v>
      </c>
      <c r="AA253" s="288">
        <f t="shared" si="121"/>
        <v>179976.28000000012</v>
      </c>
      <c r="AB253" s="288">
        <f t="shared" si="132"/>
        <v>0</v>
      </c>
      <c r="AC253" s="410">
        <f t="shared" si="141"/>
        <v>193</v>
      </c>
      <c r="AD253" s="510">
        <f t="shared" si="142"/>
        <v>-91333.86</v>
      </c>
      <c r="AE253" s="510">
        <f t="shared" si="150"/>
        <v>-38450.76</v>
      </c>
      <c r="AF253" s="510">
        <f t="shared" si="151"/>
        <v>-129784.62</v>
      </c>
      <c r="AG253" s="510">
        <f t="shared" si="143"/>
        <v>-382.11</v>
      </c>
      <c r="AH253" s="510">
        <f t="shared" si="144"/>
        <v>47214.320000000065</v>
      </c>
      <c r="AI253" s="510"/>
      <c r="AJ253" s="14">
        <f t="shared" si="122"/>
        <v>-382.11</v>
      </c>
      <c r="AK253" s="14">
        <f t="shared" si="123"/>
        <v>458522.37999999837</v>
      </c>
      <c r="AL253" s="510">
        <f>IF(R253&lt;=0,0,+(Profit!$B$4+AM252)*$AL$1/12)</f>
        <v>0</v>
      </c>
      <c r="AM253" s="14">
        <f t="shared" si="145"/>
        <v>227647.99117059269</v>
      </c>
    </row>
    <row r="254" spans="1:39" ht="15.75" thickBot="1" x14ac:dyDescent="0.3">
      <c r="A254" s="502">
        <f t="shared" si="133"/>
        <v>51579</v>
      </c>
      <c r="B254" s="343">
        <f t="shared" si="134"/>
        <v>38450.76</v>
      </c>
      <c r="C254" s="21">
        <f t="shared" si="124"/>
        <v>382.11</v>
      </c>
      <c r="D254" s="21">
        <f t="shared" si="146"/>
        <v>261.95000000000005</v>
      </c>
      <c r="E254" s="21">
        <f t="shared" si="125"/>
        <v>120.16</v>
      </c>
      <c r="F254" s="343">
        <f t="shared" si="135"/>
        <v>44578.13</v>
      </c>
      <c r="G254" s="343">
        <f t="shared" si="136"/>
        <v>47386.11</v>
      </c>
      <c r="H254" s="343">
        <f t="shared" si="126"/>
        <v>38188.810000000005</v>
      </c>
      <c r="I254" s="411">
        <f t="shared" si="127"/>
        <v>16</v>
      </c>
      <c r="J254" s="343">
        <f t="shared" si="137"/>
        <v>247578.01999999987</v>
      </c>
      <c r="K254" s="343">
        <f t="shared" ref="K254:K317" si="153">IF($J$10&lt;=A254,IF(+$P253&lt;=0,0,$J$9),0)</f>
        <v>2298.4699999999998</v>
      </c>
      <c r="L254" s="343">
        <f t="shared" si="147"/>
        <v>905.83999999999969</v>
      </c>
      <c r="M254" s="343">
        <f t="shared" ref="M254:M317" si="154">IF($J$10&lt;=A254,ROUND(J254*($J$7/12),2),0)</f>
        <v>1392.63</v>
      </c>
      <c r="N254" s="343">
        <f t="shared" si="138"/>
        <v>107702.81999999995</v>
      </c>
      <c r="O254" s="343">
        <f t="shared" si="139"/>
        <v>340498.82999999996</v>
      </c>
      <c r="P254" s="343">
        <f t="shared" si="128"/>
        <v>246672.17999999988</v>
      </c>
      <c r="Q254" s="502">
        <f t="shared" si="129"/>
        <v>51579</v>
      </c>
      <c r="R254" s="343">
        <f t="shared" si="152"/>
        <v>0</v>
      </c>
      <c r="S254" s="493">
        <f t="shared" si="140"/>
        <v>6.7500000000000004E-2</v>
      </c>
      <c r="T254" s="343">
        <f t="shared" si="130"/>
        <v>0</v>
      </c>
      <c r="U254" s="343">
        <f t="shared" ref="U254:U317" si="155">+T254-V254</f>
        <v>0</v>
      </c>
      <c r="V254" s="343">
        <f t="shared" si="131"/>
        <v>0</v>
      </c>
      <c r="W254" s="343">
        <f t="shared" si="148"/>
        <v>0</v>
      </c>
      <c r="X254" s="343">
        <f t="shared" si="149"/>
        <v>0</v>
      </c>
      <c r="Y254" s="343">
        <f t="shared" ref="Y254:Y317" si="156">SUM(U254:X254)</f>
        <v>0</v>
      </c>
      <c r="Z254" s="343">
        <f t="shared" ref="Z254:Z317" si="157">+U254+Z253</f>
        <v>357260.75999999995</v>
      </c>
      <c r="AA254" s="343">
        <f t="shared" ref="AA254:AA317" si="158">+AA253+V254</f>
        <v>179976.28000000012</v>
      </c>
      <c r="AB254" s="343">
        <f t="shared" si="132"/>
        <v>0</v>
      </c>
      <c r="AC254" s="411">
        <f t="shared" si="141"/>
        <v>194</v>
      </c>
      <c r="AD254" s="511">
        <f t="shared" si="142"/>
        <v>-89035.39</v>
      </c>
      <c r="AE254" s="511">
        <f t="shared" si="150"/>
        <v>-38188.810000000005</v>
      </c>
      <c r="AF254" s="511">
        <f t="shared" si="151"/>
        <v>-127224.20000000001</v>
      </c>
      <c r="AG254" s="511">
        <f t="shared" si="143"/>
        <v>-382.11</v>
      </c>
      <c r="AH254" s="511">
        <f t="shared" si="144"/>
        <v>47476.270000000077</v>
      </c>
      <c r="AI254" s="511"/>
      <c r="AJ254" s="21">
        <f t="shared" ref="AJ254:AJ317" si="159">+AG254-AI254</f>
        <v>-382.11</v>
      </c>
      <c r="AK254" s="21">
        <f t="shared" si="123"/>
        <v>458140.26999999839</v>
      </c>
      <c r="AL254" s="511">
        <f>IF(R254&lt;=0,0,+(Profit!$B$4+AM253)*$AL$1/12)</f>
        <v>0</v>
      </c>
      <c r="AM254" s="21">
        <f t="shared" si="145"/>
        <v>227647.99117059269</v>
      </c>
    </row>
    <row r="255" spans="1:39" x14ac:dyDescent="0.25">
      <c r="A255" s="499">
        <f t="shared" si="133"/>
        <v>51609</v>
      </c>
      <c r="B255" s="288">
        <f t="shared" si="134"/>
        <v>38188.810000000005</v>
      </c>
      <c r="C255" s="14">
        <f t="shared" si="124"/>
        <v>382.11</v>
      </c>
      <c r="D255" s="14">
        <f t="shared" si="146"/>
        <v>262.77</v>
      </c>
      <c r="E255" s="14">
        <f t="shared" si="125"/>
        <v>119.34</v>
      </c>
      <c r="F255" s="288">
        <f t="shared" si="135"/>
        <v>44840.899999999994</v>
      </c>
      <c r="G255" s="288">
        <f t="shared" si="136"/>
        <v>47505.45</v>
      </c>
      <c r="H255" s="288">
        <f t="shared" si="126"/>
        <v>37926.040000000008</v>
      </c>
      <c r="I255" s="410">
        <f t="shared" si="127"/>
        <v>16</v>
      </c>
      <c r="J255" s="288">
        <f t="shared" si="137"/>
        <v>246672.17999999988</v>
      </c>
      <c r="K255" s="288">
        <f t="shared" si="153"/>
        <v>2298.4699999999998</v>
      </c>
      <c r="L255" s="288">
        <f t="shared" si="147"/>
        <v>910.93999999999983</v>
      </c>
      <c r="M255" s="288">
        <f t="shared" si="154"/>
        <v>1387.53</v>
      </c>
      <c r="N255" s="288">
        <f t="shared" si="138"/>
        <v>108613.75999999995</v>
      </c>
      <c r="O255" s="288">
        <f t="shared" si="139"/>
        <v>341886.36</v>
      </c>
      <c r="P255" s="288">
        <f t="shared" si="128"/>
        <v>245761.23999999987</v>
      </c>
      <c r="Q255" s="499">
        <f t="shared" si="129"/>
        <v>51609</v>
      </c>
      <c r="R255" s="288">
        <f t="shared" si="152"/>
        <v>0</v>
      </c>
      <c r="S255" s="492">
        <f t="shared" si="140"/>
        <v>6.7500000000000004E-2</v>
      </c>
      <c r="T255" s="288">
        <f t="shared" si="130"/>
        <v>0</v>
      </c>
      <c r="U255" s="288">
        <f t="shared" si="155"/>
        <v>0</v>
      </c>
      <c r="V255" s="288">
        <f t="shared" si="131"/>
        <v>0</v>
      </c>
      <c r="W255" s="288">
        <f t="shared" si="148"/>
        <v>0</v>
      </c>
      <c r="X255" s="288">
        <f t="shared" si="149"/>
        <v>0</v>
      </c>
      <c r="Y255" s="288">
        <f t="shared" si="156"/>
        <v>0</v>
      </c>
      <c r="Z255" s="288">
        <f t="shared" si="157"/>
        <v>357260.75999999995</v>
      </c>
      <c r="AA255" s="288">
        <f t="shared" si="158"/>
        <v>179976.28000000012</v>
      </c>
      <c r="AB255" s="288">
        <f t="shared" si="132"/>
        <v>0</v>
      </c>
      <c r="AC255" s="410">
        <f t="shared" si="141"/>
        <v>195</v>
      </c>
      <c r="AD255" s="510">
        <f t="shared" si="142"/>
        <v>-86736.92</v>
      </c>
      <c r="AE255" s="510">
        <f t="shared" si="150"/>
        <v>-37926.040000000008</v>
      </c>
      <c r="AF255" s="510">
        <f t="shared" si="151"/>
        <v>-124662.96</v>
      </c>
      <c r="AG255" s="510">
        <f t="shared" si="143"/>
        <v>-382.11</v>
      </c>
      <c r="AH255" s="510">
        <f t="shared" si="144"/>
        <v>47739.040000000095</v>
      </c>
      <c r="AI255" s="510"/>
      <c r="AJ255" s="14">
        <f t="shared" si="159"/>
        <v>-382.11</v>
      </c>
      <c r="AK255" s="14">
        <f t="shared" si="123"/>
        <v>457758.1599999984</v>
      </c>
      <c r="AL255" s="510">
        <f>IF(R255&lt;=0,0,+(Profit!$B$4+AM254)*$AL$1/12)</f>
        <v>0</v>
      </c>
      <c r="AM255" s="14">
        <f t="shared" si="145"/>
        <v>227647.99117059269</v>
      </c>
    </row>
    <row r="256" spans="1:39" x14ac:dyDescent="0.25">
      <c r="A256" s="499">
        <f t="shared" si="133"/>
        <v>51639</v>
      </c>
      <c r="B256" s="288">
        <f t="shared" si="134"/>
        <v>37926.040000000008</v>
      </c>
      <c r="C256" s="14">
        <f t="shared" si="124"/>
        <v>382.11</v>
      </c>
      <c r="D256" s="14">
        <f t="shared" si="146"/>
        <v>263.59000000000003</v>
      </c>
      <c r="E256" s="14">
        <f t="shared" si="125"/>
        <v>118.52</v>
      </c>
      <c r="F256" s="288">
        <f t="shared" si="135"/>
        <v>45104.489999999991</v>
      </c>
      <c r="G256" s="288">
        <f t="shared" si="136"/>
        <v>47623.969999999994</v>
      </c>
      <c r="H256" s="288">
        <f t="shared" si="126"/>
        <v>37662.450000000012</v>
      </c>
      <c r="I256" s="410">
        <f t="shared" si="127"/>
        <v>16</v>
      </c>
      <c r="J256" s="288">
        <f t="shared" si="137"/>
        <v>245761.23999999987</v>
      </c>
      <c r="K256" s="288">
        <f t="shared" si="153"/>
        <v>2298.4699999999998</v>
      </c>
      <c r="L256" s="288">
        <f t="shared" si="147"/>
        <v>916.05999999999972</v>
      </c>
      <c r="M256" s="288">
        <f t="shared" si="154"/>
        <v>1382.41</v>
      </c>
      <c r="N256" s="288">
        <f t="shared" si="138"/>
        <v>109529.81999999995</v>
      </c>
      <c r="O256" s="288">
        <f t="shared" si="139"/>
        <v>343268.76999999996</v>
      </c>
      <c r="P256" s="288">
        <f t="shared" si="128"/>
        <v>244845.17999999988</v>
      </c>
      <c r="Q256" s="499">
        <f t="shared" si="129"/>
        <v>51639</v>
      </c>
      <c r="R256" s="288">
        <f t="shared" si="152"/>
        <v>0</v>
      </c>
      <c r="S256" s="492">
        <f t="shared" si="140"/>
        <v>6.7500000000000004E-2</v>
      </c>
      <c r="T256" s="288">
        <f t="shared" si="130"/>
        <v>0</v>
      </c>
      <c r="U256" s="288">
        <f t="shared" si="155"/>
        <v>0</v>
      </c>
      <c r="V256" s="288">
        <f t="shared" si="131"/>
        <v>0</v>
      </c>
      <c r="W256" s="288">
        <f t="shared" si="148"/>
        <v>0</v>
      </c>
      <c r="X256" s="288">
        <f t="shared" si="149"/>
        <v>0</v>
      </c>
      <c r="Y256" s="288">
        <f t="shared" si="156"/>
        <v>0</v>
      </c>
      <c r="Z256" s="288">
        <f t="shared" si="157"/>
        <v>357260.75999999995</v>
      </c>
      <c r="AA256" s="288">
        <f t="shared" si="158"/>
        <v>179976.28000000012</v>
      </c>
      <c r="AB256" s="288">
        <f t="shared" si="132"/>
        <v>0</v>
      </c>
      <c r="AC256" s="410">
        <f t="shared" si="141"/>
        <v>196</v>
      </c>
      <c r="AD256" s="510">
        <f t="shared" si="142"/>
        <v>-84438.45</v>
      </c>
      <c r="AE256" s="510">
        <f t="shared" si="150"/>
        <v>-37662.450000000012</v>
      </c>
      <c r="AF256" s="510">
        <f t="shared" si="151"/>
        <v>-122100.90000000001</v>
      </c>
      <c r="AG256" s="510">
        <f t="shared" si="143"/>
        <v>-382.11</v>
      </c>
      <c r="AH256" s="510">
        <f t="shared" si="144"/>
        <v>48002.630000000063</v>
      </c>
      <c r="AI256" s="510"/>
      <c r="AJ256" s="14">
        <f t="shared" si="159"/>
        <v>-382.11</v>
      </c>
      <c r="AK256" s="14">
        <f t="shared" si="123"/>
        <v>457376.04999999842</v>
      </c>
      <c r="AL256" s="510">
        <f>IF(R256&lt;=0,0,+(Profit!$B$4+AM255)*$AL$1/12)</f>
        <v>0</v>
      </c>
      <c r="AM256" s="14">
        <f t="shared" si="145"/>
        <v>227647.99117059269</v>
      </c>
    </row>
    <row r="257" spans="1:39" x14ac:dyDescent="0.25">
      <c r="A257" s="499">
        <f t="shared" si="133"/>
        <v>51669</v>
      </c>
      <c r="B257" s="288">
        <f t="shared" si="134"/>
        <v>37662.450000000012</v>
      </c>
      <c r="C257" s="14">
        <f t="shared" si="124"/>
        <v>382.11</v>
      </c>
      <c r="D257" s="14">
        <f t="shared" si="146"/>
        <v>264.41000000000003</v>
      </c>
      <c r="E257" s="14">
        <f t="shared" si="125"/>
        <v>117.7</v>
      </c>
      <c r="F257" s="288">
        <f t="shared" si="135"/>
        <v>45368.899999999994</v>
      </c>
      <c r="G257" s="288">
        <f t="shared" si="136"/>
        <v>47741.669999999991</v>
      </c>
      <c r="H257" s="288">
        <f t="shared" si="126"/>
        <v>37398.040000000008</v>
      </c>
      <c r="I257" s="410">
        <f t="shared" si="127"/>
        <v>16</v>
      </c>
      <c r="J257" s="288">
        <f t="shared" si="137"/>
        <v>244845.17999999988</v>
      </c>
      <c r="K257" s="288">
        <f t="shared" si="153"/>
        <v>2298.4699999999998</v>
      </c>
      <c r="L257" s="288">
        <f t="shared" si="147"/>
        <v>921.2199999999998</v>
      </c>
      <c r="M257" s="288">
        <f t="shared" si="154"/>
        <v>1377.25</v>
      </c>
      <c r="N257" s="288">
        <f t="shared" si="138"/>
        <v>110451.03999999995</v>
      </c>
      <c r="O257" s="288">
        <f t="shared" si="139"/>
        <v>344646.01999999996</v>
      </c>
      <c r="P257" s="288">
        <f t="shared" si="128"/>
        <v>243923.95999999988</v>
      </c>
      <c r="Q257" s="499">
        <f t="shared" si="129"/>
        <v>51669</v>
      </c>
      <c r="R257" s="288">
        <f t="shared" si="152"/>
        <v>0</v>
      </c>
      <c r="S257" s="492">
        <f t="shared" si="140"/>
        <v>6.7500000000000004E-2</v>
      </c>
      <c r="T257" s="288">
        <f t="shared" si="130"/>
        <v>0</v>
      </c>
      <c r="U257" s="288">
        <f t="shared" si="155"/>
        <v>0</v>
      </c>
      <c r="V257" s="288">
        <f t="shared" si="131"/>
        <v>0</v>
      </c>
      <c r="W257" s="288">
        <f t="shared" si="148"/>
        <v>0</v>
      </c>
      <c r="X257" s="288">
        <f t="shared" si="149"/>
        <v>0</v>
      </c>
      <c r="Y257" s="288">
        <f t="shared" si="156"/>
        <v>0</v>
      </c>
      <c r="Z257" s="288">
        <f t="shared" si="157"/>
        <v>357260.75999999995</v>
      </c>
      <c r="AA257" s="288">
        <f t="shared" si="158"/>
        <v>179976.28000000012</v>
      </c>
      <c r="AB257" s="288">
        <f t="shared" si="132"/>
        <v>0</v>
      </c>
      <c r="AC257" s="410">
        <f t="shared" si="141"/>
        <v>197</v>
      </c>
      <c r="AD257" s="510">
        <f t="shared" si="142"/>
        <v>-82139.98</v>
      </c>
      <c r="AE257" s="510">
        <f t="shared" si="150"/>
        <v>-37398.040000000008</v>
      </c>
      <c r="AF257" s="510">
        <f t="shared" si="151"/>
        <v>-119538.02</v>
      </c>
      <c r="AG257" s="510">
        <f t="shared" si="143"/>
        <v>-382.11</v>
      </c>
      <c r="AH257" s="510">
        <f t="shared" si="144"/>
        <v>48267.040000000095</v>
      </c>
      <c r="AI257" s="510"/>
      <c r="AJ257" s="14">
        <f t="shared" si="159"/>
        <v>-382.11</v>
      </c>
      <c r="AK257" s="14">
        <f t="shared" si="123"/>
        <v>456993.93999999843</v>
      </c>
      <c r="AL257" s="510">
        <f>IF(R257&lt;=0,0,+(Profit!$B$4+AM256)*$AL$1/12)</f>
        <v>0</v>
      </c>
      <c r="AM257" s="14">
        <f t="shared" si="145"/>
        <v>227647.99117059269</v>
      </c>
    </row>
    <row r="258" spans="1:39" x14ac:dyDescent="0.25">
      <c r="A258" s="499">
        <f t="shared" si="133"/>
        <v>51699</v>
      </c>
      <c r="B258" s="288">
        <f t="shared" si="134"/>
        <v>37398.040000000008</v>
      </c>
      <c r="C258" s="14">
        <f t="shared" si="124"/>
        <v>382.11</v>
      </c>
      <c r="D258" s="14">
        <f t="shared" si="146"/>
        <v>265.24</v>
      </c>
      <c r="E258" s="14">
        <f t="shared" si="125"/>
        <v>116.87</v>
      </c>
      <c r="F258" s="288">
        <f t="shared" si="135"/>
        <v>45634.139999999992</v>
      </c>
      <c r="G258" s="288">
        <f t="shared" si="136"/>
        <v>47858.539999999994</v>
      </c>
      <c r="H258" s="288">
        <f t="shared" si="126"/>
        <v>37132.80000000001</v>
      </c>
      <c r="I258" s="410">
        <f t="shared" si="127"/>
        <v>16</v>
      </c>
      <c r="J258" s="288">
        <f t="shared" si="137"/>
        <v>243923.95999999988</v>
      </c>
      <c r="K258" s="288">
        <f t="shared" si="153"/>
        <v>2298.4699999999998</v>
      </c>
      <c r="L258" s="288">
        <f t="shared" si="147"/>
        <v>926.39999999999986</v>
      </c>
      <c r="M258" s="288">
        <f t="shared" si="154"/>
        <v>1372.07</v>
      </c>
      <c r="N258" s="288">
        <f t="shared" si="138"/>
        <v>111377.43999999994</v>
      </c>
      <c r="O258" s="288">
        <f t="shared" si="139"/>
        <v>346018.08999999997</v>
      </c>
      <c r="P258" s="288">
        <f t="shared" si="128"/>
        <v>242997.55999999988</v>
      </c>
      <c r="Q258" s="499">
        <f t="shared" si="129"/>
        <v>51699</v>
      </c>
      <c r="R258" s="288">
        <f t="shared" si="152"/>
        <v>0</v>
      </c>
      <c r="S258" s="492">
        <f t="shared" si="140"/>
        <v>6.7500000000000004E-2</v>
      </c>
      <c r="T258" s="288">
        <f t="shared" si="130"/>
        <v>0</v>
      </c>
      <c r="U258" s="288">
        <f t="shared" si="155"/>
        <v>0</v>
      </c>
      <c r="V258" s="288">
        <f t="shared" si="131"/>
        <v>0</v>
      </c>
      <c r="W258" s="288">
        <f t="shared" si="148"/>
        <v>0</v>
      </c>
      <c r="X258" s="288">
        <f t="shared" si="149"/>
        <v>0</v>
      </c>
      <c r="Y258" s="288">
        <f t="shared" si="156"/>
        <v>0</v>
      </c>
      <c r="Z258" s="288">
        <f t="shared" si="157"/>
        <v>357260.75999999995</v>
      </c>
      <c r="AA258" s="288">
        <f t="shared" si="158"/>
        <v>179976.28000000012</v>
      </c>
      <c r="AB258" s="288">
        <f t="shared" si="132"/>
        <v>0</v>
      </c>
      <c r="AC258" s="410">
        <f t="shared" si="141"/>
        <v>198</v>
      </c>
      <c r="AD258" s="510">
        <f t="shared" si="142"/>
        <v>-79841.509999999995</v>
      </c>
      <c r="AE258" s="510">
        <f t="shared" si="150"/>
        <v>-37132.80000000001</v>
      </c>
      <c r="AF258" s="510">
        <f t="shared" si="151"/>
        <v>-116974.31</v>
      </c>
      <c r="AG258" s="510">
        <f t="shared" si="143"/>
        <v>-382.11</v>
      </c>
      <c r="AH258" s="510">
        <f t="shared" si="144"/>
        <v>48532.280000000086</v>
      </c>
      <c r="AI258" s="510"/>
      <c r="AJ258" s="14">
        <f t="shared" si="159"/>
        <v>-382.11</v>
      </c>
      <c r="AK258" s="14">
        <f t="shared" ref="AK258:AK321" si="160">IF(P258&lt;=0,0,+AJ258+AK257)</f>
        <v>456611.82999999844</v>
      </c>
      <c r="AL258" s="510">
        <f>IF(R258&lt;=0,0,+(Profit!$B$4+AM257)*$AL$1/12)</f>
        <v>0</v>
      </c>
      <c r="AM258" s="14">
        <f t="shared" si="145"/>
        <v>227647.99117059269</v>
      </c>
    </row>
    <row r="259" spans="1:39" x14ac:dyDescent="0.25">
      <c r="A259" s="499">
        <f t="shared" si="133"/>
        <v>51729</v>
      </c>
      <c r="B259" s="288">
        <f t="shared" si="134"/>
        <v>37132.80000000001</v>
      </c>
      <c r="C259" s="14">
        <f t="shared" si="124"/>
        <v>382.11</v>
      </c>
      <c r="D259" s="14">
        <f t="shared" si="146"/>
        <v>266.07</v>
      </c>
      <c r="E259" s="14">
        <f t="shared" si="125"/>
        <v>116.04</v>
      </c>
      <c r="F259" s="288">
        <f t="shared" si="135"/>
        <v>45900.209999999992</v>
      </c>
      <c r="G259" s="288">
        <f t="shared" si="136"/>
        <v>47974.579999999994</v>
      </c>
      <c r="H259" s="288">
        <f t="shared" si="126"/>
        <v>36866.73000000001</v>
      </c>
      <c r="I259" s="410">
        <f t="shared" si="127"/>
        <v>16</v>
      </c>
      <c r="J259" s="288">
        <f t="shared" si="137"/>
        <v>242997.55999999988</v>
      </c>
      <c r="K259" s="288">
        <f t="shared" si="153"/>
        <v>2298.4699999999998</v>
      </c>
      <c r="L259" s="288">
        <f t="shared" si="147"/>
        <v>931.6099999999999</v>
      </c>
      <c r="M259" s="288">
        <f t="shared" si="154"/>
        <v>1366.86</v>
      </c>
      <c r="N259" s="288">
        <f t="shared" si="138"/>
        <v>112309.04999999994</v>
      </c>
      <c r="O259" s="288">
        <f t="shared" si="139"/>
        <v>347384.94999999995</v>
      </c>
      <c r="P259" s="288">
        <f t="shared" si="128"/>
        <v>242065.9499999999</v>
      </c>
      <c r="Q259" s="499">
        <f t="shared" si="129"/>
        <v>51729</v>
      </c>
      <c r="R259" s="288">
        <f t="shared" si="152"/>
        <v>0</v>
      </c>
      <c r="S259" s="492">
        <f t="shared" si="140"/>
        <v>6.7500000000000004E-2</v>
      </c>
      <c r="T259" s="288">
        <f t="shared" si="130"/>
        <v>0</v>
      </c>
      <c r="U259" s="288">
        <f t="shared" si="155"/>
        <v>0</v>
      </c>
      <c r="V259" s="288">
        <f t="shared" si="131"/>
        <v>0</v>
      </c>
      <c r="W259" s="288">
        <f t="shared" si="148"/>
        <v>0</v>
      </c>
      <c r="X259" s="288">
        <f t="shared" si="149"/>
        <v>0</v>
      </c>
      <c r="Y259" s="288">
        <f t="shared" si="156"/>
        <v>0</v>
      </c>
      <c r="Z259" s="288">
        <f t="shared" si="157"/>
        <v>357260.75999999995</v>
      </c>
      <c r="AA259" s="288">
        <f t="shared" si="158"/>
        <v>179976.28000000012</v>
      </c>
      <c r="AB259" s="288">
        <f t="shared" si="132"/>
        <v>0</v>
      </c>
      <c r="AC259" s="410">
        <f t="shared" si="141"/>
        <v>199</v>
      </c>
      <c r="AD259" s="510">
        <f t="shared" si="142"/>
        <v>-77543.039999999994</v>
      </c>
      <c r="AE259" s="510">
        <f t="shared" si="150"/>
        <v>-36866.73000000001</v>
      </c>
      <c r="AF259" s="510">
        <f t="shared" si="151"/>
        <v>-114409.77</v>
      </c>
      <c r="AG259" s="510">
        <f t="shared" si="143"/>
        <v>-382.11</v>
      </c>
      <c r="AH259" s="510">
        <f t="shared" si="144"/>
        <v>48798.350000000035</v>
      </c>
      <c r="AI259" s="510"/>
      <c r="AJ259" s="14">
        <f t="shared" si="159"/>
        <v>-382.11</v>
      </c>
      <c r="AK259" s="14">
        <f t="shared" si="160"/>
        <v>456229.71999999846</v>
      </c>
      <c r="AL259" s="510">
        <f>IF(R259&lt;=0,0,+(Profit!$B$4+AM258)*$AL$1/12)</f>
        <v>0</v>
      </c>
      <c r="AM259" s="14">
        <f t="shared" si="145"/>
        <v>227647.99117059269</v>
      </c>
    </row>
    <row r="260" spans="1:39" x14ac:dyDescent="0.25">
      <c r="A260" s="499">
        <f t="shared" si="133"/>
        <v>51759</v>
      </c>
      <c r="B260" s="288">
        <f t="shared" si="134"/>
        <v>36866.73000000001</v>
      </c>
      <c r="C260" s="14">
        <f t="shared" si="124"/>
        <v>382.11</v>
      </c>
      <c r="D260" s="14">
        <f t="shared" si="146"/>
        <v>266.90000000000003</v>
      </c>
      <c r="E260" s="14">
        <f t="shared" si="125"/>
        <v>115.21</v>
      </c>
      <c r="F260" s="288">
        <f t="shared" si="135"/>
        <v>46167.109999999993</v>
      </c>
      <c r="G260" s="288">
        <f t="shared" si="136"/>
        <v>48089.789999999994</v>
      </c>
      <c r="H260" s="288">
        <f t="shared" si="126"/>
        <v>36599.830000000009</v>
      </c>
      <c r="I260" s="410">
        <f t="shared" si="127"/>
        <v>16</v>
      </c>
      <c r="J260" s="288">
        <f t="shared" si="137"/>
        <v>242065.9499999999</v>
      </c>
      <c r="K260" s="288">
        <f t="shared" si="153"/>
        <v>2298.4699999999998</v>
      </c>
      <c r="L260" s="288">
        <f t="shared" si="147"/>
        <v>936.84999999999991</v>
      </c>
      <c r="M260" s="288">
        <f t="shared" si="154"/>
        <v>1361.62</v>
      </c>
      <c r="N260" s="288">
        <f t="shared" si="138"/>
        <v>113245.89999999995</v>
      </c>
      <c r="O260" s="288">
        <f t="shared" si="139"/>
        <v>348746.56999999995</v>
      </c>
      <c r="P260" s="288">
        <f t="shared" si="128"/>
        <v>241129.09999999989</v>
      </c>
      <c r="Q260" s="499">
        <f t="shared" si="129"/>
        <v>51759</v>
      </c>
      <c r="R260" s="288">
        <f t="shared" si="152"/>
        <v>0</v>
      </c>
      <c r="S260" s="492">
        <f t="shared" si="140"/>
        <v>6.7500000000000004E-2</v>
      </c>
      <c r="T260" s="288">
        <f t="shared" si="130"/>
        <v>0</v>
      </c>
      <c r="U260" s="288">
        <f t="shared" si="155"/>
        <v>0</v>
      </c>
      <c r="V260" s="288">
        <f t="shared" si="131"/>
        <v>0</v>
      </c>
      <c r="W260" s="288">
        <f t="shared" si="148"/>
        <v>0</v>
      </c>
      <c r="X260" s="288">
        <f t="shared" si="149"/>
        <v>0</v>
      </c>
      <c r="Y260" s="288">
        <f t="shared" si="156"/>
        <v>0</v>
      </c>
      <c r="Z260" s="288">
        <f t="shared" si="157"/>
        <v>357260.75999999995</v>
      </c>
      <c r="AA260" s="288">
        <f t="shared" si="158"/>
        <v>179976.28000000012</v>
      </c>
      <c r="AB260" s="288">
        <f t="shared" si="132"/>
        <v>0</v>
      </c>
      <c r="AC260" s="410">
        <f t="shared" si="141"/>
        <v>200</v>
      </c>
      <c r="AD260" s="510">
        <f t="shared" si="142"/>
        <v>-75244.569999999992</v>
      </c>
      <c r="AE260" s="510">
        <f t="shared" si="150"/>
        <v>-36599.830000000009</v>
      </c>
      <c r="AF260" s="510">
        <f t="shared" si="151"/>
        <v>-111844.4</v>
      </c>
      <c r="AG260" s="510">
        <f t="shared" si="143"/>
        <v>-382.11</v>
      </c>
      <c r="AH260" s="510">
        <f t="shared" si="144"/>
        <v>49065.250000000058</v>
      </c>
      <c r="AI260" s="510"/>
      <c r="AJ260" s="14">
        <f t="shared" si="159"/>
        <v>-382.11</v>
      </c>
      <c r="AK260" s="14">
        <f t="shared" si="160"/>
        <v>455847.60999999847</v>
      </c>
      <c r="AL260" s="510">
        <f>IF(R260&lt;=0,0,+(Profit!$B$4+AM259)*$AL$1/12)</f>
        <v>0</v>
      </c>
      <c r="AM260" s="14">
        <f t="shared" si="145"/>
        <v>227647.99117059269</v>
      </c>
    </row>
    <row r="261" spans="1:39" x14ac:dyDescent="0.25">
      <c r="A261" s="499">
        <f t="shared" si="133"/>
        <v>51789</v>
      </c>
      <c r="B261" s="288">
        <f t="shared" si="134"/>
        <v>36599.830000000009</v>
      </c>
      <c r="C261" s="14">
        <f t="shared" si="124"/>
        <v>382.11</v>
      </c>
      <c r="D261" s="14">
        <f t="shared" si="146"/>
        <v>267.74</v>
      </c>
      <c r="E261" s="14">
        <f t="shared" si="125"/>
        <v>114.37</v>
      </c>
      <c r="F261" s="288">
        <f t="shared" si="135"/>
        <v>46434.849999999991</v>
      </c>
      <c r="G261" s="288">
        <f t="shared" si="136"/>
        <v>48204.159999999996</v>
      </c>
      <c r="H261" s="288">
        <f t="shared" si="126"/>
        <v>36332.090000000011</v>
      </c>
      <c r="I261" s="410">
        <f t="shared" si="127"/>
        <v>16</v>
      </c>
      <c r="J261" s="288">
        <f t="shared" si="137"/>
        <v>241129.09999999989</v>
      </c>
      <c r="K261" s="288">
        <f t="shared" si="153"/>
        <v>2298.4699999999998</v>
      </c>
      <c r="L261" s="288">
        <f t="shared" si="147"/>
        <v>942.11999999999989</v>
      </c>
      <c r="M261" s="288">
        <f t="shared" si="154"/>
        <v>1356.35</v>
      </c>
      <c r="N261" s="288">
        <f t="shared" si="138"/>
        <v>114188.01999999995</v>
      </c>
      <c r="O261" s="288">
        <f t="shared" si="139"/>
        <v>350102.91999999993</v>
      </c>
      <c r="P261" s="288">
        <f t="shared" si="128"/>
        <v>240186.97999999989</v>
      </c>
      <c r="Q261" s="499">
        <f t="shared" si="129"/>
        <v>51789</v>
      </c>
      <c r="R261" s="288">
        <f t="shared" si="152"/>
        <v>0</v>
      </c>
      <c r="S261" s="492">
        <f t="shared" si="140"/>
        <v>6.7500000000000004E-2</v>
      </c>
      <c r="T261" s="288">
        <f t="shared" si="130"/>
        <v>0</v>
      </c>
      <c r="U261" s="288">
        <f t="shared" si="155"/>
        <v>0</v>
      </c>
      <c r="V261" s="288">
        <f t="shared" si="131"/>
        <v>0</v>
      </c>
      <c r="W261" s="288">
        <f t="shared" si="148"/>
        <v>0</v>
      </c>
      <c r="X261" s="288">
        <f t="shared" si="149"/>
        <v>0</v>
      </c>
      <c r="Y261" s="288">
        <f t="shared" si="156"/>
        <v>0</v>
      </c>
      <c r="Z261" s="288">
        <f t="shared" si="157"/>
        <v>357260.75999999995</v>
      </c>
      <c r="AA261" s="288">
        <f t="shared" si="158"/>
        <v>179976.28000000012</v>
      </c>
      <c r="AB261" s="288">
        <f t="shared" si="132"/>
        <v>0</v>
      </c>
      <c r="AC261" s="410">
        <f t="shared" si="141"/>
        <v>201</v>
      </c>
      <c r="AD261" s="510">
        <f t="shared" si="142"/>
        <v>-72946.099999999991</v>
      </c>
      <c r="AE261" s="510">
        <f t="shared" si="150"/>
        <v>-36332.090000000011</v>
      </c>
      <c r="AF261" s="510">
        <f t="shared" si="151"/>
        <v>-109278.19</v>
      </c>
      <c r="AG261" s="510">
        <f t="shared" si="143"/>
        <v>-382.11</v>
      </c>
      <c r="AH261" s="510">
        <f t="shared" si="144"/>
        <v>49332.990000000049</v>
      </c>
      <c r="AI261" s="510"/>
      <c r="AJ261" s="14">
        <f t="shared" si="159"/>
        <v>-382.11</v>
      </c>
      <c r="AK261" s="14">
        <f t="shared" si="160"/>
        <v>455465.49999999849</v>
      </c>
      <c r="AL261" s="510">
        <f>IF(R261&lt;=0,0,+(Profit!$B$4+AM260)*$AL$1/12)</f>
        <v>0</v>
      </c>
      <c r="AM261" s="14">
        <f t="shared" si="145"/>
        <v>227647.99117059269</v>
      </c>
    </row>
    <row r="262" spans="1:39" x14ac:dyDescent="0.25">
      <c r="A262" s="499">
        <f t="shared" si="133"/>
        <v>51819</v>
      </c>
      <c r="B262" s="288">
        <f t="shared" si="134"/>
        <v>36332.090000000011</v>
      </c>
      <c r="C262" s="14">
        <f t="shared" si="124"/>
        <v>382.11</v>
      </c>
      <c r="D262" s="14">
        <f t="shared" si="146"/>
        <v>268.57</v>
      </c>
      <c r="E262" s="14">
        <f t="shared" si="125"/>
        <v>113.54</v>
      </c>
      <c r="F262" s="288">
        <f t="shared" si="135"/>
        <v>46703.419999999991</v>
      </c>
      <c r="G262" s="288">
        <f t="shared" si="136"/>
        <v>48317.7</v>
      </c>
      <c r="H262" s="288">
        <f t="shared" si="126"/>
        <v>36063.520000000011</v>
      </c>
      <c r="I262" s="410">
        <f t="shared" si="127"/>
        <v>16</v>
      </c>
      <c r="J262" s="288">
        <f t="shared" si="137"/>
        <v>240186.97999999989</v>
      </c>
      <c r="K262" s="288">
        <f t="shared" si="153"/>
        <v>2298.4699999999998</v>
      </c>
      <c r="L262" s="288">
        <f t="shared" si="147"/>
        <v>947.41999999999985</v>
      </c>
      <c r="M262" s="288">
        <f t="shared" si="154"/>
        <v>1351.05</v>
      </c>
      <c r="N262" s="288">
        <f t="shared" si="138"/>
        <v>115135.43999999994</v>
      </c>
      <c r="O262" s="288">
        <f t="shared" si="139"/>
        <v>351453.96999999991</v>
      </c>
      <c r="P262" s="288">
        <f t="shared" si="128"/>
        <v>239239.55999999988</v>
      </c>
      <c r="Q262" s="499">
        <f t="shared" si="129"/>
        <v>51819</v>
      </c>
      <c r="R262" s="288">
        <f t="shared" si="152"/>
        <v>0</v>
      </c>
      <c r="S262" s="492">
        <f t="shared" si="140"/>
        <v>6.7500000000000004E-2</v>
      </c>
      <c r="T262" s="288">
        <f t="shared" si="130"/>
        <v>0</v>
      </c>
      <c r="U262" s="288">
        <f t="shared" si="155"/>
        <v>0</v>
      </c>
      <c r="V262" s="288">
        <f t="shared" si="131"/>
        <v>0</v>
      </c>
      <c r="W262" s="288">
        <f t="shared" si="148"/>
        <v>0</v>
      </c>
      <c r="X262" s="288">
        <f t="shared" si="149"/>
        <v>0</v>
      </c>
      <c r="Y262" s="288">
        <f t="shared" si="156"/>
        <v>0</v>
      </c>
      <c r="Z262" s="288">
        <f t="shared" si="157"/>
        <v>357260.75999999995</v>
      </c>
      <c r="AA262" s="288">
        <f t="shared" si="158"/>
        <v>179976.28000000012</v>
      </c>
      <c r="AB262" s="288">
        <f t="shared" si="132"/>
        <v>0</v>
      </c>
      <c r="AC262" s="410">
        <f t="shared" si="141"/>
        <v>202</v>
      </c>
      <c r="AD262" s="510">
        <f t="shared" si="142"/>
        <v>-70647.62999999999</v>
      </c>
      <c r="AE262" s="510">
        <f t="shared" si="150"/>
        <v>-36063.520000000011</v>
      </c>
      <c r="AF262" s="510">
        <f t="shared" si="151"/>
        <v>-106711.15</v>
      </c>
      <c r="AG262" s="510">
        <f t="shared" si="143"/>
        <v>-382.11</v>
      </c>
      <c r="AH262" s="510">
        <f t="shared" si="144"/>
        <v>49601.560000000056</v>
      </c>
      <c r="AI262" s="510"/>
      <c r="AJ262" s="14">
        <f t="shared" si="159"/>
        <v>-382.11</v>
      </c>
      <c r="AK262" s="14">
        <f t="shared" si="160"/>
        <v>455083.3899999985</v>
      </c>
      <c r="AL262" s="510">
        <f>IF(R262&lt;=0,0,+(Profit!$B$4+AM261)*$AL$1/12)</f>
        <v>0</v>
      </c>
      <c r="AM262" s="14">
        <f t="shared" si="145"/>
        <v>227647.99117059269</v>
      </c>
    </row>
    <row r="263" spans="1:39" x14ac:dyDescent="0.25">
      <c r="A263" s="499">
        <f t="shared" si="133"/>
        <v>51849</v>
      </c>
      <c r="B263" s="288">
        <f t="shared" si="134"/>
        <v>36063.520000000011</v>
      </c>
      <c r="C263" s="14">
        <f t="shared" si="124"/>
        <v>382.11</v>
      </c>
      <c r="D263" s="14">
        <f t="shared" si="146"/>
        <v>269.41000000000003</v>
      </c>
      <c r="E263" s="14">
        <f t="shared" si="125"/>
        <v>112.7</v>
      </c>
      <c r="F263" s="288">
        <f t="shared" si="135"/>
        <v>46972.829999999994</v>
      </c>
      <c r="G263" s="288">
        <f t="shared" si="136"/>
        <v>48430.399999999994</v>
      </c>
      <c r="H263" s="288">
        <f t="shared" si="126"/>
        <v>35794.110000000008</v>
      </c>
      <c r="I263" s="410">
        <f t="shared" si="127"/>
        <v>16</v>
      </c>
      <c r="J263" s="288">
        <f t="shared" si="137"/>
        <v>239239.55999999988</v>
      </c>
      <c r="K263" s="288">
        <f t="shared" si="153"/>
        <v>2298.4699999999998</v>
      </c>
      <c r="L263" s="288">
        <f t="shared" si="147"/>
        <v>952.74999999999977</v>
      </c>
      <c r="M263" s="288">
        <f t="shared" si="154"/>
        <v>1345.72</v>
      </c>
      <c r="N263" s="288">
        <f t="shared" si="138"/>
        <v>116088.18999999994</v>
      </c>
      <c r="O263" s="288">
        <f t="shared" si="139"/>
        <v>352799.68999999989</v>
      </c>
      <c r="P263" s="288">
        <f t="shared" si="128"/>
        <v>238286.80999999988</v>
      </c>
      <c r="Q263" s="499">
        <f t="shared" si="129"/>
        <v>51849</v>
      </c>
      <c r="R263" s="288">
        <f t="shared" si="152"/>
        <v>0</v>
      </c>
      <c r="S263" s="492">
        <f t="shared" si="140"/>
        <v>6.7500000000000004E-2</v>
      </c>
      <c r="T263" s="288">
        <f t="shared" si="130"/>
        <v>0</v>
      </c>
      <c r="U263" s="288">
        <f t="shared" si="155"/>
        <v>0</v>
      </c>
      <c r="V263" s="288">
        <f t="shared" si="131"/>
        <v>0</v>
      </c>
      <c r="W263" s="288">
        <f t="shared" si="148"/>
        <v>0</v>
      </c>
      <c r="X263" s="288">
        <f t="shared" si="149"/>
        <v>0</v>
      </c>
      <c r="Y263" s="288">
        <f t="shared" si="156"/>
        <v>0</v>
      </c>
      <c r="Z263" s="288">
        <f t="shared" si="157"/>
        <v>357260.75999999995</v>
      </c>
      <c r="AA263" s="288">
        <f t="shared" si="158"/>
        <v>179976.28000000012</v>
      </c>
      <c r="AB263" s="288">
        <f t="shared" si="132"/>
        <v>0</v>
      </c>
      <c r="AC263" s="410">
        <f t="shared" si="141"/>
        <v>203</v>
      </c>
      <c r="AD263" s="510">
        <f t="shared" si="142"/>
        <v>-68349.159999999989</v>
      </c>
      <c r="AE263" s="510">
        <f t="shared" si="150"/>
        <v>-35794.110000000008</v>
      </c>
      <c r="AF263" s="510">
        <f t="shared" si="151"/>
        <v>-104143.26999999999</v>
      </c>
      <c r="AG263" s="510">
        <f t="shared" si="143"/>
        <v>-382.11</v>
      </c>
      <c r="AH263" s="510">
        <f t="shared" si="144"/>
        <v>49870.970000000088</v>
      </c>
      <c r="AI263" s="510"/>
      <c r="AJ263" s="14">
        <f t="shared" si="159"/>
        <v>-382.11</v>
      </c>
      <c r="AK263" s="14">
        <f t="shared" si="160"/>
        <v>454701.27999999851</v>
      </c>
      <c r="AL263" s="510">
        <f>IF(R263&lt;=0,0,+(Profit!$B$4+AM262)*$AL$1/12)</f>
        <v>0</v>
      </c>
      <c r="AM263" s="14">
        <f t="shared" si="145"/>
        <v>227647.99117059269</v>
      </c>
    </row>
    <row r="264" spans="1:39" x14ac:dyDescent="0.25">
      <c r="A264" s="499">
        <f t="shared" si="133"/>
        <v>51879</v>
      </c>
      <c r="B264" s="288">
        <f t="shared" si="134"/>
        <v>35794.110000000008</v>
      </c>
      <c r="C264" s="14">
        <f t="shared" si="124"/>
        <v>382.11</v>
      </c>
      <c r="D264" s="14">
        <f t="shared" si="146"/>
        <v>270.25</v>
      </c>
      <c r="E264" s="14">
        <f t="shared" si="125"/>
        <v>111.86</v>
      </c>
      <c r="F264" s="288">
        <f t="shared" si="135"/>
        <v>47243.079999999994</v>
      </c>
      <c r="G264" s="288">
        <f t="shared" si="136"/>
        <v>48542.259999999995</v>
      </c>
      <c r="H264" s="288">
        <f t="shared" si="126"/>
        <v>35523.860000000008</v>
      </c>
      <c r="I264" s="410">
        <f t="shared" si="127"/>
        <v>17</v>
      </c>
      <c r="J264" s="288">
        <f t="shared" si="137"/>
        <v>238286.80999999988</v>
      </c>
      <c r="K264" s="288">
        <f t="shared" si="153"/>
        <v>2298.4699999999998</v>
      </c>
      <c r="L264" s="288">
        <f t="shared" si="147"/>
        <v>958.1099999999999</v>
      </c>
      <c r="M264" s="288">
        <f t="shared" si="154"/>
        <v>1340.36</v>
      </c>
      <c r="N264" s="288">
        <f t="shared" si="138"/>
        <v>117046.29999999994</v>
      </c>
      <c r="O264" s="288">
        <f t="shared" si="139"/>
        <v>354140.04999999987</v>
      </c>
      <c r="P264" s="288">
        <f t="shared" si="128"/>
        <v>237328.6999999999</v>
      </c>
      <c r="Q264" s="499">
        <f t="shared" si="129"/>
        <v>51879</v>
      </c>
      <c r="R264" s="288">
        <f t="shared" si="152"/>
        <v>0</v>
      </c>
      <c r="S264" s="492">
        <f t="shared" si="140"/>
        <v>6.7500000000000004E-2</v>
      </c>
      <c r="T264" s="288">
        <f t="shared" si="130"/>
        <v>0</v>
      </c>
      <c r="U264" s="288">
        <f t="shared" si="155"/>
        <v>0</v>
      </c>
      <c r="V264" s="288">
        <f t="shared" si="131"/>
        <v>0</v>
      </c>
      <c r="W264" s="288">
        <f t="shared" si="148"/>
        <v>0</v>
      </c>
      <c r="X264" s="288">
        <f t="shared" si="149"/>
        <v>0</v>
      </c>
      <c r="Y264" s="288">
        <f t="shared" si="156"/>
        <v>0</v>
      </c>
      <c r="Z264" s="288">
        <f t="shared" si="157"/>
        <v>357260.75999999995</v>
      </c>
      <c r="AA264" s="288">
        <f t="shared" si="158"/>
        <v>179976.28000000012</v>
      </c>
      <c r="AB264" s="288">
        <f t="shared" si="132"/>
        <v>0</v>
      </c>
      <c r="AC264" s="410">
        <f t="shared" si="141"/>
        <v>204</v>
      </c>
      <c r="AD264" s="510">
        <f t="shared" si="142"/>
        <v>-66050.689999999988</v>
      </c>
      <c r="AE264" s="510">
        <f t="shared" si="150"/>
        <v>-35523.860000000008</v>
      </c>
      <c r="AF264" s="510">
        <f t="shared" si="151"/>
        <v>-101574.54999999999</v>
      </c>
      <c r="AG264" s="510">
        <f t="shared" si="143"/>
        <v>-382.11</v>
      </c>
      <c r="AH264" s="510">
        <f t="shared" si="144"/>
        <v>50141.220000000088</v>
      </c>
      <c r="AI264" s="510"/>
      <c r="AJ264" s="14">
        <f t="shared" si="159"/>
        <v>-382.11</v>
      </c>
      <c r="AK264" s="14">
        <f t="shared" si="160"/>
        <v>454319.16999999853</v>
      </c>
      <c r="AL264" s="510">
        <f>IF(R264&lt;=0,0,+(Profit!$B$4+AM263)*$AL$1/12)</f>
        <v>0</v>
      </c>
      <c r="AM264" s="14">
        <f t="shared" si="145"/>
        <v>227647.99117059269</v>
      </c>
    </row>
    <row r="265" spans="1:39" x14ac:dyDescent="0.25">
      <c r="A265" s="499">
        <f t="shared" si="133"/>
        <v>51909</v>
      </c>
      <c r="B265" s="288">
        <f t="shared" si="134"/>
        <v>35523.860000000008</v>
      </c>
      <c r="C265" s="14">
        <f t="shared" si="124"/>
        <v>382.11</v>
      </c>
      <c r="D265" s="14">
        <f t="shared" si="146"/>
        <v>271.10000000000002</v>
      </c>
      <c r="E265" s="14">
        <f t="shared" si="125"/>
        <v>111.01</v>
      </c>
      <c r="F265" s="288">
        <f t="shared" si="135"/>
        <v>47514.179999999993</v>
      </c>
      <c r="G265" s="288">
        <f t="shared" si="136"/>
        <v>48653.27</v>
      </c>
      <c r="H265" s="288">
        <f t="shared" si="126"/>
        <v>35252.760000000009</v>
      </c>
      <c r="I265" s="410">
        <f t="shared" si="127"/>
        <v>17</v>
      </c>
      <c r="J265" s="288">
        <f t="shared" si="137"/>
        <v>237328.6999999999</v>
      </c>
      <c r="K265" s="288">
        <f t="shared" si="153"/>
        <v>2298.4699999999998</v>
      </c>
      <c r="L265" s="288">
        <f t="shared" si="147"/>
        <v>963.49999999999977</v>
      </c>
      <c r="M265" s="288">
        <f t="shared" si="154"/>
        <v>1334.97</v>
      </c>
      <c r="N265" s="288">
        <f t="shared" si="138"/>
        <v>118009.79999999994</v>
      </c>
      <c r="O265" s="288">
        <f t="shared" si="139"/>
        <v>355475.01999999984</v>
      </c>
      <c r="P265" s="288">
        <f t="shared" si="128"/>
        <v>236365.1999999999</v>
      </c>
      <c r="Q265" s="499">
        <f t="shared" si="129"/>
        <v>51909</v>
      </c>
      <c r="R265" s="288">
        <f t="shared" si="152"/>
        <v>0</v>
      </c>
      <c r="S265" s="492">
        <f t="shared" si="140"/>
        <v>6.7500000000000004E-2</v>
      </c>
      <c r="T265" s="288">
        <f t="shared" si="130"/>
        <v>0</v>
      </c>
      <c r="U265" s="288">
        <f t="shared" si="155"/>
        <v>0</v>
      </c>
      <c r="V265" s="288">
        <f t="shared" si="131"/>
        <v>0</v>
      </c>
      <c r="W265" s="288">
        <f t="shared" si="148"/>
        <v>0</v>
      </c>
      <c r="X265" s="288">
        <f t="shared" si="149"/>
        <v>0</v>
      </c>
      <c r="Y265" s="288">
        <f t="shared" si="156"/>
        <v>0</v>
      </c>
      <c r="Z265" s="288">
        <f t="shared" si="157"/>
        <v>357260.75999999995</v>
      </c>
      <c r="AA265" s="288">
        <f t="shared" si="158"/>
        <v>179976.28000000012</v>
      </c>
      <c r="AB265" s="288">
        <f t="shared" si="132"/>
        <v>0</v>
      </c>
      <c r="AC265" s="410">
        <f t="shared" si="141"/>
        <v>205</v>
      </c>
      <c r="AD265" s="510">
        <f t="shared" si="142"/>
        <v>-63752.219999999987</v>
      </c>
      <c r="AE265" s="510">
        <f t="shared" si="150"/>
        <v>-35252.760000000009</v>
      </c>
      <c r="AF265" s="510">
        <f t="shared" si="151"/>
        <v>-99004.98</v>
      </c>
      <c r="AG265" s="510">
        <f t="shared" si="143"/>
        <v>-382.11</v>
      </c>
      <c r="AH265" s="510">
        <f t="shared" si="144"/>
        <v>50412.320000000065</v>
      </c>
      <c r="AI265" s="510"/>
      <c r="AJ265" s="14">
        <f t="shared" si="159"/>
        <v>-382.11</v>
      </c>
      <c r="AK265" s="14">
        <f t="shared" si="160"/>
        <v>453937.05999999854</v>
      </c>
      <c r="AL265" s="510">
        <f>IF(R265&lt;=0,0,+(Profit!$B$4+AM264)*$AL$1/12)</f>
        <v>0</v>
      </c>
      <c r="AM265" s="14">
        <f t="shared" si="145"/>
        <v>227647.99117059269</v>
      </c>
    </row>
    <row r="266" spans="1:39" ht="15.75" thickBot="1" x14ac:dyDescent="0.3">
      <c r="A266" s="502">
        <f t="shared" si="133"/>
        <v>51939</v>
      </c>
      <c r="B266" s="343">
        <f t="shared" si="134"/>
        <v>35252.760000000009</v>
      </c>
      <c r="C266" s="21">
        <f t="shared" si="124"/>
        <v>382.11</v>
      </c>
      <c r="D266" s="21">
        <f t="shared" si="146"/>
        <v>271.95000000000005</v>
      </c>
      <c r="E266" s="21">
        <f t="shared" si="125"/>
        <v>110.16</v>
      </c>
      <c r="F266" s="343">
        <f t="shared" si="135"/>
        <v>47786.12999999999</v>
      </c>
      <c r="G266" s="343">
        <f t="shared" si="136"/>
        <v>48763.43</v>
      </c>
      <c r="H266" s="343">
        <f t="shared" si="126"/>
        <v>34980.810000000012</v>
      </c>
      <c r="I266" s="411">
        <f t="shared" si="127"/>
        <v>17</v>
      </c>
      <c r="J266" s="343">
        <f t="shared" si="137"/>
        <v>236365.1999999999</v>
      </c>
      <c r="K266" s="343">
        <f t="shared" si="153"/>
        <v>2298.4699999999998</v>
      </c>
      <c r="L266" s="343">
        <f t="shared" si="147"/>
        <v>968.91999999999985</v>
      </c>
      <c r="M266" s="343">
        <f t="shared" si="154"/>
        <v>1329.55</v>
      </c>
      <c r="N266" s="343">
        <f t="shared" si="138"/>
        <v>118978.71999999994</v>
      </c>
      <c r="O266" s="343">
        <f t="shared" si="139"/>
        <v>356804.56999999983</v>
      </c>
      <c r="P266" s="343">
        <f t="shared" si="128"/>
        <v>235396.27999999988</v>
      </c>
      <c r="Q266" s="502">
        <f t="shared" si="129"/>
        <v>51939</v>
      </c>
      <c r="R266" s="343">
        <f t="shared" si="152"/>
        <v>0</v>
      </c>
      <c r="S266" s="493">
        <f t="shared" si="140"/>
        <v>6.7500000000000004E-2</v>
      </c>
      <c r="T266" s="343">
        <f t="shared" si="130"/>
        <v>0</v>
      </c>
      <c r="U266" s="343">
        <f t="shared" si="155"/>
        <v>0</v>
      </c>
      <c r="V266" s="343">
        <f t="shared" si="131"/>
        <v>0</v>
      </c>
      <c r="W266" s="343">
        <f t="shared" si="148"/>
        <v>0</v>
      </c>
      <c r="X266" s="343">
        <f t="shared" si="149"/>
        <v>0</v>
      </c>
      <c r="Y266" s="343">
        <f t="shared" si="156"/>
        <v>0</v>
      </c>
      <c r="Z266" s="343">
        <f t="shared" si="157"/>
        <v>357260.75999999995</v>
      </c>
      <c r="AA266" s="343">
        <f t="shared" si="158"/>
        <v>179976.28000000012</v>
      </c>
      <c r="AB266" s="343">
        <f t="shared" si="132"/>
        <v>0</v>
      </c>
      <c r="AC266" s="411">
        <f t="shared" si="141"/>
        <v>206</v>
      </c>
      <c r="AD266" s="511">
        <f t="shared" si="142"/>
        <v>-61453.749999999985</v>
      </c>
      <c r="AE266" s="511">
        <f t="shared" si="150"/>
        <v>-34980.810000000012</v>
      </c>
      <c r="AF266" s="511">
        <f t="shared" si="151"/>
        <v>-96434.559999999998</v>
      </c>
      <c r="AG266" s="511">
        <f t="shared" si="143"/>
        <v>-382.11</v>
      </c>
      <c r="AH266" s="511">
        <f t="shared" si="144"/>
        <v>50684.270000000077</v>
      </c>
      <c r="AI266" s="511"/>
      <c r="AJ266" s="21">
        <f t="shared" si="159"/>
        <v>-382.11</v>
      </c>
      <c r="AK266" s="21">
        <f t="shared" si="160"/>
        <v>453554.94999999856</v>
      </c>
      <c r="AL266" s="511">
        <f>IF(R266&lt;=0,0,+(Profit!$B$4+AM265)*$AL$1/12)</f>
        <v>0</v>
      </c>
      <c r="AM266" s="21">
        <f t="shared" si="145"/>
        <v>227647.99117059269</v>
      </c>
    </row>
    <row r="267" spans="1:39" x14ac:dyDescent="0.25">
      <c r="A267" s="499">
        <f t="shared" si="133"/>
        <v>51969</v>
      </c>
      <c r="B267" s="288">
        <f t="shared" si="134"/>
        <v>34980.810000000012</v>
      </c>
      <c r="C267" s="14">
        <f t="shared" si="124"/>
        <v>382.11</v>
      </c>
      <c r="D267" s="14">
        <f t="shared" si="146"/>
        <v>272.79000000000002</v>
      </c>
      <c r="E267" s="14">
        <f t="shared" si="125"/>
        <v>109.32</v>
      </c>
      <c r="F267" s="288">
        <f t="shared" si="135"/>
        <v>48058.919999999991</v>
      </c>
      <c r="G267" s="288">
        <f t="shared" si="136"/>
        <v>48872.75</v>
      </c>
      <c r="H267" s="288">
        <f t="shared" si="126"/>
        <v>34708.020000000011</v>
      </c>
      <c r="I267" s="410">
        <f t="shared" si="127"/>
        <v>17</v>
      </c>
      <c r="J267" s="288">
        <f t="shared" si="137"/>
        <v>235396.27999999988</v>
      </c>
      <c r="K267" s="288">
        <f t="shared" si="153"/>
        <v>2298.4699999999998</v>
      </c>
      <c r="L267" s="288">
        <f t="shared" si="147"/>
        <v>974.36999999999989</v>
      </c>
      <c r="M267" s="288">
        <f t="shared" si="154"/>
        <v>1324.1</v>
      </c>
      <c r="N267" s="288">
        <f t="shared" si="138"/>
        <v>119953.08999999994</v>
      </c>
      <c r="O267" s="288">
        <f t="shared" si="139"/>
        <v>358128.66999999981</v>
      </c>
      <c r="P267" s="288">
        <f t="shared" si="128"/>
        <v>234421.90999999989</v>
      </c>
      <c r="Q267" s="499">
        <f t="shared" si="129"/>
        <v>51969</v>
      </c>
      <c r="R267" s="288">
        <f t="shared" si="152"/>
        <v>0</v>
      </c>
      <c r="S267" s="492">
        <f t="shared" si="140"/>
        <v>6.7500000000000004E-2</v>
      </c>
      <c r="T267" s="288">
        <f t="shared" si="130"/>
        <v>0</v>
      </c>
      <c r="U267" s="288">
        <f t="shared" si="155"/>
        <v>0</v>
      </c>
      <c r="V267" s="288">
        <f t="shared" si="131"/>
        <v>0</v>
      </c>
      <c r="W267" s="288">
        <f t="shared" si="148"/>
        <v>0</v>
      </c>
      <c r="X267" s="288">
        <f t="shared" si="149"/>
        <v>0</v>
      </c>
      <c r="Y267" s="288">
        <f t="shared" si="156"/>
        <v>0</v>
      </c>
      <c r="Z267" s="288">
        <f t="shared" si="157"/>
        <v>357260.75999999995</v>
      </c>
      <c r="AA267" s="288">
        <f t="shared" si="158"/>
        <v>179976.28000000012</v>
      </c>
      <c r="AB267" s="288">
        <f t="shared" si="132"/>
        <v>0</v>
      </c>
      <c r="AC267" s="410">
        <f t="shared" si="141"/>
        <v>207</v>
      </c>
      <c r="AD267" s="510">
        <f t="shared" si="142"/>
        <v>-59155.279999999984</v>
      </c>
      <c r="AE267" s="510">
        <f t="shared" si="150"/>
        <v>-34708.020000000011</v>
      </c>
      <c r="AF267" s="510">
        <f t="shared" si="151"/>
        <v>-93863.299999999988</v>
      </c>
      <c r="AG267" s="510">
        <f t="shared" si="143"/>
        <v>-382.11</v>
      </c>
      <c r="AH267" s="510">
        <f t="shared" si="144"/>
        <v>50957.060000000056</v>
      </c>
      <c r="AI267" s="510"/>
      <c r="AJ267" s="14">
        <f t="shared" si="159"/>
        <v>-382.11</v>
      </c>
      <c r="AK267" s="14">
        <f t="shared" si="160"/>
        <v>453172.83999999857</v>
      </c>
      <c r="AL267" s="510">
        <f>IF(R267&lt;=0,0,+(Profit!$B$4+AM266)*$AL$1/12)</f>
        <v>0</v>
      </c>
      <c r="AM267" s="14">
        <f t="shared" si="145"/>
        <v>227647.99117059269</v>
      </c>
    </row>
    <row r="268" spans="1:39" x14ac:dyDescent="0.25">
      <c r="A268" s="499">
        <f t="shared" si="133"/>
        <v>51999</v>
      </c>
      <c r="B268" s="288">
        <f t="shared" si="134"/>
        <v>34708.020000000011</v>
      </c>
      <c r="C268" s="14">
        <f t="shared" si="124"/>
        <v>382.11</v>
      </c>
      <c r="D268" s="14">
        <f t="shared" si="146"/>
        <v>273.65000000000003</v>
      </c>
      <c r="E268" s="14">
        <f t="shared" si="125"/>
        <v>108.46</v>
      </c>
      <c r="F268" s="288">
        <f t="shared" si="135"/>
        <v>48332.569999999992</v>
      </c>
      <c r="G268" s="288">
        <f t="shared" si="136"/>
        <v>48981.21</v>
      </c>
      <c r="H268" s="288">
        <f t="shared" si="126"/>
        <v>34434.37000000001</v>
      </c>
      <c r="I268" s="410">
        <f t="shared" si="127"/>
        <v>17</v>
      </c>
      <c r="J268" s="288">
        <f t="shared" si="137"/>
        <v>234421.90999999989</v>
      </c>
      <c r="K268" s="288">
        <f t="shared" si="153"/>
        <v>2298.4699999999998</v>
      </c>
      <c r="L268" s="288">
        <f t="shared" si="147"/>
        <v>979.84999999999991</v>
      </c>
      <c r="M268" s="288">
        <f t="shared" si="154"/>
        <v>1318.62</v>
      </c>
      <c r="N268" s="288">
        <f t="shared" si="138"/>
        <v>120932.93999999994</v>
      </c>
      <c r="O268" s="288">
        <f t="shared" si="139"/>
        <v>359447.2899999998</v>
      </c>
      <c r="P268" s="288">
        <f t="shared" si="128"/>
        <v>233442.05999999988</v>
      </c>
      <c r="Q268" s="499">
        <f t="shared" si="129"/>
        <v>51999</v>
      </c>
      <c r="R268" s="288">
        <f t="shared" si="152"/>
        <v>0</v>
      </c>
      <c r="S268" s="492">
        <f t="shared" si="140"/>
        <v>6.7500000000000004E-2</v>
      </c>
      <c r="T268" s="288">
        <f t="shared" si="130"/>
        <v>0</v>
      </c>
      <c r="U268" s="288">
        <f t="shared" si="155"/>
        <v>0</v>
      </c>
      <c r="V268" s="288">
        <f t="shared" si="131"/>
        <v>0</v>
      </c>
      <c r="W268" s="288">
        <f t="shared" si="148"/>
        <v>0</v>
      </c>
      <c r="X268" s="288">
        <f t="shared" si="149"/>
        <v>0</v>
      </c>
      <c r="Y268" s="288">
        <f t="shared" si="156"/>
        <v>0</v>
      </c>
      <c r="Z268" s="288">
        <f t="shared" si="157"/>
        <v>357260.75999999995</v>
      </c>
      <c r="AA268" s="288">
        <f t="shared" si="158"/>
        <v>179976.28000000012</v>
      </c>
      <c r="AB268" s="288">
        <f t="shared" si="132"/>
        <v>0</v>
      </c>
      <c r="AC268" s="410">
        <f t="shared" si="141"/>
        <v>208</v>
      </c>
      <c r="AD268" s="510">
        <f t="shared" si="142"/>
        <v>-56856.809999999983</v>
      </c>
      <c r="AE268" s="510">
        <f t="shared" si="150"/>
        <v>-34434.37000000001</v>
      </c>
      <c r="AF268" s="510">
        <f t="shared" si="151"/>
        <v>-91291.18</v>
      </c>
      <c r="AG268" s="510">
        <f t="shared" si="143"/>
        <v>-382.11</v>
      </c>
      <c r="AH268" s="510">
        <f t="shared" si="144"/>
        <v>51230.710000000079</v>
      </c>
      <c r="AI268" s="510"/>
      <c r="AJ268" s="14">
        <f t="shared" si="159"/>
        <v>-382.11</v>
      </c>
      <c r="AK268" s="14">
        <f t="shared" si="160"/>
        <v>452790.72999999858</v>
      </c>
      <c r="AL268" s="510">
        <f>IF(R268&lt;=0,0,+(Profit!$B$4+AM267)*$AL$1/12)</f>
        <v>0</v>
      </c>
      <c r="AM268" s="14">
        <f t="shared" si="145"/>
        <v>227647.99117059269</v>
      </c>
    </row>
    <row r="269" spans="1:39" x14ac:dyDescent="0.25">
      <c r="A269" s="499">
        <f t="shared" si="133"/>
        <v>52029</v>
      </c>
      <c r="B269" s="288">
        <f t="shared" si="134"/>
        <v>34434.37000000001</v>
      </c>
      <c r="C269" s="14">
        <f t="shared" si="124"/>
        <v>382.11</v>
      </c>
      <c r="D269" s="14">
        <f t="shared" si="146"/>
        <v>274.5</v>
      </c>
      <c r="E269" s="14">
        <f t="shared" si="125"/>
        <v>107.61</v>
      </c>
      <c r="F269" s="288">
        <f t="shared" si="135"/>
        <v>48607.069999999992</v>
      </c>
      <c r="G269" s="288">
        <f t="shared" si="136"/>
        <v>49088.82</v>
      </c>
      <c r="H269" s="288">
        <f t="shared" si="126"/>
        <v>34159.87000000001</v>
      </c>
      <c r="I269" s="410">
        <f t="shared" si="127"/>
        <v>17</v>
      </c>
      <c r="J269" s="288">
        <f t="shared" si="137"/>
        <v>233442.05999999988</v>
      </c>
      <c r="K269" s="288">
        <f t="shared" si="153"/>
        <v>2298.4699999999998</v>
      </c>
      <c r="L269" s="288">
        <f t="shared" si="147"/>
        <v>985.3599999999999</v>
      </c>
      <c r="M269" s="288">
        <f t="shared" si="154"/>
        <v>1313.11</v>
      </c>
      <c r="N269" s="288">
        <f t="shared" si="138"/>
        <v>121918.29999999994</v>
      </c>
      <c r="O269" s="288">
        <f t="shared" si="139"/>
        <v>360760.39999999979</v>
      </c>
      <c r="P269" s="288">
        <f t="shared" si="128"/>
        <v>232456.6999999999</v>
      </c>
      <c r="Q269" s="499">
        <f t="shared" si="129"/>
        <v>52029</v>
      </c>
      <c r="R269" s="288">
        <f t="shared" si="152"/>
        <v>0</v>
      </c>
      <c r="S269" s="492">
        <f t="shared" si="140"/>
        <v>6.7500000000000004E-2</v>
      </c>
      <c r="T269" s="288">
        <f t="shared" si="130"/>
        <v>0</v>
      </c>
      <c r="U269" s="288">
        <f t="shared" si="155"/>
        <v>0</v>
      </c>
      <c r="V269" s="288">
        <f t="shared" si="131"/>
        <v>0</v>
      </c>
      <c r="W269" s="288">
        <f t="shared" si="148"/>
        <v>0</v>
      </c>
      <c r="X269" s="288">
        <f t="shared" si="149"/>
        <v>0</v>
      </c>
      <c r="Y269" s="288">
        <f t="shared" si="156"/>
        <v>0</v>
      </c>
      <c r="Z269" s="288">
        <f t="shared" si="157"/>
        <v>357260.75999999995</v>
      </c>
      <c r="AA269" s="288">
        <f t="shared" si="158"/>
        <v>179976.28000000012</v>
      </c>
      <c r="AB269" s="288">
        <f t="shared" si="132"/>
        <v>0</v>
      </c>
      <c r="AC269" s="410">
        <f t="shared" si="141"/>
        <v>209</v>
      </c>
      <c r="AD269" s="510">
        <f t="shared" si="142"/>
        <v>-54558.339999999982</v>
      </c>
      <c r="AE269" s="510">
        <f t="shared" si="150"/>
        <v>-34159.87000000001</v>
      </c>
      <c r="AF269" s="510">
        <f t="shared" si="151"/>
        <v>-88718.209999999992</v>
      </c>
      <c r="AG269" s="510">
        <f t="shared" si="143"/>
        <v>-382.11</v>
      </c>
      <c r="AH269" s="510">
        <f t="shared" si="144"/>
        <v>51505.210000000079</v>
      </c>
      <c r="AI269" s="510"/>
      <c r="AJ269" s="14">
        <f t="shared" si="159"/>
        <v>-382.11</v>
      </c>
      <c r="AK269" s="14">
        <f t="shared" si="160"/>
        <v>452408.6199999986</v>
      </c>
      <c r="AL269" s="510">
        <f>IF(R269&lt;=0,0,+(Profit!$B$4+AM268)*$AL$1/12)</f>
        <v>0</v>
      </c>
      <c r="AM269" s="14">
        <f t="shared" si="145"/>
        <v>227647.99117059269</v>
      </c>
    </row>
    <row r="270" spans="1:39" x14ac:dyDescent="0.25">
      <c r="A270" s="499">
        <f t="shared" si="133"/>
        <v>52059</v>
      </c>
      <c r="B270" s="288">
        <f t="shared" si="134"/>
        <v>34159.87000000001</v>
      </c>
      <c r="C270" s="14">
        <f t="shared" si="124"/>
        <v>382.11</v>
      </c>
      <c r="D270" s="14">
        <f t="shared" si="146"/>
        <v>275.36</v>
      </c>
      <c r="E270" s="14">
        <f t="shared" si="125"/>
        <v>106.75</v>
      </c>
      <c r="F270" s="288">
        <f t="shared" si="135"/>
        <v>48882.429999999993</v>
      </c>
      <c r="G270" s="288">
        <f t="shared" si="136"/>
        <v>49195.57</v>
      </c>
      <c r="H270" s="288">
        <f t="shared" si="126"/>
        <v>33884.510000000009</v>
      </c>
      <c r="I270" s="410">
        <f t="shared" si="127"/>
        <v>17</v>
      </c>
      <c r="J270" s="288">
        <f t="shared" si="137"/>
        <v>232456.6999999999</v>
      </c>
      <c r="K270" s="288">
        <f t="shared" si="153"/>
        <v>2298.4699999999998</v>
      </c>
      <c r="L270" s="288">
        <f t="shared" si="147"/>
        <v>990.89999999999986</v>
      </c>
      <c r="M270" s="288">
        <f t="shared" si="154"/>
        <v>1307.57</v>
      </c>
      <c r="N270" s="288">
        <f t="shared" si="138"/>
        <v>122909.19999999994</v>
      </c>
      <c r="O270" s="288">
        <f t="shared" si="139"/>
        <v>362067.9699999998</v>
      </c>
      <c r="P270" s="288">
        <f t="shared" si="128"/>
        <v>231465.7999999999</v>
      </c>
      <c r="Q270" s="499">
        <f t="shared" si="129"/>
        <v>52059</v>
      </c>
      <c r="R270" s="288">
        <f t="shared" si="152"/>
        <v>0</v>
      </c>
      <c r="S270" s="492">
        <f t="shared" si="140"/>
        <v>6.7500000000000004E-2</v>
      </c>
      <c r="T270" s="288">
        <f t="shared" si="130"/>
        <v>0</v>
      </c>
      <c r="U270" s="288">
        <f t="shared" si="155"/>
        <v>0</v>
      </c>
      <c r="V270" s="288">
        <f t="shared" si="131"/>
        <v>0</v>
      </c>
      <c r="W270" s="288">
        <f t="shared" si="148"/>
        <v>0</v>
      </c>
      <c r="X270" s="288">
        <f t="shared" si="149"/>
        <v>0</v>
      </c>
      <c r="Y270" s="288">
        <f t="shared" si="156"/>
        <v>0</v>
      </c>
      <c r="Z270" s="288">
        <f t="shared" si="157"/>
        <v>357260.75999999995</v>
      </c>
      <c r="AA270" s="288">
        <f t="shared" si="158"/>
        <v>179976.28000000012</v>
      </c>
      <c r="AB270" s="288">
        <f t="shared" si="132"/>
        <v>0</v>
      </c>
      <c r="AC270" s="410">
        <f t="shared" si="141"/>
        <v>210</v>
      </c>
      <c r="AD270" s="510">
        <f t="shared" si="142"/>
        <v>-52259.869999999981</v>
      </c>
      <c r="AE270" s="510">
        <f t="shared" si="150"/>
        <v>-33884.510000000009</v>
      </c>
      <c r="AF270" s="510">
        <f t="shared" si="151"/>
        <v>-86144.37999999999</v>
      </c>
      <c r="AG270" s="510">
        <f t="shared" si="143"/>
        <v>-382.11</v>
      </c>
      <c r="AH270" s="510">
        <f t="shared" si="144"/>
        <v>51780.570000000065</v>
      </c>
      <c r="AI270" s="510"/>
      <c r="AJ270" s="14">
        <f t="shared" si="159"/>
        <v>-382.11</v>
      </c>
      <c r="AK270" s="14">
        <f t="shared" si="160"/>
        <v>452026.50999999861</v>
      </c>
      <c r="AL270" s="510">
        <f>IF(R270&lt;=0,0,+(Profit!$B$4+AM269)*$AL$1/12)</f>
        <v>0</v>
      </c>
      <c r="AM270" s="14">
        <f t="shared" si="145"/>
        <v>227647.99117059269</v>
      </c>
    </row>
    <row r="271" spans="1:39" x14ac:dyDescent="0.25">
      <c r="A271" s="499">
        <f t="shared" si="133"/>
        <v>52089</v>
      </c>
      <c r="B271" s="288">
        <f t="shared" si="134"/>
        <v>33884.510000000009</v>
      </c>
      <c r="C271" s="14">
        <f t="shared" ref="C271:C334" si="161">IF(+$H270&lt;=0,0,$C$5)</f>
        <v>382.11</v>
      </c>
      <c r="D271" s="14">
        <f t="shared" si="146"/>
        <v>276.22000000000003</v>
      </c>
      <c r="E271" s="14">
        <f t="shared" ref="E271:E334" si="162">ROUND($B271*($C$3/12), 2)</f>
        <v>105.89</v>
      </c>
      <c r="F271" s="288">
        <f t="shared" si="135"/>
        <v>49158.649999999994</v>
      </c>
      <c r="G271" s="288">
        <f t="shared" si="136"/>
        <v>49301.46</v>
      </c>
      <c r="H271" s="288">
        <f t="shared" ref="H271:H334" si="163">+B271-D271</f>
        <v>33608.290000000008</v>
      </c>
      <c r="I271" s="410">
        <f t="shared" ref="I271:I334" si="164">IF(MOD(AC271,12)=0,AC271/12,I270)</f>
        <v>17</v>
      </c>
      <c r="J271" s="288">
        <f t="shared" si="137"/>
        <v>231465.7999999999</v>
      </c>
      <c r="K271" s="288">
        <f t="shared" si="153"/>
        <v>2298.4699999999998</v>
      </c>
      <c r="L271" s="288">
        <f t="shared" si="147"/>
        <v>996.4699999999998</v>
      </c>
      <c r="M271" s="288">
        <f t="shared" si="154"/>
        <v>1302</v>
      </c>
      <c r="N271" s="288">
        <f t="shared" si="138"/>
        <v>123905.66999999994</v>
      </c>
      <c r="O271" s="288">
        <f t="shared" si="139"/>
        <v>363369.9699999998</v>
      </c>
      <c r="P271" s="288">
        <f t="shared" ref="P271:P334" si="165">+J271-L271</f>
        <v>230469.3299999999</v>
      </c>
      <c r="Q271" s="499">
        <f t="shared" ref="Q271:Q334" si="166">+A271</f>
        <v>52089</v>
      </c>
      <c r="R271" s="288">
        <f t="shared" si="152"/>
        <v>0</v>
      </c>
      <c r="S271" s="492">
        <f t="shared" si="140"/>
        <v>6.7500000000000004E-2</v>
      </c>
      <c r="T271" s="288">
        <f t="shared" ref="T271:T334" si="167">IF($J$10&lt;=$A271,IF(+AB270&lt;=0,0,IF(S271=$T$9,$S$9,$S$10)),0)</f>
        <v>0</v>
      </c>
      <c r="U271" s="288">
        <f t="shared" si="155"/>
        <v>0</v>
      </c>
      <c r="V271" s="288">
        <f t="shared" ref="V271:V334" si="168">IF($J$10&lt;=$A271,ROUND(R271*(S271/12),2),0)</f>
        <v>0</v>
      </c>
      <c r="W271" s="288">
        <f t="shared" si="148"/>
        <v>0</v>
      </c>
      <c r="X271" s="288">
        <f t="shared" si="149"/>
        <v>0</v>
      </c>
      <c r="Y271" s="288">
        <f t="shared" si="156"/>
        <v>0</v>
      </c>
      <c r="Z271" s="288">
        <f t="shared" si="157"/>
        <v>357260.75999999995</v>
      </c>
      <c r="AA271" s="288">
        <f t="shared" si="158"/>
        <v>179976.28000000012</v>
      </c>
      <c r="AB271" s="288">
        <f t="shared" ref="AB271:AB334" si="169">IF(Q271&lt;$J$10,$J$6,+R271-U271)</f>
        <v>0</v>
      </c>
      <c r="AC271" s="410">
        <f t="shared" si="141"/>
        <v>211</v>
      </c>
      <c r="AD271" s="510">
        <f t="shared" si="142"/>
        <v>-49961.39999999998</v>
      </c>
      <c r="AE271" s="510">
        <f t="shared" si="150"/>
        <v>-33608.290000000008</v>
      </c>
      <c r="AF271" s="510">
        <f t="shared" si="151"/>
        <v>-83569.689999999988</v>
      </c>
      <c r="AG271" s="510">
        <f t="shared" si="143"/>
        <v>-382.11</v>
      </c>
      <c r="AH271" s="510">
        <f t="shared" si="144"/>
        <v>52056.790000000095</v>
      </c>
      <c r="AI271" s="510"/>
      <c r="AJ271" s="14">
        <f t="shared" si="159"/>
        <v>-382.11</v>
      </c>
      <c r="AK271" s="14">
        <f t="shared" si="160"/>
        <v>451644.39999999863</v>
      </c>
      <c r="AL271" s="510">
        <f>IF(R271&lt;=0,0,+(Profit!$B$4+AM270)*$AL$1/12)</f>
        <v>0</v>
      </c>
      <c r="AM271" s="14">
        <f t="shared" si="145"/>
        <v>227647.99117059269</v>
      </c>
    </row>
    <row r="272" spans="1:39" x14ac:dyDescent="0.25">
      <c r="A272" s="499">
        <f t="shared" ref="A272:A335" si="170">IF(H272&lt;=0," ",+A271+30)</f>
        <v>52119</v>
      </c>
      <c r="B272" s="288">
        <f t="shared" ref="B272:B335" si="171">IF(+H271&lt;0,0,+H271)</f>
        <v>33608.290000000008</v>
      </c>
      <c r="C272" s="14">
        <f t="shared" si="161"/>
        <v>382.11</v>
      </c>
      <c r="D272" s="14">
        <f t="shared" si="146"/>
        <v>277.08000000000004</v>
      </c>
      <c r="E272" s="14">
        <f t="shared" si="162"/>
        <v>105.03</v>
      </c>
      <c r="F272" s="288">
        <f t="shared" ref="F272:F335" si="172">$D272+$F271</f>
        <v>49435.729999999996</v>
      </c>
      <c r="G272" s="288">
        <f t="shared" ref="G272:G335" si="173">$E272+$G271</f>
        <v>49406.49</v>
      </c>
      <c r="H272" s="288">
        <f t="shared" si="163"/>
        <v>33331.210000000006</v>
      </c>
      <c r="I272" s="410">
        <f t="shared" si="164"/>
        <v>17</v>
      </c>
      <c r="J272" s="288">
        <f t="shared" ref="J272:J335" si="174">IF(+P271&lt;0,0,+P271)</f>
        <v>230469.3299999999</v>
      </c>
      <c r="K272" s="288">
        <f t="shared" si="153"/>
        <v>2298.4699999999998</v>
      </c>
      <c r="L272" s="288">
        <f t="shared" si="147"/>
        <v>1002.0799999999997</v>
      </c>
      <c r="M272" s="288">
        <f t="shared" si="154"/>
        <v>1296.3900000000001</v>
      </c>
      <c r="N272" s="288">
        <f t="shared" ref="N272:N335" si="175">+L272+N271</f>
        <v>124907.74999999994</v>
      </c>
      <c r="O272" s="288">
        <f t="shared" ref="O272:O335" si="176">+O271+M272</f>
        <v>364666.35999999981</v>
      </c>
      <c r="P272" s="288">
        <f t="shared" si="165"/>
        <v>229467.24999999991</v>
      </c>
      <c r="Q272" s="499">
        <f t="shared" si="166"/>
        <v>52119</v>
      </c>
      <c r="R272" s="288">
        <f t="shared" si="152"/>
        <v>0</v>
      </c>
      <c r="S272" s="492">
        <f t="shared" ref="S272:S335" si="177">IF(AC272&gt;60,$T$10,$T$9)</f>
        <v>6.7500000000000004E-2</v>
      </c>
      <c r="T272" s="288">
        <f t="shared" si="167"/>
        <v>0</v>
      </c>
      <c r="U272" s="288">
        <f t="shared" si="155"/>
        <v>0</v>
      </c>
      <c r="V272" s="288">
        <f t="shared" si="168"/>
        <v>0</v>
      </c>
      <c r="W272" s="288">
        <f t="shared" si="148"/>
        <v>0</v>
      </c>
      <c r="X272" s="288">
        <f t="shared" si="149"/>
        <v>0</v>
      </c>
      <c r="Y272" s="288">
        <f t="shared" si="156"/>
        <v>0</v>
      </c>
      <c r="Z272" s="288">
        <f t="shared" si="157"/>
        <v>357260.75999999995</v>
      </c>
      <c r="AA272" s="288">
        <f t="shared" si="158"/>
        <v>179976.28000000012</v>
      </c>
      <c r="AB272" s="288">
        <f t="shared" si="169"/>
        <v>0</v>
      </c>
      <c r="AC272" s="410">
        <f t="shared" ref="AC272:AC335" si="178">IF(J272&lt;&gt;"",IF(J272=$J$6,0,+AC271+1),0)</f>
        <v>212</v>
      </c>
      <c r="AD272" s="510">
        <f t="shared" ref="AD272:AD335" si="179">K272-T272+AD271</f>
        <v>-47662.929999999978</v>
      </c>
      <c r="AE272" s="510">
        <f t="shared" si="150"/>
        <v>-33331.210000000006</v>
      </c>
      <c r="AF272" s="510">
        <f t="shared" si="151"/>
        <v>-80994.139999999985</v>
      </c>
      <c r="AG272" s="510">
        <f t="shared" ref="AG272:AG335" si="180">IF(Q272&lt;=$C$10,0,+T272-$C272)</f>
        <v>-382.11</v>
      </c>
      <c r="AH272" s="510">
        <f t="shared" ref="AH272:AH335" si="181">IF(P272&lt;=0,0,+$T$5-$C$2+F272-Z272)</f>
        <v>52333.870000000054</v>
      </c>
      <c r="AI272" s="510"/>
      <c r="AJ272" s="14">
        <f t="shared" si="159"/>
        <v>-382.11</v>
      </c>
      <c r="AK272" s="14">
        <f t="shared" si="160"/>
        <v>451262.28999999864</v>
      </c>
      <c r="AL272" s="510">
        <f>IF(R272&lt;=0,0,+(Profit!$B$4+AM271)*$AL$1/12)</f>
        <v>0</v>
      </c>
      <c r="AM272" s="14">
        <f t="shared" ref="AM272:AM335" si="182">IF(P272&lt;=0,0,+AM271+AL272)</f>
        <v>227647.99117059269</v>
      </c>
    </row>
    <row r="273" spans="1:39" x14ac:dyDescent="0.25">
      <c r="A273" s="499">
        <f t="shared" si="170"/>
        <v>52149</v>
      </c>
      <c r="B273" s="288">
        <f t="shared" si="171"/>
        <v>33331.210000000006</v>
      </c>
      <c r="C273" s="14">
        <f t="shared" si="161"/>
        <v>382.11</v>
      </c>
      <c r="D273" s="14">
        <f t="shared" ref="D273:D336" si="183">+C273-E273</f>
        <v>277.95000000000005</v>
      </c>
      <c r="E273" s="14">
        <f t="shared" si="162"/>
        <v>104.16</v>
      </c>
      <c r="F273" s="288">
        <f t="shared" si="172"/>
        <v>49713.679999999993</v>
      </c>
      <c r="G273" s="288">
        <f t="shared" si="173"/>
        <v>49510.65</v>
      </c>
      <c r="H273" s="288">
        <f t="shared" si="163"/>
        <v>33053.260000000009</v>
      </c>
      <c r="I273" s="410">
        <f t="shared" si="164"/>
        <v>17</v>
      </c>
      <c r="J273" s="288">
        <f t="shared" si="174"/>
        <v>229467.24999999991</v>
      </c>
      <c r="K273" s="288">
        <f t="shared" si="153"/>
        <v>2298.4699999999998</v>
      </c>
      <c r="L273" s="288">
        <f t="shared" ref="L273:L336" si="184">+K273-M273</f>
        <v>1007.7199999999998</v>
      </c>
      <c r="M273" s="288">
        <f t="shared" si="154"/>
        <v>1290.75</v>
      </c>
      <c r="N273" s="288">
        <f t="shared" si="175"/>
        <v>125915.46999999994</v>
      </c>
      <c r="O273" s="288">
        <f t="shared" si="176"/>
        <v>365957.10999999981</v>
      </c>
      <c r="P273" s="288">
        <f t="shared" si="165"/>
        <v>228459.52999999991</v>
      </c>
      <c r="Q273" s="499">
        <f t="shared" si="166"/>
        <v>52149</v>
      </c>
      <c r="R273" s="288">
        <f t="shared" si="152"/>
        <v>0</v>
      </c>
      <c r="S273" s="492">
        <f t="shared" si="177"/>
        <v>6.7500000000000004E-2</v>
      </c>
      <c r="T273" s="288">
        <f t="shared" si="167"/>
        <v>0</v>
      </c>
      <c r="U273" s="288">
        <f t="shared" si="155"/>
        <v>0</v>
      </c>
      <c r="V273" s="288">
        <f t="shared" si="168"/>
        <v>0</v>
      </c>
      <c r="W273" s="288">
        <f t="shared" si="148"/>
        <v>0</v>
      </c>
      <c r="X273" s="288">
        <f t="shared" si="149"/>
        <v>0</v>
      </c>
      <c r="Y273" s="288">
        <f t="shared" si="156"/>
        <v>0</v>
      </c>
      <c r="Z273" s="288">
        <f t="shared" si="157"/>
        <v>357260.75999999995</v>
      </c>
      <c r="AA273" s="288">
        <f t="shared" si="158"/>
        <v>179976.28000000012</v>
      </c>
      <c r="AB273" s="288">
        <f t="shared" si="169"/>
        <v>0</v>
      </c>
      <c r="AC273" s="410">
        <f t="shared" si="178"/>
        <v>213</v>
      </c>
      <c r="AD273" s="510">
        <f t="shared" si="179"/>
        <v>-45364.459999999977</v>
      </c>
      <c r="AE273" s="510">
        <f t="shared" si="150"/>
        <v>-33053.260000000009</v>
      </c>
      <c r="AF273" s="510">
        <f t="shared" si="151"/>
        <v>-78417.719999999987</v>
      </c>
      <c r="AG273" s="510">
        <f t="shared" si="180"/>
        <v>-382.11</v>
      </c>
      <c r="AH273" s="510">
        <f t="shared" si="181"/>
        <v>52611.820000000065</v>
      </c>
      <c r="AI273" s="510"/>
      <c r="AJ273" s="14">
        <f t="shared" si="159"/>
        <v>-382.11</v>
      </c>
      <c r="AK273" s="14">
        <f t="shared" si="160"/>
        <v>450880.17999999865</v>
      </c>
      <c r="AL273" s="510">
        <f>IF(R273&lt;=0,0,+(Profit!$B$4+AM272)*$AL$1/12)</f>
        <v>0</v>
      </c>
      <c r="AM273" s="14">
        <f t="shared" si="182"/>
        <v>227647.99117059269</v>
      </c>
    </row>
    <row r="274" spans="1:39" x14ac:dyDescent="0.25">
      <c r="A274" s="499">
        <f t="shared" si="170"/>
        <v>52179</v>
      </c>
      <c r="B274" s="288">
        <f t="shared" si="171"/>
        <v>33053.260000000009</v>
      </c>
      <c r="C274" s="14">
        <f t="shared" si="161"/>
        <v>382.11</v>
      </c>
      <c r="D274" s="14">
        <f t="shared" si="183"/>
        <v>278.82</v>
      </c>
      <c r="E274" s="14">
        <f t="shared" si="162"/>
        <v>103.29</v>
      </c>
      <c r="F274" s="288">
        <f t="shared" si="172"/>
        <v>49992.499999999993</v>
      </c>
      <c r="G274" s="288">
        <f t="shared" si="173"/>
        <v>49613.94</v>
      </c>
      <c r="H274" s="288">
        <f t="shared" si="163"/>
        <v>32774.44000000001</v>
      </c>
      <c r="I274" s="410">
        <f t="shared" si="164"/>
        <v>17</v>
      </c>
      <c r="J274" s="288">
        <f t="shared" si="174"/>
        <v>228459.52999999991</v>
      </c>
      <c r="K274" s="288">
        <f t="shared" si="153"/>
        <v>2298.4699999999998</v>
      </c>
      <c r="L274" s="288">
        <f t="shared" si="184"/>
        <v>1013.3899999999999</v>
      </c>
      <c r="M274" s="288">
        <f t="shared" si="154"/>
        <v>1285.08</v>
      </c>
      <c r="N274" s="288">
        <f t="shared" si="175"/>
        <v>126928.85999999994</v>
      </c>
      <c r="O274" s="288">
        <f t="shared" si="176"/>
        <v>367242.18999999983</v>
      </c>
      <c r="P274" s="288">
        <f t="shared" si="165"/>
        <v>227446.1399999999</v>
      </c>
      <c r="Q274" s="499">
        <f t="shared" si="166"/>
        <v>52179</v>
      </c>
      <c r="R274" s="288">
        <f t="shared" si="152"/>
        <v>0</v>
      </c>
      <c r="S274" s="492">
        <f t="shared" si="177"/>
        <v>6.7500000000000004E-2</v>
      </c>
      <c r="T274" s="288">
        <f t="shared" si="167"/>
        <v>0</v>
      </c>
      <c r="U274" s="288">
        <f t="shared" si="155"/>
        <v>0</v>
      </c>
      <c r="V274" s="288">
        <f t="shared" si="168"/>
        <v>0</v>
      </c>
      <c r="W274" s="288">
        <f t="shared" si="148"/>
        <v>0</v>
      </c>
      <c r="X274" s="288">
        <f t="shared" si="149"/>
        <v>0</v>
      </c>
      <c r="Y274" s="288">
        <f t="shared" si="156"/>
        <v>0</v>
      </c>
      <c r="Z274" s="288">
        <f t="shared" si="157"/>
        <v>357260.75999999995</v>
      </c>
      <c r="AA274" s="288">
        <f t="shared" si="158"/>
        <v>179976.28000000012</v>
      </c>
      <c r="AB274" s="288">
        <f t="shared" si="169"/>
        <v>0</v>
      </c>
      <c r="AC274" s="410">
        <f t="shared" si="178"/>
        <v>214</v>
      </c>
      <c r="AD274" s="510">
        <f t="shared" si="179"/>
        <v>-43065.989999999976</v>
      </c>
      <c r="AE274" s="510">
        <f t="shared" si="150"/>
        <v>-32774.44000000001</v>
      </c>
      <c r="AF274" s="510">
        <f t="shared" si="151"/>
        <v>-75840.429999999993</v>
      </c>
      <c r="AG274" s="510">
        <f t="shared" si="180"/>
        <v>-382.11</v>
      </c>
      <c r="AH274" s="510">
        <f t="shared" si="181"/>
        <v>52890.640000000072</v>
      </c>
      <c r="AI274" s="510"/>
      <c r="AJ274" s="14">
        <f t="shared" si="159"/>
        <v>-382.11</v>
      </c>
      <c r="AK274" s="14">
        <f t="shared" si="160"/>
        <v>450498.06999999867</v>
      </c>
      <c r="AL274" s="510">
        <f>IF(R274&lt;=0,0,+(Profit!$B$4+AM273)*$AL$1/12)</f>
        <v>0</v>
      </c>
      <c r="AM274" s="14">
        <f t="shared" si="182"/>
        <v>227647.99117059269</v>
      </c>
    </row>
    <row r="275" spans="1:39" x14ac:dyDescent="0.25">
      <c r="A275" s="499">
        <f t="shared" si="170"/>
        <v>52209</v>
      </c>
      <c r="B275" s="288">
        <f t="shared" si="171"/>
        <v>32774.44000000001</v>
      </c>
      <c r="C275" s="14">
        <f t="shared" si="161"/>
        <v>382.11</v>
      </c>
      <c r="D275" s="14">
        <f t="shared" si="183"/>
        <v>279.69</v>
      </c>
      <c r="E275" s="14">
        <f t="shared" si="162"/>
        <v>102.42</v>
      </c>
      <c r="F275" s="288">
        <f t="shared" si="172"/>
        <v>50272.189999999995</v>
      </c>
      <c r="G275" s="288">
        <f t="shared" si="173"/>
        <v>49716.36</v>
      </c>
      <c r="H275" s="288">
        <f t="shared" si="163"/>
        <v>32494.750000000011</v>
      </c>
      <c r="I275" s="410">
        <f t="shared" si="164"/>
        <v>17</v>
      </c>
      <c r="J275" s="288">
        <f t="shared" si="174"/>
        <v>227446.1399999999</v>
      </c>
      <c r="K275" s="288">
        <f t="shared" si="153"/>
        <v>2298.4699999999998</v>
      </c>
      <c r="L275" s="288">
        <f t="shared" si="184"/>
        <v>1019.0899999999997</v>
      </c>
      <c r="M275" s="288">
        <f t="shared" si="154"/>
        <v>1279.3800000000001</v>
      </c>
      <c r="N275" s="288">
        <f t="shared" si="175"/>
        <v>127947.94999999994</v>
      </c>
      <c r="O275" s="288">
        <f t="shared" si="176"/>
        <v>368521.56999999983</v>
      </c>
      <c r="P275" s="288">
        <f t="shared" si="165"/>
        <v>226427.0499999999</v>
      </c>
      <c r="Q275" s="499">
        <f t="shared" si="166"/>
        <v>52209</v>
      </c>
      <c r="R275" s="288">
        <f t="shared" si="152"/>
        <v>0</v>
      </c>
      <c r="S275" s="492">
        <f t="shared" si="177"/>
        <v>6.7500000000000004E-2</v>
      </c>
      <c r="T275" s="288">
        <f t="shared" si="167"/>
        <v>0</v>
      </c>
      <c r="U275" s="288">
        <f t="shared" si="155"/>
        <v>0</v>
      </c>
      <c r="V275" s="288">
        <f t="shared" si="168"/>
        <v>0</v>
      </c>
      <c r="W275" s="288">
        <f t="shared" si="148"/>
        <v>0</v>
      </c>
      <c r="X275" s="288">
        <f t="shared" si="149"/>
        <v>0</v>
      </c>
      <c r="Y275" s="288">
        <f t="shared" si="156"/>
        <v>0</v>
      </c>
      <c r="Z275" s="288">
        <f t="shared" si="157"/>
        <v>357260.75999999995</v>
      </c>
      <c r="AA275" s="288">
        <f t="shared" si="158"/>
        <v>179976.28000000012</v>
      </c>
      <c r="AB275" s="288">
        <f t="shared" si="169"/>
        <v>0</v>
      </c>
      <c r="AC275" s="410">
        <f t="shared" si="178"/>
        <v>215</v>
      </c>
      <c r="AD275" s="510">
        <f t="shared" si="179"/>
        <v>-40767.519999999975</v>
      </c>
      <c r="AE275" s="510">
        <f t="shared" si="150"/>
        <v>-32494.750000000011</v>
      </c>
      <c r="AF275" s="510">
        <f t="shared" si="151"/>
        <v>-73262.26999999999</v>
      </c>
      <c r="AG275" s="510">
        <f t="shared" si="180"/>
        <v>-382.11</v>
      </c>
      <c r="AH275" s="510">
        <f t="shared" si="181"/>
        <v>53170.330000000075</v>
      </c>
      <c r="AI275" s="510"/>
      <c r="AJ275" s="14">
        <f t="shared" si="159"/>
        <v>-382.11</v>
      </c>
      <c r="AK275" s="14">
        <f t="shared" si="160"/>
        <v>450115.95999999868</v>
      </c>
      <c r="AL275" s="510">
        <f>IF(R275&lt;=0,0,+(Profit!$B$4+AM274)*$AL$1/12)</f>
        <v>0</v>
      </c>
      <c r="AM275" s="14">
        <f t="shared" si="182"/>
        <v>227647.99117059269</v>
      </c>
    </row>
    <row r="276" spans="1:39" x14ac:dyDescent="0.25">
      <c r="A276" s="499">
        <f t="shared" si="170"/>
        <v>52239</v>
      </c>
      <c r="B276" s="288">
        <f t="shared" si="171"/>
        <v>32494.750000000011</v>
      </c>
      <c r="C276" s="14">
        <f t="shared" si="161"/>
        <v>382.11</v>
      </c>
      <c r="D276" s="14">
        <f t="shared" si="183"/>
        <v>280.56</v>
      </c>
      <c r="E276" s="14">
        <f t="shared" si="162"/>
        <v>101.55</v>
      </c>
      <c r="F276" s="288">
        <f t="shared" si="172"/>
        <v>50552.749999999993</v>
      </c>
      <c r="G276" s="288">
        <f t="shared" si="173"/>
        <v>49817.91</v>
      </c>
      <c r="H276" s="288">
        <f t="shared" si="163"/>
        <v>32214.19000000001</v>
      </c>
      <c r="I276" s="410">
        <f t="shared" si="164"/>
        <v>18</v>
      </c>
      <c r="J276" s="288">
        <f t="shared" si="174"/>
        <v>226427.0499999999</v>
      </c>
      <c r="K276" s="288">
        <f t="shared" si="153"/>
        <v>2298.4699999999998</v>
      </c>
      <c r="L276" s="288">
        <f t="shared" si="184"/>
        <v>1024.8199999999997</v>
      </c>
      <c r="M276" s="288">
        <f t="shared" si="154"/>
        <v>1273.6500000000001</v>
      </c>
      <c r="N276" s="288">
        <f t="shared" si="175"/>
        <v>128972.76999999993</v>
      </c>
      <c r="O276" s="288">
        <f t="shared" si="176"/>
        <v>369795.21999999986</v>
      </c>
      <c r="P276" s="288">
        <f t="shared" si="165"/>
        <v>225402.22999999989</v>
      </c>
      <c r="Q276" s="499">
        <f t="shared" si="166"/>
        <v>52239</v>
      </c>
      <c r="R276" s="288">
        <f t="shared" si="152"/>
        <v>0</v>
      </c>
      <c r="S276" s="492">
        <f t="shared" si="177"/>
        <v>6.7500000000000004E-2</v>
      </c>
      <c r="T276" s="288">
        <f t="shared" si="167"/>
        <v>0</v>
      </c>
      <c r="U276" s="288">
        <f t="shared" si="155"/>
        <v>0</v>
      </c>
      <c r="V276" s="288">
        <f t="shared" si="168"/>
        <v>0</v>
      </c>
      <c r="W276" s="288">
        <f t="shared" si="148"/>
        <v>0</v>
      </c>
      <c r="X276" s="288">
        <f t="shared" si="149"/>
        <v>0</v>
      </c>
      <c r="Y276" s="288">
        <f t="shared" si="156"/>
        <v>0</v>
      </c>
      <c r="Z276" s="288">
        <f t="shared" si="157"/>
        <v>357260.75999999995</v>
      </c>
      <c r="AA276" s="288">
        <f t="shared" si="158"/>
        <v>179976.28000000012</v>
      </c>
      <c r="AB276" s="288">
        <f t="shared" si="169"/>
        <v>0</v>
      </c>
      <c r="AC276" s="410">
        <f t="shared" si="178"/>
        <v>216</v>
      </c>
      <c r="AD276" s="510">
        <f t="shared" si="179"/>
        <v>-38469.049999999974</v>
      </c>
      <c r="AE276" s="510">
        <f t="shared" si="150"/>
        <v>-32214.19000000001</v>
      </c>
      <c r="AF276" s="510">
        <f t="shared" si="151"/>
        <v>-70683.239999999991</v>
      </c>
      <c r="AG276" s="510">
        <f t="shared" si="180"/>
        <v>-382.11</v>
      </c>
      <c r="AH276" s="510">
        <f t="shared" si="181"/>
        <v>53450.890000000072</v>
      </c>
      <c r="AI276" s="510"/>
      <c r="AJ276" s="14">
        <f t="shared" si="159"/>
        <v>-382.11</v>
      </c>
      <c r="AK276" s="14">
        <f t="shared" si="160"/>
        <v>449733.8499999987</v>
      </c>
      <c r="AL276" s="510">
        <f>IF(R276&lt;=0,0,+(Profit!$B$4+AM275)*$AL$1/12)</f>
        <v>0</v>
      </c>
      <c r="AM276" s="14">
        <f t="shared" si="182"/>
        <v>227647.99117059269</v>
      </c>
    </row>
    <row r="277" spans="1:39" x14ac:dyDescent="0.25">
      <c r="A277" s="499">
        <f t="shared" si="170"/>
        <v>52269</v>
      </c>
      <c r="B277" s="288">
        <f t="shared" si="171"/>
        <v>32214.19000000001</v>
      </c>
      <c r="C277" s="14">
        <f t="shared" si="161"/>
        <v>382.11</v>
      </c>
      <c r="D277" s="14">
        <f t="shared" si="183"/>
        <v>281.44</v>
      </c>
      <c r="E277" s="14">
        <f t="shared" si="162"/>
        <v>100.67</v>
      </c>
      <c r="F277" s="288">
        <f t="shared" si="172"/>
        <v>50834.189999999995</v>
      </c>
      <c r="G277" s="288">
        <f t="shared" si="173"/>
        <v>49918.58</v>
      </c>
      <c r="H277" s="288">
        <f t="shared" si="163"/>
        <v>31932.750000000011</v>
      </c>
      <c r="I277" s="410">
        <f t="shared" si="164"/>
        <v>18</v>
      </c>
      <c r="J277" s="288">
        <f t="shared" si="174"/>
        <v>225402.22999999989</v>
      </c>
      <c r="K277" s="288">
        <f t="shared" si="153"/>
        <v>2298.4699999999998</v>
      </c>
      <c r="L277" s="288">
        <f t="shared" si="184"/>
        <v>1030.5799999999997</v>
      </c>
      <c r="M277" s="288">
        <f t="shared" si="154"/>
        <v>1267.8900000000001</v>
      </c>
      <c r="N277" s="288">
        <f t="shared" si="175"/>
        <v>130003.34999999993</v>
      </c>
      <c r="O277" s="288">
        <f t="shared" si="176"/>
        <v>371063.10999999987</v>
      </c>
      <c r="P277" s="288">
        <f t="shared" si="165"/>
        <v>224371.64999999991</v>
      </c>
      <c r="Q277" s="499">
        <f t="shared" si="166"/>
        <v>52269</v>
      </c>
      <c r="R277" s="288">
        <f t="shared" si="152"/>
        <v>0</v>
      </c>
      <c r="S277" s="492">
        <f t="shared" si="177"/>
        <v>6.7500000000000004E-2</v>
      </c>
      <c r="T277" s="288">
        <f t="shared" si="167"/>
        <v>0</v>
      </c>
      <c r="U277" s="288">
        <f t="shared" si="155"/>
        <v>0</v>
      </c>
      <c r="V277" s="288">
        <f t="shared" si="168"/>
        <v>0</v>
      </c>
      <c r="W277" s="288">
        <f t="shared" si="148"/>
        <v>0</v>
      </c>
      <c r="X277" s="288">
        <f t="shared" si="149"/>
        <v>0</v>
      </c>
      <c r="Y277" s="288">
        <f t="shared" si="156"/>
        <v>0</v>
      </c>
      <c r="Z277" s="288">
        <f t="shared" si="157"/>
        <v>357260.75999999995</v>
      </c>
      <c r="AA277" s="288">
        <f t="shared" si="158"/>
        <v>179976.28000000012</v>
      </c>
      <c r="AB277" s="288">
        <f t="shared" si="169"/>
        <v>0</v>
      </c>
      <c r="AC277" s="410">
        <f t="shared" si="178"/>
        <v>217</v>
      </c>
      <c r="AD277" s="510">
        <f t="shared" si="179"/>
        <v>-36170.579999999973</v>
      </c>
      <c r="AE277" s="510">
        <f t="shared" si="150"/>
        <v>-31932.750000000011</v>
      </c>
      <c r="AF277" s="510">
        <f t="shared" si="151"/>
        <v>-68103.329999999987</v>
      </c>
      <c r="AG277" s="510">
        <f t="shared" si="180"/>
        <v>-382.11</v>
      </c>
      <c r="AH277" s="510">
        <f t="shared" si="181"/>
        <v>53732.330000000075</v>
      </c>
      <c r="AI277" s="510"/>
      <c r="AJ277" s="14">
        <f t="shared" si="159"/>
        <v>-382.11</v>
      </c>
      <c r="AK277" s="14">
        <f t="shared" si="160"/>
        <v>449351.73999999871</v>
      </c>
      <c r="AL277" s="510">
        <f>IF(R277&lt;=0,0,+(Profit!$B$4+AM276)*$AL$1/12)</f>
        <v>0</v>
      </c>
      <c r="AM277" s="14">
        <f t="shared" si="182"/>
        <v>227647.99117059269</v>
      </c>
    </row>
    <row r="278" spans="1:39" ht="15.75" thickBot="1" x14ac:dyDescent="0.3">
      <c r="A278" s="502">
        <f t="shared" si="170"/>
        <v>52299</v>
      </c>
      <c r="B278" s="343">
        <f t="shared" si="171"/>
        <v>31932.750000000011</v>
      </c>
      <c r="C278" s="21">
        <f t="shared" si="161"/>
        <v>382.11</v>
      </c>
      <c r="D278" s="21">
        <f t="shared" si="183"/>
        <v>282.32</v>
      </c>
      <c r="E278" s="21">
        <f t="shared" si="162"/>
        <v>99.79</v>
      </c>
      <c r="F278" s="343">
        <f t="shared" si="172"/>
        <v>51116.509999999995</v>
      </c>
      <c r="G278" s="343">
        <f t="shared" si="173"/>
        <v>50018.37</v>
      </c>
      <c r="H278" s="343">
        <f t="shared" si="163"/>
        <v>31650.430000000011</v>
      </c>
      <c r="I278" s="411">
        <f t="shared" si="164"/>
        <v>18</v>
      </c>
      <c r="J278" s="343">
        <f t="shared" si="174"/>
        <v>224371.64999999991</v>
      </c>
      <c r="K278" s="343">
        <f t="shared" si="153"/>
        <v>2298.4699999999998</v>
      </c>
      <c r="L278" s="343">
        <f t="shared" si="184"/>
        <v>1036.3799999999999</v>
      </c>
      <c r="M278" s="343">
        <f t="shared" si="154"/>
        <v>1262.0899999999999</v>
      </c>
      <c r="N278" s="343">
        <f t="shared" si="175"/>
        <v>131039.72999999994</v>
      </c>
      <c r="O278" s="343">
        <f t="shared" si="176"/>
        <v>372325.1999999999</v>
      </c>
      <c r="P278" s="343">
        <f t="shared" si="165"/>
        <v>223335.2699999999</v>
      </c>
      <c r="Q278" s="502">
        <f t="shared" si="166"/>
        <v>52299</v>
      </c>
      <c r="R278" s="343">
        <f t="shared" si="152"/>
        <v>0</v>
      </c>
      <c r="S278" s="493">
        <f t="shared" si="177"/>
        <v>6.7500000000000004E-2</v>
      </c>
      <c r="T278" s="343">
        <f t="shared" si="167"/>
        <v>0</v>
      </c>
      <c r="U278" s="343">
        <f t="shared" si="155"/>
        <v>0</v>
      </c>
      <c r="V278" s="343">
        <f t="shared" si="168"/>
        <v>0</v>
      </c>
      <c r="W278" s="343">
        <f t="shared" si="148"/>
        <v>0</v>
      </c>
      <c r="X278" s="343">
        <f t="shared" si="149"/>
        <v>0</v>
      </c>
      <c r="Y278" s="343">
        <f t="shared" si="156"/>
        <v>0</v>
      </c>
      <c r="Z278" s="343">
        <f t="shared" si="157"/>
        <v>357260.75999999995</v>
      </c>
      <c r="AA278" s="343">
        <f t="shared" si="158"/>
        <v>179976.28000000012</v>
      </c>
      <c r="AB278" s="343">
        <f t="shared" si="169"/>
        <v>0</v>
      </c>
      <c r="AC278" s="411">
        <f t="shared" si="178"/>
        <v>218</v>
      </c>
      <c r="AD278" s="511">
        <f t="shared" si="179"/>
        <v>-33872.109999999971</v>
      </c>
      <c r="AE278" s="511">
        <f t="shared" si="150"/>
        <v>-31650.430000000011</v>
      </c>
      <c r="AF278" s="511">
        <f t="shared" si="151"/>
        <v>-65522.539999999979</v>
      </c>
      <c r="AG278" s="511">
        <f t="shared" si="180"/>
        <v>-382.11</v>
      </c>
      <c r="AH278" s="511">
        <f t="shared" si="181"/>
        <v>54014.650000000081</v>
      </c>
      <c r="AI278" s="511"/>
      <c r="AJ278" s="21">
        <f t="shared" si="159"/>
        <v>-382.11</v>
      </c>
      <c r="AK278" s="21">
        <f t="shared" si="160"/>
        <v>448969.62999999872</v>
      </c>
      <c r="AL278" s="511">
        <f>IF(R278&lt;=0,0,+(Profit!$B$4+AM277)*$AL$1/12)</f>
        <v>0</v>
      </c>
      <c r="AM278" s="21">
        <f t="shared" si="182"/>
        <v>227647.99117059269</v>
      </c>
    </row>
    <row r="279" spans="1:39" x14ac:dyDescent="0.25">
      <c r="A279" s="499">
        <f t="shared" si="170"/>
        <v>52329</v>
      </c>
      <c r="B279" s="288">
        <f t="shared" si="171"/>
        <v>31650.430000000011</v>
      </c>
      <c r="C279" s="14">
        <f t="shared" si="161"/>
        <v>382.11</v>
      </c>
      <c r="D279" s="14">
        <f t="shared" si="183"/>
        <v>283.20000000000005</v>
      </c>
      <c r="E279" s="14">
        <f t="shared" si="162"/>
        <v>98.91</v>
      </c>
      <c r="F279" s="288">
        <f t="shared" si="172"/>
        <v>51399.709999999992</v>
      </c>
      <c r="G279" s="288">
        <f t="shared" si="173"/>
        <v>50117.280000000006</v>
      </c>
      <c r="H279" s="288">
        <f t="shared" si="163"/>
        <v>31367.23000000001</v>
      </c>
      <c r="I279" s="410">
        <f t="shared" si="164"/>
        <v>18</v>
      </c>
      <c r="J279" s="288">
        <f t="shared" si="174"/>
        <v>223335.2699999999</v>
      </c>
      <c r="K279" s="288">
        <f t="shared" si="153"/>
        <v>2298.4699999999998</v>
      </c>
      <c r="L279" s="288">
        <f t="shared" si="184"/>
        <v>1042.2099999999998</v>
      </c>
      <c r="M279" s="288">
        <f t="shared" si="154"/>
        <v>1256.26</v>
      </c>
      <c r="N279" s="288">
        <f t="shared" si="175"/>
        <v>132081.93999999994</v>
      </c>
      <c r="O279" s="288">
        <f t="shared" si="176"/>
        <v>373581.4599999999</v>
      </c>
      <c r="P279" s="288">
        <f t="shared" si="165"/>
        <v>222293.05999999991</v>
      </c>
      <c r="Q279" s="499">
        <f t="shared" si="166"/>
        <v>52329</v>
      </c>
      <c r="R279" s="288">
        <f t="shared" si="152"/>
        <v>0</v>
      </c>
      <c r="S279" s="492">
        <f t="shared" si="177"/>
        <v>6.7500000000000004E-2</v>
      </c>
      <c r="T279" s="288">
        <f t="shared" si="167"/>
        <v>0</v>
      </c>
      <c r="U279" s="288">
        <f t="shared" si="155"/>
        <v>0</v>
      </c>
      <c r="V279" s="288">
        <f t="shared" si="168"/>
        <v>0</v>
      </c>
      <c r="W279" s="288">
        <f t="shared" si="148"/>
        <v>0</v>
      </c>
      <c r="X279" s="288">
        <f t="shared" si="149"/>
        <v>0</v>
      </c>
      <c r="Y279" s="288">
        <f t="shared" si="156"/>
        <v>0</v>
      </c>
      <c r="Z279" s="288">
        <f t="shared" si="157"/>
        <v>357260.75999999995</v>
      </c>
      <c r="AA279" s="288">
        <f t="shared" si="158"/>
        <v>179976.28000000012</v>
      </c>
      <c r="AB279" s="288">
        <f t="shared" si="169"/>
        <v>0</v>
      </c>
      <c r="AC279" s="410">
        <f t="shared" si="178"/>
        <v>219</v>
      </c>
      <c r="AD279" s="510">
        <f t="shared" si="179"/>
        <v>-31573.63999999997</v>
      </c>
      <c r="AE279" s="510">
        <f t="shared" si="150"/>
        <v>-31367.23000000001</v>
      </c>
      <c r="AF279" s="510">
        <f t="shared" si="151"/>
        <v>-62940.869999999981</v>
      </c>
      <c r="AG279" s="510">
        <f t="shared" si="180"/>
        <v>-382.11</v>
      </c>
      <c r="AH279" s="510">
        <f t="shared" si="181"/>
        <v>54297.850000000035</v>
      </c>
      <c r="AI279" s="510"/>
      <c r="AJ279" s="14">
        <f t="shared" si="159"/>
        <v>-382.11</v>
      </c>
      <c r="AK279" s="14">
        <f t="shared" si="160"/>
        <v>448587.51999999874</v>
      </c>
      <c r="AL279" s="510">
        <f>IF(R279&lt;=0,0,+(Profit!$B$4+AM278)*$AL$1/12)</f>
        <v>0</v>
      </c>
      <c r="AM279" s="14">
        <f t="shared" si="182"/>
        <v>227647.99117059269</v>
      </c>
    </row>
    <row r="280" spans="1:39" x14ac:dyDescent="0.25">
      <c r="A280" s="499">
        <f t="shared" si="170"/>
        <v>52359</v>
      </c>
      <c r="B280" s="288">
        <f t="shared" si="171"/>
        <v>31367.23000000001</v>
      </c>
      <c r="C280" s="14">
        <f t="shared" si="161"/>
        <v>382.11</v>
      </c>
      <c r="D280" s="14">
        <f t="shared" si="183"/>
        <v>284.09000000000003</v>
      </c>
      <c r="E280" s="14">
        <f t="shared" si="162"/>
        <v>98.02</v>
      </c>
      <c r="F280" s="288">
        <f t="shared" si="172"/>
        <v>51683.799999999988</v>
      </c>
      <c r="G280" s="288">
        <f t="shared" si="173"/>
        <v>50215.3</v>
      </c>
      <c r="H280" s="288">
        <f t="shared" si="163"/>
        <v>31083.14000000001</v>
      </c>
      <c r="I280" s="410">
        <f t="shared" si="164"/>
        <v>18</v>
      </c>
      <c r="J280" s="288">
        <f t="shared" si="174"/>
        <v>222293.05999999991</v>
      </c>
      <c r="K280" s="288">
        <f t="shared" si="153"/>
        <v>2298.4699999999998</v>
      </c>
      <c r="L280" s="288">
        <f t="shared" si="184"/>
        <v>1048.0699999999997</v>
      </c>
      <c r="M280" s="288">
        <f t="shared" si="154"/>
        <v>1250.4000000000001</v>
      </c>
      <c r="N280" s="288">
        <f t="shared" si="175"/>
        <v>133130.00999999995</v>
      </c>
      <c r="O280" s="288">
        <f t="shared" si="176"/>
        <v>374831.85999999993</v>
      </c>
      <c r="P280" s="288">
        <f t="shared" si="165"/>
        <v>221244.9899999999</v>
      </c>
      <c r="Q280" s="499">
        <f t="shared" si="166"/>
        <v>52359</v>
      </c>
      <c r="R280" s="288">
        <f t="shared" si="152"/>
        <v>0</v>
      </c>
      <c r="S280" s="492">
        <f t="shared" si="177"/>
        <v>6.7500000000000004E-2</v>
      </c>
      <c r="T280" s="288">
        <f t="shared" si="167"/>
        <v>0</v>
      </c>
      <c r="U280" s="288">
        <f t="shared" si="155"/>
        <v>0</v>
      </c>
      <c r="V280" s="288">
        <f t="shared" si="168"/>
        <v>0</v>
      </c>
      <c r="W280" s="288">
        <f t="shared" si="148"/>
        <v>0</v>
      </c>
      <c r="X280" s="288">
        <f t="shared" si="149"/>
        <v>0</v>
      </c>
      <c r="Y280" s="288">
        <f t="shared" si="156"/>
        <v>0</v>
      </c>
      <c r="Z280" s="288">
        <f t="shared" si="157"/>
        <v>357260.75999999995</v>
      </c>
      <c r="AA280" s="288">
        <f t="shared" si="158"/>
        <v>179976.28000000012</v>
      </c>
      <c r="AB280" s="288">
        <f t="shared" si="169"/>
        <v>0</v>
      </c>
      <c r="AC280" s="410">
        <f t="shared" si="178"/>
        <v>220</v>
      </c>
      <c r="AD280" s="510">
        <f t="shared" si="179"/>
        <v>-29275.169999999969</v>
      </c>
      <c r="AE280" s="510">
        <f t="shared" si="150"/>
        <v>-31083.14000000001</v>
      </c>
      <c r="AF280" s="510">
        <f t="shared" si="151"/>
        <v>-60358.309999999983</v>
      </c>
      <c r="AG280" s="510">
        <f t="shared" si="180"/>
        <v>-382.11</v>
      </c>
      <c r="AH280" s="510">
        <f t="shared" si="181"/>
        <v>54581.940000000061</v>
      </c>
      <c r="AI280" s="510"/>
      <c r="AJ280" s="14">
        <f t="shared" si="159"/>
        <v>-382.11</v>
      </c>
      <c r="AK280" s="14">
        <f t="shared" si="160"/>
        <v>448205.40999999875</v>
      </c>
      <c r="AL280" s="510">
        <f>IF(R280&lt;=0,0,+(Profit!$B$4+AM279)*$AL$1/12)</f>
        <v>0</v>
      </c>
      <c r="AM280" s="14">
        <f t="shared" si="182"/>
        <v>227647.99117059269</v>
      </c>
    </row>
    <row r="281" spans="1:39" x14ac:dyDescent="0.25">
      <c r="A281" s="499">
        <f t="shared" si="170"/>
        <v>52389</v>
      </c>
      <c r="B281" s="288">
        <f t="shared" si="171"/>
        <v>31083.14000000001</v>
      </c>
      <c r="C281" s="14">
        <f t="shared" si="161"/>
        <v>382.11</v>
      </c>
      <c r="D281" s="14">
        <f t="shared" si="183"/>
        <v>284.98</v>
      </c>
      <c r="E281" s="14">
        <f t="shared" si="162"/>
        <v>97.13</v>
      </c>
      <c r="F281" s="288">
        <f t="shared" si="172"/>
        <v>51968.779999999992</v>
      </c>
      <c r="G281" s="288">
        <f t="shared" si="173"/>
        <v>50312.43</v>
      </c>
      <c r="H281" s="288">
        <f t="shared" si="163"/>
        <v>30798.160000000011</v>
      </c>
      <c r="I281" s="410">
        <f t="shared" si="164"/>
        <v>18</v>
      </c>
      <c r="J281" s="288">
        <f t="shared" si="174"/>
        <v>221244.9899999999</v>
      </c>
      <c r="K281" s="288">
        <f t="shared" si="153"/>
        <v>2298.4699999999998</v>
      </c>
      <c r="L281" s="288">
        <f t="shared" si="184"/>
        <v>1053.9699999999998</v>
      </c>
      <c r="M281" s="288">
        <f t="shared" si="154"/>
        <v>1244.5</v>
      </c>
      <c r="N281" s="288">
        <f t="shared" si="175"/>
        <v>134183.97999999995</v>
      </c>
      <c r="O281" s="288">
        <f t="shared" si="176"/>
        <v>376076.35999999993</v>
      </c>
      <c r="P281" s="288">
        <f t="shared" si="165"/>
        <v>220191.0199999999</v>
      </c>
      <c r="Q281" s="499">
        <f t="shared" si="166"/>
        <v>52389</v>
      </c>
      <c r="R281" s="288">
        <f t="shared" si="152"/>
        <v>0</v>
      </c>
      <c r="S281" s="492">
        <f t="shared" si="177"/>
        <v>6.7500000000000004E-2</v>
      </c>
      <c r="T281" s="288">
        <f t="shared" si="167"/>
        <v>0</v>
      </c>
      <c r="U281" s="288">
        <f t="shared" si="155"/>
        <v>0</v>
      </c>
      <c r="V281" s="288">
        <f t="shared" si="168"/>
        <v>0</v>
      </c>
      <c r="W281" s="288">
        <f t="shared" si="148"/>
        <v>0</v>
      </c>
      <c r="X281" s="288">
        <f t="shared" si="149"/>
        <v>0</v>
      </c>
      <c r="Y281" s="288">
        <f t="shared" si="156"/>
        <v>0</v>
      </c>
      <c r="Z281" s="288">
        <f t="shared" si="157"/>
        <v>357260.75999999995</v>
      </c>
      <c r="AA281" s="288">
        <f t="shared" si="158"/>
        <v>179976.28000000012</v>
      </c>
      <c r="AB281" s="288">
        <f t="shared" si="169"/>
        <v>0</v>
      </c>
      <c r="AC281" s="410">
        <f t="shared" si="178"/>
        <v>221</v>
      </c>
      <c r="AD281" s="510">
        <f t="shared" si="179"/>
        <v>-26976.699999999968</v>
      </c>
      <c r="AE281" s="510">
        <f t="shared" si="150"/>
        <v>-30798.160000000011</v>
      </c>
      <c r="AF281" s="510">
        <f t="shared" si="151"/>
        <v>-57774.859999999979</v>
      </c>
      <c r="AG281" s="510">
        <f t="shared" si="180"/>
        <v>-382.11</v>
      </c>
      <c r="AH281" s="510">
        <f t="shared" si="181"/>
        <v>54866.920000000042</v>
      </c>
      <c r="AI281" s="510"/>
      <c r="AJ281" s="14">
        <f t="shared" si="159"/>
        <v>-382.11</v>
      </c>
      <c r="AK281" s="14">
        <f t="shared" si="160"/>
        <v>447823.29999999877</v>
      </c>
      <c r="AL281" s="510">
        <f>IF(R281&lt;=0,0,+(Profit!$B$4+AM280)*$AL$1/12)</f>
        <v>0</v>
      </c>
      <c r="AM281" s="14">
        <f t="shared" si="182"/>
        <v>227647.99117059269</v>
      </c>
    </row>
    <row r="282" spans="1:39" x14ac:dyDescent="0.25">
      <c r="A282" s="499">
        <f t="shared" si="170"/>
        <v>52419</v>
      </c>
      <c r="B282" s="288">
        <f t="shared" si="171"/>
        <v>30798.160000000011</v>
      </c>
      <c r="C282" s="14">
        <f t="shared" si="161"/>
        <v>382.11</v>
      </c>
      <c r="D282" s="14">
        <f t="shared" si="183"/>
        <v>285.87</v>
      </c>
      <c r="E282" s="14">
        <f t="shared" si="162"/>
        <v>96.24</v>
      </c>
      <c r="F282" s="288">
        <f t="shared" si="172"/>
        <v>52254.649999999994</v>
      </c>
      <c r="G282" s="288">
        <f t="shared" si="173"/>
        <v>50408.67</v>
      </c>
      <c r="H282" s="288">
        <f t="shared" si="163"/>
        <v>30512.290000000012</v>
      </c>
      <c r="I282" s="410">
        <f t="shared" si="164"/>
        <v>18</v>
      </c>
      <c r="J282" s="288">
        <f t="shared" si="174"/>
        <v>220191.0199999999</v>
      </c>
      <c r="K282" s="288">
        <f t="shared" si="153"/>
        <v>2298.4699999999998</v>
      </c>
      <c r="L282" s="288">
        <f t="shared" si="184"/>
        <v>1059.8999999999999</v>
      </c>
      <c r="M282" s="288">
        <f t="shared" si="154"/>
        <v>1238.57</v>
      </c>
      <c r="N282" s="288">
        <f t="shared" si="175"/>
        <v>135243.87999999995</v>
      </c>
      <c r="O282" s="288">
        <f t="shared" si="176"/>
        <v>377314.92999999993</v>
      </c>
      <c r="P282" s="288">
        <f t="shared" si="165"/>
        <v>219131.11999999991</v>
      </c>
      <c r="Q282" s="499">
        <f t="shared" si="166"/>
        <v>52419</v>
      </c>
      <c r="R282" s="288">
        <f t="shared" si="152"/>
        <v>0</v>
      </c>
      <c r="S282" s="492">
        <f t="shared" si="177"/>
        <v>6.7500000000000004E-2</v>
      </c>
      <c r="T282" s="288">
        <f t="shared" si="167"/>
        <v>0</v>
      </c>
      <c r="U282" s="288">
        <f t="shared" si="155"/>
        <v>0</v>
      </c>
      <c r="V282" s="288">
        <f t="shared" si="168"/>
        <v>0</v>
      </c>
      <c r="W282" s="288">
        <f t="shared" si="148"/>
        <v>0</v>
      </c>
      <c r="X282" s="288">
        <f t="shared" si="149"/>
        <v>0</v>
      </c>
      <c r="Y282" s="288">
        <f t="shared" si="156"/>
        <v>0</v>
      </c>
      <c r="Z282" s="288">
        <f t="shared" si="157"/>
        <v>357260.75999999995</v>
      </c>
      <c r="AA282" s="288">
        <f t="shared" si="158"/>
        <v>179976.28000000012</v>
      </c>
      <c r="AB282" s="288">
        <f t="shared" si="169"/>
        <v>0</v>
      </c>
      <c r="AC282" s="410">
        <f t="shared" si="178"/>
        <v>222</v>
      </c>
      <c r="AD282" s="510">
        <f t="shared" si="179"/>
        <v>-24678.229999999967</v>
      </c>
      <c r="AE282" s="510">
        <f t="shared" si="150"/>
        <v>-30512.290000000012</v>
      </c>
      <c r="AF282" s="510">
        <f t="shared" si="151"/>
        <v>-55190.519999999975</v>
      </c>
      <c r="AG282" s="510">
        <f t="shared" si="180"/>
        <v>-382.11</v>
      </c>
      <c r="AH282" s="510">
        <f t="shared" si="181"/>
        <v>55152.790000000095</v>
      </c>
      <c r="AI282" s="510"/>
      <c r="AJ282" s="14">
        <f t="shared" si="159"/>
        <v>-382.11</v>
      </c>
      <c r="AK282" s="14">
        <f t="shared" si="160"/>
        <v>447441.18999999878</v>
      </c>
      <c r="AL282" s="510">
        <f>IF(R282&lt;=0,0,+(Profit!$B$4+AM281)*$AL$1/12)</f>
        <v>0</v>
      </c>
      <c r="AM282" s="14">
        <f t="shared" si="182"/>
        <v>227647.99117059269</v>
      </c>
    </row>
    <row r="283" spans="1:39" x14ac:dyDescent="0.25">
      <c r="A283" s="499">
        <f t="shared" si="170"/>
        <v>52449</v>
      </c>
      <c r="B283" s="288">
        <f t="shared" si="171"/>
        <v>30512.290000000012</v>
      </c>
      <c r="C283" s="14">
        <f t="shared" si="161"/>
        <v>382.11</v>
      </c>
      <c r="D283" s="14">
        <f t="shared" si="183"/>
        <v>286.76</v>
      </c>
      <c r="E283" s="14">
        <f t="shared" si="162"/>
        <v>95.35</v>
      </c>
      <c r="F283" s="288">
        <f t="shared" si="172"/>
        <v>52541.409999999996</v>
      </c>
      <c r="G283" s="288">
        <f t="shared" si="173"/>
        <v>50504.02</v>
      </c>
      <c r="H283" s="288">
        <f t="shared" si="163"/>
        <v>30225.530000000013</v>
      </c>
      <c r="I283" s="410">
        <f t="shared" si="164"/>
        <v>18</v>
      </c>
      <c r="J283" s="288">
        <f t="shared" si="174"/>
        <v>219131.11999999991</v>
      </c>
      <c r="K283" s="288">
        <f t="shared" si="153"/>
        <v>2298.4699999999998</v>
      </c>
      <c r="L283" s="288">
        <f t="shared" si="184"/>
        <v>1065.8599999999999</v>
      </c>
      <c r="M283" s="288">
        <f t="shared" si="154"/>
        <v>1232.6099999999999</v>
      </c>
      <c r="N283" s="288">
        <f t="shared" si="175"/>
        <v>136309.73999999993</v>
      </c>
      <c r="O283" s="288">
        <f t="shared" si="176"/>
        <v>378547.53999999992</v>
      </c>
      <c r="P283" s="288">
        <f t="shared" si="165"/>
        <v>218065.25999999992</v>
      </c>
      <c r="Q283" s="499">
        <f t="shared" si="166"/>
        <v>52449</v>
      </c>
      <c r="R283" s="288">
        <f t="shared" si="152"/>
        <v>0</v>
      </c>
      <c r="S283" s="492">
        <f t="shared" si="177"/>
        <v>6.7500000000000004E-2</v>
      </c>
      <c r="T283" s="288">
        <f t="shared" si="167"/>
        <v>0</v>
      </c>
      <c r="U283" s="288">
        <f t="shared" si="155"/>
        <v>0</v>
      </c>
      <c r="V283" s="288">
        <f t="shared" si="168"/>
        <v>0</v>
      </c>
      <c r="W283" s="288">
        <f t="shared" si="148"/>
        <v>0</v>
      </c>
      <c r="X283" s="288">
        <f t="shared" si="149"/>
        <v>0</v>
      </c>
      <c r="Y283" s="288">
        <f t="shared" si="156"/>
        <v>0</v>
      </c>
      <c r="Z283" s="288">
        <f t="shared" si="157"/>
        <v>357260.75999999995</v>
      </c>
      <c r="AA283" s="288">
        <f t="shared" si="158"/>
        <v>179976.28000000012</v>
      </c>
      <c r="AB283" s="288">
        <f t="shared" si="169"/>
        <v>0</v>
      </c>
      <c r="AC283" s="410">
        <f t="shared" si="178"/>
        <v>223</v>
      </c>
      <c r="AD283" s="510">
        <f t="shared" si="179"/>
        <v>-22379.759999999966</v>
      </c>
      <c r="AE283" s="510">
        <f t="shared" si="150"/>
        <v>-30225.530000000013</v>
      </c>
      <c r="AF283" s="510">
        <f t="shared" si="151"/>
        <v>-52605.289999999979</v>
      </c>
      <c r="AG283" s="510">
        <f t="shared" si="180"/>
        <v>-382.11</v>
      </c>
      <c r="AH283" s="510">
        <f t="shared" si="181"/>
        <v>55439.550000000047</v>
      </c>
      <c r="AI283" s="510"/>
      <c r="AJ283" s="14">
        <f t="shared" si="159"/>
        <v>-382.11</v>
      </c>
      <c r="AK283" s="14">
        <f t="shared" si="160"/>
        <v>447059.07999999879</v>
      </c>
      <c r="AL283" s="510">
        <f>IF(R283&lt;=0,0,+(Profit!$B$4+AM282)*$AL$1/12)</f>
        <v>0</v>
      </c>
      <c r="AM283" s="14">
        <f t="shared" si="182"/>
        <v>227647.99117059269</v>
      </c>
    </row>
    <row r="284" spans="1:39" x14ac:dyDescent="0.25">
      <c r="A284" s="499">
        <f t="shared" si="170"/>
        <v>52479</v>
      </c>
      <c r="B284" s="288">
        <f t="shared" si="171"/>
        <v>30225.530000000013</v>
      </c>
      <c r="C284" s="14">
        <f t="shared" si="161"/>
        <v>382.11</v>
      </c>
      <c r="D284" s="14">
        <f t="shared" si="183"/>
        <v>287.66000000000003</v>
      </c>
      <c r="E284" s="14">
        <f t="shared" si="162"/>
        <v>94.45</v>
      </c>
      <c r="F284" s="288">
        <f t="shared" si="172"/>
        <v>52829.07</v>
      </c>
      <c r="G284" s="288">
        <f t="shared" si="173"/>
        <v>50598.469999999994</v>
      </c>
      <c r="H284" s="288">
        <f t="shared" si="163"/>
        <v>29937.870000000014</v>
      </c>
      <c r="I284" s="410">
        <f t="shared" si="164"/>
        <v>18</v>
      </c>
      <c r="J284" s="288">
        <f t="shared" si="174"/>
        <v>218065.25999999992</v>
      </c>
      <c r="K284" s="288">
        <f t="shared" si="153"/>
        <v>2298.4699999999998</v>
      </c>
      <c r="L284" s="288">
        <f t="shared" si="184"/>
        <v>1071.8499999999999</v>
      </c>
      <c r="M284" s="288">
        <f t="shared" si="154"/>
        <v>1226.6199999999999</v>
      </c>
      <c r="N284" s="288">
        <f t="shared" si="175"/>
        <v>137381.58999999994</v>
      </c>
      <c r="O284" s="288">
        <f t="shared" si="176"/>
        <v>379774.15999999992</v>
      </c>
      <c r="P284" s="288">
        <f t="shared" si="165"/>
        <v>216993.40999999992</v>
      </c>
      <c r="Q284" s="499">
        <f t="shared" si="166"/>
        <v>52479</v>
      </c>
      <c r="R284" s="288">
        <f t="shared" si="152"/>
        <v>0</v>
      </c>
      <c r="S284" s="492">
        <f t="shared" si="177"/>
        <v>6.7500000000000004E-2</v>
      </c>
      <c r="T284" s="288">
        <f t="shared" si="167"/>
        <v>0</v>
      </c>
      <c r="U284" s="288">
        <f t="shared" si="155"/>
        <v>0</v>
      </c>
      <c r="V284" s="288">
        <f t="shared" si="168"/>
        <v>0</v>
      </c>
      <c r="W284" s="288">
        <f t="shared" si="148"/>
        <v>0</v>
      </c>
      <c r="X284" s="288">
        <f t="shared" si="149"/>
        <v>0</v>
      </c>
      <c r="Y284" s="288">
        <f t="shared" si="156"/>
        <v>0</v>
      </c>
      <c r="Z284" s="288">
        <f t="shared" si="157"/>
        <v>357260.75999999995</v>
      </c>
      <c r="AA284" s="288">
        <f t="shared" si="158"/>
        <v>179976.28000000012</v>
      </c>
      <c r="AB284" s="288">
        <f t="shared" si="169"/>
        <v>0</v>
      </c>
      <c r="AC284" s="410">
        <f t="shared" si="178"/>
        <v>224</v>
      </c>
      <c r="AD284" s="510">
        <f t="shared" si="179"/>
        <v>-20081.289999999964</v>
      </c>
      <c r="AE284" s="510">
        <f t="shared" si="150"/>
        <v>-29937.870000000014</v>
      </c>
      <c r="AF284" s="510">
        <f t="shared" si="151"/>
        <v>-50019.159999999974</v>
      </c>
      <c r="AG284" s="510">
        <f t="shared" si="180"/>
        <v>-382.11</v>
      </c>
      <c r="AH284" s="510">
        <f t="shared" si="181"/>
        <v>55727.210000000079</v>
      </c>
      <c r="AI284" s="510"/>
      <c r="AJ284" s="14">
        <f t="shared" si="159"/>
        <v>-382.11</v>
      </c>
      <c r="AK284" s="14">
        <f t="shared" si="160"/>
        <v>446676.96999999881</v>
      </c>
      <c r="AL284" s="510">
        <f>IF(R284&lt;=0,0,+(Profit!$B$4+AM283)*$AL$1/12)</f>
        <v>0</v>
      </c>
      <c r="AM284" s="14">
        <f t="shared" si="182"/>
        <v>227647.99117059269</v>
      </c>
    </row>
    <row r="285" spans="1:39" x14ac:dyDescent="0.25">
      <c r="A285" s="499">
        <f t="shared" si="170"/>
        <v>52509</v>
      </c>
      <c r="B285" s="288">
        <f t="shared" si="171"/>
        <v>29937.870000000014</v>
      </c>
      <c r="C285" s="14">
        <f t="shared" si="161"/>
        <v>382.11</v>
      </c>
      <c r="D285" s="14">
        <f t="shared" si="183"/>
        <v>288.55</v>
      </c>
      <c r="E285" s="14">
        <f t="shared" si="162"/>
        <v>93.56</v>
      </c>
      <c r="F285" s="288">
        <f t="shared" si="172"/>
        <v>53117.62</v>
      </c>
      <c r="G285" s="288">
        <f t="shared" si="173"/>
        <v>50692.029999999992</v>
      </c>
      <c r="H285" s="288">
        <f t="shared" si="163"/>
        <v>29649.320000000014</v>
      </c>
      <c r="I285" s="410">
        <f t="shared" si="164"/>
        <v>18</v>
      </c>
      <c r="J285" s="288">
        <f t="shared" si="174"/>
        <v>216993.40999999992</v>
      </c>
      <c r="K285" s="288">
        <f t="shared" si="153"/>
        <v>2298.4699999999998</v>
      </c>
      <c r="L285" s="288">
        <f t="shared" si="184"/>
        <v>1077.8799999999999</v>
      </c>
      <c r="M285" s="288">
        <f t="shared" si="154"/>
        <v>1220.5899999999999</v>
      </c>
      <c r="N285" s="288">
        <f t="shared" si="175"/>
        <v>138459.46999999994</v>
      </c>
      <c r="O285" s="288">
        <f t="shared" si="176"/>
        <v>380994.74999999994</v>
      </c>
      <c r="P285" s="288">
        <f t="shared" si="165"/>
        <v>215915.52999999991</v>
      </c>
      <c r="Q285" s="499">
        <f t="shared" si="166"/>
        <v>52509</v>
      </c>
      <c r="R285" s="288">
        <f t="shared" si="152"/>
        <v>0</v>
      </c>
      <c r="S285" s="492">
        <f t="shared" si="177"/>
        <v>6.7500000000000004E-2</v>
      </c>
      <c r="T285" s="288">
        <f t="shared" si="167"/>
        <v>0</v>
      </c>
      <c r="U285" s="288">
        <f t="shared" si="155"/>
        <v>0</v>
      </c>
      <c r="V285" s="288">
        <f t="shared" si="168"/>
        <v>0</v>
      </c>
      <c r="W285" s="288">
        <f t="shared" si="148"/>
        <v>0</v>
      </c>
      <c r="X285" s="288">
        <f t="shared" si="149"/>
        <v>0</v>
      </c>
      <c r="Y285" s="288">
        <f t="shared" si="156"/>
        <v>0</v>
      </c>
      <c r="Z285" s="288">
        <f t="shared" si="157"/>
        <v>357260.75999999995</v>
      </c>
      <c r="AA285" s="288">
        <f t="shared" si="158"/>
        <v>179976.28000000012</v>
      </c>
      <c r="AB285" s="288">
        <f t="shared" si="169"/>
        <v>0</v>
      </c>
      <c r="AC285" s="410">
        <f t="shared" si="178"/>
        <v>225</v>
      </c>
      <c r="AD285" s="510">
        <f t="shared" si="179"/>
        <v>-17782.819999999963</v>
      </c>
      <c r="AE285" s="510">
        <f t="shared" si="150"/>
        <v>-29649.320000000014</v>
      </c>
      <c r="AF285" s="510">
        <f t="shared" si="151"/>
        <v>-47432.139999999978</v>
      </c>
      <c r="AG285" s="510">
        <f t="shared" si="180"/>
        <v>-382.11</v>
      </c>
      <c r="AH285" s="510">
        <f t="shared" si="181"/>
        <v>56015.760000000068</v>
      </c>
      <c r="AI285" s="510"/>
      <c r="AJ285" s="14">
        <f t="shared" si="159"/>
        <v>-382.11</v>
      </c>
      <c r="AK285" s="14">
        <f t="shared" si="160"/>
        <v>446294.85999999882</v>
      </c>
      <c r="AL285" s="510">
        <f>IF(R285&lt;=0,0,+(Profit!$B$4+AM284)*$AL$1/12)</f>
        <v>0</v>
      </c>
      <c r="AM285" s="14">
        <f t="shared" si="182"/>
        <v>227647.99117059269</v>
      </c>
    </row>
    <row r="286" spans="1:39" x14ac:dyDescent="0.25">
      <c r="A286" s="499">
        <f t="shared" si="170"/>
        <v>52539</v>
      </c>
      <c r="B286" s="288">
        <f t="shared" si="171"/>
        <v>29649.320000000014</v>
      </c>
      <c r="C286" s="14">
        <f t="shared" si="161"/>
        <v>382.11</v>
      </c>
      <c r="D286" s="14">
        <f t="shared" si="183"/>
        <v>289.46000000000004</v>
      </c>
      <c r="E286" s="14">
        <f t="shared" si="162"/>
        <v>92.65</v>
      </c>
      <c r="F286" s="288">
        <f t="shared" si="172"/>
        <v>53407.08</v>
      </c>
      <c r="G286" s="288">
        <f t="shared" si="173"/>
        <v>50784.679999999993</v>
      </c>
      <c r="H286" s="288">
        <f t="shared" si="163"/>
        <v>29359.860000000015</v>
      </c>
      <c r="I286" s="410">
        <f t="shared" si="164"/>
        <v>18</v>
      </c>
      <c r="J286" s="288">
        <f t="shared" si="174"/>
        <v>215915.52999999991</v>
      </c>
      <c r="K286" s="288">
        <f t="shared" si="153"/>
        <v>2298.4699999999998</v>
      </c>
      <c r="L286" s="288">
        <f t="shared" si="184"/>
        <v>1083.9499999999998</v>
      </c>
      <c r="M286" s="288">
        <f t="shared" si="154"/>
        <v>1214.52</v>
      </c>
      <c r="N286" s="288">
        <f t="shared" si="175"/>
        <v>139543.41999999995</v>
      </c>
      <c r="O286" s="288">
        <f t="shared" si="176"/>
        <v>382209.26999999996</v>
      </c>
      <c r="P286" s="288">
        <f t="shared" si="165"/>
        <v>214831.5799999999</v>
      </c>
      <c r="Q286" s="499">
        <f t="shared" si="166"/>
        <v>52539</v>
      </c>
      <c r="R286" s="288">
        <f t="shared" si="152"/>
        <v>0</v>
      </c>
      <c r="S286" s="492">
        <f t="shared" si="177"/>
        <v>6.7500000000000004E-2</v>
      </c>
      <c r="T286" s="288">
        <f t="shared" si="167"/>
        <v>0</v>
      </c>
      <c r="U286" s="288">
        <f t="shared" si="155"/>
        <v>0</v>
      </c>
      <c r="V286" s="288">
        <f t="shared" si="168"/>
        <v>0</v>
      </c>
      <c r="W286" s="288">
        <f t="shared" si="148"/>
        <v>0</v>
      </c>
      <c r="X286" s="288">
        <f t="shared" si="149"/>
        <v>0</v>
      </c>
      <c r="Y286" s="288">
        <f t="shared" si="156"/>
        <v>0</v>
      </c>
      <c r="Z286" s="288">
        <f t="shared" si="157"/>
        <v>357260.75999999995</v>
      </c>
      <c r="AA286" s="288">
        <f t="shared" si="158"/>
        <v>179976.28000000012</v>
      </c>
      <c r="AB286" s="288">
        <f t="shared" si="169"/>
        <v>0</v>
      </c>
      <c r="AC286" s="410">
        <f t="shared" si="178"/>
        <v>226</v>
      </c>
      <c r="AD286" s="510">
        <f t="shared" si="179"/>
        <v>-15484.349999999964</v>
      </c>
      <c r="AE286" s="510">
        <f t="shared" si="150"/>
        <v>-29359.860000000015</v>
      </c>
      <c r="AF286" s="510">
        <f t="shared" si="151"/>
        <v>-44844.209999999977</v>
      </c>
      <c r="AG286" s="510">
        <f t="shared" si="180"/>
        <v>-382.11</v>
      </c>
      <c r="AH286" s="510">
        <f t="shared" si="181"/>
        <v>56305.220000000088</v>
      </c>
      <c r="AI286" s="510"/>
      <c r="AJ286" s="14">
        <f t="shared" si="159"/>
        <v>-382.11</v>
      </c>
      <c r="AK286" s="14">
        <f t="shared" si="160"/>
        <v>445912.74999999884</v>
      </c>
      <c r="AL286" s="510">
        <f>IF(R286&lt;=0,0,+(Profit!$B$4+AM285)*$AL$1/12)</f>
        <v>0</v>
      </c>
      <c r="AM286" s="14">
        <f t="shared" si="182"/>
        <v>227647.99117059269</v>
      </c>
    </row>
    <row r="287" spans="1:39" x14ac:dyDescent="0.25">
      <c r="A287" s="499">
        <f t="shared" si="170"/>
        <v>52569</v>
      </c>
      <c r="B287" s="288">
        <f t="shared" si="171"/>
        <v>29359.860000000015</v>
      </c>
      <c r="C287" s="14">
        <f t="shared" si="161"/>
        <v>382.11</v>
      </c>
      <c r="D287" s="14">
        <f t="shared" si="183"/>
        <v>290.36</v>
      </c>
      <c r="E287" s="14">
        <f t="shared" si="162"/>
        <v>91.75</v>
      </c>
      <c r="F287" s="288">
        <f t="shared" si="172"/>
        <v>53697.440000000002</v>
      </c>
      <c r="G287" s="288">
        <f t="shared" si="173"/>
        <v>50876.429999999993</v>
      </c>
      <c r="H287" s="288">
        <f t="shared" si="163"/>
        <v>29069.500000000015</v>
      </c>
      <c r="I287" s="410">
        <f t="shared" si="164"/>
        <v>18</v>
      </c>
      <c r="J287" s="288">
        <f t="shared" si="174"/>
        <v>214831.5799999999</v>
      </c>
      <c r="K287" s="288">
        <f t="shared" si="153"/>
        <v>2298.4699999999998</v>
      </c>
      <c r="L287" s="288">
        <f t="shared" si="184"/>
        <v>1090.0399999999997</v>
      </c>
      <c r="M287" s="288">
        <f t="shared" si="154"/>
        <v>1208.43</v>
      </c>
      <c r="N287" s="288">
        <f t="shared" si="175"/>
        <v>140633.45999999996</v>
      </c>
      <c r="O287" s="288">
        <f t="shared" si="176"/>
        <v>383417.69999999995</v>
      </c>
      <c r="P287" s="288">
        <f t="shared" si="165"/>
        <v>213741.53999999989</v>
      </c>
      <c r="Q287" s="499">
        <f t="shared" si="166"/>
        <v>52569</v>
      </c>
      <c r="R287" s="288">
        <f t="shared" si="152"/>
        <v>0</v>
      </c>
      <c r="S287" s="492">
        <f t="shared" si="177"/>
        <v>6.7500000000000004E-2</v>
      </c>
      <c r="T287" s="288">
        <f t="shared" si="167"/>
        <v>0</v>
      </c>
      <c r="U287" s="288">
        <f t="shared" si="155"/>
        <v>0</v>
      </c>
      <c r="V287" s="288">
        <f t="shared" si="168"/>
        <v>0</v>
      </c>
      <c r="W287" s="288">
        <f t="shared" si="148"/>
        <v>0</v>
      </c>
      <c r="X287" s="288">
        <f t="shared" si="149"/>
        <v>0</v>
      </c>
      <c r="Y287" s="288">
        <f t="shared" si="156"/>
        <v>0</v>
      </c>
      <c r="Z287" s="288">
        <f t="shared" si="157"/>
        <v>357260.75999999995</v>
      </c>
      <c r="AA287" s="288">
        <f t="shared" si="158"/>
        <v>179976.28000000012</v>
      </c>
      <c r="AB287" s="288">
        <f t="shared" si="169"/>
        <v>0</v>
      </c>
      <c r="AC287" s="410">
        <f t="shared" si="178"/>
        <v>227</v>
      </c>
      <c r="AD287" s="510">
        <f t="shared" si="179"/>
        <v>-13185.879999999965</v>
      </c>
      <c r="AE287" s="510">
        <f t="shared" si="150"/>
        <v>-29069.500000000015</v>
      </c>
      <c r="AF287" s="510">
        <f t="shared" si="151"/>
        <v>-42255.379999999976</v>
      </c>
      <c r="AG287" s="510">
        <f t="shared" si="180"/>
        <v>-382.11</v>
      </c>
      <c r="AH287" s="510">
        <f t="shared" si="181"/>
        <v>56595.580000000075</v>
      </c>
      <c r="AI287" s="510"/>
      <c r="AJ287" s="14">
        <f t="shared" si="159"/>
        <v>-382.11</v>
      </c>
      <c r="AK287" s="14">
        <f t="shared" si="160"/>
        <v>445530.63999999885</v>
      </c>
      <c r="AL287" s="510">
        <f>IF(R287&lt;=0,0,+(Profit!$B$4+AM286)*$AL$1/12)</f>
        <v>0</v>
      </c>
      <c r="AM287" s="14">
        <f t="shared" si="182"/>
        <v>227647.99117059269</v>
      </c>
    </row>
    <row r="288" spans="1:39" x14ac:dyDescent="0.25">
      <c r="A288" s="499">
        <f t="shared" si="170"/>
        <v>52599</v>
      </c>
      <c r="B288" s="288">
        <f t="shared" si="171"/>
        <v>29069.500000000015</v>
      </c>
      <c r="C288" s="14">
        <f t="shared" si="161"/>
        <v>382.11</v>
      </c>
      <c r="D288" s="14">
        <f t="shared" si="183"/>
        <v>291.27</v>
      </c>
      <c r="E288" s="14">
        <f t="shared" si="162"/>
        <v>90.84</v>
      </c>
      <c r="F288" s="288">
        <f t="shared" si="172"/>
        <v>53988.71</v>
      </c>
      <c r="G288" s="288">
        <f t="shared" si="173"/>
        <v>50967.26999999999</v>
      </c>
      <c r="H288" s="288">
        <f t="shared" si="163"/>
        <v>28778.230000000014</v>
      </c>
      <c r="I288" s="410">
        <f t="shared" si="164"/>
        <v>19</v>
      </c>
      <c r="J288" s="288">
        <f t="shared" si="174"/>
        <v>213741.53999999989</v>
      </c>
      <c r="K288" s="288">
        <f t="shared" si="153"/>
        <v>2298.4699999999998</v>
      </c>
      <c r="L288" s="288">
        <f t="shared" si="184"/>
        <v>1096.1699999999998</v>
      </c>
      <c r="M288" s="288">
        <f t="shared" si="154"/>
        <v>1202.3</v>
      </c>
      <c r="N288" s="288">
        <f t="shared" si="175"/>
        <v>141729.62999999998</v>
      </c>
      <c r="O288" s="288">
        <f t="shared" si="176"/>
        <v>384619.99999999994</v>
      </c>
      <c r="P288" s="288">
        <f t="shared" si="165"/>
        <v>212645.36999999988</v>
      </c>
      <c r="Q288" s="499">
        <f t="shared" si="166"/>
        <v>52599</v>
      </c>
      <c r="R288" s="288">
        <f t="shared" si="152"/>
        <v>0</v>
      </c>
      <c r="S288" s="492">
        <f t="shared" si="177"/>
        <v>6.7500000000000004E-2</v>
      </c>
      <c r="T288" s="288">
        <f t="shared" si="167"/>
        <v>0</v>
      </c>
      <c r="U288" s="288">
        <f t="shared" si="155"/>
        <v>0</v>
      </c>
      <c r="V288" s="288">
        <f t="shared" si="168"/>
        <v>0</v>
      </c>
      <c r="W288" s="288">
        <f t="shared" si="148"/>
        <v>0</v>
      </c>
      <c r="X288" s="288">
        <f t="shared" si="149"/>
        <v>0</v>
      </c>
      <c r="Y288" s="288">
        <f t="shared" si="156"/>
        <v>0</v>
      </c>
      <c r="Z288" s="288">
        <f t="shared" si="157"/>
        <v>357260.75999999995</v>
      </c>
      <c r="AA288" s="288">
        <f t="shared" si="158"/>
        <v>179976.28000000012</v>
      </c>
      <c r="AB288" s="288">
        <f t="shared" si="169"/>
        <v>0</v>
      </c>
      <c r="AC288" s="410">
        <f t="shared" si="178"/>
        <v>228</v>
      </c>
      <c r="AD288" s="510">
        <f t="shared" si="179"/>
        <v>-10887.409999999965</v>
      </c>
      <c r="AE288" s="510">
        <f t="shared" si="150"/>
        <v>-28778.230000000014</v>
      </c>
      <c r="AF288" s="510">
        <f t="shared" si="151"/>
        <v>-39665.639999999978</v>
      </c>
      <c r="AG288" s="510">
        <f t="shared" si="180"/>
        <v>-382.11</v>
      </c>
      <c r="AH288" s="510">
        <f t="shared" si="181"/>
        <v>56886.850000000093</v>
      </c>
      <c r="AI288" s="510"/>
      <c r="AJ288" s="14">
        <f t="shared" si="159"/>
        <v>-382.11</v>
      </c>
      <c r="AK288" s="14">
        <f t="shared" si="160"/>
        <v>445148.52999999886</v>
      </c>
      <c r="AL288" s="510">
        <f>IF(R288&lt;=0,0,+(Profit!$B$4+AM287)*$AL$1/12)</f>
        <v>0</v>
      </c>
      <c r="AM288" s="14">
        <f t="shared" si="182"/>
        <v>227647.99117059269</v>
      </c>
    </row>
    <row r="289" spans="1:39" x14ac:dyDescent="0.25">
      <c r="A289" s="499">
        <f t="shared" si="170"/>
        <v>52629</v>
      </c>
      <c r="B289" s="288">
        <f t="shared" si="171"/>
        <v>28778.230000000014</v>
      </c>
      <c r="C289" s="14">
        <f t="shared" si="161"/>
        <v>382.11</v>
      </c>
      <c r="D289" s="14">
        <f t="shared" si="183"/>
        <v>292.18</v>
      </c>
      <c r="E289" s="14">
        <f t="shared" si="162"/>
        <v>89.93</v>
      </c>
      <c r="F289" s="288">
        <f t="shared" si="172"/>
        <v>54280.89</v>
      </c>
      <c r="G289" s="288">
        <f t="shared" si="173"/>
        <v>51057.19999999999</v>
      </c>
      <c r="H289" s="288">
        <f t="shared" si="163"/>
        <v>28486.050000000014</v>
      </c>
      <c r="I289" s="410">
        <f t="shared" si="164"/>
        <v>19</v>
      </c>
      <c r="J289" s="288">
        <f t="shared" si="174"/>
        <v>212645.36999999988</v>
      </c>
      <c r="K289" s="288">
        <f t="shared" si="153"/>
        <v>2298.4699999999998</v>
      </c>
      <c r="L289" s="288">
        <f t="shared" si="184"/>
        <v>1102.3399999999997</v>
      </c>
      <c r="M289" s="288">
        <f t="shared" si="154"/>
        <v>1196.1300000000001</v>
      </c>
      <c r="N289" s="288">
        <f t="shared" si="175"/>
        <v>142831.96999999997</v>
      </c>
      <c r="O289" s="288">
        <f t="shared" si="176"/>
        <v>385816.12999999995</v>
      </c>
      <c r="P289" s="288">
        <f t="shared" si="165"/>
        <v>211543.02999999988</v>
      </c>
      <c r="Q289" s="499">
        <f t="shared" si="166"/>
        <v>52629</v>
      </c>
      <c r="R289" s="288">
        <f t="shared" si="152"/>
        <v>0</v>
      </c>
      <c r="S289" s="492">
        <f t="shared" si="177"/>
        <v>6.7500000000000004E-2</v>
      </c>
      <c r="T289" s="288">
        <f t="shared" si="167"/>
        <v>0</v>
      </c>
      <c r="U289" s="288">
        <f t="shared" si="155"/>
        <v>0</v>
      </c>
      <c r="V289" s="288">
        <f t="shared" si="168"/>
        <v>0</v>
      </c>
      <c r="W289" s="288">
        <f t="shared" si="148"/>
        <v>0</v>
      </c>
      <c r="X289" s="288">
        <f t="shared" si="149"/>
        <v>0</v>
      </c>
      <c r="Y289" s="288">
        <f t="shared" si="156"/>
        <v>0</v>
      </c>
      <c r="Z289" s="288">
        <f t="shared" si="157"/>
        <v>357260.75999999995</v>
      </c>
      <c r="AA289" s="288">
        <f t="shared" si="158"/>
        <v>179976.28000000012</v>
      </c>
      <c r="AB289" s="288">
        <f t="shared" si="169"/>
        <v>0</v>
      </c>
      <c r="AC289" s="410">
        <f t="shared" si="178"/>
        <v>229</v>
      </c>
      <c r="AD289" s="510">
        <f t="shared" si="179"/>
        <v>-8588.9399999999659</v>
      </c>
      <c r="AE289" s="510">
        <f t="shared" si="150"/>
        <v>-28486.050000000014</v>
      </c>
      <c r="AF289" s="510">
        <f t="shared" si="151"/>
        <v>-37074.989999999976</v>
      </c>
      <c r="AG289" s="510">
        <f t="shared" si="180"/>
        <v>-382.11</v>
      </c>
      <c r="AH289" s="510">
        <f t="shared" si="181"/>
        <v>57179.030000000086</v>
      </c>
      <c r="AI289" s="510"/>
      <c r="AJ289" s="14">
        <f t="shared" si="159"/>
        <v>-382.11</v>
      </c>
      <c r="AK289" s="14">
        <f t="shared" si="160"/>
        <v>444766.41999999888</v>
      </c>
      <c r="AL289" s="510">
        <f>IF(R289&lt;=0,0,+(Profit!$B$4+AM288)*$AL$1/12)</f>
        <v>0</v>
      </c>
      <c r="AM289" s="14">
        <f t="shared" si="182"/>
        <v>227647.99117059269</v>
      </c>
    </row>
    <row r="290" spans="1:39" ht="15.75" thickBot="1" x14ac:dyDescent="0.3">
      <c r="A290" s="502">
        <f t="shared" si="170"/>
        <v>52659</v>
      </c>
      <c r="B290" s="343">
        <f t="shared" si="171"/>
        <v>28486.050000000014</v>
      </c>
      <c r="C290" s="21">
        <f t="shared" si="161"/>
        <v>382.11</v>
      </c>
      <c r="D290" s="21">
        <f t="shared" si="183"/>
        <v>293.09000000000003</v>
      </c>
      <c r="E290" s="21">
        <f t="shared" si="162"/>
        <v>89.02</v>
      </c>
      <c r="F290" s="343">
        <f t="shared" si="172"/>
        <v>54573.979999999996</v>
      </c>
      <c r="G290" s="343">
        <f t="shared" si="173"/>
        <v>51146.219999999987</v>
      </c>
      <c r="H290" s="343">
        <f t="shared" si="163"/>
        <v>28192.960000000014</v>
      </c>
      <c r="I290" s="411">
        <f t="shared" si="164"/>
        <v>19</v>
      </c>
      <c r="J290" s="343">
        <f t="shared" si="174"/>
        <v>211543.02999999988</v>
      </c>
      <c r="K290" s="343">
        <f t="shared" si="153"/>
        <v>2298.4699999999998</v>
      </c>
      <c r="L290" s="343">
        <f t="shared" si="184"/>
        <v>1108.5399999999997</v>
      </c>
      <c r="M290" s="343">
        <f t="shared" si="154"/>
        <v>1189.93</v>
      </c>
      <c r="N290" s="343">
        <f t="shared" si="175"/>
        <v>143940.50999999998</v>
      </c>
      <c r="O290" s="343">
        <f t="shared" si="176"/>
        <v>387006.05999999994</v>
      </c>
      <c r="P290" s="343">
        <f t="shared" si="165"/>
        <v>210434.48999999987</v>
      </c>
      <c r="Q290" s="502">
        <f t="shared" si="166"/>
        <v>52659</v>
      </c>
      <c r="R290" s="343">
        <f t="shared" si="152"/>
        <v>0</v>
      </c>
      <c r="S290" s="493">
        <f t="shared" si="177"/>
        <v>6.7500000000000004E-2</v>
      </c>
      <c r="T290" s="343">
        <f t="shared" si="167"/>
        <v>0</v>
      </c>
      <c r="U290" s="343">
        <f t="shared" si="155"/>
        <v>0</v>
      </c>
      <c r="V290" s="343">
        <f t="shared" si="168"/>
        <v>0</v>
      </c>
      <c r="W290" s="343">
        <f t="shared" si="148"/>
        <v>0</v>
      </c>
      <c r="X290" s="343">
        <f t="shared" si="149"/>
        <v>0</v>
      </c>
      <c r="Y290" s="343">
        <f t="shared" si="156"/>
        <v>0</v>
      </c>
      <c r="Z290" s="343">
        <f t="shared" si="157"/>
        <v>357260.75999999995</v>
      </c>
      <c r="AA290" s="343">
        <f t="shared" si="158"/>
        <v>179976.28000000012</v>
      </c>
      <c r="AB290" s="343">
        <f t="shared" si="169"/>
        <v>0</v>
      </c>
      <c r="AC290" s="411">
        <f t="shared" si="178"/>
        <v>230</v>
      </c>
      <c r="AD290" s="511">
        <f t="shared" si="179"/>
        <v>-6290.4699999999666</v>
      </c>
      <c r="AE290" s="511">
        <f t="shared" si="150"/>
        <v>-28192.960000000014</v>
      </c>
      <c r="AF290" s="511">
        <f t="shared" si="151"/>
        <v>-34483.429999999978</v>
      </c>
      <c r="AG290" s="511">
        <f t="shared" si="180"/>
        <v>-382.11</v>
      </c>
      <c r="AH290" s="511">
        <f t="shared" si="181"/>
        <v>57472.120000000054</v>
      </c>
      <c r="AI290" s="511"/>
      <c r="AJ290" s="21">
        <f t="shared" si="159"/>
        <v>-382.11</v>
      </c>
      <c r="AK290" s="21">
        <f t="shared" si="160"/>
        <v>444384.30999999889</v>
      </c>
      <c r="AL290" s="511">
        <f>IF(R290&lt;=0,0,+(Profit!$B$4+AM289)*$AL$1/12)</f>
        <v>0</v>
      </c>
      <c r="AM290" s="21">
        <f t="shared" si="182"/>
        <v>227647.99117059269</v>
      </c>
    </row>
    <row r="291" spans="1:39" x14ac:dyDescent="0.25">
      <c r="A291" s="499">
        <f t="shared" si="170"/>
        <v>52689</v>
      </c>
      <c r="B291" s="288">
        <f t="shared" si="171"/>
        <v>28192.960000000014</v>
      </c>
      <c r="C291" s="14">
        <f t="shared" si="161"/>
        <v>382.11</v>
      </c>
      <c r="D291" s="14">
        <f t="shared" si="183"/>
        <v>294.01</v>
      </c>
      <c r="E291" s="14">
        <f t="shared" si="162"/>
        <v>88.1</v>
      </c>
      <c r="F291" s="288">
        <f t="shared" si="172"/>
        <v>54867.99</v>
      </c>
      <c r="G291" s="288">
        <f t="shared" si="173"/>
        <v>51234.319999999985</v>
      </c>
      <c r="H291" s="288">
        <f t="shared" si="163"/>
        <v>27898.950000000015</v>
      </c>
      <c r="I291" s="410">
        <f t="shared" si="164"/>
        <v>19</v>
      </c>
      <c r="J291" s="288">
        <f t="shared" si="174"/>
        <v>210434.48999999987</v>
      </c>
      <c r="K291" s="288">
        <f t="shared" si="153"/>
        <v>2298.4699999999998</v>
      </c>
      <c r="L291" s="288">
        <f t="shared" si="184"/>
        <v>1114.7799999999997</v>
      </c>
      <c r="M291" s="288">
        <f t="shared" si="154"/>
        <v>1183.69</v>
      </c>
      <c r="N291" s="288">
        <f t="shared" si="175"/>
        <v>145055.28999999998</v>
      </c>
      <c r="O291" s="288">
        <f t="shared" si="176"/>
        <v>388189.74999999994</v>
      </c>
      <c r="P291" s="288">
        <f t="shared" si="165"/>
        <v>209319.70999999988</v>
      </c>
      <c r="Q291" s="499">
        <f t="shared" si="166"/>
        <v>52689</v>
      </c>
      <c r="R291" s="288">
        <f t="shared" si="152"/>
        <v>0</v>
      </c>
      <c r="S291" s="492">
        <f t="shared" si="177"/>
        <v>6.7500000000000004E-2</v>
      </c>
      <c r="T291" s="288">
        <f t="shared" si="167"/>
        <v>0</v>
      </c>
      <c r="U291" s="288">
        <f t="shared" si="155"/>
        <v>0</v>
      </c>
      <c r="V291" s="288">
        <f t="shared" si="168"/>
        <v>0</v>
      </c>
      <c r="W291" s="288">
        <f t="shared" si="148"/>
        <v>0</v>
      </c>
      <c r="X291" s="288">
        <f t="shared" si="149"/>
        <v>0</v>
      </c>
      <c r="Y291" s="288">
        <f t="shared" si="156"/>
        <v>0</v>
      </c>
      <c r="Z291" s="288">
        <f t="shared" si="157"/>
        <v>357260.75999999995</v>
      </c>
      <c r="AA291" s="288">
        <f t="shared" si="158"/>
        <v>179976.28000000012</v>
      </c>
      <c r="AB291" s="288">
        <f t="shared" si="169"/>
        <v>0</v>
      </c>
      <c r="AC291" s="410">
        <f t="shared" si="178"/>
        <v>231</v>
      </c>
      <c r="AD291" s="510">
        <f t="shared" si="179"/>
        <v>-3991.9999999999668</v>
      </c>
      <c r="AE291" s="510">
        <f t="shared" si="150"/>
        <v>-27898.950000000015</v>
      </c>
      <c r="AF291" s="510">
        <f t="shared" si="151"/>
        <v>-31890.949999999983</v>
      </c>
      <c r="AG291" s="510">
        <f t="shared" si="180"/>
        <v>-382.11</v>
      </c>
      <c r="AH291" s="510">
        <f t="shared" si="181"/>
        <v>57766.130000000063</v>
      </c>
      <c r="AI291" s="510"/>
      <c r="AJ291" s="14">
        <f t="shared" si="159"/>
        <v>-382.11</v>
      </c>
      <c r="AK291" s="14">
        <f t="shared" si="160"/>
        <v>444002.19999999891</v>
      </c>
      <c r="AL291" s="510">
        <f>IF(R291&lt;=0,0,+(Profit!$B$4+AM290)*$AL$1/12)</f>
        <v>0</v>
      </c>
      <c r="AM291" s="14">
        <f t="shared" si="182"/>
        <v>227647.99117059269</v>
      </c>
    </row>
    <row r="292" spans="1:39" x14ac:dyDescent="0.25">
      <c r="A292" s="499">
        <f t="shared" si="170"/>
        <v>52719</v>
      </c>
      <c r="B292" s="288">
        <f t="shared" si="171"/>
        <v>27898.950000000015</v>
      </c>
      <c r="C292" s="14">
        <f t="shared" si="161"/>
        <v>382.11</v>
      </c>
      <c r="D292" s="14">
        <f t="shared" si="183"/>
        <v>294.93</v>
      </c>
      <c r="E292" s="14">
        <f t="shared" si="162"/>
        <v>87.18</v>
      </c>
      <c r="F292" s="288">
        <f t="shared" si="172"/>
        <v>55162.92</v>
      </c>
      <c r="G292" s="288">
        <f t="shared" si="173"/>
        <v>51321.499999999985</v>
      </c>
      <c r="H292" s="288">
        <f t="shared" si="163"/>
        <v>27604.020000000015</v>
      </c>
      <c r="I292" s="410">
        <f t="shared" si="164"/>
        <v>19</v>
      </c>
      <c r="J292" s="288">
        <f t="shared" si="174"/>
        <v>209319.70999999988</v>
      </c>
      <c r="K292" s="288">
        <f t="shared" si="153"/>
        <v>2298.4699999999998</v>
      </c>
      <c r="L292" s="288">
        <f t="shared" si="184"/>
        <v>1121.0499999999997</v>
      </c>
      <c r="M292" s="288">
        <f t="shared" si="154"/>
        <v>1177.42</v>
      </c>
      <c r="N292" s="288">
        <f t="shared" si="175"/>
        <v>146176.33999999997</v>
      </c>
      <c r="O292" s="288">
        <f t="shared" si="176"/>
        <v>389367.16999999993</v>
      </c>
      <c r="P292" s="288">
        <f t="shared" si="165"/>
        <v>208198.65999999989</v>
      </c>
      <c r="Q292" s="499">
        <f t="shared" si="166"/>
        <v>52719</v>
      </c>
      <c r="R292" s="288">
        <f t="shared" si="152"/>
        <v>0</v>
      </c>
      <c r="S292" s="492">
        <f t="shared" si="177"/>
        <v>6.7500000000000004E-2</v>
      </c>
      <c r="T292" s="288">
        <f t="shared" si="167"/>
        <v>0</v>
      </c>
      <c r="U292" s="288">
        <f t="shared" si="155"/>
        <v>0</v>
      </c>
      <c r="V292" s="288">
        <f t="shared" si="168"/>
        <v>0</v>
      </c>
      <c r="W292" s="288">
        <f t="shared" si="148"/>
        <v>0</v>
      </c>
      <c r="X292" s="288">
        <f t="shared" si="149"/>
        <v>0</v>
      </c>
      <c r="Y292" s="288">
        <f t="shared" si="156"/>
        <v>0</v>
      </c>
      <c r="Z292" s="288">
        <f t="shared" si="157"/>
        <v>357260.75999999995</v>
      </c>
      <c r="AA292" s="288">
        <f t="shared" si="158"/>
        <v>179976.28000000012</v>
      </c>
      <c r="AB292" s="288">
        <f t="shared" si="169"/>
        <v>0</v>
      </c>
      <c r="AC292" s="410">
        <f t="shared" si="178"/>
        <v>232</v>
      </c>
      <c r="AD292" s="510">
        <f t="shared" si="179"/>
        <v>-1693.529999999967</v>
      </c>
      <c r="AE292" s="510">
        <f t="shared" si="150"/>
        <v>-27604.020000000015</v>
      </c>
      <c r="AF292" s="510">
        <f t="shared" si="151"/>
        <v>-29297.549999999981</v>
      </c>
      <c r="AG292" s="510">
        <f t="shared" si="180"/>
        <v>-382.11</v>
      </c>
      <c r="AH292" s="510">
        <f t="shared" si="181"/>
        <v>58061.060000000056</v>
      </c>
      <c r="AI292" s="510"/>
      <c r="AJ292" s="14">
        <f t="shared" si="159"/>
        <v>-382.11</v>
      </c>
      <c r="AK292" s="14">
        <f t="shared" si="160"/>
        <v>443620.08999999892</v>
      </c>
      <c r="AL292" s="510">
        <f>IF(R292&lt;=0,0,+(Profit!$B$4+AM291)*$AL$1/12)</f>
        <v>0</v>
      </c>
      <c r="AM292" s="14">
        <f t="shared" si="182"/>
        <v>227647.99117059269</v>
      </c>
    </row>
    <row r="293" spans="1:39" x14ac:dyDescent="0.25">
      <c r="A293" s="499">
        <f t="shared" si="170"/>
        <v>52749</v>
      </c>
      <c r="B293" s="288">
        <f t="shared" si="171"/>
        <v>27604.020000000015</v>
      </c>
      <c r="C293" s="14">
        <f t="shared" si="161"/>
        <v>382.11</v>
      </c>
      <c r="D293" s="14">
        <f t="shared" si="183"/>
        <v>295.85000000000002</v>
      </c>
      <c r="E293" s="14">
        <f t="shared" si="162"/>
        <v>86.26</v>
      </c>
      <c r="F293" s="288">
        <f t="shared" si="172"/>
        <v>55458.77</v>
      </c>
      <c r="G293" s="288">
        <f t="shared" si="173"/>
        <v>51407.759999999987</v>
      </c>
      <c r="H293" s="288">
        <f t="shared" si="163"/>
        <v>27308.170000000016</v>
      </c>
      <c r="I293" s="410">
        <f t="shared" si="164"/>
        <v>19</v>
      </c>
      <c r="J293" s="288">
        <f t="shared" si="174"/>
        <v>208198.65999999989</v>
      </c>
      <c r="K293" s="288">
        <f t="shared" si="153"/>
        <v>2298.4699999999998</v>
      </c>
      <c r="L293" s="288">
        <f t="shared" si="184"/>
        <v>1127.3499999999999</v>
      </c>
      <c r="M293" s="288">
        <f t="shared" si="154"/>
        <v>1171.1199999999999</v>
      </c>
      <c r="N293" s="288">
        <f t="shared" si="175"/>
        <v>147303.68999999997</v>
      </c>
      <c r="O293" s="288">
        <f t="shared" si="176"/>
        <v>390538.28999999992</v>
      </c>
      <c r="P293" s="288">
        <f t="shared" si="165"/>
        <v>207071.30999999988</v>
      </c>
      <c r="Q293" s="499">
        <f t="shared" si="166"/>
        <v>52749</v>
      </c>
      <c r="R293" s="288">
        <f t="shared" si="152"/>
        <v>0</v>
      </c>
      <c r="S293" s="492">
        <f t="shared" si="177"/>
        <v>6.7500000000000004E-2</v>
      </c>
      <c r="T293" s="288">
        <f t="shared" si="167"/>
        <v>0</v>
      </c>
      <c r="U293" s="288">
        <f t="shared" si="155"/>
        <v>0</v>
      </c>
      <c r="V293" s="288">
        <f t="shared" si="168"/>
        <v>0</v>
      </c>
      <c r="W293" s="288">
        <f t="shared" si="148"/>
        <v>0</v>
      </c>
      <c r="X293" s="288">
        <f t="shared" si="149"/>
        <v>0</v>
      </c>
      <c r="Y293" s="288">
        <f t="shared" si="156"/>
        <v>0</v>
      </c>
      <c r="Z293" s="288">
        <f t="shared" si="157"/>
        <v>357260.75999999995</v>
      </c>
      <c r="AA293" s="288">
        <f t="shared" si="158"/>
        <v>179976.28000000012</v>
      </c>
      <c r="AB293" s="288">
        <f t="shared" si="169"/>
        <v>0</v>
      </c>
      <c r="AC293" s="410">
        <f t="shared" si="178"/>
        <v>233</v>
      </c>
      <c r="AD293" s="510">
        <f t="shared" si="179"/>
        <v>604.9400000000328</v>
      </c>
      <c r="AE293" s="510">
        <f t="shared" si="150"/>
        <v>-27308.170000000016</v>
      </c>
      <c r="AF293" s="510">
        <f t="shared" si="151"/>
        <v>-26703.229999999985</v>
      </c>
      <c r="AG293" s="510">
        <f t="shared" si="180"/>
        <v>-382.11</v>
      </c>
      <c r="AH293" s="510">
        <f t="shared" si="181"/>
        <v>58356.910000000091</v>
      </c>
      <c r="AI293" s="510"/>
      <c r="AJ293" s="14">
        <f t="shared" si="159"/>
        <v>-382.11</v>
      </c>
      <c r="AK293" s="14">
        <f t="shared" si="160"/>
        <v>443237.97999999893</v>
      </c>
      <c r="AL293" s="510">
        <f>IF(R293&lt;=0,0,+(Profit!$B$4+AM292)*$AL$1/12)</f>
        <v>0</v>
      </c>
      <c r="AM293" s="14">
        <f t="shared" si="182"/>
        <v>227647.99117059269</v>
      </c>
    </row>
    <row r="294" spans="1:39" x14ac:dyDescent="0.25">
      <c r="A294" s="499">
        <f t="shared" si="170"/>
        <v>52779</v>
      </c>
      <c r="B294" s="288">
        <f t="shared" si="171"/>
        <v>27308.170000000016</v>
      </c>
      <c r="C294" s="14">
        <f t="shared" si="161"/>
        <v>382.11</v>
      </c>
      <c r="D294" s="14">
        <f t="shared" si="183"/>
        <v>296.77</v>
      </c>
      <c r="E294" s="14">
        <f t="shared" si="162"/>
        <v>85.34</v>
      </c>
      <c r="F294" s="288">
        <f t="shared" si="172"/>
        <v>55755.539999999994</v>
      </c>
      <c r="G294" s="288">
        <f t="shared" si="173"/>
        <v>51493.099999999984</v>
      </c>
      <c r="H294" s="288">
        <f t="shared" si="163"/>
        <v>27011.400000000016</v>
      </c>
      <c r="I294" s="410">
        <f t="shared" si="164"/>
        <v>19</v>
      </c>
      <c r="J294" s="288">
        <f t="shared" si="174"/>
        <v>207071.30999999988</v>
      </c>
      <c r="K294" s="288">
        <f t="shared" si="153"/>
        <v>2298.4699999999998</v>
      </c>
      <c r="L294" s="288">
        <f t="shared" si="184"/>
        <v>1133.6899999999998</v>
      </c>
      <c r="M294" s="288">
        <f t="shared" si="154"/>
        <v>1164.78</v>
      </c>
      <c r="N294" s="288">
        <f t="shared" si="175"/>
        <v>148437.37999999998</v>
      </c>
      <c r="O294" s="288">
        <f t="shared" si="176"/>
        <v>391703.06999999995</v>
      </c>
      <c r="P294" s="288">
        <f t="shared" si="165"/>
        <v>205937.61999999988</v>
      </c>
      <c r="Q294" s="499">
        <f t="shared" si="166"/>
        <v>52779</v>
      </c>
      <c r="R294" s="288">
        <f t="shared" si="152"/>
        <v>0</v>
      </c>
      <c r="S294" s="492">
        <f t="shared" si="177"/>
        <v>6.7500000000000004E-2</v>
      </c>
      <c r="T294" s="288">
        <f t="shared" si="167"/>
        <v>0</v>
      </c>
      <c r="U294" s="288">
        <f t="shared" si="155"/>
        <v>0</v>
      </c>
      <c r="V294" s="288">
        <f t="shared" si="168"/>
        <v>0</v>
      </c>
      <c r="W294" s="288">
        <f t="shared" si="148"/>
        <v>0</v>
      </c>
      <c r="X294" s="288">
        <f t="shared" si="149"/>
        <v>0</v>
      </c>
      <c r="Y294" s="288">
        <f t="shared" si="156"/>
        <v>0</v>
      </c>
      <c r="Z294" s="288">
        <f t="shared" si="157"/>
        <v>357260.75999999995</v>
      </c>
      <c r="AA294" s="288">
        <f t="shared" si="158"/>
        <v>179976.28000000012</v>
      </c>
      <c r="AB294" s="288">
        <f t="shared" si="169"/>
        <v>0</v>
      </c>
      <c r="AC294" s="410">
        <f t="shared" si="178"/>
        <v>234</v>
      </c>
      <c r="AD294" s="510">
        <f t="shared" si="179"/>
        <v>2903.4100000000326</v>
      </c>
      <c r="AE294" s="510">
        <f t="shared" si="150"/>
        <v>-27011.400000000016</v>
      </c>
      <c r="AF294" s="510">
        <f t="shared" si="151"/>
        <v>-24107.989999999983</v>
      </c>
      <c r="AG294" s="510">
        <f t="shared" si="180"/>
        <v>-382.11</v>
      </c>
      <c r="AH294" s="510">
        <f t="shared" si="181"/>
        <v>58653.680000000051</v>
      </c>
      <c r="AI294" s="510"/>
      <c r="AJ294" s="14">
        <f t="shared" si="159"/>
        <v>-382.11</v>
      </c>
      <c r="AK294" s="14">
        <f t="shared" si="160"/>
        <v>442855.86999999895</v>
      </c>
      <c r="AL294" s="510">
        <f>IF(R294&lt;=0,0,+(Profit!$B$4+AM293)*$AL$1/12)</f>
        <v>0</v>
      </c>
      <c r="AM294" s="14">
        <f t="shared" si="182"/>
        <v>227647.99117059269</v>
      </c>
    </row>
    <row r="295" spans="1:39" x14ac:dyDescent="0.25">
      <c r="A295" s="499">
        <f t="shared" si="170"/>
        <v>52809</v>
      </c>
      <c r="B295" s="288">
        <f t="shared" si="171"/>
        <v>27011.400000000016</v>
      </c>
      <c r="C295" s="14">
        <f t="shared" si="161"/>
        <v>382.11</v>
      </c>
      <c r="D295" s="14">
        <f t="shared" si="183"/>
        <v>297.70000000000005</v>
      </c>
      <c r="E295" s="14">
        <f t="shared" si="162"/>
        <v>84.41</v>
      </c>
      <c r="F295" s="288">
        <f t="shared" si="172"/>
        <v>56053.239999999991</v>
      </c>
      <c r="G295" s="288">
        <f t="shared" si="173"/>
        <v>51577.509999999987</v>
      </c>
      <c r="H295" s="288">
        <f t="shared" si="163"/>
        <v>26713.700000000015</v>
      </c>
      <c r="I295" s="410">
        <f t="shared" si="164"/>
        <v>19</v>
      </c>
      <c r="J295" s="288">
        <f t="shared" si="174"/>
        <v>205937.61999999988</v>
      </c>
      <c r="K295" s="288">
        <f t="shared" si="153"/>
        <v>2298.4699999999998</v>
      </c>
      <c r="L295" s="288">
        <f t="shared" si="184"/>
        <v>1140.0699999999997</v>
      </c>
      <c r="M295" s="288">
        <f t="shared" si="154"/>
        <v>1158.4000000000001</v>
      </c>
      <c r="N295" s="288">
        <f t="shared" si="175"/>
        <v>149577.44999999998</v>
      </c>
      <c r="O295" s="288">
        <f t="shared" si="176"/>
        <v>392861.47</v>
      </c>
      <c r="P295" s="288">
        <f t="shared" si="165"/>
        <v>204797.54999999987</v>
      </c>
      <c r="Q295" s="499">
        <f t="shared" si="166"/>
        <v>52809</v>
      </c>
      <c r="R295" s="288">
        <f t="shared" si="152"/>
        <v>0</v>
      </c>
      <c r="S295" s="492">
        <f t="shared" si="177"/>
        <v>6.7500000000000004E-2</v>
      </c>
      <c r="T295" s="288">
        <f t="shared" si="167"/>
        <v>0</v>
      </c>
      <c r="U295" s="288">
        <f t="shared" si="155"/>
        <v>0</v>
      </c>
      <c r="V295" s="288">
        <f t="shared" si="168"/>
        <v>0</v>
      </c>
      <c r="W295" s="288">
        <f t="shared" si="148"/>
        <v>0</v>
      </c>
      <c r="X295" s="288">
        <f t="shared" si="149"/>
        <v>0</v>
      </c>
      <c r="Y295" s="288">
        <f t="shared" si="156"/>
        <v>0</v>
      </c>
      <c r="Z295" s="288">
        <f t="shared" si="157"/>
        <v>357260.75999999995</v>
      </c>
      <c r="AA295" s="288">
        <f t="shared" si="158"/>
        <v>179976.28000000012</v>
      </c>
      <c r="AB295" s="288">
        <f t="shared" si="169"/>
        <v>0</v>
      </c>
      <c r="AC295" s="410">
        <f t="shared" si="178"/>
        <v>235</v>
      </c>
      <c r="AD295" s="510">
        <f t="shared" si="179"/>
        <v>5201.8800000000319</v>
      </c>
      <c r="AE295" s="510">
        <f t="shared" si="150"/>
        <v>-26713.700000000015</v>
      </c>
      <c r="AF295" s="510">
        <f t="shared" si="151"/>
        <v>-21511.819999999985</v>
      </c>
      <c r="AG295" s="510">
        <f t="shared" si="180"/>
        <v>-382.11</v>
      </c>
      <c r="AH295" s="510">
        <f t="shared" si="181"/>
        <v>58951.380000000063</v>
      </c>
      <c r="AI295" s="510"/>
      <c r="AJ295" s="14">
        <f t="shared" si="159"/>
        <v>-382.11</v>
      </c>
      <c r="AK295" s="14">
        <f t="shared" si="160"/>
        <v>442473.75999999896</v>
      </c>
      <c r="AL295" s="510">
        <f>IF(R295&lt;=0,0,+(Profit!$B$4+AM294)*$AL$1/12)</f>
        <v>0</v>
      </c>
      <c r="AM295" s="14">
        <f t="shared" si="182"/>
        <v>227647.99117059269</v>
      </c>
    </row>
    <row r="296" spans="1:39" x14ac:dyDescent="0.25">
      <c r="A296" s="499">
        <f t="shared" si="170"/>
        <v>52839</v>
      </c>
      <c r="B296" s="288">
        <f t="shared" si="171"/>
        <v>26713.700000000015</v>
      </c>
      <c r="C296" s="14">
        <f t="shared" si="161"/>
        <v>382.11</v>
      </c>
      <c r="D296" s="14">
        <f t="shared" si="183"/>
        <v>298.63</v>
      </c>
      <c r="E296" s="14">
        <f t="shared" si="162"/>
        <v>83.48</v>
      </c>
      <c r="F296" s="288">
        <f t="shared" si="172"/>
        <v>56351.869999999988</v>
      </c>
      <c r="G296" s="288">
        <f t="shared" si="173"/>
        <v>51660.989999999991</v>
      </c>
      <c r="H296" s="288">
        <f t="shared" si="163"/>
        <v>26415.070000000014</v>
      </c>
      <c r="I296" s="410">
        <f t="shared" si="164"/>
        <v>19</v>
      </c>
      <c r="J296" s="288">
        <f t="shared" si="174"/>
        <v>204797.54999999987</v>
      </c>
      <c r="K296" s="288">
        <f t="shared" si="153"/>
        <v>2298.4699999999998</v>
      </c>
      <c r="L296" s="288">
        <f t="shared" si="184"/>
        <v>1146.4799999999998</v>
      </c>
      <c r="M296" s="288">
        <f t="shared" si="154"/>
        <v>1151.99</v>
      </c>
      <c r="N296" s="288">
        <f t="shared" si="175"/>
        <v>150723.93</v>
      </c>
      <c r="O296" s="288">
        <f t="shared" si="176"/>
        <v>394013.45999999996</v>
      </c>
      <c r="P296" s="288">
        <f t="shared" si="165"/>
        <v>203651.06999999986</v>
      </c>
      <c r="Q296" s="499">
        <f t="shared" si="166"/>
        <v>52839</v>
      </c>
      <c r="R296" s="288">
        <f t="shared" si="152"/>
        <v>0</v>
      </c>
      <c r="S296" s="492">
        <f t="shared" si="177"/>
        <v>6.7500000000000004E-2</v>
      </c>
      <c r="T296" s="288">
        <f t="shared" si="167"/>
        <v>0</v>
      </c>
      <c r="U296" s="288">
        <f t="shared" si="155"/>
        <v>0</v>
      </c>
      <c r="V296" s="288">
        <f t="shared" si="168"/>
        <v>0</v>
      </c>
      <c r="W296" s="288">
        <f t="shared" si="148"/>
        <v>0</v>
      </c>
      <c r="X296" s="288">
        <f t="shared" si="149"/>
        <v>0</v>
      </c>
      <c r="Y296" s="288">
        <f t="shared" si="156"/>
        <v>0</v>
      </c>
      <c r="Z296" s="288">
        <f t="shared" si="157"/>
        <v>357260.75999999995</v>
      </c>
      <c r="AA296" s="288">
        <f t="shared" si="158"/>
        <v>179976.28000000012</v>
      </c>
      <c r="AB296" s="288">
        <f t="shared" si="169"/>
        <v>0</v>
      </c>
      <c r="AC296" s="410">
        <f t="shared" si="178"/>
        <v>236</v>
      </c>
      <c r="AD296" s="510">
        <f t="shared" si="179"/>
        <v>7500.3500000000313</v>
      </c>
      <c r="AE296" s="510">
        <f t="shared" si="150"/>
        <v>-26415.070000000014</v>
      </c>
      <c r="AF296" s="510">
        <f t="shared" si="151"/>
        <v>-18914.719999999983</v>
      </c>
      <c r="AG296" s="510">
        <f t="shared" si="180"/>
        <v>-382.11</v>
      </c>
      <c r="AH296" s="510">
        <f t="shared" si="181"/>
        <v>59250.010000000068</v>
      </c>
      <c r="AI296" s="510"/>
      <c r="AJ296" s="14">
        <f t="shared" si="159"/>
        <v>-382.11</v>
      </c>
      <c r="AK296" s="14">
        <f t="shared" si="160"/>
        <v>442091.64999999898</v>
      </c>
      <c r="AL296" s="510">
        <f>IF(R296&lt;=0,0,+(Profit!$B$4+AM295)*$AL$1/12)</f>
        <v>0</v>
      </c>
      <c r="AM296" s="14">
        <f t="shared" si="182"/>
        <v>227647.99117059269</v>
      </c>
    </row>
    <row r="297" spans="1:39" x14ac:dyDescent="0.25">
      <c r="A297" s="499">
        <f t="shared" si="170"/>
        <v>52869</v>
      </c>
      <c r="B297" s="288">
        <f t="shared" si="171"/>
        <v>26415.070000000014</v>
      </c>
      <c r="C297" s="14">
        <f t="shared" si="161"/>
        <v>382.11</v>
      </c>
      <c r="D297" s="14">
        <f t="shared" si="183"/>
        <v>299.56</v>
      </c>
      <c r="E297" s="14">
        <f t="shared" si="162"/>
        <v>82.55</v>
      </c>
      <c r="F297" s="288">
        <f t="shared" si="172"/>
        <v>56651.429999999986</v>
      </c>
      <c r="G297" s="288">
        <f t="shared" si="173"/>
        <v>51743.539999999994</v>
      </c>
      <c r="H297" s="288">
        <f t="shared" si="163"/>
        <v>26115.510000000013</v>
      </c>
      <c r="I297" s="410">
        <f t="shared" si="164"/>
        <v>19</v>
      </c>
      <c r="J297" s="288">
        <f t="shared" si="174"/>
        <v>203651.06999999986</v>
      </c>
      <c r="K297" s="288">
        <f t="shared" si="153"/>
        <v>2298.4699999999998</v>
      </c>
      <c r="L297" s="288">
        <f t="shared" si="184"/>
        <v>1152.9299999999998</v>
      </c>
      <c r="M297" s="288">
        <f t="shared" si="154"/>
        <v>1145.54</v>
      </c>
      <c r="N297" s="288">
        <f t="shared" si="175"/>
        <v>151876.85999999999</v>
      </c>
      <c r="O297" s="288">
        <f t="shared" si="176"/>
        <v>395158.99999999994</v>
      </c>
      <c r="P297" s="288">
        <f t="shared" si="165"/>
        <v>202498.13999999987</v>
      </c>
      <c r="Q297" s="499">
        <f t="shared" si="166"/>
        <v>52869</v>
      </c>
      <c r="R297" s="288">
        <f t="shared" si="152"/>
        <v>0</v>
      </c>
      <c r="S297" s="492">
        <f t="shared" si="177"/>
        <v>6.7500000000000004E-2</v>
      </c>
      <c r="T297" s="288">
        <f t="shared" si="167"/>
        <v>0</v>
      </c>
      <c r="U297" s="288">
        <f t="shared" si="155"/>
        <v>0</v>
      </c>
      <c r="V297" s="288">
        <f t="shared" si="168"/>
        <v>0</v>
      </c>
      <c r="W297" s="288">
        <f t="shared" si="148"/>
        <v>0</v>
      </c>
      <c r="X297" s="288">
        <f t="shared" si="149"/>
        <v>0</v>
      </c>
      <c r="Y297" s="288">
        <f t="shared" si="156"/>
        <v>0</v>
      </c>
      <c r="Z297" s="288">
        <f t="shared" si="157"/>
        <v>357260.75999999995</v>
      </c>
      <c r="AA297" s="288">
        <f t="shared" si="158"/>
        <v>179976.28000000012</v>
      </c>
      <c r="AB297" s="288">
        <f t="shared" si="169"/>
        <v>0</v>
      </c>
      <c r="AC297" s="410">
        <f t="shared" si="178"/>
        <v>237</v>
      </c>
      <c r="AD297" s="510">
        <f t="shared" si="179"/>
        <v>9798.8200000000306</v>
      </c>
      <c r="AE297" s="510">
        <f t="shared" si="150"/>
        <v>-26115.510000000013</v>
      </c>
      <c r="AF297" s="510">
        <f t="shared" si="151"/>
        <v>-16316.689999999982</v>
      </c>
      <c r="AG297" s="510">
        <f t="shared" si="180"/>
        <v>-382.11</v>
      </c>
      <c r="AH297" s="510">
        <f t="shared" si="181"/>
        <v>59549.570000000065</v>
      </c>
      <c r="AI297" s="510"/>
      <c r="AJ297" s="14">
        <f t="shared" si="159"/>
        <v>-382.11</v>
      </c>
      <c r="AK297" s="14">
        <f t="shared" si="160"/>
        <v>441709.53999999899</v>
      </c>
      <c r="AL297" s="510">
        <f>IF(R297&lt;=0,0,+(Profit!$B$4+AM296)*$AL$1/12)</f>
        <v>0</v>
      </c>
      <c r="AM297" s="14">
        <f t="shared" si="182"/>
        <v>227647.99117059269</v>
      </c>
    </row>
    <row r="298" spans="1:39" x14ac:dyDescent="0.25">
      <c r="A298" s="499">
        <f t="shared" si="170"/>
        <v>52899</v>
      </c>
      <c r="B298" s="288">
        <f t="shared" si="171"/>
        <v>26115.510000000013</v>
      </c>
      <c r="C298" s="14">
        <f t="shared" si="161"/>
        <v>382.11</v>
      </c>
      <c r="D298" s="14">
        <f t="shared" si="183"/>
        <v>300.5</v>
      </c>
      <c r="E298" s="14">
        <f t="shared" si="162"/>
        <v>81.61</v>
      </c>
      <c r="F298" s="288">
        <f t="shared" si="172"/>
        <v>56951.929999999986</v>
      </c>
      <c r="G298" s="288">
        <f t="shared" si="173"/>
        <v>51825.149999999994</v>
      </c>
      <c r="H298" s="288">
        <f t="shared" si="163"/>
        <v>25815.010000000013</v>
      </c>
      <c r="I298" s="410">
        <f t="shared" si="164"/>
        <v>19</v>
      </c>
      <c r="J298" s="288">
        <f t="shared" si="174"/>
        <v>202498.13999999987</v>
      </c>
      <c r="K298" s="288">
        <f t="shared" si="153"/>
        <v>2298.4699999999998</v>
      </c>
      <c r="L298" s="288">
        <f t="shared" si="184"/>
        <v>1159.4199999999998</v>
      </c>
      <c r="M298" s="288">
        <f t="shared" si="154"/>
        <v>1139.05</v>
      </c>
      <c r="N298" s="288">
        <f t="shared" si="175"/>
        <v>153036.28</v>
      </c>
      <c r="O298" s="288">
        <f t="shared" si="176"/>
        <v>396298.04999999993</v>
      </c>
      <c r="P298" s="288">
        <f t="shared" si="165"/>
        <v>201338.71999999986</v>
      </c>
      <c r="Q298" s="499">
        <f t="shared" si="166"/>
        <v>52899</v>
      </c>
      <c r="R298" s="288">
        <f t="shared" si="152"/>
        <v>0</v>
      </c>
      <c r="S298" s="492">
        <f t="shared" si="177"/>
        <v>6.7500000000000004E-2</v>
      </c>
      <c r="T298" s="288">
        <f t="shared" si="167"/>
        <v>0</v>
      </c>
      <c r="U298" s="288">
        <f t="shared" si="155"/>
        <v>0</v>
      </c>
      <c r="V298" s="288">
        <f t="shared" si="168"/>
        <v>0</v>
      </c>
      <c r="W298" s="288">
        <f t="shared" si="148"/>
        <v>0</v>
      </c>
      <c r="X298" s="288">
        <f t="shared" si="149"/>
        <v>0</v>
      </c>
      <c r="Y298" s="288">
        <f t="shared" si="156"/>
        <v>0</v>
      </c>
      <c r="Z298" s="288">
        <f t="shared" si="157"/>
        <v>357260.75999999995</v>
      </c>
      <c r="AA298" s="288">
        <f t="shared" si="158"/>
        <v>179976.28000000012</v>
      </c>
      <c r="AB298" s="288">
        <f t="shared" si="169"/>
        <v>0</v>
      </c>
      <c r="AC298" s="410">
        <f t="shared" si="178"/>
        <v>238</v>
      </c>
      <c r="AD298" s="510">
        <f t="shared" si="179"/>
        <v>12097.29000000003</v>
      </c>
      <c r="AE298" s="510">
        <f t="shared" si="150"/>
        <v>-25815.010000000013</v>
      </c>
      <c r="AF298" s="510">
        <f t="shared" si="151"/>
        <v>-13717.719999999983</v>
      </c>
      <c r="AG298" s="510">
        <f t="shared" si="180"/>
        <v>-382.11</v>
      </c>
      <c r="AH298" s="510">
        <f t="shared" si="181"/>
        <v>59850.070000000065</v>
      </c>
      <c r="AI298" s="510"/>
      <c r="AJ298" s="14">
        <f t="shared" si="159"/>
        <v>-382.11</v>
      </c>
      <c r="AK298" s="14">
        <f t="shared" si="160"/>
        <v>441327.429999999</v>
      </c>
      <c r="AL298" s="510">
        <f>IF(R298&lt;=0,0,+(Profit!$B$4+AM297)*$AL$1/12)</f>
        <v>0</v>
      </c>
      <c r="AM298" s="14">
        <f t="shared" si="182"/>
        <v>227647.99117059269</v>
      </c>
    </row>
    <row r="299" spans="1:39" x14ac:dyDescent="0.25">
      <c r="A299" s="499">
        <f t="shared" si="170"/>
        <v>52929</v>
      </c>
      <c r="B299" s="288">
        <f t="shared" si="171"/>
        <v>25815.010000000013</v>
      </c>
      <c r="C299" s="14">
        <f t="shared" si="161"/>
        <v>382.11</v>
      </c>
      <c r="D299" s="14">
        <f t="shared" si="183"/>
        <v>301.44</v>
      </c>
      <c r="E299" s="14">
        <f t="shared" si="162"/>
        <v>80.67</v>
      </c>
      <c r="F299" s="288">
        <f t="shared" si="172"/>
        <v>57253.369999999988</v>
      </c>
      <c r="G299" s="288">
        <f t="shared" si="173"/>
        <v>51905.819999999992</v>
      </c>
      <c r="H299" s="288">
        <f t="shared" si="163"/>
        <v>25513.570000000014</v>
      </c>
      <c r="I299" s="410">
        <f t="shared" si="164"/>
        <v>19</v>
      </c>
      <c r="J299" s="288">
        <f t="shared" si="174"/>
        <v>201338.71999999986</v>
      </c>
      <c r="K299" s="288">
        <f t="shared" si="153"/>
        <v>2298.4699999999998</v>
      </c>
      <c r="L299" s="288">
        <f t="shared" si="184"/>
        <v>1165.9399999999998</v>
      </c>
      <c r="M299" s="288">
        <f t="shared" si="154"/>
        <v>1132.53</v>
      </c>
      <c r="N299" s="288">
        <f t="shared" si="175"/>
        <v>154202.22</v>
      </c>
      <c r="O299" s="288">
        <f t="shared" si="176"/>
        <v>397430.57999999996</v>
      </c>
      <c r="P299" s="288">
        <f t="shared" si="165"/>
        <v>200172.77999999985</v>
      </c>
      <c r="Q299" s="499">
        <f t="shared" si="166"/>
        <v>52929</v>
      </c>
      <c r="R299" s="288">
        <f t="shared" si="152"/>
        <v>0</v>
      </c>
      <c r="S299" s="492">
        <f t="shared" si="177"/>
        <v>6.7500000000000004E-2</v>
      </c>
      <c r="T299" s="288">
        <f t="shared" si="167"/>
        <v>0</v>
      </c>
      <c r="U299" s="288">
        <f t="shared" si="155"/>
        <v>0</v>
      </c>
      <c r="V299" s="288">
        <f t="shared" si="168"/>
        <v>0</v>
      </c>
      <c r="W299" s="288">
        <f t="shared" si="148"/>
        <v>0</v>
      </c>
      <c r="X299" s="288">
        <f t="shared" si="149"/>
        <v>0</v>
      </c>
      <c r="Y299" s="288">
        <f t="shared" si="156"/>
        <v>0</v>
      </c>
      <c r="Z299" s="288">
        <f t="shared" si="157"/>
        <v>357260.75999999995</v>
      </c>
      <c r="AA299" s="288">
        <f t="shared" si="158"/>
        <v>179976.28000000012</v>
      </c>
      <c r="AB299" s="288">
        <f t="shared" si="169"/>
        <v>0</v>
      </c>
      <c r="AC299" s="410">
        <f t="shared" si="178"/>
        <v>239</v>
      </c>
      <c r="AD299" s="510">
        <f t="shared" si="179"/>
        <v>14395.760000000029</v>
      </c>
      <c r="AE299" s="510">
        <f t="shared" si="150"/>
        <v>-25513.570000000014</v>
      </c>
      <c r="AF299" s="510">
        <f t="shared" si="151"/>
        <v>-11117.809999999985</v>
      </c>
      <c r="AG299" s="510">
        <f t="shared" si="180"/>
        <v>-382.11</v>
      </c>
      <c r="AH299" s="510">
        <f t="shared" si="181"/>
        <v>60151.510000000068</v>
      </c>
      <c r="AI299" s="510"/>
      <c r="AJ299" s="14">
        <f t="shared" si="159"/>
        <v>-382.11</v>
      </c>
      <c r="AK299" s="14">
        <f t="shared" si="160"/>
        <v>440945.31999999902</v>
      </c>
      <c r="AL299" s="510">
        <f>IF(R299&lt;=0,0,+(Profit!$B$4+AM298)*$AL$1/12)</f>
        <v>0</v>
      </c>
      <c r="AM299" s="14">
        <f t="shared" si="182"/>
        <v>227647.99117059269</v>
      </c>
    </row>
    <row r="300" spans="1:39" x14ac:dyDescent="0.25">
      <c r="A300" s="499">
        <f t="shared" si="170"/>
        <v>52959</v>
      </c>
      <c r="B300" s="288">
        <f t="shared" si="171"/>
        <v>25513.570000000014</v>
      </c>
      <c r="C300" s="14">
        <f t="shared" si="161"/>
        <v>382.11</v>
      </c>
      <c r="D300" s="14">
        <f t="shared" si="183"/>
        <v>302.38</v>
      </c>
      <c r="E300" s="14">
        <f t="shared" si="162"/>
        <v>79.73</v>
      </c>
      <c r="F300" s="288">
        <f t="shared" si="172"/>
        <v>57555.749999999985</v>
      </c>
      <c r="G300" s="288">
        <f t="shared" si="173"/>
        <v>51985.549999999996</v>
      </c>
      <c r="H300" s="288">
        <f t="shared" si="163"/>
        <v>25211.190000000013</v>
      </c>
      <c r="I300" s="410">
        <f t="shared" si="164"/>
        <v>20</v>
      </c>
      <c r="J300" s="288">
        <f t="shared" si="174"/>
        <v>200172.77999999985</v>
      </c>
      <c r="K300" s="288">
        <f t="shared" si="153"/>
        <v>2298.4699999999998</v>
      </c>
      <c r="L300" s="288">
        <f t="shared" si="184"/>
        <v>1172.4999999999998</v>
      </c>
      <c r="M300" s="288">
        <f t="shared" si="154"/>
        <v>1125.97</v>
      </c>
      <c r="N300" s="288">
        <f t="shared" si="175"/>
        <v>155374.72</v>
      </c>
      <c r="O300" s="288">
        <f t="shared" si="176"/>
        <v>398556.54999999993</v>
      </c>
      <c r="P300" s="288">
        <f t="shared" si="165"/>
        <v>199000.27999999985</v>
      </c>
      <c r="Q300" s="499">
        <f t="shared" si="166"/>
        <v>52959</v>
      </c>
      <c r="R300" s="288">
        <f t="shared" si="152"/>
        <v>0</v>
      </c>
      <c r="S300" s="492">
        <f t="shared" si="177"/>
        <v>6.7500000000000004E-2</v>
      </c>
      <c r="T300" s="288">
        <f t="shared" si="167"/>
        <v>0</v>
      </c>
      <c r="U300" s="288">
        <f t="shared" si="155"/>
        <v>0</v>
      </c>
      <c r="V300" s="288">
        <f t="shared" si="168"/>
        <v>0</v>
      </c>
      <c r="W300" s="288">
        <f t="shared" si="148"/>
        <v>0</v>
      </c>
      <c r="X300" s="288">
        <f t="shared" si="149"/>
        <v>0</v>
      </c>
      <c r="Y300" s="288">
        <f t="shared" si="156"/>
        <v>0</v>
      </c>
      <c r="Z300" s="288">
        <f t="shared" si="157"/>
        <v>357260.75999999995</v>
      </c>
      <c r="AA300" s="288">
        <f t="shared" si="158"/>
        <v>179976.28000000012</v>
      </c>
      <c r="AB300" s="288">
        <f t="shared" si="169"/>
        <v>0</v>
      </c>
      <c r="AC300" s="410">
        <f t="shared" si="178"/>
        <v>240</v>
      </c>
      <c r="AD300" s="510">
        <f t="shared" si="179"/>
        <v>16694.230000000029</v>
      </c>
      <c r="AE300" s="510">
        <f t="shared" si="150"/>
        <v>-25211.190000000013</v>
      </c>
      <c r="AF300" s="510">
        <f t="shared" si="151"/>
        <v>-8516.9599999999846</v>
      </c>
      <c r="AG300" s="510">
        <f t="shared" si="180"/>
        <v>-382.11</v>
      </c>
      <c r="AH300" s="510">
        <f t="shared" si="181"/>
        <v>60453.890000000072</v>
      </c>
      <c r="AI300" s="510"/>
      <c r="AJ300" s="14">
        <f t="shared" si="159"/>
        <v>-382.11</v>
      </c>
      <c r="AK300" s="14">
        <f t="shared" si="160"/>
        <v>440563.20999999903</v>
      </c>
      <c r="AL300" s="510">
        <f>IF(R300&lt;=0,0,+(Profit!$B$4+AM299)*$AL$1/12)</f>
        <v>0</v>
      </c>
      <c r="AM300" s="14">
        <f t="shared" si="182"/>
        <v>227647.99117059269</v>
      </c>
    </row>
    <row r="301" spans="1:39" x14ac:dyDescent="0.25">
      <c r="A301" s="499">
        <f t="shared" si="170"/>
        <v>52989</v>
      </c>
      <c r="B301" s="288">
        <f t="shared" si="171"/>
        <v>25211.190000000013</v>
      </c>
      <c r="C301" s="14">
        <f t="shared" si="161"/>
        <v>382.11</v>
      </c>
      <c r="D301" s="14">
        <f t="shared" si="183"/>
        <v>303.33000000000004</v>
      </c>
      <c r="E301" s="14">
        <f t="shared" si="162"/>
        <v>78.78</v>
      </c>
      <c r="F301" s="288">
        <f t="shared" si="172"/>
        <v>57859.079999999987</v>
      </c>
      <c r="G301" s="288">
        <f t="shared" si="173"/>
        <v>52064.329999999994</v>
      </c>
      <c r="H301" s="288">
        <f t="shared" si="163"/>
        <v>24907.860000000011</v>
      </c>
      <c r="I301" s="410">
        <f t="shared" si="164"/>
        <v>20</v>
      </c>
      <c r="J301" s="288">
        <f t="shared" si="174"/>
        <v>199000.27999999985</v>
      </c>
      <c r="K301" s="288">
        <f t="shared" si="153"/>
        <v>2298.4699999999998</v>
      </c>
      <c r="L301" s="288">
        <f t="shared" si="184"/>
        <v>1179.0899999999997</v>
      </c>
      <c r="M301" s="288">
        <f t="shared" si="154"/>
        <v>1119.3800000000001</v>
      </c>
      <c r="N301" s="288">
        <f t="shared" si="175"/>
        <v>156553.81</v>
      </c>
      <c r="O301" s="288">
        <f t="shared" si="176"/>
        <v>399675.92999999993</v>
      </c>
      <c r="P301" s="288">
        <f t="shared" si="165"/>
        <v>197821.18999999986</v>
      </c>
      <c r="Q301" s="499">
        <f t="shared" si="166"/>
        <v>52989</v>
      </c>
      <c r="R301" s="288">
        <f t="shared" si="152"/>
        <v>0</v>
      </c>
      <c r="S301" s="492">
        <f t="shared" si="177"/>
        <v>6.7500000000000004E-2</v>
      </c>
      <c r="T301" s="288">
        <f t="shared" si="167"/>
        <v>0</v>
      </c>
      <c r="U301" s="288">
        <f t="shared" si="155"/>
        <v>0</v>
      </c>
      <c r="V301" s="288">
        <f t="shared" si="168"/>
        <v>0</v>
      </c>
      <c r="W301" s="288">
        <f t="shared" si="148"/>
        <v>0</v>
      </c>
      <c r="X301" s="288">
        <f t="shared" si="149"/>
        <v>0</v>
      </c>
      <c r="Y301" s="288">
        <f t="shared" si="156"/>
        <v>0</v>
      </c>
      <c r="Z301" s="288">
        <f t="shared" si="157"/>
        <v>357260.75999999995</v>
      </c>
      <c r="AA301" s="288">
        <f t="shared" si="158"/>
        <v>179976.28000000012</v>
      </c>
      <c r="AB301" s="288">
        <f t="shared" si="169"/>
        <v>0</v>
      </c>
      <c r="AC301" s="410">
        <f t="shared" si="178"/>
        <v>241</v>
      </c>
      <c r="AD301" s="510">
        <f t="shared" si="179"/>
        <v>18992.70000000003</v>
      </c>
      <c r="AE301" s="510">
        <f t="shared" si="150"/>
        <v>-24907.860000000011</v>
      </c>
      <c r="AF301" s="510">
        <f t="shared" si="151"/>
        <v>-5915.1599999999817</v>
      </c>
      <c r="AG301" s="510">
        <f t="shared" si="180"/>
        <v>-382.11</v>
      </c>
      <c r="AH301" s="510">
        <f t="shared" si="181"/>
        <v>60757.22000000003</v>
      </c>
      <c r="AI301" s="510"/>
      <c r="AJ301" s="14">
        <f t="shared" si="159"/>
        <v>-382.11</v>
      </c>
      <c r="AK301" s="14">
        <f t="shared" si="160"/>
        <v>440181.09999999905</v>
      </c>
      <c r="AL301" s="510">
        <f>IF(R301&lt;=0,0,+(Profit!$B$4+AM300)*$AL$1/12)</f>
        <v>0</v>
      </c>
      <c r="AM301" s="14">
        <f t="shared" si="182"/>
        <v>227647.99117059269</v>
      </c>
    </row>
    <row r="302" spans="1:39" ht="15.75" thickBot="1" x14ac:dyDescent="0.3">
      <c r="A302" s="502">
        <f t="shared" si="170"/>
        <v>53019</v>
      </c>
      <c r="B302" s="343">
        <f t="shared" si="171"/>
        <v>24907.860000000011</v>
      </c>
      <c r="C302" s="21">
        <f t="shared" si="161"/>
        <v>382.11</v>
      </c>
      <c r="D302" s="21">
        <f t="shared" si="183"/>
        <v>304.27</v>
      </c>
      <c r="E302" s="21">
        <f t="shared" si="162"/>
        <v>77.84</v>
      </c>
      <c r="F302" s="343">
        <f t="shared" si="172"/>
        <v>58163.349999999984</v>
      </c>
      <c r="G302" s="343">
        <f t="shared" si="173"/>
        <v>52142.169999999991</v>
      </c>
      <c r="H302" s="343">
        <f t="shared" si="163"/>
        <v>24603.590000000011</v>
      </c>
      <c r="I302" s="411">
        <f t="shared" si="164"/>
        <v>20</v>
      </c>
      <c r="J302" s="343">
        <f t="shared" si="174"/>
        <v>197821.18999999986</v>
      </c>
      <c r="K302" s="343">
        <f t="shared" si="153"/>
        <v>2298.4699999999998</v>
      </c>
      <c r="L302" s="343">
        <f t="shared" si="184"/>
        <v>1185.7299999999998</v>
      </c>
      <c r="M302" s="343">
        <f t="shared" si="154"/>
        <v>1112.74</v>
      </c>
      <c r="N302" s="343">
        <f t="shared" si="175"/>
        <v>157739.54</v>
      </c>
      <c r="O302" s="343">
        <f t="shared" si="176"/>
        <v>400788.66999999993</v>
      </c>
      <c r="P302" s="343">
        <f t="shared" si="165"/>
        <v>196635.45999999985</v>
      </c>
      <c r="Q302" s="502">
        <f t="shared" si="166"/>
        <v>53019</v>
      </c>
      <c r="R302" s="343">
        <f t="shared" si="152"/>
        <v>0</v>
      </c>
      <c r="S302" s="493">
        <f t="shared" si="177"/>
        <v>6.7500000000000004E-2</v>
      </c>
      <c r="T302" s="343">
        <f t="shared" si="167"/>
        <v>0</v>
      </c>
      <c r="U302" s="343">
        <f t="shared" si="155"/>
        <v>0</v>
      </c>
      <c r="V302" s="343">
        <f t="shared" si="168"/>
        <v>0</v>
      </c>
      <c r="W302" s="343">
        <f t="shared" si="148"/>
        <v>0</v>
      </c>
      <c r="X302" s="343">
        <f t="shared" si="149"/>
        <v>0</v>
      </c>
      <c r="Y302" s="343">
        <f t="shared" si="156"/>
        <v>0</v>
      </c>
      <c r="Z302" s="343">
        <f t="shared" si="157"/>
        <v>357260.75999999995</v>
      </c>
      <c r="AA302" s="343">
        <f t="shared" si="158"/>
        <v>179976.28000000012</v>
      </c>
      <c r="AB302" s="343">
        <f t="shared" si="169"/>
        <v>0</v>
      </c>
      <c r="AC302" s="411">
        <f t="shared" si="178"/>
        <v>242</v>
      </c>
      <c r="AD302" s="511">
        <f t="shared" si="179"/>
        <v>21291.170000000031</v>
      </c>
      <c r="AE302" s="511">
        <f t="shared" si="150"/>
        <v>-24603.590000000011</v>
      </c>
      <c r="AF302" s="511">
        <f t="shared" si="151"/>
        <v>-3312.4199999999801</v>
      </c>
      <c r="AG302" s="511">
        <f t="shared" si="180"/>
        <v>-382.11</v>
      </c>
      <c r="AH302" s="511">
        <f t="shared" si="181"/>
        <v>61061.490000000049</v>
      </c>
      <c r="AI302" s="511"/>
      <c r="AJ302" s="21">
        <f t="shared" si="159"/>
        <v>-382.11</v>
      </c>
      <c r="AK302" s="21">
        <f t="shared" si="160"/>
        <v>439798.98999999906</v>
      </c>
      <c r="AL302" s="511">
        <f>IF(R302&lt;=0,0,+(Profit!$B$4+AM301)*$AL$1/12)</f>
        <v>0</v>
      </c>
      <c r="AM302" s="21">
        <f t="shared" si="182"/>
        <v>227647.99117059269</v>
      </c>
    </row>
    <row r="303" spans="1:39" x14ac:dyDescent="0.25">
      <c r="A303" s="499">
        <f t="shared" si="170"/>
        <v>53049</v>
      </c>
      <c r="B303" s="288">
        <f t="shared" si="171"/>
        <v>24603.590000000011</v>
      </c>
      <c r="C303" s="14">
        <f t="shared" si="161"/>
        <v>382.11</v>
      </c>
      <c r="D303" s="14">
        <f t="shared" si="183"/>
        <v>305.22000000000003</v>
      </c>
      <c r="E303" s="14">
        <f t="shared" si="162"/>
        <v>76.89</v>
      </c>
      <c r="F303" s="288">
        <f t="shared" si="172"/>
        <v>58468.569999999985</v>
      </c>
      <c r="G303" s="288">
        <f t="shared" si="173"/>
        <v>52219.05999999999</v>
      </c>
      <c r="H303" s="288">
        <f t="shared" si="163"/>
        <v>24298.37000000001</v>
      </c>
      <c r="I303" s="410">
        <f t="shared" si="164"/>
        <v>20</v>
      </c>
      <c r="J303" s="288">
        <f t="shared" si="174"/>
        <v>196635.45999999985</v>
      </c>
      <c r="K303" s="288">
        <f t="shared" si="153"/>
        <v>2298.4699999999998</v>
      </c>
      <c r="L303" s="288">
        <f t="shared" si="184"/>
        <v>1192.3999999999999</v>
      </c>
      <c r="M303" s="288">
        <f t="shared" si="154"/>
        <v>1106.07</v>
      </c>
      <c r="N303" s="288">
        <f t="shared" si="175"/>
        <v>158931.94</v>
      </c>
      <c r="O303" s="288">
        <f t="shared" si="176"/>
        <v>401894.73999999993</v>
      </c>
      <c r="P303" s="288">
        <f t="shared" si="165"/>
        <v>195443.05999999985</v>
      </c>
      <c r="Q303" s="499">
        <f t="shared" si="166"/>
        <v>53049</v>
      </c>
      <c r="R303" s="288">
        <f t="shared" si="152"/>
        <v>0</v>
      </c>
      <c r="S303" s="492">
        <f t="shared" si="177"/>
        <v>6.7500000000000004E-2</v>
      </c>
      <c r="T303" s="288">
        <f t="shared" si="167"/>
        <v>0</v>
      </c>
      <c r="U303" s="288">
        <f t="shared" si="155"/>
        <v>0</v>
      </c>
      <c r="V303" s="288">
        <f t="shared" si="168"/>
        <v>0</v>
      </c>
      <c r="W303" s="288">
        <f t="shared" si="148"/>
        <v>0</v>
      </c>
      <c r="X303" s="288">
        <f t="shared" si="149"/>
        <v>0</v>
      </c>
      <c r="Y303" s="288">
        <f t="shared" si="156"/>
        <v>0</v>
      </c>
      <c r="Z303" s="288">
        <f t="shared" si="157"/>
        <v>357260.75999999995</v>
      </c>
      <c r="AA303" s="288">
        <f t="shared" si="158"/>
        <v>179976.28000000012</v>
      </c>
      <c r="AB303" s="288">
        <f t="shared" si="169"/>
        <v>0</v>
      </c>
      <c r="AC303" s="410">
        <f t="shared" si="178"/>
        <v>243</v>
      </c>
      <c r="AD303" s="510">
        <f t="shared" si="179"/>
        <v>23589.640000000032</v>
      </c>
      <c r="AE303" s="510">
        <f t="shared" si="150"/>
        <v>-24298.37000000001</v>
      </c>
      <c r="AF303" s="510">
        <f t="shared" si="151"/>
        <v>-708.72999999997774</v>
      </c>
      <c r="AG303" s="510">
        <f t="shared" si="180"/>
        <v>-382.11</v>
      </c>
      <c r="AH303" s="510">
        <f t="shared" si="181"/>
        <v>61366.710000000079</v>
      </c>
      <c r="AI303" s="510"/>
      <c r="AJ303" s="14">
        <f t="shared" si="159"/>
        <v>-382.11</v>
      </c>
      <c r="AK303" s="14">
        <f t="shared" si="160"/>
        <v>439416.87999999907</v>
      </c>
      <c r="AL303" s="510">
        <f>IF(R303&lt;=0,0,+(Profit!$B$4+AM302)*$AL$1/12)</f>
        <v>0</v>
      </c>
      <c r="AM303" s="14">
        <f t="shared" si="182"/>
        <v>227647.99117059269</v>
      </c>
    </row>
    <row r="304" spans="1:39" x14ac:dyDescent="0.25">
      <c r="A304" s="499">
        <f t="shared" si="170"/>
        <v>53079</v>
      </c>
      <c r="B304" s="288">
        <f t="shared" si="171"/>
        <v>24298.37000000001</v>
      </c>
      <c r="C304" s="14">
        <f t="shared" si="161"/>
        <v>382.11</v>
      </c>
      <c r="D304" s="14">
        <f t="shared" si="183"/>
        <v>306.18</v>
      </c>
      <c r="E304" s="14">
        <f t="shared" si="162"/>
        <v>75.930000000000007</v>
      </c>
      <c r="F304" s="288">
        <f t="shared" si="172"/>
        <v>58774.749999999985</v>
      </c>
      <c r="G304" s="288">
        <f t="shared" si="173"/>
        <v>52294.989999999991</v>
      </c>
      <c r="H304" s="288">
        <f t="shared" si="163"/>
        <v>23992.19000000001</v>
      </c>
      <c r="I304" s="410">
        <f t="shared" si="164"/>
        <v>20</v>
      </c>
      <c r="J304" s="288">
        <f t="shared" si="174"/>
        <v>195443.05999999985</v>
      </c>
      <c r="K304" s="288">
        <f t="shared" si="153"/>
        <v>2298.4699999999998</v>
      </c>
      <c r="L304" s="288">
        <f t="shared" si="184"/>
        <v>1199.0999999999999</v>
      </c>
      <c r="M304" s="288">
        <f t="shared" si="154"/>
        <v>1099.3699999999999</v>
      </c>
      <c r="N304" s="288">
        <f t="shared" si="175"/>
        <v>160131.04</v>
      </c>
      <c r="O304" s="288">
        <f t="shared" si="176"/>
        <v>402994.10999999993</v>
      </c>
      <c r="P304" s="288">
        <f t="shared" si="165"/>
        <v>194243.95999999985</v>
      </c>
      <c r="Q304" s="499">
        <f t="shared" si="166"/>
        <v>53079</v>
      </c>
      <c r="R304" s="288">
        <f t="shared" si="152"/>
        <v>0</v>
      </c>
      <c r="S304" s="492">
        <f t="shared" si="177"/>
        <v>6.7500000000000004E-2</v>
      </c>
      <c r="T304" s="288">
        <f t="shared" si="167"/>
        <v>0</v>
      </c>
      <c r="U304" s="288">
        <f t="shared" si="155"/>
        <v>0</v>
      </c>
      <c r="V304" s="288">
        <f t="shared" si="168"/>
        <v>0</v>
      </c>
      <c r="W304" s="288">
        <f t="shared" si="148"/>
        <v>0</v>
      </c>
      <c r="X304" s="288">
        <f t="shared" si="149"/>
        <v>0</v>
      </c>
      <c r="Y304" s="288">
        <f t="shared" si="156"/>
        <v>0</v>
      </c>
      <c r="Z304" s="288">
        <f t="shared" si="157"/>
        <v>357260.75999999995</v>
      </c>
      <c r="AA304" s="288">
        <f t="shared" si="158"/>
        <v>179976.28000000012</v>
      </c>
      <c r="AB304" s="288">
        <f t="shared" si="169"/>
        <v>0</v>
      </c>
      <c r="AC304" s="410">
        <f t="shared" si="178"/>
        <v>244</v>
      </c>
      <c r="AD304" s="510">
        <f t="shared" si="179"/>
        <v>25888.110000000033</v>
      </c>
      <c r="AE304" s="510">
        <f t="shared" si="150"/>
        <v>-23992.19000000001</v>
      </c>
      <c r="AF304" s="510">
        <f t="shared" si="151"/>
        <v>1895.9200000000237</v>
      </c>
      <c r="AG304" s="510">
        <f t="shared" si="180"/>
        <v>-382.11</v>
      </c>
      <c r="AH304" s="510">
        <f t="shared" si="181"/>
        <v>61672.890000000072</v>
      </c>
      <c r="AI304" s="510"/>
      <c r="AJ304" s="14">
        <f t="shared" si="159"/>
        <v>-382.11</v>
      </c>
      <c r="AK304" s="14">
        <f t="shared" si="160"/>
        <v>439034.76999999909</v>
      </c>
      <c r="AL304" s="510">
        <f>IF(R304&lt;=0,0,+(Profit!$B$4+AM303)*$AL$1/12)</f>
        <v>0</v>
      </c>
      <c r="AM304" s="14">
        <f t="shared" si="182"/>
        <v>227647.99117059269</v>
      </c>
    </row>
    <row r="305" spans="1:39" x14ac:dyDescent="0.25">
      <c r="A305" s="499">
        <f t="shared" si="170"/>
        <v>53109</v>
      </c>
      <c r="B305" s="288">
        <f t="shared" si="171"/>
        <v>23992.19000000001</v>
      </c>
      <c r="C305" s="14">
        <f t="shared" si="161"/>
        <v>382.11</v>
      </c>
      <c r="D305" s="14">
        <f t="shared" si="183"/>
        <v>307.13</v>
      </c>
      <c r="E305" s="14">
        <f t="shared" si="162"/>
        <v>74.98</v>
      </c>
      <c r="F305" s="288">
        <f t="shared" si="172"/>
        <v>59081.879999999983</v>
      </c>
      <c r="G305" s="288">
        <f t="shared" si="173"/>
        <v>52369.969999999994</v>
      </c>
      <c r="H305" s="288">
        <f t="shared" si="163"/>
        <v>23685.060000000009</v>
      </c>
      <c r="I305" s="410">
        <f t="shared" si="164"/>
        <v>20</v>
      </c>
      <c r="J305" s="288">
        <f t="shared" si="174"/>
        <v>194243.95999999985</v>
      </c>
      <c r="K305" s="288">
        <f t="shared" si="153"/>
        <v>2298.4699999999998</v>
      </c>
      <c r="L305" s="288">
        <f t="shared" si="184"/>
        <v>1205.8499999999999</v>
      </c>
      <c r="M305" s="288">
        <f t="shared" si="154"/>
        <v>1092.6199999999999</v>
      </c>
      <c r="N305" s="288">
        <f t="shared" si="175"/>
        <v>161336.89000000001</v>
      </c>
      <c r="O305" s="288">
        <f t="shared" si="176"/>
        <v>404086.72999999992</v>
      </c>
      <c r="P305" s="288">
        <f t="shared" si="165"/>
        <v>193038.10999999984</v>
      </c>
      <c r="Q305" s="499">
        <f t="shared" si="166"/>
        <v>53109</v>
      </c>
      <c r="R305" s="288">
        <f t="shared" si="152"/>
        <v>0</v>
      </c>
      <c r="S305" s="492">
        <f t="shared" si="177"/>
        <v>6.7500000000000004E-2</v>
      </c>
      <c r="T305" s="288">
        <f t="shared" si="167"/>
        <v>0</v>
      </c>
      <c r="U305" s="288">
        <f t="shared" si="155"/>
        <v>0</v>
      </c>
      <c r="V305" s="288">
        <f t="shared" si="168"/>
        <v>0</v>
      </c>
      <c r="W305" s="288">
        <f t="shared" si="148"/>
        <v>0</v>
      </c>
      <c r="X305" s="288">
        <f t="shared" si="149"/>
        <v>0</v>
      </c>
      <c r="Y305" s="288">
        <f t="shared" si="156"/>
        <v>0</v>
      </c>
      <c r="Z305" s="288">
        <f t="shared" si="157"/>
        <v>357260.75999999995</v>
      </c>
      <c r="AA305" s="288">
        <f t="shared" si="158"/>
        <v>179976.28000000012</v>
      </c>
      <c r="AB305" s="288">
        <f t="shared" si="169"/>
        <v>0</v>
      </c>
      <c r="AC305" s="410">
        <f t="shared" si="178"/>
        <v>245</v>
      </c>
      <c r="AD305" s="510">
        <f t="shared" si="179"/>
        <v>28186.580000000034</v>
      </c>
      <c r="AE305" s="510">
        <f t="shared" si="150"/>
        <v>-23685.060000000009</v>
      </c>
      <c r="AF305" s="510">
        <f t="shared" si="151"/>
        <v>4501.5200000000259</v>
      </c>
      <c r="AG305" s="510">
        <f t="shared" si="180"/>
        <v>-382.11</v>
      </c>
      <c r="AH305" s="510">
        <f t="shared" si="181"/>
        <v>61980.020000000077</v>
      </c>
      <c r="AI305" s="510"/>
      <c r="AJ305" s="14">
        <f t="shared" si="159"/>
        <v>-382.11</v>
      </c>
      <c r="AK305" s="14">
        <f t="shared" si="160"/>
        <v>438652.6599999991</v>
      </c>
      <c r="AL305" s="510">
        <f>IF(R305&lt;=0,0,+(Profit!$B$4+AM304)*$AL$1/12)</f>
        <v>0</v>
      </c>
      <c r="AM305" s="14">
        <f t="shared" si="182"/>
        <v>227647.99117059269</v>
      </c>
    </row>
    <row r="306" spans="1:39" x14ac:dyDescent="0.25">
      <c r="A306" s="499">
        <f t="shared" si="170"/>
        <v>53139</v>
      </c>
      <c r="B306" s="288">
        <f t="shared" si="171"/>
        <v>23685.060000000009</v>
      </c>
      <c r="C306" s="14">
        <f t="shared" si="161"/>
        <v>382.11</v>
      </c>
      <c r="D306" s="14">
        <f t="shared" si="183"/>
        <v>308.09000000000003</v>
      </c>
      <c r="E306" s="14">
        <f t="shared" si="162"/>
        <v>74.02</v>
      </c>
      <c r="F306" s="288">
        <f t="shared" si="172"/>
        <v>59389.969999999979</v>
      </c>
      <c r="G306" s="288">
        <f t="shared" si="173"/>
        <v>52443.989999999991</v>
      </c>
      <c r="H306" s="288">
        <f t="shared" si="163"/>
        <v>23376.970000000008</v>
      </c>
      <c r="I306" s="410">
        <f t="shared" si="164"/>
        <v>20</v>
      </c>
      <c r="J306" s="288">
        <f t="shared" si="174"/>
        <v>193038.10999999984</v>
      </c>
      <c r="K306" s="288">
        <f t="shared" si="153"/>
        <v>2298.4699999999998</v>
      </c>
      <c r="L306" s="288">
        <f t="shared" si="184"/>
        <v>1212.6299999999999</v>
      </c>
      <c r="M306" s="288">
        <f t="shared" si="154"/>
        <v>1085.8399999999999</v>
      </c>
      <c r="N306" s="288">
        <f t="shared" si="175"/>
        <v>162549.52000000002</v>
      </c>
      <c r="O306" s="288">
        <f t="shared" si="176"/>
        <v>405172.56999999995</v>
      </c>
      <c r="P306" s="288">
        <f t="shared" si="165"/>
        <v>191825.47999999984</v>
      </c>
      <c r="Q306" s="499">
        <f t="shared" si="166"/>
        <v>53139</v>
      </c>
      <c r="R306" s="288">
        <f t="shared" si="152"/>
        <v>0</v>
      </c>
      <c r="S306" s="492">
        <f t="shared" si="177"/>
        <v>6.7500000000000004E-2</v>
      </c>
      <c r="T306" s="288">
        <f t="shared" si="167"/>
        <v>0</v>
      </c>
      <c r="U306" s="288">
        <f t="shared" si="155"/>
        <v>0</v>
      </c>
      <c r="V306" s="288">
        <f t="shared" si="168"/>
        <v>0</v>
      </c>
      <c r="W306" s="288">
        <f t="shared" si="148"/>
        <v>0</v>
      </c>
      <c r="X306" s="288">
        <f t="shared" si="149"/>
        <v>0</v>
      </c>
      <c r="Y306" s="288">
        <f t="shared" si="156"/>
        <v>0</v>
      </c>
      <c r="Z306" s="288">
        <f t="shared" si="157"/>
        <v>357260.75999999995</v>
      </c>
      <c r="AA306" s="288">
        <f t="shared" si="158"/>
        <v>179976.28000000012</v>
      </c>
      <c r="AB306" s="288">
        <f t="shared" si="169"/>
        <v>0</v>
      </c>
      <c r="AC306" s="410">
        <f t="shared" si="178"/>
        <v>246</v>
      </c>
      <c r="AD306" s="510">
        <f t="shared" si="179"/>
        <v>30485.050000000036</v>
      </c>
      <c r="AE306" s="510">
        <f t="shared" si="150"/>
        <v>-23376.970000000008</v>
      </c>
      <c r="AF306" s="510">
        <f t="shared" si="151"/>
        <v>7108.0800000000272</v>
      </c>
      <c r="AG306" s="510">
        <f t="shared" si="180"/>
        <v>-382.11</v>
      </c>
      <c r="AH306" s="510">
        <f t="shared" si="181"/>
        <v>62288.110000000044</v>
      </c>
      <c r="AI306" s="510"/>
      <c r="AJ306" s="14">
        <f t="shared" si="159"/>
        <v>-382.11</v>
      </c>
      <c r="AK306" s="14">
        <f t="shared" si="160"/>
        <v>438270.54999999912</v>
      </c>
      <c r="AL306" s="510">
        <f>IF(R306&lt;=0,0,+(Profit!$B$4+AM305)*$AL$1/12)</f>
        <v>0</v>
      </c>
      <c r="AM306" s="14">
        <f t="shared" si="182"/>
        <v>227647.99117059269</v>
      </c>
    </row>
    <row r="307" spans="1:39" x14ac:dyDescent="0.25">
      <c r="A307" s="499">
        <f t="shared" si="170"/>
        <v>53169</v>
      </c>
      <c r="B307" s="288">
        <f t="shared" si="171"/>
        <v>23376.970000000008</v>
      </c>
      <c r="C307" s="14">
        <f t="shared" si="161"/>
        <v>382.11</v>
      </c>
      <c r="D307" s="14">
        <f t="shared" si="183"/>
        <v>309.06</v>
      </c>
      <c r="E307" s="14">
        <f t="shared" si="162"/>
        <v>73.05</v>
      </c>
      <c r="F307" s="288">
        <f t="shared" si="172"/>
        <v>59699.029999999977</v>
      </c>
      <c r="G307" s="288">
        <f t="shared" si="173"/>
        <v>52517.039999999994</v>
      </c>
      <c r="H307" s="288">
        <f t="shared" si="163"/>
        <v>23067.910000000007</v>
      </c>
      <c r="I307" s="410">
        <f t="shared" si="164"/>
        <v>20</v>
      </c>
      <c r="J307" s="288">
        <f t="shared" si="174"/>
        <v>191825.47999999984</v>
      </c>
      <c r="K307" s="288">
        <f t="shared" si="153"/>
        <v>2298.4699999999998</v>
      </c>
      <c r="L307" s="288">
        <f t="shared" si="184"/>
        <v>1219.4499999999998</v>
      </c>
      <c r="M307" s="288">
        <f t="shared" si="154"/>
        <v>1079.02</v>
      </c>
      <c r="N307" s="288">
        <f t="shared" si="175"/>
        <v>163768.97000000003</v>
      </c>
      <c r="O307" s="288">
        <f t="shared" si="176"/>
        <v>406251.58999999997</v>
      </c>
      <c r="P307" s="288">
        <f t="shared" si="165"/>
        <v>190606.02999999982</v>
      </c>
      <c r="Q307" s="499">
        <f t="shared" si="166"/>
        <v>53169</v>
      </c>
      <c r="R307" s="288">
        <f t="shared" si="152"/>
        <v>0</v>
      </c>
      <c r="S307" s="492">
        <f t="shared" si="177"/>
        <v>6.7500000000000004E-2</v>
      </c>
      <c r="T307" s="288">
        <f t="shared" si="167"/>
        <v>0</v>
      </c>
      <c r="U307" s="288">
        <f t="shared" si="155"/>
        <v>0</v>
      </c>
      <c r="V307" s="288">
        <f t="shared" si="168"/>
        <v>0</v>
      </c>
      <c r="W307" s="288">
        <f t="shared" si="148"/>
        <v>0</v>
      </c>
      <c r="X307" s="288">
        <f t="shared" si="149"/>
        <v>0</v>
      </c>
      <c r="Y307" s="288">
        <f t="shared" si="156"/>
        <v>0</v>
      </c>
      <c r="Z307" s="288">
        <f t="shared" si="157"/>
        <v>357260.75999999995</v>
      </c>
      <c r="AA307" s="288">
        <f t="shared" si="158"/>
        <v>179976.28000000012</v>
      </c>
      <c r="AB307" s="288">
        <f t="shared" si="169"/>
        <v>0</v>
      </c>
      <c r="AC307" s="410">
        <f t="shared" si="178"/>
        <v>247</v>
      </c>
      <c r="AD307" s="510">
        <f t="shared" si="179"/>
        <v>32783.520000000033</v>
      </c>
      <c r="AE307" s="510">
        <f t="shared" si="150"/>
        <v>-23067.910000000007</v>
      </c>
      <c r="AF307" s="510">
        <f t="shared" si="151"/>
        <v>9715.610000000026</v>
      </c>
      <c r="AG307" s="510">
        <f t="shared" si="180"/>
        <v>-382.11</v>
      </c>
      <c r="AH307" s="510">
        <f t="shared" si="181"/>
        <v>62597.170000000042</v>
      </c>
      <c r="AI307" s="510"/>
      <c r="AJ307" s="14">
        <f t="shared" si="159"/>
        <v>-382.11</v>
      </c>
      <c r="AK307" s="14">
        <f t="shared" si="160"/>
        <v>437888.43999999913</v>
      </c>
      <c r="AL307" s="510">
        <f>IF(R307&lt;=0,0,+(Profit!$B$4+AM306)*$AL$1/12)</f>
        <v>0</v>
      </c>
      <c r="AM307" s="14">
        <f t="shared" si="182"/>
        <v>227647.99117059269</v>
      </c>
    </row>
    <row r="308" spans="1:39" x14ac:dyDescent="0.25">
      <c r="A308" s="499">
        <f t="shared" si="170"/>
        <v>53199</v>
      </c>
      <c r="B308" s="288">
        <f t="shared" si="171"/>
        <v>23067.910000000007</v>
      </c>
      <c r="C308" s="14">
        <f t="shared" si="161"/>
        <v>382.11</v>
      </c>
      <c r="D308" s="14">
        <f t="shared" si="183"/>
        <v>310.02</v>
      </c>
      <c r="E308" s="14">
        <f t="shared" si="162"/>
        <v>72.09</v>
      </c>
      <c r="F308" s="288">
        <f t="shared" si="172"/>
        <v>60009.049999999974</v>
      </c>
      <c r="G308" s="288">
        <f t="shared" si="173"/>
        <v>52589.12999999999</v>
      </c>
      <c r="H308" s="288">
        <f t="shared" si="163"/>
        <v>22757.890000000007</v>
      </c>
      <c r="I308" s="410">
        <f t="shared" si="164"/>
        <v>20</v>
      </c>
      <c r="J308" s="288">
        <f t="shared" si="174"/>
        <v>190606.02999999982</v>
      </c>
      <c r="K308" s="288">
        <f t="shared" si="153"/>
        <v>2298.4699999999998</v>
      </c>
      <c r="L308" s="288">
        <f t="shared" si="184"/>
        <v>1226.3099999999997</v>
      </c>
      <c r="M308" s="288">
        <f t="shared" si="154"/>
        <v>1072.1600000000001</v>
      </c>
      <c r="N308" s="288">
        <f t="shared" si="175"/>
        <v>164995.28000000003</v>
      </c>
      <c r="O308" s="288">
        <f t="shared" si="176"/>
        <v>407323.74999999994</v>
      </c>
      <c r="P308" s="288">
        <f t="shared" si="165"/>
        <v>189379.71999999983</v>
      </c>
      <c r="Q308" s="499">
        <f t="shared" si="166"/>
        <v>53199</v>
      </c>
      <c r="R308" s="288">
        <f t="shared" si="152"/>
        <v>0</v>
      </c>
      <c r="S308" s="492">
        <f t="shared" si="177"/>
        <v>6.7500000000000004E-2</v>
      </c>
      <c r="T308" s="288">
        <f t="shared" si="167"/>
        <v>0</v>
      </c>
      <c r="U308" s="288">
        <f t="shared" si="155"/>
        <v>0</v>
      </c>
      <c r="V308" s="288">
        <f t="shared" si="168"/>
        <v>0</v>
      </c>
      <c r="W308" s="288">
        <f t="shared" si="148"/>
        <v>0</v>
      </c>
      <c r="X308" s="288">
        <f t="shared" si="149"/>
        <v>0</v>
      </c>
      <c r="Y308" s="288">
        <f t="shared" si="156"/>
        <v>0</v>
      </c>
      <c r="Z308" s="288">
        <f t="shared" si="157"/>
        <v>357260.75999999995</v>
      </c>
      <c r="AA308" s="288">
        <f t="shared" si="158"/>
        <v>179976.28000000012</v>
      </c>
      <c r="AB308" s="288">
        <f t="shared" si="169"/>
        <v>0</v>
      </c>
      <c r="AC308" s="410">
        <f t="shared" si="178"/>
        <v>248</v>
      </c>
      <c r="AD308" s="510">
        <f t="shared" si="179"/>
        <v>35081.990000000034</v>
      </c>
      <c r="AE308" s="510">
        <f t="shared" si="150"/>
        <v>-22757.890000000007</v>
      </c>
      <c r="AF308" s="510">
        <f t="shared" si="151"/>
        <v>12324.100000000028</v>
      </c>
      <c r="AG308" s="510">
        <f t="shared" si="180"/>
        <v>-382.11</v>
      </c>
      <c r="AH308" s="510">
        <f t="shared" si="181"/>
        <v>62907.190000000061</v>
      </c>
      <c r="AI308" s="510"/>
      <c r="AJ308" s="14">
        <f t="shared" si="159"/>
        <v>-382.11</v>
      </c>
      <c r="AK308" s="14">
        <f t="shared" si="160"/>
        <v>437506.32999999914</v>
      </c>
      <c r="AL308" s="510">
        <f>IF(R308&lt;=0,0,+(Profit!$B$4+AM307)*$AL$1/12)</f>
        <v>0</v>
      </c>
      <c r="AM308" s="14">
        <f t="shared" si="182"/>
        <v>227647.99117059269</v>
      </c>
    </row>
    <row r="309" spans="1:39" x14ac:dyDescent="0.25">
      <c r="A309" s="499">
        <f t="shared" si="170"/>
        <v>53229</v>
      </c>
      <c r="B309" s="288">
        <f t="shared" si="171"/>
        <v>22757.890000000007</v>
      </c>
      <c r="C309" s="14">
        <f t="shared" si="161"/>
        <v>382.11</v>
      </c>
      <c r="D309" s="14">
        <f t="shared" si="183"/>
        <v>310.99</v>
      </c>
      <c r="E309" s="14">
        <f t="shared" si="162"/>
        <v>71.12</v>
      </c>
      <c r="F309" s="288">
        <f t="shared" si="172"/>
        <v>60320.039999999972</v>
      </c>
      <c r="G309" s="288">
        <f t="shared" si="173"/>
        <v>52660.249999999993</v>
      </c>
      <c r="H309" s="288">
        <f t="shared" si="163"/>
        <v>22446.900000000005</v>
      </c>
      <c r="I309" s="410">
        <f t="shared" si="164"/>
        <v>20</v>
      </c>
      <c r="J309" s="288">
        <f t="shared" si="174"/>
        <v>189379.71999999983</v>
      </c>
      <c r="K309" s="288">
        <f t="shared" si="153"/>
        <v>2298.4699999999998</v>
      </c>
      <c r="L309" s="288">
        <f t="shared" si="184"/>
        <v>1233.2099999999998</v>
      </c>
      <c r="M309" s="288">
        <f t="shared" si="154"/>
        <v>1065.26</v>
      </c>
      <c r="N309" s="288">
        <f t="shared" si="175"/>
        <v>166228.49000000002</v>
      </c>
      <c r="O309" s="288">
        <f t="shared" si="176"/>
        <v>408389.00999999995</v>
      </c>
      <c r="P309" s="288">
        <f t="shared" si="165"/>
        <v>188146.50999999983</v>
      </c>
      <c r="Q309" s="499">
        <f t="shared" si="166"/>
        <v>53229</v>
      </c>
      <c r="R309" s="288">
        <f t="shared" si="152"/>
        <v>0</v>
      </c>
      <c r="S309" s="492">
        <f t="shared" si="177"/>
        <v>6.7500000000000004E-2</v>
      </c>
      <c r="T309" s="288">
        <f t="shared" si="167"/>
        <v>0</v>
      </c>
      <c r="U309" s="288">
        <f t="shared" si="155"/>
        <v>0</v>
      </c>
      <c r="V309" s="288">
        <f t="shared" si="168"/>
        <v>0</v>
      </c>
      <c r="W309" s="288">
        <f t="shared" si="148"/>
        <v>0</v>
      </c>
      <c r="X309" s="288">
        <f t="shared" si="149"/>
        <v>0</v>
      </c>
      <c r="Y309" s="288">
        <f t="shared" si="156"/>
        <v>0</v>
      </c>
      <c r="Z309" s="288">
        <f t="shared" si="157"/>
        <v>357260.75999999995</v>
      </c>
      <c r="AA309" s="288">
        <f t="shared" si="158"/>
        <v>179976.28000000012</v>
      </c>
      <c r="AB309" s="288">
        <f t="shared" si="169"/>
        <v>0</v>
      </c>
      <c r="AC309" s="410">
        <f t="shared" si="178"/>
        <v>249</v>
      </c>
      <c r="AD309" s="510">
        <f t="shared" si="179"/>
        <v>37380.460000000036</v>
      </c>
      <c r="AE309" s="510">
        <f t="shared" si="150"/>
        <v>-22446.900000000005</v>
      </c>
      <c r="AF309" s="510">
        <f t="shared" si="151"/>
        <v>14933.56000000003</v>
      </c>
      <c r="AG309" s="510">
        <f t="shared" si="180"/>
        <v>-382.11</v>
      </c>
      <c r="AH309" s="510">
        <f t="shared" si="181"/>
        <v>63218.180000000051</v>
      </c>
      <c r="AI309" s="510"/>
      <c r="AJ309" s="14">
        <f t="shared" si="159"/>
        <v>-382.11</v>
      </c>
      <c r="AK309" s="14">
        <f t="shared" si="160"/>
        <v>437124.21999999916</v>
      </c>
      <c r="AL309" s="510">
        <f>IF(R309&lt;=0,0,+(Profit!$B$4+AM308)*$AL$1/12)</f>
        <v>0</v>
      </c>
      <c r="AM309" s="14">
        <f t="shared" si="182"/>
        <v>227647.99117059269</v>
      </c>
    </row>
    <row r="310" spans="1:39" x14ac:dyDescent="0.25">
      <c r="A310" s="499">
        <f t="shared" si="170"/>
        <v>53259</v>
      </c>
      <c r="B310" s="288">
        <f t="shared" si="171"/>
        <v>22446.900000000005</v>
      </c>
      <c r="C310" s="14">
        <f t="shared" si="161"/>
        <v>382.11</v>
      </c>
      <c r="D310" s="14">
        <f t="shared" si="183"/>
        <v>311.96000000000004</v>
      </c>
      <c r="E310" s="14">
        <f t="shared" si="162"/>
        <v>70.150000000000006</v>
      </c>
      <c r="F310" s="288">
        <f t="shared" si="172"/>
        <v>60631.999999999971</v>
      </c>
      <c r="G310" s="288">
        <f t="shared" si="173"/>
        <v>52730.399999999994</v>
      </c>
      <c r="H310" s="288">
        <f t="shared" si="163"/>
        <v>22134.940000000006</v>
      </c>
      <c r="I310" s="410">
        <f t="shared" si="164"/>
        <v>20</v>
      </c>
      <c r="J310" s="288">
        <f t="shared" si="174"/>
        <v>188146.50999999983</v>
      </c>
      <c r="K310" s="288">
        <f t="shared" si="153"/>
        <v>2298.4699999999998</v>
      </c>
      <c r="L310" s="288">
        <f t="shared" si="184"/>
        <v>1240.1499999999999</v>
      </c>
      <c r="M310" s="288">
        <f t="shared" si="154"/>
        <v>1058.32</v>
      </c>
      <c r="N310" s="288">
        <f t="shared" si="175"/>
        <v>167468.64000000001</v>
      </c>
      <c r="O310" s="288">
        <f t="shared" si="176"/>
        <v>409447.32999999996</v>
      </c>
      <c r="P310" s="288">
        <f t="shared" si="165"/>
        <v>186906.35999999984</v>
      </c>
      <c r="Q310" s="499">
        <f t="shared" si="166"/>
        <v>53259</v>
      </c>
      <c r="R310" s="288">
        <f t="shared" si="152"/>
        <v>0</v>
      </c>
      <c r="S310" s="492">
        <f t="shared" si="177"/>
        <v>6.7500000000000004E-2</v>
      </c>
      <c r="T310" s="288">
        <f t="shared" si="167"/>
        <v>0</v>
      </c>
      <c r="U310" s="288">
        <f t="shared" si="155"/>
        <v>0</v>
      </c>
      <c r="V310" s="288">
        <f t="shared" si="168"/>
        <v>0</v>
      </c>
      <c r="W310" s="288">
        <f t="shared" si="148"/>
        <v>0</v>
      </c>
      <c r="X310" s="288">
        <f t="shared" si="149"/>
        <v>0</v>
      </c>
      <c r="Y310" s="288">
        <f t="shared" si="156"/>
        <v>0</v>
      </c>
      <c r="Z310" s="288">
        <f t="shared" si="157"/>
        <v>357260.75999999995</v>
      </c>
      <c r="AA310" s="288">
        <f t="shared" si="158"/>
        <v>179976.28000000012</v>
      </c>
      <c r="AB310" s="288">
        <f t="shared" si="169"/>
        <v>0</v>
      </c>
      <c r="AC310" s="410">
        <f t="shared" si="178"/>
        <v>250</v>
      </c>
      <c r="AD310" s="510">
        <f t="shared" si="179"/>
        <v>39678.930000000037</v>
      </c>
      <c r="AE310" s="510">
        <f t="shared" si="150"/>
        <v>-22134.940000000006</v>
      </c>
      <c r="AF310" s="510">
        <f t="shared" si="151"/>
        <v>17543.990000000031</v>
      </c>
      <c r="AG310" s="510">
        <f t="shared" si="180"/>
        <v>-382.11</v>
      </c>
      <c r="AH310" s="510">
        <f t="shared" si="181"/>
        <v>63530.140000000072</v>
      </c>
      <c r="AI310" s="510"/>
      <c r="AJ310" s="14">
        <f t="shared" si="159"/>
        <v>-382.11</v>
      </c>
      <c r="AK310" s="14">
        <f t="shared" si="160"/>
        <v>436742.10999999917</v>
      </c>
      <c r="AL310" s="510">
        <f>IF(R310&lt;=0,0,+(Profit!$B$4+AM309)*$AL$1/12)</f>
        <v>0</v>
      </c>
      <c r="AM310" s="14">
        <f t="shared" si="182"/>
        <v>227647.99117059269</v>
      </c>
    </row>
    <row r="311" spans="1:39" x14ac:dyDescent="0.25">
      <c r="A311" s="499">
        <f t="shared" si="170"/>
        <v>53289</v>
      </c>
      <c r="B311" s="288">
        <f t="shared" si="171"/>
        <v>22134.940000000006</v>
      </c>
      <c r="C311" s="14">
        <f t="shared" si="161"/>
        <v>382.11</v>
      </c>
      <c r="D311" s="14">
        <f t="shared" si="183"/>
        <v>312.94</v>
      </c>
      <c r="E311" s="14">
        <f t="shared" si="162"/>
        <v>69.17</v>
      </c>
      <c r="F311" s="288">
        <f t="shared" si="172"/>
        <v>60944.939999999973</v>
      </c>
      <c r="G311" s="288">
        <f t="shared" si="173"/>
        <v>52799.569999999992</v>
      </c>
      <c r="H311" s="288">
        <f t="shared" si="163"/>
        <v>21822.000000000007</v>
      </c>
      <c r="I311" s="410">
        <f t="shared" si="164"/>
        <v>20</v>
      </c>
      <c r="J311" s="288">
        <f t="shared" si="174"/>
        <v>186906.35999999984</v>
      </c>
      <c r="K311" s="288">
        <f t="shared" si="153"/>
        <v>2298.4699999999998</v>
      </c>
      <c r="L311" s="288">
        <f t="shared" si="184"/>
        <v>1247.1199999999999</v>
      </c>
      <c r="M311" s="288">
        <f t="shared" si="154"/>
        <v>1051.3499999999999</v>
      </c>
      <c r="N311" s="288">
        <f t="shared" si="175"/>
        <v>168715.76</v>
      </c>
      <c r="O311" s="288">
        <f t="shared" si="176"/>
        <v>410498.67999999993</v>
      </c>
      <c r="P311" s="288">
        <f t="shared" si="165"/>
        <v>185659.23999999985</v>
      </c>
      <c r="Q311" s="499">
        <f t="shared" si="166"/>
        <v>53289</v>
      </c>
      <c r="R311" s="288">
        <f t="shared" si="152"/>
        <v>0</v>
      </c>
      <c r="S311" s="492">
        <f t="shared" si="177"/>
        <v>6.7500000000000004E-2</v>
      </c>
      <c r="T311" s="288">
        <f t="shared" si="167"/>
        <v>0</v>
      </c>
      <c r="U311" s="288">
        <f t="shared" si="155"/>
        <v>0</v>
      </c>
      <c r="V311" s="288">
        <f t="shared" si="168"/>
        <v>0</v>
      </c>
      <c r="W311" s="288">
        <f t="shared" si="148"/>
        <v>0</v>
      </c>
      <c r="X311" s="288">
        <f t="shared" si="149"/>
        <v>0</v>
      </c>
      <c r="Y311" s="288">
        <f t="shared" si="156"/>
        <v>0</v>
      </c>
      <c r="Z311" s="288">
        <f t="shared" si="157"/>
        <v>357260.75999999995</v>
      </c>
      <c r="AA311" s="288">
        <f t="shared" si="158"/>
        <v>179976.28000000012</v>
      </c>
      <c r="AB311" s="288">
        <f t="shared" si="169"/>
        <v>0</v>
      </c>
      <c r="AC311" s="410">
        <f t="shared" si="178"/>
        <v>251</v>
      </c>
      <c r="AD311" s="510">
        <f t="shared" si="179"/>
        <v>41977.400000000038</v>
      </c>
      <c r="AE311" s="510">
        <f t="shared" si="150"/>
        <v>-21822.000000000007</v>
      </c>
      <c r="AF311" s="510">
        <f t="shared" si="151"/>
        <v>20155.400000000031</v>
      </c>
      <c r="AG311" s="510">
        <f t="shared" si="180"/>
        <v>-382.11</v>
      </c>
      <c r="AH311" s="510">
        <f t="shared" si="181"/>
        <v>63843.080000000016</v>
      </c>
      <c r="AI311" s="510"/>
      <c r="AJ311" s="14">
        <f t="shared" si="159"/>
        <v>-382.11</v>
      </c>
      <c r="AK311" s="14">
        <f t="shared" si="160"/>
        <v>436359.99999999919</v>
      </c>
      <c r="AL311" s="510">
        <f>IF(R311&lt;=0,0,+(Profit!$B$4+AM310)*$AL$1/12)</f>
        <v>0</v>
      </c>
      <c r="AM311" s="14">
        <f t="shared" si="182"/>
        <v>227647.99117059269</v>
      </c>
    </row>
    <row r="312" spans="1:39" x14ac:dyDescent="0.25">
      <c r="A312" s="499">
        <f t="shared" si="170"/>
        <v>53319</v>
      </c>
      <c r="B312" s="288">
        <f t="shared" si="171"/>
        <v>21822.000000000007</v>
      </c>
      <c r="C312" s="14">
        <f t="shared" si="161"/>
        <v>382.11</v>
      </c>
      <c r="D312" s="14">
        <f t="shared" si="183"/>
        <v>313.92</v>
      </c>
      <c r="E312" s="14">
        <f t="shared" si="162"/>
        <v>68.19</v>
      </c>
      <c r="F312" s="288">
        <f t="shared" si="172"/>
        <v>61258.859999999971</v>
      </c>
      <c r="G312" s="288">
        <f t="shared" si="173"/>
        <v>52867.759999999995</v>
      </c>
      <c r="H312" s="288">
        <f t="shared" si="163"/>
        <v>21508.080000000009</v>
      </c>
      <c r="I312" s="410">
        <f t="shared" si="164"/>
        <v>21</v>
      </c>
      <c r="J312" s="288">
        <f t="shared" si="174"/>
        <v>185659.23999999985</v>
      </c>
      <c r="K312" s="288">
        <f t="shared" si="153"/>
        <v>2298.4699999999998</v>
      </c>
      <c r="L312" s="288">
        <f t="shared" si="184"/>
        <v>1254.1399999999999</v>
      </c>
      <c r="M312" s="288">
        <f t="shared" si="154"/>
        <v>1044.33</v>
      </c>
      <c r="N312" s="288">
        <f t="shared" si="175"/>
        <v>169969.90000000002</v>
      </c>
      <c r="O312" s="288">
        <f t="shared" si="176"/>
        <v>411543.00999999995</v>
      </c>
      <c r="P312" s="288">
        <f t="shared" si="165"/>
        <v>184405.09999999983</v>
      </c>
      <c r="Q312" s="499">
        <f t="shared" si="166"/>
        <v>53319</v>
      </c>
      <c r="R312" s="288">
        <f t="shared" si="152"/>
        <v>0</v>
      </c>
      <c r="S312" s="492">
        <f t="shared" si="177"/>
        <v>6.7500000000000004E-2</v>
      </c>
      <c r="T312" s="288">
        <f t="shared" si="167"/>
        <v>0</v>
      </c>
      <c r="U312" s="288">
        <f t="shared" si="155"/>
        <v>0</v>
      </c>
      <c r="V312" s="288">
        <f t="shared" si="168"/>
        <v>0</v>
      </c>
      <c r="W312" s="288">
        <f t="shared" si="148"/>
        <v>0</v>
      </c>
      <c r="X312" s="288">
        <f t="shared" si="149"/>
        <v>0</v>
      </c>
      <c r="Y312" s="288">
        <f t="shared" si="156"/>
        <v>0</v>
      </c>
      <c r="Z312" s="288">
        <f t="shared" si="157"/>
        <v>357260.75999999995</v>
      </c>
      <c r="AA312" s="288">
        <f t="shared" si="158"/>
        <v>179976.28000000012</v>
      </c>
      <c r="AB312" s="288">
        <f t="shared" si="169"/>
        <v>0</v>
      </c>
      <c r="AC312" s="410">
        <f t="shared" si="178"/>
        <v>252</v>
      </c>
      <c r="AD312" s="510">
        <f t="shared" si="179"/>
        <v>44275.870000000039</v>
      </c>
      <c r="AE312" s="510">
        <f t="shared" si="150"/>
        <v>-21508.080000000009</v>
      </c>
      <c r="AF312" s="510">
        <f t="shared" si="151"/>
        <v>22767.79000000003</v>
      </c>
      <c r="AG312" s="510">
        <f t="shared" si="180"/>
        <v>-382.11</v>
      </c>
      <c r="AH312" s="510">
        <f t="shared" si="181"/>
        <v>64157.000000000058</v>
      </c>
      <c r="AI312" s="510"/>
      <c r="AJ312" s="14">
        <f t="shared" si="159"/>
        <v>-382.11</v>
      </c>
      <c r="AK312" s="14">
        <f t="shared" si="160"/>
        <v>435977.8899999992</v>
      </c>
      <c r="AL312" s="510">
        <f>IF(R312&lt;=0,0,+(Profit!$B$4+AM311)*$AL$1/12)</f>
        <v>0</v>
      </c>
      <c r="AM312" s="14">
        <f t="shared" si="182"/>
        <v>227647.99117059269</v>
      </c>
    </row>
    <row r="313" spans="1:39" x14ac:dyDescent="0.25">
      <c r="A313" s="499">
        <f t="shared" si="170"/>
        <v>53349</v>
      </c>
      <c r="B313" s="288">
        <f t="shared" si="171"/>
        <v>21508.080000000009</v>
      </c>
      <c r="C313" s="14">
        <f t="shared" si="161"/>
        <v>382.11</v>
      </c>
      <c r="D313" s="14">
        <f t="shared" si="183"/>
        <v>314.90000000000003</v>
      </c>
      <c r="E313" s="14">
        <f t="shared" si="162"/>
        <v>67.209999999999994</v>
      </c>
      <c r="F313" s="288">
        <f t="shared" si="172"/>
        <v>61573.759999999973</v>
      </c>
      <c r="G313" s="288">
        <f t="shared" si="173"/>
        <v>52934.969999999994</v>
      </c>
      <c r="H313" s="288">
        <f t="shared" si="163"/>
        <v>21193.180000000008</v>
      </c>
      <c r="I313" s="410">
        <f t="shared" si="164"/>
        <v>21</v>
      </c>
      <c r="J313" s="288">
        <f t="shared" si="174"/>
        <v>184405.09999999983</v>
      </c>
      <c r="K313" s="288">
        <f t="shared" si="153"/>
        <v>2298.4699999999998</v>
      </c>
      <c r="L313" s="288">
        <f t="shared" si="184"/>
        <v>1261.1899999999998</v>
      </c>
      <c r="M313" s="288">
        <f t="shared" si="154"/>
        <v>1037.28</v>
      </c>
      <c r="N313" s="288">
        <f t="shared" si="175"/>
        <v>171231.09000000003</v>
      </c>
      <c r="O313" s="288">
        <f t="shared" si="176"/>
        <v>412580.29</v>
      </c>
      <c r="P313" s="288">
        <f t="shared" si="165"/>
        <v>183143.90999999983</v>
      </c>
      <c r="Q313" s="499">
        <f t="shared" si="166"/>
        <v>53349</v>
      </c>
      <c r="R313" s="288">
        <f t="shared" si="152"/>
        <v>0</v>
      </c>
      <c r="S313" s="492">
        <f t="shared" si="177"/>
        <v>6.7500000000000004E-2</v>
      </c>
      <c r="T313" s="288">
        <f t="shared" si="167"/>
        <v>0</v>
      </c>
      <c r="U313" s="288">
        <f t="shared" si="155"/>
        <v>0</v>
      </c>
      <c r="V313" s="288">
        <f t="shared" si="168"/>
        <v>0</v>
      </c>
      <c r="W313" s="288">
        <f t="shared" si="148"/>
        <v>0</v>
      </c>
      <c r="X313" s="288">
        <f t="shared" si="149"/>
        <v>0</v>
      </c>
      <c r="Y313" s="288">
        <f t="shared" si="156"/>
        <v>0</v>
      </c>
      <c r="Z313" s="288">
        <f t="shared" si="157"/>
        <v>357260.75999999995</v>
      </c>
      <c r="AA313" s="288">
        <f t="shared" si="158"/>
        <v>179976.28000000012</v>
      </c>
      <c r="AB313" s="288">
        <f t="shared" si="169"/>
        <v>0</v>
      </c>
      <c r="AC313" s="410">
        <f t="shared" si="178"/>
        <v>253</v>
      </c>
      <c r="AD313" s="510">
        <f t="shared" si="179"/>
        <v>46574.34000000004</v>
      </c>
      <c r="AE313" s="510">
        <f t="shared" si="150"/>
        <v>-21193.180000000008</v>
      </c>
      <c r="AF313" s="510">
        <f t="shared" si="151"/>
        <v>25381.160000000033</v>
      </c>
      <c r="AG313" s="510">
        <f t="shared" si="180"/>
        <v>-382.11</v>
      </c>
      <c r="AH313" s="510">
        <f t="shared" si="181"/>
        <v>64471.900000000023</v>
      </c>
      <c r="AI313" s="510"/>
      <c r="AJ313" s="14">
        <f t="shared" si="159"/>
        <v>-382.11</v>
      </c>
      <c r="AK313" s="14">
        <f t="shared" si="160"/>
        <v>435595.77999999921</v>
      </c>
      <c r="AL313" s="510">
        <f>IF(R313&lt;=0,0,+(Profit!$B$4+AM312)*$AL$1/12)</f>
        <v>0</v>
      </c>
      <c r="AM313" s="14">
        <f t="shared" si="182"/>
        <v>227647.99117059269</v>
      </c>
    </row>
    <row r="314" spans="1:39" ht="15.75" thickBot="1" x14ac:dyDescent="0.3">
      <c r="A314" s="502">
        <f t="shared" si="170"/>
        <v>53379</v>
      </c>
      <c r="B314" s="343">
        <f t="shared" si="171"/>
        <v>21193.180000000008</v>
      </c>
      <c r="C314" s="21">
        <f t="shared" si="161"/>
        <v>382.11</v>
      </c>
      <c r="D314" s="21">
        <f t="shared" si="183"/>
        <v>315.88</v>
      </c>
      <c r="E314" s="21">
        <f t="shared" si="162"/>
        <v>66.23</v>
      </c>
      <c r="F314" s="343">
        <f t="shared" si="172"/>
        <v>61889.63999999997</v>
      </c>
      <c r="G314" s="343">
        <f t="shared" si="173"/>
        <v>53001.2</v>
      </c>
      <c r="H314" s="343">
        <f t="shared" si="163"/>
        <v>20877.300000000007</v>
      </c>
      <c r="I314" s="411">
        <f t="shared" si="164"/>
        <v>21</v>
      </c>
      <c r="J314" s="343">
        <f t="shared" si="174"/>
        <v>183143.90999999983</v>
      </c>
      <c r="K314" s="343">
        <f t="shared" si="153"/>
        <v>2298.4699999999998</v>
      </c>
      <c r="L314" s="343">
        <f t="shared" si="184"/>
        <v>1268.2899999999997</v>
      </c>
      <c r="M314" s="343">
        <f t="shared" si="154"/>
        <v>1030.18</v>
      </c>
      <c r="N314" s="343">
        <f t="shared" si="175"/>
        <v>172499.38000000003</v>
      </c>
      <c r="O314" s="343">
        <f t="shared" si="176"/>
        <v>413610.47</v>
      </c>
      <c r="P314" s="343">
        <f t="shared" si="165"/>
        <v>181875.61999999982</v>
      </c>
      <c r="Q314" s="502">
        <f t="shared" si="166"/>
        <v>53379</v>
      </c>
      <c r="R314" s="343">
        <f t="shared" si="152"/>
        <v>0</v>
      </c>
      <c r="S314" s="493">
        <f t="shared" si="177"/>
        <v>6.7500000000000004E-2</v>
      </c>
      <c r="T314" s="343">
        <f t="shared" si="167"/>
        <v>0</v>
      </c>
      <c r="U314" s="343">
        <f t="shared" si="155"/>
        <v>0</v>
      </c>
      <c r="V314" s="343">
        <f t="shared" si="168"/>
        <v>0</v>
      </c>
      <c r="W314" s="343">
        <f t="shared" si="148"/>
        <v>0</v>
      </c>
      <c r="X314" s="343">
        <f t="shared" si="149"/>
        <v>0</v>
      </c>
      <c r="Y314" s="343">
        <f t="shared" si="156"/>
        <v>0</v>
      </c>
      <c r="Z314" s="343">
        <f t="shared" si="157"/>
        <v>357260.75999999995</v>
      </c>
      <c r="AA314" s="343">
        <f t="shared" si="158"/>
        <v>179976.28000000012</v>
      </c>
      <c r="AB314" s="343">
        <f t="shared" si="169"/>
        <v>0</v>
      </c>
      <c r="AC314" s="411">
        <f t="shared" si="178"/>
        <v>254</v>
      </c>
      <c r="AD314" s="511">
        <f t="shared" si="179"/>
        <v>48872.810000000041</v>
      </c>
      <c r="AE314" s="511">
        <f t="shared" si="150"/>
        <v>-20877.300000000007</v>
      </c>
      <c r="AF314" s="511">
        <f t="shared" si="151"/>
        <v>27995.510000000035</v>
      </c>
      <c r="AG314" s="511">
        <f t="shared" si="180"/>
        <v>-382.11</v>
      </c>
      <c r="AH314" s="511">
        <f t="shared" si="181"/>
        <v>64787.780000000028</v>
      </c>
      <c r="AI314" s="511"/>
      <c r="AJ314" s="21">
        <f t="shared" si="159"/>
        <v>-382.11</v>
      </c>
      <c r="AK314" s="21">
        <f t="shared" si="160"/>
        <v>435213.66999999923</v>
      </c>
      <c r="AL314" s="511">
        <f>IF(R314&lt;=0,0,+(Profit!$B$4+AM313)*$AL$1/12)</f>
        <v>0</v>
      </c>
      <c r="AM314" s="21">
        <f t="shared" si="182"/>
        <v>227647.99117059269</v>
      </c>
    </row>
    <row r="315" spans="1:39" x14ac:dyDescent="0.25">
      <c r="A315" s="499">
        <f t="shared" si="170"/>
        <v>53409</v>
      </c>
      <c r="B315" s="288">
        <f t="shared" si="171"/>
        <v>20877.300000000007</v>
      </c>
      <c r="C315" s="14">
        <f t="shared" si="161"/>
        <v>382.11</v>
      </c>
      <c r="D315" s="14">
        <f t="shared" si="183"/>
        <v>316.87</v>
      </c>
      <c r="E315" s="14">
        <f t="shared" si="162"/>
        <v>65.239999999999995</v>
      </c>
      <c r="F315" s="288">
        <f t="shared" si="172"/>
        <v>62206.509999999973</v>
      </c>
      <c r="G315" s="288">
        <f t="shared" si="173"/>
        <v>53066.439999999995</v>
      </c>
      <c r="H315" s="288">
        <f t="shared" si="163"/>
        <v>20560.430000000008</v>
      </c>
      <c r="I315" s="410">
        <f t="shared" si="164"/>
        <v>21</v>
      </c>
      <c r="J315" s="288">
        <f t="shared" si="174"/>
        <v>181875.61999999982</v>
      </c>
      <c r="K315" s="288">
        <f t="shared" si="153"/>
        <v>2298.4699999999998</v>
      </c>
      <c r="L315" s="288">
        <f t="shared" si="184"/>
        <v>1275.4199999999998</v>
      </c>
      <c r="M315" s="288">
        <f t="shared" si="154"/>
        <v>1023.05</v>
      </c>
      <c r="N315" s="288">
        <f t="shared" si="175"/>
        <v>173774.80000000005</v>
      </c>
      <c r="O315" s="288">
        <f t="shared" si="176"/>
        <v>414633.51999999996</v>
      </c>
      <c r="P315" s="288">
        <f t="shared" si="165"/>
        <v>180600.19999999981</v>
      </c>
      <c r="Q315" s="499">
        <f t="shared" si="166"/>
        <v>53409</v>
      </c>
      <c r="R315" s="288">
        <f t="shared" si="152"/>
        <v>0</v>
      </c>
      <c r="S315" s="492">
        <f t="shared" si="177"/>
        <v>6.7500000000000004E-2</v>
      </c>
      <c r="T315" s="288">
        <f t="shared" si="167"/>
        <v>0</v>
      </c>
      <c r="U315" s="288">
        <f t="shared" si="155"/>
        <v>0</v>
      </c>
      <c r="V315" s="288">
        <f t="shared" si="168"/>
        <v>0</v>
      </c>
      <c r="W315" s="288">
        <f t="shared" si="148"/>
        <v>0</v>
      </c>
      <c r="X315" s="288">
        <f t="shared" si="149"/>
        <v>0</v>
      </c>
      <c r="Y315" s="288">
        <f t="shared" si="156"/>
        <v>0</v>
      </c>
      <c r="Z315" s="288">
        <f t="shared" si="157"/>
        <v>357260.75999999995</v>
      </c>
      <c r="AA315" s="288">
        <f t="shared" si="158"/>
        <v>179976.28000000012</v>
      </c>
      <c r="AB315" s="288">
        <f t="shared" si="169"/>
        <v>0</v>
      </c>
      <c r="AC315" s="410">
        <f t="shared" si="178"/>
        <v>255</v>
      </c>
      <c r="AD315" s="510">
        <f t="shared" si="179"/>
        <v>51171.280000000042</v>
      </c>
      <c r="AE315" s="510">
        <f t="shared" si="150"/>
        <v>-20560.430000000008</v>
      </c>
      <c r="AF315" s="510">
        <f t="shared" si="151"/>
        <v>30610.850000000035</v>
      </c>
      <c r="AG315" s="510">
        <f t="shared" si="180"/>
        <v>-382.11</v>
      </c>
      <c r="AH315" s="510">
        <f t="shared" si="181"/>
        <v>65104.650000000023</v>
      </c>
      <c r="AI315" s="510"/>
      <c r="AJ315" s="14">
        <f t="shared" si="159"/>
        <v>-382.11</v>
      </c>
      <c r="AK315" s="14">
        <f t="shared" si="160"/>
        <v>434831.55999999924</v>
      </c>
      <c r="AL315" s="510">
        <f>IF(R315&lt;=0,0,+(Profit!$B$4+AM314)*$AL$1/12)</f>
        <v>0</v>
      </c>
      <c r="AM315" s="14">
        <f t="shared" si="182"/>
        <v>227647.99117059269</v>
      </c>
    </row>
    <row r="316" spans="1:39" x14ac:dyDescent="0.25">
      <c r="A316" s="499">
        <f t="shared" si="170"/>
        <v>53439</v>
      </c>
      <c r="B316" s="288">
        <f t="shared" si="171"/>
        <v>20560.430000000008</v>
      </c>
      <c r="C316" s="14">
        <f t="shared" si="161"/>
        <v>382.11</v>
      </c>
      <c r="D316" s="14">
        <f t="shared" si="183"/>
        <v>317.86</v>
      </c>
      <c r="E316" s="14">
        <f t="shared" si="162"/>
        <v>64.25</v>
      </c>
      <c r="F316" s="288">
        <f t="shared" si="172"/>
        <v>62524.369999999974</v>
      </c>
      <c r="G316" s="288">
        <f t="shared" si="173"/>
        <v>53130.689999999995</v>
      </c>
      <c r="H316" s="288">
        <f t="shared" si="163"/>
        <v>20242.570000000007</v>
      </c>
      <c r="I316" s="410">
        <f t="shared" si="164"/>
        <v>21</v>
      </c>
      <c r="J316" s="288">
        <f t="shared" si="174"/>
        <v>180600.19999999981</v>
      </c>
      <c r="K316" s="288">
        <f t="shared" si="153"/>
        <v>2298.4699999999998</v>
      </c>
      <c r="L316" s="288">
        <f t="shared" si="184"/>
        <v>1282.5899999999997</v>
      </c>
      <c r="M316" s="288">
        <f t="shared" si="154"/>
        <v>1015.88</v>
      </c>
      <c r="N316" s="288">
        <f t="shared" si="175"/>
        <v>175057.39000000004</v>
      </c>
      <c r="O316" s="288">
        <f t="shared" si="176"/>
        <v>415649.39999999997</v>
      </c>
      <c r="P316" s="288">
        <f t="shared" si="165"/>
        <v>179317.60999999981</v>
      </c>
      <c r="Q316" s="499">
        <f t="shared" si="166"/>
        <v>53439</v>
      </c>
      <c r="R316" s="288">
        <f t="shared" si="152"/>
        <v>0</v>
      </c>
      <c r="S316" s="492">
        <f t="shared" si="177"/>
        <v>6.7500000000000004E-2</v>
      </c>
      <c r="T316" s="288">
        <f t="shared" si="167"/>
        <v>0</v>
      </c>
      <c r="U316" s="288">
        <f t="shared" si="155"/>
        <v>0</v>
      </c>
      <c r="V316" s="288">
        <f t="shared" si="168"/>
        <v>0</v>
      </c>
      <c r="W316" s="288">
        <f t="shared" ref="W316:W379" si="185">+W315</f>
        <v>0</v>
      </c>
      <c r="X316" s="288">
        <f t="shared" ref="X316:X379" si="186">+X315</f>
        <v>0</v>
      </c>
      <c r="Y316" s="288">
        <f t="shared" si="156"/>
        <v>0</v>
      </c>
      <c r="Z316" s="288">
        <f t="shared" si="157"/>
        <v>357260.75999999995</v>
      </c>
      <c r="AA316" s="288">
        <f t="shared" si="158"/>
        <v>179976.28000000012</v>
      </c>
      <c r="AB316" s="288">
        <f t="shared" si="169"/>
        <v>0</v>
      </c>
      <c r="AC316" s="410">
        <f t="shared" si="178"/>
        <v>256</v>
      </c>
      <c r="AD316" s="510">
        <f t="shared" si="179"/>
        <v>53469.750000000044</v>
      </c>
      <c r="AE316" s="510">
        <f t="shared" ref="AE316:AE379" si="187">AB316-H316</f>
        <v>-20242.570000000007</v>
      </c>
      <c r="AF316" s="510">
        <f t="shared" ref="AF316:AF379" si="188">SUM(AD316:AE316)</f>
        <v>33227.180000000037</v>
      </c>
      <c r="AG316" s="510">
        <f t="shared" si="180"/>
        <v>-382.11</v>
      </c>
      <c r="AH316" s="510">
        <f t="shared" si="181"/>
        <v>65422.510000000068</v>
      </c>
      <c r="AI316" s="510"/>
      <c r="AJ316" s="14">
        <f t="shared" si="159"/>
        <v>-382.11</v>
      </c>
      <c r="AK316" s="14">
        <f t="shared" si="160"/>
        <v>434449.44999999925</v>
      </c>
      <c r="AL316" s="510">
        <f>IF(R316&lt;=0,0,+(Profit!$B$4+AM315)*$AL$1/12)</f>
        <v>0</v>
      </c>
      <c r="AM316" s="14">
        <f t="shared" si="182"/>
        <v>227647.99117059269</v>
      </c>
    </row>
    <row r="317" spans="1:39" x14ac:dyDescent="0.25">
      <c r="A317" s="499">
        <f t="shared" si="170"/>
        <v>53469</v>
      </c>
      <c r="B317" s="288">
        <f t="shared" si="171"/>
        <v>20242.570000000007</v>
      </c>
      <c r="C317" s="14">
        <f t="shared" si="161"/>
        <v>382.11</v>
      </c>
      <c r="D317" s="14">
        <f t="shared" si="183"/>
        <v>318.85000000000002</v>
      </c>
      <c r="E317" s="14">
        <f t="shared" si="162"/>
        <v>63.26</v>
      </c>
      <c r="F317" s="288">
        <f t="shared" si="172"/>
        <v>62843.219999999972</v>
      </c>
      <c r="G317" s="288">
        <f t="shared" si="173"/>
        <v>53193.95</v>
      </c>
      <c r="H317" s="288">
        <f t="shared" si="163"/>
        <v>19923.720000000008</v>
      </c>
      <c r="I317" s="410">
        <f t="shared" si="164"/>
        <v>21</v>
      </c>
      <c r="J317" s="288">
        <f t="shared" si="174"/>
        <v>179317.60999999981</v>
      </c>
      <c r="K317" s="288">
        <f t="shared" si="153"/>
        <v>2298.4699999999998</v>
      </c>
      <c r="L317" s="288">
        <f t="shared" si="184"/>
        <v>1289.81</v>
      </c>
      <c r="M317" s="288">
        <f t="shared" si="154"/>
        <v>1008.66</v>
      </c>
      <c r="N317" s="288">
        <f t="shared" si="175"/>
        <v>176347.20000000004</v>
      </c>
      <c r="O317" s="288">
        <f t="shared" si="176"/>
        <v>416658.05999999994</v>
      </c>
      <c r="P317" s="288">
        <f t="shared" si="165"/>
        <v>178027.79999999981</v>
      </c>
      <c r="Q317" s="499">
        <f t="shared" si="166"/>
        <v>53469</v>
      </c>
      <c r="R317" s="288">
        <f t="shared" ref="R317:R380" si="189">IF(Q317&gt;$J$10,IF(+AB316&lt;0,0,+AB316),0)</f>
        <v>0</v>
      </c>
      <c r="S317" s="492">
        <f t="shared" si="177"/>
        <v>6.7500000000000004E-2</v>
      </c>
      <c r="T317" s="288">
        <f t="shared" si="167"/>
        <v>0</v>
      </c>
      <c r="U317" s="288">
        <f t="shared" si="155"/>
        <v>0</v>
      </c>
      <c r="V317" s="288">
        <f t="shared" si="168"/>
        <v>0</v>
      </c>
      <c r="W317" s="288">
        <f t="shared" si="185"/>
        <v>0</v>
      </c>
      <c r="X317" s="288">
        <f t="shared" si="186"/>
        <v>0</v>
      </c>
      <c r="Y317" s="288">
        <f t="shared" si="156"/>
        <v>0</v>
      </c>
      <c r="Z317" s="288">
        <f t="shared" si="157"/>
        <v>357260.75999999995</v>
      </c>
      <c r="AA317" s="288">
        <f t="shared" si="158"/>
        <v>179976.28000000012</v>
      </c>
      <c r="AB317" s="288">
        <f t="shared" si="169"/>
        <v>0</v>
      </c>
      <c r="AC317" s="410">
        <f t="shared" si="178"/>
        <v>257</v>
      </c>
      <c r="AD317" s="510">
        <f t="shared" si="179"/>
        <v>55768.220000000045</v>
      </c>
      <c r="AE317" s="510">
        <f t="shared" si="187"/>
        <v>-19923.720000000008</v>
      </c>
      <c r="AF317" s="510">
        <f t="shared" si="188"/>
        <v>35844.500000000036</v>
      </c>
      <c r="AG317" s="510">
        <f t="shared" si="180"/>
        <v>-382.11</v>
      </c>
      <c r="AH317" s="510">
        <f t="shared" si="181"/>
        <v>65741.360000000044</v>
      </c>
      <c r="AI317" s="510"/>
      <c r="AJ317" s="14">
        <f t="shared" si="159"/>
        <v>-382.11</v>
      </c>
      <c r="AK317" s="14">
        <f t="shared" si="160"/>
        <v>434067.33999999927</v>
      </c>
      <c r="AL317" s="510">
        <f>IF(R317&lt;=0,0,+(Profit!$B$4+AM316)*$AL$1/12)</f>
        <v>0</v>
      </c>
      <c r="AM317" s="14">
        <f t="shared" si="182"/>
        <v>227647.99117059269</v>
      </c>
    </row>
    <row r="318" spans="1:39" x14ac:dyDescent="0.25">
      <c r="A318" s="499">
        <f t="shared" si="170"/>
        <v>53499</v>
      </c>
      <c r="B318" s="288">
        <f t="shared" si="171"/>
        <v>19923.720000000008</v>
      </c>
      <c r="C318" s="14">
        <f t="shared" si="161"/>
        <v>382.11</v>
      </c>
      <c r="D318" s="14">
        <f t="shared" si="183"/>
        <v>319.85000000000002</v>
      </c>
      <c r="E318" s="14">
        <f t="shared" si="162"/>
        <v>62.26</v>
      </c>
      <c r="F318" s="288">
        <f t="shared" si="172"/>
        <v>63163.069999999971</v>
      </c>
      <c r="G318" s="288">
        <f t="shared" si="173"/>
        <v>53256.21</v>
      </c>
      <c r="H318" s="288">
        <f t="shared" si="163"/>
        <v>19603.87000000001</v>
      </c>
      <c r="I318" s="410">
        <f t="shared" si="164"/>
        <v>21</v>
      </c>
      <c r="J318" s="288">
        <f t="shared" si="174"/>
        <v>178027.79999999981</v>
      </c>
      <c r="K318" s="288">
        <f t="shared" ref="K318:K381" si="190">IF($J$10&lt;=A318,IF(+$P317&lt;=0,0,$J$9),0)</f>
        <v>2298.4699999999998</v>
      </c>
      <c r="L318" s="288">
        <f t="shared" si="184"/>
        <v>1297.06</v>
      </c>
      <c r="M318" s="288">
        <f t="shared" ref="M318:M381" si="191">IF($J$10&lt;=A318,ROUND(J318*($J$7/12),2),0)</f>
        <v>1001.41</v>
      </c>
      <c r="N318" s="288">
        <f t="shared" si="175"/>
        <v>177644.26000000004</v>
      </c>
      <c r="O318" s="288">
        <f t="shared" si="176"/>
        <v>417659.46999999991</v>
      </c>
      <c r="P318" s="288">
        <f t="shared" si="165"/>
        <v>176730.73999999982</v>
      </c>
      <c r="Q318" s="499">
        <f t="shared" si="166"/>
        <v>53499</v>
      </c>
      <c r="R318" s="288">
        <f t="shared" si="189"/>
        <v>0</v>
      </c>
      <c r="S318" s="492">
        <f t="shared" si="177"/>
        <v>6.7500000000000004E-2</v>
      </c>
      <c r="T318" s="288">
        <f t="shared" si="167"/>
        <v>0</v>
      </c>
      <c r="U318" s="288">
        <f t="shared" ref="U318:U381" si="192">+T318-V318</f>
        <v>0</v>
      </c>
      <c r="V318" s="288">
        <f t="shared" si="168"/>
        <v>0</v>
      </c>
      <c r="W318" s="288">
        <f t="shared" si="185"/>
        <v>0</v>
      </c>
      <c r="X318" s="288">
        <f t="shared" si="186"/>
        <v>0</v>
      </c>
      <c r="Y318" s="288">
        <f t="shared" ref="Y318:Y381" si="193">SUM(U318:X318)</f>
        <v>0</v>
      </c>
      <c r="Z318" s="288">
        <f t="shared" ref="Z318:Z381" si="194">+U318+Z317</f>
        <v>357260.75999999995</v>
      </c>
      <c r="AA318" s="288">
        <f t="shared" ref="AA318:AA381" si="195">+AA317+V318</f>
        <v>179976.28000000012</v>
      </c>
      <c r="AB318" s="288">
        <f t="shared" si="169"/>
        <v>0</v>
      </c>
      <c r="AC318" s="410">
        <f t="shared" si="178"/>
        <v>258</v>
      </c>
      <c r="AD318" s="510">
        <f t="shared" si="179"/>
        <v>58066.690000000046</v>
      </c>
      <c r="AE318" s="510">
        <f t="shared" si="187"/>
        <v>-19603.87000000001</v>
      </c>
      <c r="AF318" s="510">
        <f t="shared" si="188"/>
        <v>38462.820000000036</v>
      </c>
      <c r="AG318" s="510">
        <f t="shared" si="180"/>
        <v>-382.11</v>
      </c>
      <c r="AH318" s="510">
        <f t="shared" si="181"/>
        <v>66061.210000000021</v>
      </c>
      <c r="AI318" s="510"/>
      <c r="AJ318" s="14">
        <f t="shared" ref="AJ318:AJ381" si="196">+AG318-AI318</f>
        <v>-382.11</v>
      </c>
      <c r="AK318" s="14">
        <f t="shared" si="160"/>
        <v>433685.22999999928</v>
      </c>
      <c r="AL318" s="510">
        <f>IF(R318&lt;=0,0,+(Profit!$B$4+AM317)*$AL$1/12)</f>
        <v>0</v>
      </c>
      <c r="AM318" s="14">
        <f t="shared" si="182"/>
        <v>227647.99117059269</v>
      </c>
    </row>
    <row r="319" spans="1:39" x14ac:dyDescent="0.25">
      <c r="A319" s="499">
        <f t="shared" si="170"/>
        <v>53529</v>
      </c>
      <c r="B319" s="288">
        <f t="shared" si="171"/>
        <v>19603.87000000001</v>
      </c>
      <c r="C319" s="14">
        <f t="shared" si="161"/>
        <v>382.11</v>
      </c>
      <c r="D319" s="14">
        <f t="shared" si="183"/>
        <v>320.85000000000002</v>
      </c>
      <c r="E319" s="14">
        <f t="shared" si="162"/>
        <v>61.26</v>
      </c>
      <c r="F319" s="288">
        <f t="shared" si="172"/>
        <v>63483.919999999969</v>
      </c>
      <c r="G319" s="288">
        <f t="shared" si="173"/>
        <v>53317.47</v>
      </c>
      <c r="H319" s="288">
        <f t="shared" si="163"/>
        <v>19283.020000000011</v>
      </c>
      <c r="I319" s="410">
        <f t="shared" si="164"/>
        <v>21</v>
      </c>
      <c r="J319" s="288">
        <f t="shared" si="174"/>
        <v>176730.73999999982</v>
      </c>
      <c r="K319" s="288">
        <f t="shared" si="190"/>
        <v>2298.4699999999998</v>
      </c>
      <c r="L319" s="288">
        <f t="shared" si="184"/>
        <v>1304.3599999999997</v>
      </c>
      <c r="M319" s="288">
        <f t="shared" si="191"/>
        <v>994.11</v>
      </c>
      <c r="N319" s="288">
        <f t="shared" si="175"/>
        <v>178948.62000000002</v>
      </c>
      <c r="O319" s="288">
        <f t="shared" si="176"/>
        <v>418653.5799999999</v>
      </c>
      <c r="P319" s="288">
        <f t="shared" si="165"/>
        <v>175426.37999999983</v>
      </c>
      <c r="Q319" s="499">
        <f t="shared" si="166"/>
        <v>53529</v>
      </c>
      <c r="R319" s="288">
        <f t="shared" si="189"/>
        <v>0</v>
      </c>
      <c r="S319" s="492">
        <f t="shared" si="177"/>
        <v>6.7500000000000004E-2</v>
      </c>
      <c r="T319" s="288">
        <f t="shared" si="167"/>
        <v>0</v>
      </c>
      <c r="U319" s="288">
        <f t="shared" si="192"/>
        <v>0</v>
      </c>
      <c r="V319" s="288">
        <f t="shared" si="168"/>
        <v>0</v>
      </c>
      <c r="W319" s="288">
        <f t="shared" si="185"/>
        <v>0</v>
      </c>
      <c r="X319" s="288">
        <f t="shared" si="186"/>
        <v>0</v>
      </c>
      <c r="Y319" s="288">
        <f t="shared" si="193"/>
        <v>0</v>
      </c>
      <c r="Z319" s="288">
        <f t="shared" si="194"/>
        <v>357260.75999999995</v>
      </c>
      <c r="AA319" s="288">
        <f t="shared" si="195"/>
        <v>179976.28000000012</v>
      </c>
      <c r="AB319" s="288">
        <f t="shared" si="169"/>
        <v>0</v>
      </c>
      <c r="AC319" s="410">
        <f t="shared" si="178"/>
        <v>259</v>
      </c>
      <c r="AD319" s="510">
        <f t="shared" si="179"/>
        <v>60365.160000000047</v>
      </c>
      <c r="AE319" s="510">
        <f t="shared" si="187"/>
        <v>-19283.020000000011</v>
      </c>
      <c r="AF319" s="510">
        <f t="shared" si="188"/>
        <v>41082.140000000036</v>
      </c>
      <c r="AG319" s="510">
        <f t="shared" si="180"/>
        <v>-382.11</v>
      </c>
      <c r="AH319" s="510">
        <f t="shared" si="181"/>
        <v>66382.060000000056</v>
      </c>
      <c r="AI319" s="510"/>
      <c r="AJ319" s="14">
        <f t="shared" si="196"/>
        <v>-382.11</v>
      </c>
      <c r="AK319" s="14">
        <f t="shared" si="160"/>
        <v>433303.1199999993</v>
      </c>
      <c r="AL319" s="510">
        <f>IF(R319&lt;=0,0,+(Profit!$B$4+AM318)*$AL$1/12)</f>
        <v>0</v>
      </c>
      <c r="AM319" s="14">
        <f t="shared" si="182"/>
        <v>227647.99117059269</v>
      </c>
    </row>
    <row r="320" spans="1:39" x14ac:dyDescent="0.25">
      <c r="A320" s="499">
        <f t="shared" si="170"/>
        <v>53559</v>
      </c>
      <c r="B320" s="288">
        <f t="shared" si="171"/>
        <v>19283.020000000011</v>
      </c>
      <c r="C320" s="14">
        <f t="shared" si="161"/>
        <v>382.11</v>
      </c>
      <c r="D320" s="14">
        <f t="shared" si="183"/>
        <v>321.85000000000002</v>
      </c>
      <c r="E320" s="14">
        <f t="shared" si="162"/>
        <v>60.26</v>
      </c>
      <c r="F320" s="288">
        <f t="shared" si="172"/>
        <v>63805.769999999968</v>
      </c>
      <c r="G320" s="288">
        <f t="shared" si="173"/>
        <v>53377.73</v>
      </c>
      <c r="H320" s="288">
        <f t="shared" si="163"/>
        <v>18961.170000000013</v>
      </c>
      <c r="I320" s="410">
        <f t="shared" si="164"/>
        <v>21</v>
      </c>
      <c r="J320" s="288">
        <f t="shared" si="174"/>
        <v>175426.37999999983</v>
      </c>
      <c r="K320" s="288">
        <f t="shared" si="190"/>
        <v>2298.4699999999998</v>
      </c>
      <c r="L320" s="288">
        <f t="shared" si="184"/>
        <v>1311.6999999999998</v>
      </c>
      <c r="M320" s="288">
        <f t="shared" si="191"/>
        <v>986.77</v>
      </c>
      <c r="N320" s="288">
        <f t="shared" si="175"/>
        <v>180260.32000000004</v>
      </c>
      <c r="O320" s="288">
        <f t="shared" si="176"/>
        <v>419640.34999999992</v>
      </c>
      <c r="P320" s="288">
        <f t="shared" si="165"/>
        <v>174114.67999999982</v>
      </c>
      <c r="Q320" s="499">
        <f t="shared" si="166"/>
        <v>53559</v>
      </c>
      <c r="R320" s="288">
        <f t="shared" si="189"/>
        <v>0</v>
      </c>
      <c r="S320" s="492">
        <f t="shared" si="177"/>
        <v>6.7500000000000004E-2</v>
      </c>
      <c r="T320" s="288">
        <f t="shared" si="167"/>
        <v>0</v>
      </c>
      <c r="U320" s="288">
        <f t="shared" si="192"/>
        <v>0</v>
      </c>
      <c r="V320" s="288">
        <f t="shared" si="168"/>
        <v>0</v>
      </c>
      <c r="W320" s="288">
        <f t="shared" si="185"/>
        <v>0</v>
      </c>
      <c r="X320" s="288">
        <f t="shared" si="186"/>
        <v>0</v>
      </c>
      <c r="Y320" s="288">
        <f t="shared" si="193"/>
        <v>0</v>
      </c>
      <c r="Z320" s="288">
        <f t="shared" si="194"/>
        <v>357260.75999999995</v>
      </c>
      <c r="AA320" s="288">
        <f t="shared" si="195"/>
        <v>179976.28000000012</v>
      </c>
      <c r="AB320" s="288">
        <f t="shared" si="169"/>
        <v>0</v>
      </c>
      <c r="AC320" s="410">
        <f t="shared" si="178"/>
        <v>260</v>
      </c>
      <c r="AD320" s="510">
        <f t="shared" si="179"/>
        <v>62663.630000000048</v>
      </c>
      <c r="AE320" s="510">
        <f t="shared" si="187"/>
        <v>-18961.170000000013</v>
      </c>
      <c r="AF320" s="510">
        <f t="shared" si="188"/>
        <v>43702.460000000036</v>
      </c>
      <c r="AG320" s="510">
        <f t="shared" si="180"/>
        <v>-382.11</v>
      </c>
      <c r="AH320" s="510">
        <f t="shared" si="181"/>
        <v>66703.910000000033</v>
      </c>
      <c r="AI320" s="510"/>
      <c r="AJ320" s="14">
        <f t="shared" si="196"/>
        <v>-382.11</v>
      </c>
      <c r="AK320" s="14">
        <f t="shared" si="160"/>
        <v>432921.00999999931</v>
      </c>
      <c r="AL320" s="510">
        <f>IF(R320&lt;=0,0,+(Profit!$B$4+AM319)*$AL$1/12)</f>
        <v>0</v>
      </c>
      <c r="AM320" s="14">
        <f t="shared" si="182"/>
        <v>227647.99117059269</v>
      </c>
    </row>
    <row r="321" spans="1:39" x14ac:dyDescent="0.25">
      <c r="A321" s="499">
        <f t="shared" si="170"/>
        <v>53589</v>
      </c>
      <c r="B321" s="288">
        <f t="shared" si="171"/>
        <v>18961.170000000013</v>
      </c>
      <c r="C321" s="14">
        <f t="shared" si="161"/>
        <v>382.11</v>
      </c>
      <c r="D321" s="14">
        <f t="shared" si="183"/>
        <v>322.86</v>
      </c>
      <c r="E321" s="14">
        <f t="shared" si="162"/>
        <v>59.25</v>
      </c>
      <c r="F321" s="288">
        <f t="shared" si="172"/>
        <v>64128.629999999968</v>
      </c>
      <c r="G321" s="288">
        <f t="shared" si="173"/>
        <v>53436.98</v>
      </c>
      <c r="H321" s="288">
        <f t="shared" si="163"/>
        <v>18638.310000000012</v>
      </c>
      <c r="I321" s="410">
        <f t="shared" si="164"/>
        <v>21</v>
      </c>
      <c r="J321" s="288">
        <f t="shared" si="174"/>
        <v>174114.67999999982</v>
      </c>
      <c r="K321" s="288">
        <f t="shared" si="190"/>
        <v>2298.4699999999998</v>
      </c>
      <c r="L321" s="288">
        <f t="shared" si="184"/>
        <v>1319.0699999999997</v>
      </c>
      <c r="M321" s="288">
        <f t="shared" si="191"/>
        <v>979.4</v>
      </c>
      <c r="N321" s="288">
        <f t="shared" si="175"/>
        <v>181579.39000000004</v>
      </c>
      <c r="O321" s="288">
        <f t="shared" si="176"/>
        <v>420619.74999999994</v>
      </c>
      <c r="P321" s="288">
        <f t="shared" si="165"/>
        <v>172795.60999999981</v>
      </c>
      <c r="Q321" s="499">
        <f t="shared" si="166"/>
        <v>53589</v>
      </c>
      <c r="R321" s="288">
        <f t="shared" si="189"/>
        <v>0</v>
      </c>
      <c r="S321" s="492">
        <f t="shared" si="177"/>
        <v>6.7500000000000004E-2</v>
      </c>
      <c r="T321" s="288">
        <f t="shared" si="167"/>
        <v>0</v>
      </c>
      <c r="U321" s="288">
        <f t="shared" si="192"/>
        <v>0</v>
      </c>
      <c r="V321" s="288">
        <f t="shared" si="168"/>
        <v>0</v>
      </c>
      <c r="W321" s="288">
        <f t="shared" si="185"/>
        <v>0</v>
      </c>
      <c r="X321" s="288">
        <f t="shared" si="186"/>
        <v>0</v>
      </c>
      <c r="Y321" s="288">
        <f t="shared" si="193"/>
        <v>0</v>
      </c>
      <c r="Z321" s="288">
        <f t="shared" si="194"/>
        <v>357260.75999999995</v>
      </c>
      <c r="AA321" s="288">
        <f t="shared" si="195"/>
        <v>179976.28000000012</v>
      </c>
      <c r="AB321" s="288">
        <f t="shared" si="169"/>
        <v>0</v>
      </c>
      <c r="AC321" s="410">
        <f t="shared" si="178"/>
        <v>261</v>
      </c>
      <c r="AD321" s="510">
        <f t="shared" si="179"/>
        <v>64962.100000000049</v>
      </c>
      <c r="AE321" s="510">
        <f t="shared" si="187"/>
        <v>-18638.310000000012</v>
      </c>
      <c r="AF321" s="510">
        <f t="shared" si="188"/>
        <v>46323.790000000037</v>
      </c>
      <c r="AG321" s="510">
        <f t="shared" si="180"/>
        <v>-382.11</v>
      </c>
      <c r="AH321" s="510">
        <f t="shared" si="181"/>
        <v>67026.770000000019</v>
      </c>
      <c r="AI321" s="510"/>
      <c r="AJ321" s="14">
        <f t="shared" si="196"/>
        <v>-382.11</v>
      </c>
      <c r="AK321" s="14">
        <f t="shared" si="160"/>
        <v>432538.89999999932</v>
      </c>
      <c r="AL321" s="510">
        <f>IF(R321&lt;=0,0,+(Profit!$B$4+AM320)*$AL$1/12)</f>
        <v>0</v>
      </c>
      <c r="AM321" s="14">
        <f t="shared" si="182"/>
        <v>227647.99117059269</v>
      </c>
    </row>
    <row r="322" spans="1:39" x14ac:dyDescent="0.25">
      <c r="A322" s="499">
        <f t="shared" si="170"/>
        <v>53619</v>
      </c>
      <c r="B322" s="288">
        <f t="shared" si="171"/>
        <v>18638.310000000012</v>
      </c>
      <c r="C322" s="14">
        <f t="shared" si="161"/>
        <v>382.11</v>
      </c>
      <c r="D322" s="14">
        <f t="shared" si="183"/>
        <v>323.87</v>
      </c>
      <c r="E322" s="14">
        <f t="shared" si="162"/>
        <v>58.24</v>
      </c>
      <c r="F322" s="288">
        <f t="shared" si="172"/>
        <v>64452.499999999971</v>
      </c>
      <c r="G322" s="288">
        <f t="shared" si="173"/>
        <v>53495.22</v>
      </c>
      <c r="H322" s="288">
        <f t="shared" si="163"/>
        <v>18314.440000000013</v>
      </c>
      <c r="I322" s="410">
        <f t="shared" si="164"/>
        <v>21</v>
      </c>
      <c r="J322" s="288">
        <f t="shared" si="174"/>
        <v>172795.60999999981</v>
      </c>
      <c r="K322" s="288">
        <f t="shared" si="190"/>
        <v>2298.4699999999998</v>
      </c>
      <c r="L322" s="288">
        <f t="shared" si="184"/>
        <v>1326.4899999999998</v>
      </c>
      <c r="M322" s="288">
        <f t="shared" si="191"/>
        <v>971.98</v>
      </c>
      <c r="N322" s="288">
        <f t="shared" si="175"/>
        <v>182905.88000000003</v>
      </c>
      <c r="O322" s="288">
        <f t="shared" si="176"/>
        <v>421591.72999999992</v>
      </c>
      <c r="P322" s="288">
        <f t="shared" si="165"/>
        <v>171469.11999999982</v>
      </c>
      <c r="Q322" s="499">
        <f t="shared" si="166"/>
        <v>53619</v>
      </c>
      <c r="R322" s="288">
        <f t="shared" si="189"/>
        <v>0</v>
      </c>
      <c r="S322" s="492">
        <f t="shared" si="177"/>
        <v>6.7500000000000004E-2</v>
      </c>
      <c r="T322" s="288">
        <f t="shared" si="167"/>
        <v>0</v>
      </c>
      <c r="U322" s="288">
        <f t="shared" si="192"/>
        <v>0</v>
      </c>
      <c r="V322" s="288">
        <f t="shared" si="168"/>
        <v>0</v>
      </c>
      <c r="W322" s="288">
        <f t="shared" si="185"/>
        <v>0</v>
      </c>
      <c r="X322" s="288">
        <f t="shared" si="186"/>
        <v>0</v>
      </c>
      <c r="Y322" s="288">
        <f t="shared" si="193"/>
        <v>0</v>
      </c>
      <c r="Z322" s="288">
        <f t="shared" si="194"/>
        <v>357260.75999999995</v>
      </c>
      <c r="AA322" s="288">
        <f t="shared" si="195"/>
        <v>179976.28000000012</v>
      </c>
      <c r="AB322" s="288">
        <f t="shared" si="169"/>
        <v>0</v>
      </c>
      <c r="AC322" s="410">
        <f t="shared" si="178"/>
        <v>262</v>
      </c>
      <c r="AD322" s="510">
        <f t="shared" si="179"/>
        <v>67260.570000000051</v>
      </c>
      <c r="AE322" s="510">
        <f t="shared" si="187"/>
        <v>-18314.440000000013</v>
      </c>
      <c r="AF322" s="510">
        <f t="shared" si="188"/>
        <v>48946.130000000034</v>
      </c>
      <c r="AG322" s="510">
        <f t="shared" si="180"/>
        <v>-382.11</v>
      </c>
      <c r="AH322" s="510">
        <f t="shared" si="181"/>
        <v>67350.640000000072</v>
      </c>
      <c r="AI322" s="510"/>
      <c r="AJ322" s="14">
        <f t="shared" si="196"/>
        <v>-382.11</v>
      </c>
      <c r="AK322" s="14">
        <f t="shared" ref="AK322:AK385" si="197">IF(P322&lt;=0,0,+AJ322+AK321)</f>
        <v>432156.78999999934</v>
      </c>
      <c r="AL322" s="510">
        <f>IF(R322&lt;=0,0,+(Profit!$B$4+AM321)*$AL$1/12)</f>
        <v>0</v>
      </c>
      <c r="AM322" s="14">
        <f t="shared" si="182"/>
        <v>227647.99117059269</v>
      </c>
    </row>
    <row r="323" spans="1:39" x14ac:dyDescent="0.25">
      <c r="A323" s="499">
        <f t="shared" si="170"/>
        <v>53649</v>
      </c>
      <c r="B323" s="288">
        <f t="shared" si="171"/>
        <v>18314.440000000013</v>
      </c>
      <c r="C323" s="14">
        <f t="shared" si="161"/>
        <v>382.11</v>
      </c>
      <c r="D323" s="14">
        <f t="shared" si="183"/>
        <v>324.88</v>
      </c>
      <c r="E323" s="14">
        <f t="shared" si="162"/>
        <v>57.23</v>
      </c>
      <c r="F323" s="288">
        <f t="shared" si="172"/>
        <v>64777.379999999968</v>
      </c>
      <c r="G323" s="288">
        <f t="shared" si="173"/>
        <v>53552.450000000004</v>
      </c>
      <c r="H323" s="288">
        <f t="shared" si="163"/>
        <v>17989.560000000012</v>
      </c>
      <c r="I323" s="410">
        <f t="shared" si="164"/>
        <v>21</v>
      </c>
      <c r="J323" s="288">
        <f t="shared" si="174"/>
        <v>171469.11999999982</v>
      </c>
      <c r="K323" s="288">
        <f t="shared" si="190"/>
        <v>2298.4699999999998</v>
      </c>
      <c r="L323" s="288">
        <f t="shared" si="184"/>
        <v>1333.9599999999998</v>
      </c>
      <c r="M323" s="288">
        <f t="shared" si="191"/>
        <v>964.51</v>
      </c>
      <c r="N323" s="288">
        <f t="shared" si="175"/>
        <v>184239.84000000003</v>
      </c>
      <c r="O323" s="288">
        <f t="shared" si="176"/>
        <v>422556.23999999993</v>
      </c>
      <c r="P323" s="288">
        <f t="shared" si="165"/>
        <v>170135.15999999983</v>
      </c>
      <c r="Q323" s="499">
        <f t="shared" si="166"/>
        <v>53649</v>
      </c>
      <c r="R323" s="288">
        <f t="shared" si="189"/>
        <v>0</v>
      </c>
      <c r="S323" s="492">
        <f t="shared" si="177"/>
        <v>6.7500000000000004E-2</v>
      </c>
      <c r="T323" s="288">
        <f t="shared" si="167"/>
        <v>0</v>
      </c>
      <c r="U323" s="288">
        <f t="shared" si="192"/>
        <v>0</v>
      </c>
      <c r="V323" s="288">
        <f t="shared" si="168"/>
        <v>0</v>
      </c>
      <c r="W323" s="288">
        <f t="shared" si="185"/>
        <v>0</v>
      </c>
      <c r="X323" s="288">
        <f t="shared" si="186"/>
        <v>0</v>
      </c>
      <c r="Y323" s="288">
        <f t="shared" si="193"/>
        <v>0</v>
      </c>
      <c r="Z323" s="288">
        <f t="shared" si="194"/>
        <v>357260.75999999995</v>
      </c>
      <c r="AA323" s="288">
        <f t="shared" si="195"/>
        <v>179976.28000000012</v>
      </c>
      <c r="AB323" s="288">
        <f t="shared" si="169"/>
        <v>0</v>
      </c>
      <c r="AC323" s="410">
        <f t="shared" si="178"/>
        <v>263</v>
      </c>
      <c r="AD323" s="510">
        <f t="shared" si="179"/>
        <v>69559.040000000052</v>
      </c>
      <c r="AE323" s="510">
        <f t="shared" si="187"/>
        <v>-17989.560000000012</v>
      </c>
      <c r="AF323" s="510">
        <f t="shared" si="188"/>
        <v>51569.48000000004</v>
      </c>
      <c r="AG323" s="510">
        <f t="shared" si="180"/>
        <v>-382.11</v>
      </c>
      <c r="AH323" s="510">
        <f t="shared" si="181"/>
        <v>67675.520000000019</v>
      </c>
      <c r="AI323" s="510"/>
      <c r="AJ323" s="14">
        <f t="shared" si="196"/>
        <v>-382.11</v>
      </c>
      <c r="AK323" s="14">
        <f t="shared" si="197"/>
        <v>431774.67999999935</v>
      </c>
      <c r="AL323" s="510">
        <f>IF(R323&lt;=0,0,+(Profit!$B$4+AM322)*$AL$1/12)</f>
        <v>0</v>
      </c>
      <c r="AM323" s="14">
        <f t="shared" si="182"/>
        <v>227647.99117059269</v>
      </c>
    </row>
    <row r="324" spans="1:39" x14ac:dyDescent="0.25">
      <c r="A324" s="499">
        <f t="shared" si="170"/>
        <v>53679</v>
      </c>
      <c r="B324" s="288">
        <f t="shared" si="171"/>
        <v>17989.560000000012</v>
      </c>
      <c r="C324" s="14">
        <f t="shared" si="161"/>
        <v>382.11</v>
      </c>
      <c r="D324" s="14">
        <f t="shared" si="183"/>
        <v>325.89</v>
      </c>
      <c r="E324" s="14">
        <f t="shared" si="162"/>
        <v>56.22</v>
      </c>
      <c r="F324" s="288">
        <f t="shared" si="172"/>
        <v>65103.269999999968</v>
      </c>
      <c r="G324" s="288">
        <f t="shared" si="173"/>
        <v>53608.670000000006</v>
      </c>
      <c r="H324" s="288">
        <f t="shared" si="163"/>
        <v>17663.670000000013</v>
      </c>
      <c r="I324" s="410">
        <f t="shared" si="164"/>
        <v>22</v>
      </c>
      <c r="J324" s="288">
        <f t="shared" si="174"/>
        <v>170135.15999999983</v>
      </c>
      <c r="K324" s="288">
        <f t="shared" si="190"/>
        <v>2298.4699999999998</v>
      </c>
      <c r="L324" s="288">
        <f t="shared" si="184"/>
        <v>1341.4599999999998</v>
      </c>
      <c r="M324" s="288">
        <f t="shared" si="191"/>
        <v>957.01</v>
      </c>
      <c r="N324" s="288">
        <f t="shared" si="175"/>
        <v>185581.30000000002</v>
      </c>
      <c r="O324" s="288">
        <f t="shared" si="176"/>
        <v>423513.24999999994</v>
      </c>
      <c r="P324" s="288">
        <f t="shared" si="165"/>
        <v>168793.69999999984</v>
      </c>
      <c r="Q324" s="499">
        <f t="shared" si="166"/>
        <v>53679</v>
      </c>
      <c r="R324" s="288">
        <f t="shared" si="189"/>
        <v>0</v>
      </c>
      <c r="S324" s="492">
        <f t="shared" si="177"/>
        <v>6.7500000000000004E-2</v>
      </c>
      <c r="T324" s="288">
        <f t="shared" si="167"/>
        <v>0</v>
      </c>
      <c r="U324" s="288">
        <f t="shared" si="192"/>
        <v>0</v>
      </c>
      <c r="V324" s="288">
        <f t="shared" si="168"/>
        <v>0</v>
      </c>
      <c r="W324" s="288">
        <f t="shared" si="185"/>
        <v>0</v>
      </c>
      <c r="X324" s="288">
        <f t="shared" si="186"/>
        <v>0</v>
      </c>
      <c r="Y324" s="288">
        <f t="shared" si="193"/>
        <v>0</v>
      </c>
      <c r="Z324" s="288">
        <f t="shared" si="194"/>
        <v>357260.75999999995</v>
      </c>
      <c r="AA324" s="288">
        <f t="shared" si="195"/>
        <v>179976.28000000012</v>
      </c>
      <c r="AB324" s="288">
        <f t="shared" si="169"/>
        <v>0</v>
      </c>
      <c r="AC324" s="410">
        <f t="shared" si="178"/>
        <v>264</v>
      </c>
      <c r="AD324" s="510">
        <f t="shared" si="179"/>
        <v>71857.510000000053</v>
      </c>
      <c r="AE324" s="510">
        <f t="shared" si="187"/>
        <v>-17663.670000000013</v>
      </c>
      <c r="AF324" s="510">
        <f t="shared" si="188"/>
        <v>54193.84000000004</v>
      </c>
      <c r="AG324" s="510">
        <f t="shared" si="180"/>
        <v>-382.11</v>
      </c>
      <c r="AH324" s="510">
        <f t="shared" si="181"/>
        <v>68001.410000000033</v>
      </c>
      <c r="AI324" s="510"/>
      <c r="AJ324" s="14">
        <f t="shared" si="196"/>
        <v>-382.11</v>
      </c>
      <c r="AK324" s="14">
        <f t="shared" si="197"/>
        <v>431392.56999999937</v>
      </c>
      <c r="AL324" s="510">
        <f>IF(R324&lt;=0,0,+(Profit!$B$4+AM323)*$AL$1/12)</f>
        <v>0</v>
      </c>
      <c r="AM324" s="14">
        <f t="shared" si="182"/>
        <v>227647.99117059269</v>
      </c>
    </row>
    <row r="325" spans="1:39" x14ac:dyDescent="0.25">
      <c r="A325" s="499">
        <f t="shared" si="170"/>
        <v>53709</v>
      </c>
      <c r="B325" s="288">
        <f t="shared" si="171"/>
        <v>17663.670000000013</v>
      </c>
      <c r="C325" s="14">
        <f t="shared" si="161"/>
        <v>382.11</v>
      </c>
      <c r="D325" s="14">
        <f t="shared" si="183"/>
        <v>326.91000000000003</v>
      </c>
      <c r="E325" s="14">
        <f t="shared" si="162"/>
        <v>55.2</v>
      </c>
      <c r="F325" s="288">
        <f t="shared" si="172"/>
        <v>65430.179999999971</v>
      </c>
      <c r="G325" s="288">
        <f t="shared" si="173"/>
        <v>53663.87</v>
      </c>
      <c r="H325" s="288">
        <f t="shared" si="163"/>
        <v>17336.760000000013</v>
      </c>
      <c r="I325" s="410">
        <f t="shared" si="164"/>
        <v>22</v>
      </c>
      <c r="J325" s="288">
        <f t="shared" si="174"/>
        <v>168793.69999999984</v>
      </c>
      <c r="K325" s="288">
        <f t="shared" si="190"/>
        <v>2298.4699999999998</v>
      </c>
      <c r="L325" s="288">
        <f t="shared" si="184"/>
        <v>1349.0099999999998</v>
      </c>
      <c r="M325" s="288">
        <f t="shared" si="191"/>
        <v>949.46</v>
      </c>
      <c r="N325" s="288">
        <f t="shared" si="175"/>
        <v>186930.31000000003</v>
      </c>
      <c r="O325" s="288">
        <f t="shared" si="176"/>
        <v>424462.70999999996</v>
      </c>
      <c r="P325" s="288">
        <f t="shared" si="165"/>
        <v>167444.68999999983</v>
      </c>
      <c r="Q325" s="499">
        <f t="shared" si="166"/>
        <v>53709</v>
      </c>
      <c r="R325" s="288">
        <f t="shared" si="189"/>
        <v>0</v>
      </c>
      <c r="S325" s="492">
        <f t="shared" si="177"/>
        <v>6.7500000000000004E-2</v>
      </c>
      <c r="T325" s="288">
        <f t="shared" si="167"/>
        <v>0</v>
      </c>
      <c r="U325" s="288">
        <f t="shared" si="192"/>
        <v>0</v>
      </c>
      <c r="V325" s="288">
        <f t="shared" si="168"/>
        <v>0</v>
      </c>
      <c r="W325" s="288">
        <f t="shared" si="185"/>
        <v>0</v>
      </c>
      <c r="X325" s="288">
        <f t="shared" si="186"/>
        <v>0</v>
      </c>
      <c r="Y325" s="288">
        <f t="shared" si="193"/>
        <v>0</v>
      </c>
      <c r="Z325" s="288">
        <f t="shared" si="194"/>
        <v>357260.75999999995</v>
      </c>
      <c r="AA325" s="288">
        <f t="shared" si="195"/>
        <v>179976.28000000012</v>
      </c>
      <c r="AB325" s="288">
        <f t="shared" si="169"/>
        <v>0</v>
      </c>
      <c r="AC325" s="410">
        <f t="shared" si="178"/>
        <v>265</v>
      </c>
      <c r="AD325" s="510">
        <f t="shared" si="179"/>
        <v>74155.980000000054</v>
      </c>
      <c r="AE325" s="510">
        <f t="shared" si="187"/>
        <v>-17336.760000000013</v>
      </c>
      <c r="AF325" s="510">
        <f t="shared" si="188"/>
        <v>56819.220000000045</v>
      </c>
      <c r="AG325" s="510">
        <f t="shared" si="180"/>
        <v>-382.11</v>
      </c>
      <c r="AH325" s="510">
        <f t="shared" si="181"/>
        <v>68328.320000000065</v>
      </c>
      <c r="AI325" s="510"/>
      <c r="AJ325" s="14">
        <f t="shared" si="196"/>
        <v>-382.11</v>
      </c>
      <c r="AK325" s="14">
        <f t="shared" si="197"/>
        <v>431010.45999999938</v>
      </c>
      <c r="AL325" s="510">
        <f>IF(R325&lt;=0,0,+(Profit!$B$4+AM324)*$AL$1/12)</f>
        <v>0</v>
      </c>
      <c r="AM325" s="14">
        <f t="shared" si="182"/>
        <v>227647.99117059269</v>
      </c>
    </row>
    <row r="326" spans="1:39" ht="15.75" thickBot="1" x14ac:dyDescent="0.3">
      <c r="A326" s="502">
        <f t="shared" si="170"/>
        <v>53739</v>
      </c>
      <c r="B326" s="343">
        <f t="shared" si="171"/>
        <v>17336.760000000013</v>
      </c>
      <c r="C326" s="21">
        <f t="shared" si="161"/>
        <v>382.11</v>
      </c>
      <c r="D326" s="21">
        <f t="shared" si="183"/>
        <v>327.93</v>
      </c>
      <c r="E326" s="21">
        <f t="shared" si="162"/>
        <v>54.18</v>
      </c>
      <c r="F326" s="343">
        <f t="shared" si="172"/>
        <v>65758.109999999971</v>
      </c>
      <c r="G326" s="343">
        <f t="shared" si="173"/>
        <v>53718.05</v>
      </c>
      <c r="H326" s="343">
        <f t="shared" si="163"/>
        <v>17008.830000000013</v>
      </c>
      <c r="I326" s="411">
        <f t="shared" si="164"/>
        <v>22</v>
      </c>
      <c r="J326" s="343">
        <f t="shared" si="174"/>
        <v>167444.68999999983</v>
      </c>
      <c r="K326" s="343">
        <f t="shared" si="190"/>
        <v>2298.4699999999998</v>
      </c>
      <c r="L326" s="343">
        <f t="shared" si="184"/>
        <v>1356.5899999999997</v>
      </c>
      <c r="M326" s="343">
        <f t="shared" si="191"/>
        <v>941.88</v>
      </c>
      <c r="N326" s="343">
        <f t="shared" si="175"/>
        <v>188286.90000000002</v>
      </c>
      <c r="O326" s="343">
        <f t="shared" si="176"/>
        <v>425404.58999999997</v>
      </c>
      <c r="P326" s="343">
        <f t="shared" si="165"/>
        <v>166088.09999999983</v>
      </c>
      <c r="Q326" s="502">
        <f t="shared" si="166"/>
        <v>53739</v>
      </c>
      <c r="R326" s="343">
        <f t="shared" si="189"/>
        <v>0</v>
      </c>
      <c r="S326" s="493">
        <f t="shared" si="177"/>
        <v>6.7500000000000004E-2</v>
      </c>
      <c r="T326" s="343">
        <f t="shared" si="167"/>
        <v>0</v>
      </c>
      <c r="U326" s="343">
        <f t="shared" si="192"/>
        <v>0</v>
      </c>
      <c r="V326" s="343">
        <f t="shared" si="168"/>
        <v>0</v>
      </c>
      <c r="W326" s="343">
        <f t="shared" si="185"/>
        <v>0</v>
      </c>
      <c r="X326" s="343">
        <f t="shared" si="186"/>
        <v>0</v>
      </c>
      <c r="Y326" s="343">
        <f t="shared" si="193"/>
        <v>0</v>
      </c>
      <c r="Z326" s="343">
        <f t="shared" si="194"/>
        <v>357260.75999999995</v>
      </c>
      <c r="AA326" s="343">
        <f t="shared" si="195"/>
        <v>179976.28000000012</v>
      </c>
      <c r="AB326" s="343">
        <f t="shared" si="169"/>
        <v>0</v>
      </c>
      <c r="AC326" s="411">
        <f t="shared" si="178"/>
        <v>266</v>
      </c>
      <c r="AD326" s="511">
        <f t="shared" si="179"/>
        <v>76454.450000000055</v>
      </c>
      <c r="AE326" s="511">
        <f t="shared" si="187"/>
        <v>-17008.830000000013</v>
      </c>
      <c r="AF326" s="511">
        <f t="shared" si="188"/>
        <v>59445.620000000039</v>
      </c>
      <c r="AG326" s="511">
        <f t="shared" si="180"/>
        <v>-382.11</v>
      </c>
      <c r="AH326" s="511">
        <f t="shared" si="181"/>
        <v>68656.250000000058</v>
      </c>
      <c r="AI326" s="511"/>
      <c r="AJ326" s="21">
        <f t="shared" si="196"/>
        <v>-382.11</v>
      </c>
      <c r="AK326" s="21">
        <f t="shared" si="197"/>
        <v>430628.34999999939</v>
      </c>
      <c r="AL326" s="511">
        <f>IF(R326&lt;=0,0,+(Profit!$B$4+AM325)*$AL$1/12)</f>
        <v>0</v>
      </c>
      <c r="AM326" s="21">
        <f t="shared" si="182"/>
        <v>227647.99117059269</v>
      </c>
    </row>
    <row r="327" spans="1:39" x14ac:dyDescent="0.25">
      <c r="A327" s="499">
        <f t="shared" si="170"/>
        <v>53769</v>
      </c>
      <c r="B327" s="288">
        <f t="shared" si="171"/>
        <v>17008.830000000013</v>
      </c>
      <c r="C327" s="14">
        <f t="shared" si="161"/>
        <v>382.11</v>
      </c>
      <c r="D327" s="14">
        <f t="shared" si="183"/>
        <v>328.96000000000004</v>
      </c>
      <c r="E327" s="14">
        <f t="shared" si="162"/>
        <v>53.15</v>
      </c>
      <c r="F327" s="288">
        <f t="shared" si="172"/>
        <v>66087.069999999978</v>
      </c>
      <c r="G327" s="288">
        <f t="shared" si="173"/>
        <v>53771.200000000004</v>
      </c>
      <c r="H327" s="288">
        <f t="shared" si="163"/>
        <v>16679.870000000014</v>
      </c>
      <c r="I327" s="410">
        <f t="shared" si="164"/>
        <v>22</v>
      </c>
      <c r="J327" s="288">
        <f t="shared" si="174"/>
        <v>166088.09999999983</v>
      </c>
      <c r="K327" s="288">
        <f t="shared" si="190"/>
        <v>2298.4699999999998</v>
      </c>
      <c r="L327" s="288">
        <f t="shared" si="184"/>
        <v>1364.2199999999998</v>
      </c>
      <c r="M327" s="288">
        <f t="shared" si="191"/>
        <v>934.25</v>
      </c>
      <c r="N327" s="288">
        <f t="shared" si="175"/>
        <v>189651.12000000002</v>
      </c>
      <c r="O327" s="288">
        <f t="shared" si="176"/>
        <v>426338.83999999997</v>
      </c>
      <c r="P327" s="288">
        <f t="shared" si="165"/>
        <v>164723.87999999983</v>
      </c>
      <c r="Q327" s="499">
        <f t="shared" si="166"/>
        <v>53769</v>
      </c>
      <c r="R327" s="288">
        <f t="shared" si="189"/>
        <v>0</v>
      </c>
      <c r="S327" s="492">
        <f t="shared" si="177"/>
        <v>6.7500000000000004E-2</v>
      </c>
      <c r="T327" s="288">
        <f t="shared" si="167"/>
        <v>0</v>
      </c>
      <c r="U327" s="288">
        <f t="shared" si="192"/>
        <v>0</v>
      </c>
      <c r="V327" s="288">
        <f t="shared" si="168"/>
        <v>0</v>
      </c>
      <c r="W327" s="288">
        <f t="shared" si="185"/>
        <v>0</v>
      </c>
      <c r="X327" s="288">
        <f t="shared" si="186"/>
        <v>0</v>
      </c>
      <c r="Y327" s="288">
        <f t="shared" si="193"/>
        <v>0</v>
      </c>
      <c r="Z327" s="288">
        <f t="shared" si="194"/>
        <v>357260.75999999995</v>
      </c>
      <c r="AA327" s="288">
        <f t="shared" si="195"/>
        <v>179976.28000000012</v>
      </c>
      <c r="AB327" s="288">
        <f t="shared" si="169"/>
        <v>0</v>
      </c>
      <c r="AC327" s="410">
        <f t="shared" si="178"/>
        <v>267</v>
      </c>
      <c r="AD327" s="510">
        <f t="shared" si="179"/>
        <v>78752.920000000056</v>
      </c>
      <c r="AE327" s="510">
        <f t="shared" si="187"/>
        <v>-16679.870000000014</v>
      </c>
      <c r="AF327" s="510">
        <f t="shared" si="188"/>
        <v>62073.050000000047</v>
      </c>
      <c r="AG327" s="510">
        <f t="shared" si="180"/>
        <v>-382.11</v>
      </c>
      <c r="AH327" s="510">
        <f t="shared" si="181"/>
        <v>68985.210000000021</v>
      </c>
      <c r="AI327" s="510"/>
      <c r="AJ327" s="14">
        <f t="shared" si="196"/>
        <v>-382.11</v>
      </c>
      <c r="AK327" s="14">
        <f t="shared" si="197"/>
        <v>430246.23999999941</v>
      </c>
      <c r="AL327" s="510">
        <f>IF(R327&lt;=0,0,+(Profit!$B$4+AM326)*$AL$1/12)</f>
        <v>0</v>
      </c>
      <c r="AM327" s="14">
        <f t="shared" si="182"/>
        <v>227647.99117059269</v>
      </c>
    </row>
    <row r="328" spans="1:39" x14ac:dyDescent="0.25">
      <c r="A328" s="499">
        <f t="shared" si="170"/>
        <v>53799</v>
      </c>
      <c r="B328" s="288">
        <f t="shared" si="171"/>
        <v>16679.870000000014</v>
      </c>
      <c r="C328" s="14">
        <f t="shared" si="161"/>
        <v>382.11</v>
      </c>
      <c r="D328" s="14">
        <f t="shared" si="183"/>
        <v>329.99</v>
      </c>
      <c r="E328" s="14">
        <f t="shared" si="162"/>
        <v>52.12</v>
      </c>
      <c r="F328" s="288">
        <f t="shared" si="172"/>
        <v>66417.059999999983</v>
      </c>
      <c r="G328" s="288">
        <f t="shared" si="173"/>
        <v>53823.320000000007</v>
      </c>
      <c r="H328" s="288">
        <f t="shared" si="163"/>
        <v>16349.880000000014</v>
      </c>
      <c r="I328" s="410">
        <f t="shared" si="164"/>
        <v>22</v>
      </c>
      <c r="J328" s="288">
        <f t="shared" si="174"/>
        <v>164723.87999999983</v>
      </c>
      <c r="K328" s="288">
        <f t="shared" si="190"/>
        <v>2298.4699999999998</v>
      </c>
      <c r="L328" s="288">
        <f t="shared" si="184"/>
        <v>1371.8999999999996</v>
      </c>
      <c r="M328" s="288">
        <f t="shared" si="191"/>
        <v>926.57</v>
      </c>
      <c r="N328" s="288">
        <f t="shared" si="175"/>
        <v>191023.02000000002</v>
      </c>
      <c r="O328" s="288">
        <f t="shared" si="176"/>
        <v>427265.41</v>
      </c>
      <c r="P328" s="288">
        <f t="shared" si="165"/>
        <v>163351.97999999984</v>
      </c>
      <c r="Q328" s="499">
        <f t="shared" si="166"/>
        <v>53799</v>
      </c>
      <c r="R328" s="288">
        <f t="shared" si="189"/>
        <v>0</v>
      </c>
      <c r="S328" s="492">
        <f t="shared" si="177"/>
        <v>6.7500000000000004E-2</v>
      </c>
      <c r="T328" s="288">
        <f t="shared" si="167"/>
        <v>0</v>
      </c>
      <c r="U328" s="288">
        <f t="shared" si="192"/>
        <v>0</v>
      </c>
      <c r="V328" s="288">
        <f t="shared" si="168"/>
        <v>0</v>
      </c>
      <c r="W328" s="288">
        <f t="shared" si="185"/>
        <v>0</v>
      </c>
      <c r="X328" s="288">
        <f t="shared" si="186"/>
        <v>0</v>
      </c>
      <c r="Y328" s="288">
        <f t="shared" si="193"/>
        <v>0</v>
      </c>
      <c r="Z328" s="288">
        <f t="shared" si="194"/>
        <v>357260.75999999995</v>
      </c>
      <c r="AA328" s="288">
        <f t="shared" si="195"/>
        <v>179976.28000000012</v>
      </c>
      <c r="AB328" s="288">
        <f t="shared" si="169"/>
        <v>0</v>
      </c>
      <c r="AC328" s="410">
        <f t="shared" si="178"/>
        <v>268</v>
      </c>
      <c r="AD328" s="510">
        <f t="shared" si="179"/>
        <v>81051.390000000058</v>
      </c>
      <c r="AE328" s="510">
        <f t="shared" si="187"/>
        <v>-16349.880000000014</v>
      </c>
      <c r="AF328" s="510">
        <f t="shared" si="188"/>
        <v>64701.510000000046</v>
      </c>
      <c r="AG328" s="510">
        <f t="shared" si="180"/>
        <v>-382.11</v>
      </c>
      <c r="AH328" s="510">
        <f t="shared" si="181"/>
        <v>69315.20000000007</v>
      </c>
      <c r="AI328" s="510"/>
      <c r="AJ328" s="14">
        <f t="shared" si="196"/>
        <v>-382.11</v>
      </c>
      <c r="AK328" s="14">
        <f t="shared" si="197"/>
        <v>429864.12999999942</v>
      </c>
      <c r="AL328" s="510">
        <f>IF(R328&lt;=0,0,+(Profit!$B$4+AM327)*$AL$1/12)</f>
        <v>0</v>
      </c>
      <c r="AM328" s="14">
        <f t="shared" si="182"/>
        <v>227647.99117059269</v>
      </c>
    </row>
    <row r="329" spans="1:39" x14ac:dyDescent="0.25">
      <c r="A329" s="499">
        <f t="shared" si="170"/>
        <v>53829</v>
      </c>
      <c r="B329" s="288">
        <f t="shared" si="171"/>
        <v>16349.880000000014</v>
      </c>
      <c r="C329" s="14">
        <f t="shared" si="161"/>
        <v>382.11</v>
      </c>
      <c r="D329" s="14">
        <f t="shared" si="183"/>
        <v>331.02</v>
      </c>
      <c r="E329" s="14">
        <f t="shared" si="162"/>
        <v>51.09</v>
      </c>
      <c r="F329" s="288">
        <f t="shared" si="172"/>
        <v>66748.079999999987</v>
      </c>
      <c r="G329" s="288">
        <f t="shared" si="173"/>
        <v>53874.41</v>
      </c>
      <c r="H329" s="288">
        <f t="shared" si="163"/>
        <v>16018.860000000013</v>
      </c>
      <c r="I329" s="410">
        <f t="shared" si="164"/>
        <v>22</v>
      </c>
      <c r="J329" s="288">
        <f t="shared" si="174"/>
        <v>163351.97999999984</v>
      </c>
      <c r="K329" s="288">
        <f t="shared" si="190"/>
        <v>2298.4699999999998</v>
      </c>
      <c r="L329" s="288">
        <f t="shared" si="184"/>
        <v>1379.62</v>
      </c>
      <c r="M329" s="288">
        <f t="shared" si="191"/>
        <v>918.85</v>
      </c>
      <c r="N329" s="288">
        <f t="shared" si="175"/>
        <v>192402.64</v>
      </c>
      <c r="O329" s="288">
        <f t="shared" si="176"/>
        <v>428184.25999999995</v>
      </c>
      <c r="P329" s="288">
        <f t="shared" si="165"/>
        <v>161972.35999999984</v>
      </c>
      <c r="Q329" s="499">
        <f t="shared" si="166"/>
        <v>53829</v>
      </c>
      <c r="R329" s="288">
        <f t="shared" si="189"/>
        <v>0</v>
      </c>
      <c r="S329" s="492">
        <f t="shared" si="177"/>
        <v>6.7500000000000004E-2</v>
      </c>
      <c r="T329" s="288">
        <f t="shared" si="167"/>
        <v>0</v>
      </c>
      <c r="U329" s="288">
        <f t="shared" si="192"/>
        <v>0</v>
      </c>
      <c r="V329" s="288">
        <f t="shared" si="168"/>
        <v>0</v>
      </c>
      <c r="W329" s="288">
        <f t="shared" si="185"/>
        <v>0</v>
      </c>
      <c r="X329" s="288">
        <f t="shared" si="186"/>
        <v>0</v>
      </c>
      <c r="Y329" s="288">
        <f t="shared" si="193"/>
        <v>0</v>
      </c>
      <c r="Z329" s="288">
        <f t="shared" si="194"/>
        <v>357260.75999999995</v>
      </c>
      <c r="AA329" s="288">
        <f t="shared" si="195"/>
        <v>179976.28000000012</v>
      </c>
      <c r="AB329" s="288">
        <f t="shared" si="169"/>
        <v>0</v>
      </c>
      <c r="AC329" s="410">
        <f t="shared" si="178"/>
        <v>269</v>
      </c>
      <c r="AD329" s="510">
        <f t="shared" si="179"/>
        <v>83349.860000000059</v>
      </c>
      <c r="AE329" s="510">
        <f t="shared" si="187"/>
        <v>-16018.860000000013</v>
      </c>
      <c r="AF329" s="510">
        <f t="shared" si="188"/>
        <v>67331.000000000044</v>
      </c>
      <c r="AG329" s="510">
        <f t="shared" si="180"/>
        <v>-382.11</v>
      </c>
      <c r="AH329" s="510">
        <f t="shared" si="181"/>
        <v>69646.22000000003</v>
      </c>
      <c r="AI329" s="510"/>
      <c r="AJ329" s="14">
        <f t="shared" si="196"/>
        <v>-382.11</v>
      </c>
      <c r="AK329" s="14">
        <f t="shared" si="197"/>
        <v>429482.01999999944</v>
      </c>
      <c r="AL329" s="510">
        <f>IF(R329&lt;=0,0,+(Profit!$B$4+AM328)*$AL$1/12)</f>
        <v>0</v>
      </c>
      <c r="AM329" s="14">
        <f t="shared" si="182"/>
        <v>227647.99117059269</v>
      </c>
    </row>
    <row r="330" spans="1:39" x14ac:dyDescent="0.25">
      <c r="A330" s="499">
        <f t="shared" si="170"/>
        <v>53859</v>
      </c>
      <c r="B330" s="288">
        <f t="shared" si="171"/>
        <v>16018.860000000013</v>
      </c>
      <c r="C330" s="14">
        <f t="shared" si="161"/>
        <v>382.11</v>
      </c>
      <c r="D330" s="14">
        <f t="shared" si="183"/>
        <v>332.05</v>
      </c>
      <c r="E330" s="14">
        <f t="shared" si="162"/>
        <v>50.06</v>
      </c>
      <c r="F330" s="288">
        <f t="shared" si="172"/>
        <v>67080.12999999999</v>
      </c>
      <c r="G330" s="288">
        <f t="shared" si="173"/>
        <v>53924.47</v>
      </c>
      <c r="H330" s="288">
        <f t="shared" si="163"/>
        <v>15686.810000000014</v>
      </c>
      <c r="I330" s="410">
        <f t="shared" si="164"/>
        <v>22</v>
      </c>
      <c r="J330" s="288">
        <f t="shared" si="174"/>
        <v>161972.35999999984</v>
      </c>
      <c r="K330" s="288">
        <f t="shared" si="190"/>
        <v>2298.4699999999998</v>
      </c>
      <c r="L330" s="288">
        <f t="shared" si="184"/>
        <v>1387.3799999999997</v>
      </c>
      <c r="M330" s="288">
        <f t="shared" si="191"/>
        <v>911.09</v>
      </c>
      <c r="N330" s="288">
        <f t="shared" si="175"/>
        <v>193790.02000000002</v>
      </c>
      <c r="O330" s="288">
        <f t="shared" si="176"/>
        <v>429095.35</v>
      </c>
      <c r="P330" s="288">
        <f t="shared" si="165"/>
        <v>160584.97999999984</v>
      </c>
      <c r="Q330" s="499">
        <f t="shared" si="166"/>
        <v>53859</v>
      </c>
      <c r="R330" s="288">
        <f t="shared" si="189"/>
        <v>0</v>
      </c>
      <c r="S330" s="492">
        <f t="shared" si="177"/>
        <v>6.7500000000000004E-2</v>
      </c>
      <c r="T330" s="288">
        <f t="shared" si="167"/>
        <v>0</v>
      </c>
      <c r="U330" s="288">
        <f t="shared" si="192"/>
        <v>0</v>
      </c>
      <c r="V330" s="288">
        <f t="shared" si="168"/>
        <v>0</v>
      </c>
      <c r="W330" s="288">
        <f t="shared" si="185"/>
        <v>0</v>
      </c>
      <c r="X330" s="288">
        <f t="shared" si="186"/>
        <v>0</v>
      </c>
      <c r="Y330" s="288">
        <f t="shared" si="193"/>
        <v>0</v>
      </c>
      <c r="Z330" s="288">
        <f t="shared" si="194"/>
        <v>357260.75999999995</v>
      </c>
      <c r="AA330" s="288">
        <f t="shared" si="195"/>
        <v>179976.28000000012</v>
      </c>
      <c r="AB330" s="288">
        <f t="shared" si="169"/>
        <v>0</v>
      </c>
      <c r="AC330" s="410">
        <f t="shared" si="178"/>
        <v>270</v>
      </c>
      <c r="AD330" s="510">
        <f t="shared" si="179"/>
        <v>85648.33000000006</v>
      </c>
      <c r="AE330" s="510">
        <f t="shared" si="187"/>
        <v>-15686.810000000014</v>
      </c>
      <c r="AF330" s="510">
        <f t="shared" si="188"/>
        <v>69961.520000000048</v>
      </c>
      <c r="AG330" s="510">
        <f t="shared" si="180"/>
        <v>-382.11</v>
      </c>
      <c r="AH330" s="510">
        <f t="shared" si="181"/>
        <v>69978.270000000077</v>
      </c>
      <c r="AI330" s="510"/>
      <c r="AJ330" s="14">
        <f t="shared" si="196"/>
        <v>-382.11</v>
      </c>
      <c r="AK330" s="14">
        <f t="shared" si="197"/>
        <v>429099.90999999945</v>
      </c>
      <c r="AL330" s="510">
        <f>IF(R330&lt;=0,0,+(Profit!$B$4+AM329)*$AL$1/12)</f>
        <v>0</v>
      </c>
      <c r="AM330" s="14">
        <f t="shared" si="182"/>
        <v>227647.99117059269</v>
      </c>
    </row>
    <row r="331" spans="1:39" x14ac:dyDescent="0.25">
      <c r="A331" s="499">
        <f t="shared" si="170"/>
        <v>53889</v>
      </c>
      <c r="B331" s="288">
        <f t="shared" si="171"/>
        <v>15686.810000000014</v>
      </c>
      <c r="C331" s="14">
        <f t="shared" si="161"/>
        <v>382.11</v>
      </c>
      <c r="D331" s="14">
        <f t="shared" si="183"/>
        <v>333.09000000000003</v>
      </c>
      <c r="E331" s="14">
        <f t="shared" si="162"/>
        <v>49.02</v>
      </c>
      <c r="F331" s="288">
        <f t="shared" si="172"/>
        <v>67413.219999999987</v>
      </c>
      <c r="G331" s="288">
        <f t="shared" si="173"/>
        <v>53973.49</v>
      </c>
      <c r="H331" s="288">
        <f t="shared" si="163"/>
        <v>15353.720000000014</v>
      </c>
      <c r="I331" s="410">
        <f t="shared" si="164"/>
        <v>22</v>
      </c>
      <c r="J331" s="288">
        <f t="shared" si="174"/>
        <v>160584.97999999984</v>
      </c>
      <c r="K331" s="288">
        <f t="shared" si="190"/>
        <v>2298.4699999999998</v>
      </c>
      <c r="L331" s="288">
        <f t="shared" si="184"/>
        <v>1395.1799999999998</v>
      </c>
      <c r="M331" s="288">
        <f t="shared" si="191"/>
        <v>903.29</v>
      </c>
      <c r="N331" s="288">
        <f t="shared" si="175"/>
        <v>195185.2</v>
      </c>
      <c r="O331" s="288">
        <f t="shared" si="176"/>
        <v>429998.63999999996</v>
      </c>
      <c r="P331" s="288">
        <f t="shared" si="165"/>
        <v>159189.79999999984</v>
      </c>
      <c r="Q331" s="499">
        <f t="shared" si="166"/>
        <v>53889</v>
      </c>
      <c r="R331" s="288">
        <f t="shared" si="189"/>
        <v>0</v>
      </c>
      <c r="S331" s="492">
        <f t="shared" si="177"/>
        <v>6.7500000000000004E-2</v>
      </c>
      <c r="T331" s="288">
        <f t="shared" si="167"/>
        <v>0</v>
      </c>
      <c r="U331" s="288">
        <f t="shared" si="192"/>
        <v>0</v>
      </c>
      <c r="V331" s="288">
        <f t="shared" si="168"/>
        <v>0</v>
      </c>
      <c r="W331" s="288">
        <f t="shared" si="185"/>
        <v>0</v>
      </c>
      <c r="X331" s="288">
        <f t="shared" si="186"/>
        <v>0</v>
      </c>
      <c r="Y331" s="288">
        <f t="shared" si="193"/>
        <v>0</v>
      </c>
      <c r="Z331" s="288">
        <f t="shared" si="194"/>
        <v>357260.75999999995</v>
      </c>
      <c r="AA331" s="288">
        <f t="shared" si="195"/>
        <v>179976.28000000012</v>
      </c>
      <c r="AB331" s="288">
        <f t="shared" si="169"/>
        <v>0</v>
      </c>
      <c r="AC331" s="410">
        <f t="shared" si="178"/>
        <v>271</v>
      </c>
      <c r="AD331" s="510">
        <f t="shared" si="179"/>
        <v>87946.800000000061</v>
      </c>
      <c r="AE331" s="510">
        <f t="shared" si="187"/>
        <v>-15353.720000000014</v>
      </c>
      <c r="AF331" s="510">
        <f t="shared" si="188"/>
        <v>72593.080000000045</v>
      </c>
      <c r="AG331" s="510">
        <f t="shared" si="180"/>
        <v>-382.11</v>
      </c>
      <c r="AH331" s="510">
        <f t="shared" si="181"/>
        <v>70311.360000000044</v>
      </c>
      <c r="AI331" s="510"/>
      <c r="AJ331" s="14">
        <f t="shared" si="196"/>
        <v>-382.11</v>
      </c>
      <c r="AK331" s="14">
        <f t="shared" si="197"/>
        <v>428717.79999999946</v>
      </c>
      <c r="AL331" s="510">
        <f>IF(R331&lt;=0,0,+(Profit!$B$4+AM330)*$AL$1/12)</f>
        <v>0</v>
      </c>
      <c r="AM331" s="14">
        <f t="shared" si="182"/>
        <v>227647.99117059269</v>
      </c>
    </row>
    <row r="332" spans="1:39" x14ac:dyDescent="0.25">
      <c r="A332" s="499">
        <f t="shared" si="170"/>
        <v>53919</v>
      </c>
      <c r="B332" s="288">
        <f t="shared" si="171"/>
        <v>15353.720000000014</v>
      </c>
      <c r="C332" s="14">
        <f t="shared" si="161"/>
        <v>382.11</v>
      </c>
      <c r="D332" s="14">
        <f t="shared" si="183"/>
        <v>334.13</v>
      </c>
      <c r="E332" s="14">
        <f t="shared" si="162"/>
        <v>47.98</v>
      </c>
      <c r="F332" s="288">
        <f t="shared" si="172"/>
        <v>67747.349999999991</v>
      </c>
      <c r="G332" s="288">
        <f t="shared" si="173"/>
        <v>54021.47</v>
      </c>
      <c r="H332" s="288">
        <f t="shared" si="163"/>
        <v>15019.590000000015</v>
      </c>
      <c r="I332" s="410">
        <f t="shared" si="164"/>
        <v>22</v>
      </c>
      <c r="J332" s="288">
        <f t="shared" si="174"/>
        <v>159189.79999999984</v>
      </c>
      <c r="K332" s="288">
        <f t="shared" si="190"/>
        <v>2298.4699999999998</v>
      </c>
      <c r="L332" s="288">
        <f t="shared" si="184"/>
        <v>1403.0299999999997</v>
      </c>
      <c r="M332" s="288">
        <f t="shared" si="191"/>
        <v>895.44</v>
      </c>
      <c r="N332" s="288">
        <f t="shared" si="175"/>
        <v>196588.23</v>
      </c>
      <c r="O332" s="288">
        <f t="shared" si="176"/>
        <v>430894.07999999996</v>
      </c>
      <c r="P332" s="288">
        <f t="shared" si="165"/>
        <v>157786.76999999984</v>
      </c>
      <c r="Q332" s="499">
        <f t="shared" si="166"/>
        <v>53919</v>
      </c>
      <c r="R332" s="288">
        <f t="shared" si="189"/>
        <v>0</v>
      </c>
      <c r="S332" s="492">
        <f t="shared" si="177"/>
        <v>6.7500000000000004E-2</v>
      </c>
      <c r="T332" s="288">
        <f t="shared" si="167"/>
        <v>0</v>
      </c>
      <c r="U332" s="288">
        <f t="shared" si="192"/>
        <v>0</v>
      </c>
      <c r="V332" s="288">
        <f t="shared" si="168"/>
        <v>0</v>
      </c>
      <c r="W332" s="288">
        <f t="shared" si="185"/>
        <v>0</v>
      </c>
      <c r="X332" s="288">
        <f t="shared" si="186"/>
        <v>0</v>
      </c>
      <c r="Y332" s="288">
        <f t="shared" si="193"/>
        <v>0</v>
      </c>
      <c r="Z332" s="288">
        <f t="shared" si="194"/>
        <v>357260.75999999995</v>
      </c>
      <c r="AA332" s="288">
        <f t="shared" si="195"/>
        <v>179976.28000000012</v>
      </c>
      <c r="AB332" s="288">
        <f t="shared" si="169"/>
        <v>0</v>
      </c>
      <c r="AC332" s="410">
        <f t="shared" si="178"/>
        <v>272</v>
      </c>
      <c r="AD332" s="510">
        <f t="shared" si="179"/>
        <v>90245.270000000062</v>
      </c>
      <c r="AE332" s="510">
        <f t="shared" si="187"/>
        <v>-15019.590000000015</v>
      </c>
      <c r="AF332" s="510">
        <f t="shared" si="188"/>
        <v>75225.680000000051</v>
      </c>
      <c r="AG332" s="510">
        <f t="shared" si="180"/>
        <v>-382.11</v>
      </c>
      <c r="AH332" s="510">
        <f t="shared" si="181"/>
        <v>70645.490000000049</v>
      </c>
      <c r="AI332" s="510"/>
      <c r="AJ332" s="14">
        <f t="shared" si="196"/>
        <v>-382.11</v>
      </c>
      <c r="AK332" s="14">
        <f t="shared" si="197"/>
        <v>428335.68999999948</v>
      </c>
      <c r="AL332" s="510">
        <f>IF(R332&lt;=0,0,+(Profit!$B$4+AM331)*$AL$1/12)</f>
        <v>0</v>
      </c>
      <c r="AM332" s="14">
        <f t="shared" si="182"/>
        <v>227647.99117059269</v>
      </c>
    </row>
    <row r="333" spans="1:39" x14ac:dyDescent="0.25">
      <c r="A333" s="499">
        <f t="shared" si="170"/>
        <v>53949</v>
      </c>
      <c r="B333" s="288">
        <f t="shared" si="171"/>
        <v>15019.590000000015</v>
      </c>
      <c r="C333" s="14">
        <f t="shared" si="161"/>
        <v>382.11</v>
      </c>
      <c r="D333" s="14">
        <f t="shared" si="183"/>
        <v>335.17</v>
      </c>
      <c r="E333" s="14">
        <f t="shared" si="162"/>
        <v>46.94</v>
      </c>
      <c r="F333" s="288">
        <f t="shared" si="172"/>
        <v>68082.51999999999</v>
      </c>
      <c r="G333" s="288">
        <f t="shared" si="173"/>
        <v>54068.41</v>
      </c>
      <c r="H333" s="288">
        <f t="shared" si="163"/>
        <v>14684.420000000015</v>
      </c>
      <c r="I333" s="410">
        <f t="shared" si="164"/>
        <v>22</v>
      </c>
      <c r="J333" s="288">
        <f t="shared" si="174"/>
        <v>157786.76999999984</v>
      </c>
      <c r="K333" s="288">
        <f t="shared" si="190"/>
        <v>2298.4699999999998</v>
      </c>
      <c r="L333" s="288">
        <f t="shared" si="184"/>
        <v>1410.9199999999998</v>
      </c>
      <c r="M333" s="288">
        <f t="shared" si="191"/>
        <v>887.55</v>
      </c>
      <c r="N333" s="288">
        <f t="shared" si="175"/>
        <v>197999.15000000002</v>
      </c>
      <c r="O333" s="288">
        <f t="shared" si="176"/>
        <v>431781.62999999995</v>
      </c>
      <c r="P333" s="288">
        <f t="shared" si="165"/>
        <v>156375.84999999983</v>
      </c>
      <c r="Q333" s="499">
        <f t="shared" si="166"/>
        <v>53949</v>
      </c>
      <c r="R333" s="288">
        <f t="shared" si="189"/>
        <v>0</v>
      </c>
      <c r="S333" s="492">
        <f t="shared" si="177"/>
        <v>6.7500000000000004E-2</v>
      </c>
      <c r="T333" s="288">
        <f t="shared" si="167"/>
        <v>0</v>
      </c>
      <c r="U333" s="288">
        <f t="shared" si="192"/>
        <v>0</v>
      </c>
      <c r="V333" s="288">
        <f t="shared" si="168"/>
        <v>0</v>
      </c>
      <c r="W333" s="288">
        <f t="shared" si="185"/>
        <v>0</v>
      </c>
      <c r="X333" s="288">
        <f t="shared" si="186"/>
        <v>0</v>
      </c>
      <c r="Y333" s="288">
        <f t="shared" si="193"/>
        <v>0</v>
      </c>
      <c r="Z333" s="288">
        <f t="shared" si="194"/>
        <v>357260.75999999995</v>
      </c>
      <c r="AA333" s="288">
        <f t="shared" si="195"/>
        <v>179976.28000000012</v>
      </c>
      <c r="AB333" s="288">
        <f t="shared" si="169"/>
        <v>0</v>
      </c>
      <c r="AC333" s="410">
        <f t="shared" si="178"/>
        <v>273</v>
      </c>
      <c r="AD333" s="510">
        <f t="shared" si="179"/>
        <v>92543.740000000063</v>
      </c>
      <c r="AE333" s="510">
        <f t="shared" si="187"/>
        <v>-14684.420000000015</v>
      </c>
      <c r="AF333" s="510">
        <f t="shared" si="188"/>
        <v>77859.320000000051</v>
      </c>
      <c r="AG333" s="510">
        <f t="shared" si="180"/>
        <v>-382.11</v>
      </c>
      <c r="AH333" s="510">
        <f t="shared" si="181"/>
        <v>70980.660000000091</v>
      </c>
      <c r="AI333" s="510"/>
      <c r="AJ333" s="14">
        <f t="shared" si="196"/>
        <v>-382.11</v>
      </c>
      <c r="AK333" s="14">
        <f t="shared" si="197"/>
        <v>427953.57999999949</v>
      </c>
      <c r="AL333" s="510">
        <f>IF(R333&lt;=0,0,+(Profit!$B$4+AM332)*$AL$1/12)</f>
        <v>0</v>
      </c>
      <c r="AM333" s="14">
        <f t="shared" si="182"/>
        <v>227647.99117059269</v>
      </c>
    </row>
    <row r="334" spans="1:39" x14ac:dyDescent="0.25">
      <c r="A334" s="499">
        <f t="shared" si="170"/>
        <v>53979</v>
      </c>
      <c r="B334" s="288">
        <f t="shared" si="171"/>
        <v>14684.420000000015</v>
      </c>
      <c r="C334" s="14">
        <f t="shared" si="161"/>
        <v>382.11</v>
      </c>
      <c r="D334" s="14">
        <f t="shared" si="183"/>
        <v>336.22</v>
      </c>
      <c r="E334" s="14">
        <f t="shared" si="162"/>
        <v>45.89</v>
      </c>
      <c r="F334" s="288">
        <f t="shared" si="172"/>
        <v>68418.739999999991</v>
      </c>
      <c r="G334" s="288">
        <f t="shared" si="173"/>
        <v>54114.3</v>
      </c>
      <c r="H334" s="288">
        <f t="shared" si="163"/>
        <v>14348.200000000015</v>
      </c>
      <c r="I334" s="410">
        <f t="shared" si="164"/>
        <v>22</v>
      </c>
      <c r="J334" s="288">
        <f t="shared" si="174"/>
        <v>156375.84999999983</v>
      </c>
      <c r="K334" s="288">
        <f t="shared" si="190"/>
        <v>2298.4699999999998</v>
      </c>
      <c r="L334" s="288">
        <f t="shared" si="184"/>
        <v>1418.8599999999997</v>
      </c>
      <c r="M334" s="288">
        <f t="shared" si="191"/>
        <v>879.61</v>
      </c>
      <c r="N334" s="288">
        <f t="shared" si="175"/>
        <v>199418.01</v>
      </c>
      <c r="O334" s="288">
        <f t="shared" si="176"/>
        <v>432661.23999999993</v>
      </c>
      <c r="P334" s="288">
        <f t="shared" si="165"/>
        <v>154956.98999999985</v>
      </c>
      <c r="Q334" s="499">
        <f t="shared" si="166"/>
        <v>53979</v>
      </c>
      <c r="R334" s="288">
        <f t="shared" si="189"/>
        <v>0</v>
      </c>
      <c r="S334" s="492">
        <f t="shared" si="177"/>
        <v>6.7500000000000004E-2</v>
      </c>
      <c r="T334" s="288">
        <f t="shared" si="167"/>
        <v>0</v>
      </c>
      <c r="U334" s="288">
        <f t="shared" si="192"/>
        <v>0</v>
      </c>
      <c r="V334" s="288">
        <f t="shared" si="168"/>
        <v>0</v>
      </c>
      <c r="W334" s="288">
        <f t="shared" si="185"/>
        <v>0</v>
      </c>
      <c r="X334" s="288">
        <f t="shared" si="186"/>
        <v>0</v>
      </c>
      <c r="Y334" s="288">
        <f t="shared" si="193"/>
        <v>0</v>
      </c>
      <c r="Z334" s="288">
        <f t="shared" si="194"/>
        <v>357260.75999999995</v>
      </c>
      <c r="AA334" s="288">
        <f t="shared" si="195"/>
        <v>179976.28000000012</v>
      </c>
      <c r="AB334" s="288">
        <f t="shared" si="169"/>
        <v>0</v>
      </c>
      <c r="AC334" s="410">
        <f t="shared" si="178"/>
        <v>274</v>
      </c>
      <c r="AD334" s="510">
        <f t="shared" si="179"/>
        <v>94842.210000000065</v>
      </c>
      <c r="AE334" s="510">
        <f t="shared" si="187"/>
        <v>-14348.200000000015</v>
      </c>
      <c r="AF334" s="510">
        <f t="shared" si="188"/>
        <v>80494.010000000053</v>
      </c>
      <c r="AG334" s="510">
        <f t="shared" si="180"/>
        <v>-382.11</v>
      </c>
      <c r="AH334" s="510">
        <f t="shared" si="181"/>
        <v>71316.880000000063</v>
      </c>
      <c r="AI334" s="510"/>
      <c r="AJ334" s="14">
        <f t="shared" si="196"/>
        <v>-382.11</v>
      </c>
      <c r="AK334" s="14">
        <f t="shared" si="197"/>
        <v>427571.46999999951</v>
      </c>
      <c r="AL334" s="510">
        <f>IF(R334&lt;=0,0,+(Profit!$B$4+AM333)*$AL$1/12)</f>
        <v>0</v>
      </c>
      <c r="AM334" s="14">
        <f t="shared" si="182"/>
        <v>227647.99117059269</v>
      </c>
    </row>
    <row r="335" spans="1:39" x14ac:dyDescent="0.25">
      <c r="A335" s="499">
        <f t="shared" si="170"/>
        <v>54009</v>
      </c>
      <c r="B335" s="288">
        <f t="shared" si="171"/>
        <v>14348.200000000015</v>
      </c>
      <c r="C335" s="14">
        <f t="shared" ref="C335:C398" si="198">IF(+$H334&lt;=0,0,$C$5)</f>
        <v>382.11</v>
      </c>
      <c r="D335" s="14">
        <f t="shared" si="183"/>
        <v>337.27</v>
      </c>
      <c r="E335" s="14">
        <f t="shared" ref="E335:E398" si="199">ROUND($B335*($C$3/12), 2)</f>
        <v>44.84</v>
      </c>
      <c r="F335" s="288">
        <f t="shared" si="172"/>
        <v>68756.009999999995</v>
      </c>
      <c r="G335" s="288">
        <f t="shared" si="173"/>
        <v>54159.14</v>
      </c>
      <c r="H335" s="288">
        <f t="shared" ref="H335:H398" si="200">+B335-D335</f>
        <v>14010.930000000015</v>
      </c>
      <c r="I335" s="410">
        <f t="shared" ref="I335:I398" si="201">IF(MOD(AC335,12)=0,AC335/12,I334)</f>
        <v>22</v>
      </c>
      <c r="J335" s="288">
        <f t="shared" si="174"/>
        <v>154956.98999999985</v>
      </c>
      <c r="K335" s="288">
        <f t="shared" si="190"/>
        <v>2298.4699999999998</v>
      </c>
      <c r="L335" s="288">
        <f t="shared" si="184"/>
        <v>1426.8399999999997</v>
      </c>
      <c r="M335" s="288">
        <f t="shared" si="191"/>
        <v>871.63</v>
      </c>
      <c r="N335" s="288">
        <f t="shared" si="175"/>
        <v>200844.85</v>
      </c>
      <c r="O335" s="288">
        <f t="shared" si="176"/>
        <v>433532.86999999994</v>
      </c>
      <c r="P335" s="288">
        <f t="shared" ref="P335:P398" si="202">+J335-L335</f>
        <v>153530.14999999985</v>
      </c>
      <c r="Q335" s="499">
        <f t="shared" ref="Q335:Q398" si="203">+A335</f>
        <v>54009</v>
      </c>
      <c r="R335" s="288">
        <f t="shared" si="189"/>
        <v>0</v>
      </c>
      <c r="S335" s="492">
        <f t="shared" si="177"/>
        <v>6.7500000000000004E-2</v>
      </c>
      <c r="T335" s="288">
        <f t="shared" ref="T335:T398" si="204">IF($J$10&lt;=$A335,IF(+AB334&lt;=0,0,IF(S335=$T$9,$S$9,$S$10)),0)</f>
        <v>0</v>
      </c>
      <c r="U335" s="288">
        <f t="shared" si="192"/>
        <v>0</v>
      </c>
      <c r="V335" s="288">
        <f t="shared" ref="V335:V398" si="205">IF($J$10&lt;=$A335,ROUND(R335*(S335/12),2),0)</f>
        <v>0</v>
      </c>
      <c r="W335" s="288">
        <f t="shared" si="185"/>
        <v>0</v>
      </c>
      <c r="X335" s="288">
        <f t="shared" si="186"/>
        <v>0</v>
      </c>
      <c r="Y335" s="288">
        <f t="shared" si="193"/>
        <v>0</v>
      </c>
      <c r="Z335" s="288">
        <f t="shared" si="194"/>
        <v>357260.75999999995</v>
      </c>
      <c r="AA335" s="288">
        <f t="shared" si="195"/>
        <v>179976.28000000012</v>
      </c>
      <c r="AB335" s="288">
        <f t="shared" ref="AB335:AB398" si="206">IF(Q335&lt;$J$10,$J$6,+R335-U335)</f>
        <v>0</v>
      </c>
      <c r="AC335" s="410">
        <f t="shared" si="178"/>
        <v>275</v>
      </c>
      <c r="AD335" s="510">
        <f t="shared" si="179"/>
        <v>97140.680000000066</v>
      </c>
      <c r="AE335" s="510">
        <f t="shared" si="187"/>
        <v>-14010.930000000015</v>
      </c>
      <c r="AF335" s="510">
        <f t="shared" si="188"/>
        <v>83129.750000000058</v>
      </c>
      <c r="AG335" s="510">
        <f t="shared" si="180"/>
        <v>-382.11</v>
      </c>
      <c r="AH335" s="510">
        <f t="shared" si="181"/>
        <v>71654.150000000081</v>
      </c>
      <c r="AI335" s="510"/>
      <c r="AJ335" s="14">
        <f t="shared" si="196"/>
        <v>-382.11</v>
      </c>
      <c r="AK335" s="14">
        <f t="shared" si="197"/>
        <v>427189.35999999952</v>
      </c>
      <c r="AL335" s="510">
        <f>IF(R335&lt;=0,0,+(Profit!$B$4+AM334)*$AL$1/12)</f>
        <v>0</v>
      </c>
      <c r="AM335" s="14">
        <f t="shared" si="182"/>
        <v>227647.99117059269</v>
      </c>
    </row>
    <row r="336" spans="1:39" x14ac:dyDescent="0.25">
      <c r="A336" s="499">
        <f t="shared" ref="A336:A399" si="207">IF(H336&lt;=0," ",+A335+30)</f>
        <v>54039</v>
      </c>
      <c r="B336" s="288">
        <f t="shared" ref="B336:B373" si="208">IF(+H335&lt;0,0,+H335)</f>
        <v>14010.930000000015</v>
      </c>
      <c r="C336" s="14">
        <f t="shared" si="198"/>
        <v>382.11</v>
      </c>
      <c r="D336" s="14">
        <f t="shared" si="183"/>
        <v>338.33000000000004</v>
      </c>
      <c r="E336" s="14">
        <f t="shared" si="199"/>
        <v>43.78</v>
      </c>
      <c r="F336" s="288">
        <f t="shared" ref="F336:F399" si="209">$D336+$F335</f>
        <v>69094.34</v>
      </c>
      <c r="G336" s="288">
        <f t="shared" ref="G336:G399" si="210">$E336+$G335</f>
        <v>54202.92</v>
      </c>
      <c r="H336" s="288">
        <f t="shared" si="200"/>
        <v>13672.600000000015</v>
      </c>
      <c r="I336" s="410">
        <f t="shared" si="201"/>
        <v>23</v>
      </c>
      <c r="J336" s="288">
        <f t="shared" ref="J336:J399" si="211">IF(+P335&lt;0,0,+P335)</f>
        <v>153530.14999999985</v>
      </c>
      <c r="K336" s="288">
        <f t="shared" si="190"/>
        <v>2298.4699999999998</v>
      </c>
      <c r="L336" s="288">
        <f t="shared" si="184"/>
        <v>1434.8599999999997</v>
      </c>
      <c r="M336" s="288">
        <f t="shared" si="191"/>
        <v>863.61</v>
      </c>
      <c r="N336" s="288">
        <f t="shared" ref="N336:N399" si="212">+L336+N335</f>
        <v>202279.71</v>
      </c>
      <c r="O336" s="288">
        <f t="shared" ref="O336:O399" si="213">+O335+M336</f>
        <v>434396.47999999992</v>
      </c>
      <c r="P336" s="288">
        <f t="shared" si="202"/>
        <v>152095.28999999986</v>
      </c>
      <c r="Q336" s="499">
        <f t="shared" si="203"/>
        <v>54039</v>
      </c>
      <c r="R336" s="288">
        <f t="shared" si="189"/>
        <v>0</v>
      </c>
      <c r="S336" s="492">
        <f t="shared" ref="S336:S399" si="214">IF(AC336&gt;60,$T$10,$T$9)</f>
        <v>6.7500000000000004E-2</v>
      </c>
      <c r="T336" s="288">
        <f t="shared" si="204"/>
        <v>0</v>
      </c>
      <c r="U336" s="288">
        <f t="shared" si="192"/>
        <v>0</v>
      </c>
      <c r="V336" s="288">
        <f t="shared" si="205"/>
        <v>0</v>
      </c>
      <c r="W336" s="288">
        <f t="shared" si="185"/>
        <v>0</v>
      </c>
      <c r="X336" s="288">
        <f t="shared" si="186"/>
        <v>0</v>
      </c>
      <c r="Y336" s="288">
        <f t="shared" si="193"/>
        <v>0</v>
      </c>
      <c r="Z336" s="288">
        <f t="shared" si="194"/>
        <v>357260.75999999995</v>
      </c>
      <c r="AA336" s="288">
        <f t="shared" si="195"/>
        <v>179976.28000000012</v>
      </c>
      <c r="AB336" s="288">
        <f t="shared" si="206"/>
        <v>0</v>
      </c>
      <c r="AC336" s="410">
        <f t="shared" ref="AC336:AC399" si="215">IF(J336&lt;&gt;"",IF(J336=$J$6,0,+AC335+1),0)</f>
        <v>276</v>
      </c>
      <c r="AD336" s="510">
        <f t="shared" ref="AD336:AD399" si="216">K336-T336+AD335</f>
        <v>99439.150000000067</v>
      </c>
      <c r="AE336" s="510">
        <f t="shared" si="187"/>
        <v>-13672.600000000015</v>
      </c>
      <c r="AF336" s="510">
        <f t="shared" si="188"/>
        <v>85766.550000000047</v>
      </c>
      <c r="AG336" s="510">
        <f t="shared" ref="AG336:AG399" si="217">IF(Q336&lt;=$C$10,0,+T336-$C336)</f>
        <v>-382.11</v>
      </c>
      <c r="AH336" s="510">
        <f t="shared" ref="AH336:AH399" si="218">IF(P336&lt;=0,0,+$T$5-$C$2+F336-Z336)</f>
        <v>71992.48000000004</v>
      </c>
      <c r="AI336" s="510"/>
      <c r="AJ336" s="14">
        <f t="shared" si="196"/>
        <v>-382.11</v>
      </c>
      <c r="AK336" s="14">
        <f t="shared" si="197"/>
        <v>426807.24999999953</v>
      </c>
      <c r="AL336" s="510">
        <f>IF(R336&lt;=0,0,+(Profit!$B$4+AM335)*$AL$1/12)</f>
        <v>0</v>
      </c>
      <c r="AM336" s="14">
        <f t="shared" ref="AM336:AM399" si="219">IF(P336&lt;=0,0,+AM335+AL336)</f>
        <v>227647.99117059269</v>
      </c>
    </row>
    <row r="337" spans="1:39" x14ac:dyDescent="0.25">
      <c r="A337" s="499">
        <f t="shared" si="207"/>
        <v>54069</v>
      </c>
      <c r="B337" s="288">
        <f t="shared" si="208"/>
        <v>13672.600000000015</v>
      </c>
      <c r="C337" s="14">
        <f t="shared" si="198"/>
        <v>382.11</v>
      </c>
      <c r="D337" s="14">
        <f t="shared" ref="D337:D400" si="220">+C337-E337</f>
        <v>339.38</v>
      </c>
      <c r="E337" s="14">
        <f t="shared" si="199"/>
        <v>42.73</v>
      </c>
      <c r="F337" s="288">
        <f t="shared" si="209"/>
        <v>69433.72</v>
      </c>
      <c r="G337" s="288">
        <f t="shared" si="210"/>
        <v>54245.65</v>
      </c>
      <c r="H337" s="288">
        <f t="shared" si="200"/>
        <v>13333.220000000016</v>
      </c>
      <c r="I337" s="410">
        <f t="shared" si="201"/>
        <v>23</v>
      </c>
      <c r="J337" s="288">
        <f t="shared" si="211"/>
        <v>152095.28999999986</v>
      </c>
      <c r="K337" s="288">
        <f t="shared" si="190"/>
        <v>2298.4699999999998</v>
      </c>
      <c r="L337" s="288">
        <f t="shared" ref="L337:L400" si="221">+K337-M337</f>
        <v>1442.9299999999998</v>
      </c>
      <c r="M337" s="288">
        <f t="shared" si="191"/>
        <v>855.54</v>
      </c>
      <c r="N337" s="288">
        <f t="shared" si="212"/>
        <v>203722.63999999998</v>
      </c>
      <c r="O337" s="288">
        <f t="shared" si="213"/>
        <v>435252.0199999999</v>
      </c>
      <c r="P337" s="288">
        <f t="shared" si="202"/>
        <v>150652.35999999987</v>
      </c>
      <c r="Q337" s="499">
        <f t="shared" si="203"/>
        <v>54069</v>
      </c>
      <c r="R337" s="288">
        <f t="shared" si="189"/>
        <v>0</v>
      </c>
      <c r="S337" s="492">
        <f t="shared" si="214"/>
        <v>6.7500000000000004E-2</v>
      </c>
      <c r="T337" s="288">
        <f t="shared" si="204"/>
        <v>0</v>
      </c>
      <c r="U337" s="288">
        <f t="shared" si="192"/>
        <v>0</v>
      </c>
      <c r="V337" s="288">
        <f t="shared" si="205"/>
        <v>0</v>
      </c>
      <c r="W337" s="288">
        <f t="shared" si="185"/>
        <v>0</v>
      </c>
      <c r="X337" s="288">
        <f t="shared" si="186"/>
        <v>0</v>
      </c>
      <c r="Y337" s="288">
        <f t="shared" si="193"/>
        <v>0</v>
      </c>
      <c r="Z337" s="288">
        <f t="shared" si="194"/>
        <v>357260.75999999995</v>
      </c>
      <c r="AA337" s="288">
        <f t="shared" si="195"/>
        <v>179976.28000000012</v>
      </c>
      <c r="AB337" s="288">
        <f t="shared" si="206"/>
        <v>0</v>
      </c>
      <c r="AC337" s="410">
        <f t="shared" si="215"/>
        <v>277</v>
      </c>
      <c r="AD337" s="510">
        <f t="shared" si="216"/>
        <v>101737.62000000007</v>
      </c>
      <c r="AE337" s="510">
        <f t="shared" si="187"/>
        <v>-13333.220000000016</v>
      </c>
      <c r="AF337" s="510">
        <f t="shared" si="188"/>
        <v>88404.400000000052</v>
      </c>
      <c r="AG337" s="510">
        <f t="shared" si="217"/>
        <v>-382.11</v>
      </c>
      <c r="AH337" s="510">
        <f t="shared" si="218"/>
        <v>72331.860000000044</v>
      </c>
      <c r="AI337" s="510"/>
      <c r="AJ337" s="14">
        <f t="shared" si="196"/>
        <v>-382.11</v>
      </c>
      <c r="AK337" s="14">
        <f t="shared" si="197"/>
        <v>426425.13999999955</v>
      </c>
      <c r="AL337" s="510">
        <f>IF(R337&lt;=0,0,+(Profit!$B$4+AM336)*$AL$1/12)</f>
        <v>0</v>
      </c>
      <c r="AM337" s="14">
        <f t="shared" si="219"/>
        <v>227647.99117059269</v>
      </c>
    </row>
    <row r="338" spans="1:39" ht="15.75" thickBot="1" x14ac:dyDescent="0.3">
      <c r="A338" s="502">
        <f t="shared" si="207"/>
        <v>54099</v>
      </c>
      <c r="B338" s="343">
        <f t="shared" si="208"/>
        <v>13333.220000000016</v>
      </c>
      <c r="C338" s="21">
        <f t="shared" si="198"/>
        <v>382.11</v>
      </c>
      <c r="D338" s="21">
        <f t="shared" si="220"/>
        <v>340.44</v>
      </c>
      <c r="E338" s="21">
        <f t="shared" si="199"/>
        <v>41.67</v>
      </c>
      <c r="F338" s="343">
        <f t="shared" si="209"/>
        <v>69774.16</v>
      </c>
      <c r="G338" s="343">
        <f t="shared" si="210"/>
        <v>54287.32</v>
      </c>
      <c r="H338" s="343">
        <f t="shared" si="200"/>
        <v>12992.780000000015</v>
      </c>
      <c r="I338" s="411">
        <f t="shared" si="201"/>
        <v>23</v>
      </c>
      <c r="J338" s="343">
        <f t="shared" si="211"/>
        <v>150652.35999999987</v>
      </c>
      <c r="K338" s="343">
        <f t="shared" si="190"/>
        <v>2298.4699999999998</v>
      </c>
      <c r="L338" s="343">
        <f t="shared" si="221"/>
        <v>1451.0499999999997</v>
      </c>
      <c r="M338" s="343">
        <f t="shared" si="191"/>
        <v>847.42</v>
      </c>
      <c r="N338" s="343">
        <f t="shared" si="212"/>
        <v>205173.68999999997</v>
      </c>
      <c r="O338" s="343">
        <f t="shared" si="213"/>
        <v>436099.43999999989</v>
      </c>
      <c r="P338" s="343">
        <f t="shared" si="202"/>
        <v>149201.30999999988</v>
      </c>
      <c r="Q338" s="502">
        <f t="shared" si="203"/>
        <v>54099</v>
      </c>
      <c r="R338" s="343">
        <f t="shared" si="189"/>
        <v>0</v>
      </c>
      <c r="S338" s="493">
        <f t="shared" si="214"/>
        <v>6.7500000000000004E-2</v>
      </c>
      <c r="T338" s="343">
        <f t="shared" si="204"/>
        <v>0</v>
      </c>
      <c r="U338" s="343">
        <f t="shared" si="192"/>
        <v>0</v>
      </c>
      <c r="V338" s="343">
        <f t="shared" si="205"/>
        <v>0</v>
      </c>
      <c r="W338" s="343">
        <f t="shared" si="185"/>
        <v>0</v>
      </c>
      <c r="X338" s="343">
        <f t="shared" si="186"/>
        <v>0</v>
      </c>
      <c r="Y338" s="343">
        <f t="shared" si="193"/>
        <v>0</v>
      </c>
      <c r="Z338" s="343">
        <f t="shared" si="194"/>
        <v>357260.75999999995</v>
      </c>
      <c r="AA338" s="343">
        <f t="shared" si="195"/>
        <v>179976.28000000012</v>
      </c>
      <c r="AB338" s="343">
        <f t="shared" si="206"/>
        <v>0</v>
      </c>
      <c r="AC338" s="411">
        <f t="shared" si="215"/>
        <v>278</v>
      </c>
      <c r="AD338" s="511">
        <f t="shared" si="216"/>
        <v>104036.09000000007</v>
      </c>
      <c r="AE338" s="511">
        <f t="shared" si="187"/>
        <v>-12992.780000000015</v>
      </c>
      <c r="AF338" s="511">
        <f t="shared" si="188"/>
        <v>91043.310000000056</v>
      </c>
      <c r="AG338" s="511">
        <f t="shared" si="217"/>
        <v>-382.11</v>
      </c>
      <c r="AH338" s="511">
        <f t="shared" si="218"/>
        <v>72672.300000000105</v>
      </c>
      <c r="AI338" s="511"/>
      <c r="AJ338" s="21">
        <f t="shared" si="196"/>
        <v>-382.11</v>
      </c>
      <c r="AK338" s="21">
        <f t="shared" si="197"/>
        <v>426043.02999999956</v>
      </c>
      <c r="AL338" s="511">
        <f>IF(R338&lt;=0,0,+(Profit!$B$4+AM337)*$AL$1/12)</f>
        <v>0</v>
      </c>
      <c r="AM338" s="21">
        <f t="shared" si="219"/>
        <v>227647.99117059269</v>
      </c>
    </row>
    <row r="339" spans="1:39" x14ac:dyDescent="0.25">
      <c r="A339" s="499">
        <f t="shared" si="207"/>
        <v>54129</v>
      </c>
      <c r="B339" s="288">
        <f t="shared" si="208"/>
        <v>12992.780000000015</v>
      </c>
      <c r="C339" s="14">
        <f t="shared" si="198"/>
        <v>382.11</v>
      </c>
      <c r="D339" s="14">
        <f t="shared" si="220"/>
        <v>341.51</v>
      </c>
      <c r="E339" s="14">
        <f t="shared" si="199"/>
        <v>40.6</v>
      </c>
      <c r="F339" s="288">
        <f t="shared" si="209"/>
        <v>70115.67</v>
      </c>
      <c r="G339" s="288">
        <f t="shared" si="210"/>
        <v>54327.92</v>
      </c>
      <c r="H339" s="288">
        <f t="shared" si="200"/>
        <v>12651.270000000015</v>
      </c>
      <c r="I339" s="410">
        <f t="shared" si="201"/>
        <v>23</v>
      </c>
      <c r="J339" s="288">
        <f t="shared" si="211"/>
        <v>149201.30999999988</v>
      </c>
      <c r="K339" s="288">
        <f t="shared" si="190"/>
        <v>2298.4699999999998</v>
      </c>
      <c r="L339" s="288">
        <f t="shared" si="221"/>
        <v>1459.2099999999998</v>
      </c>
      <c r="M339" s="288">
        <f t="shared" si="191"/>
        <v>839.26</v>
      </c>
      <c r="N339" s="288">
        <f t="shared" si="212"/>
        <v>206632.89999999997</v>
      </c>
      <c r="O339" s="288">
        <f t="shared" si="213"/>
        <v>436938.6999999999</v>
      </c>
      <c r="P339" s="288">
        <f t="shared" si="202"/>
        <v>147742.09999999989</v>
      </c>
      <c r="Q339" s="499">
        <f t="shared" si="203"/>
        <v>54129</v>
      </c>
      <c r="R339" s="288">
        <f t="shared" si="189"/>
        <v>0</v>
      </c>
      <c r="S339" s="492">
        <f t="shared" si="214"/>
        <v>6.7500000000000004E-2</v>
      </c>
      <c r="T339" s="288">
        <f t="shared" si="204"/>
        <v>0</v>
      </c>
      <c r="U339" s="288">
        <f t="shared" si="192"/>
        <v>0</v>
      </c>
      <c r="V339" s="288">
        <f t="shared" si="205"/>
        <v>0</v>
      </c>
      <c r="W339" s="288">
        <f t="shared" si="185"/>
        <v>0</v>
      </c>
      <c r="X339" s="288">
        <f t="shared" si="186"/>
        <v>0</v>
      </c>
      <c r="Y339" s="288">
        <f t="shared" si="193"/>
        <v>0</v>
      </c>
      <c r="Z339" s="288">
        <f t="shared" si="194"/>
        <v>357260.75999999995</v>
      </c>
      <c r="AA339" s="288">
        <f t="shared" si="195"/>
        <v>179976.28000000012</v>
      </c>
      <c r="AB339" s="288">
        <f t="shared" si="206"/>
        <v>0</v>
      </c>
      <c r="AC339" s="410">
        <f t="shared" si="215"/>
        <v>279</v>
      </c>
      <c r="AD339" s="510">
        <f t="shared" si="216"/>
        <v>106334.56000000007</v>
      </c>
      <c r="AE339" s="510">
        <f t="shared" si="187"/>
        <v>-12651.270000000015</v>
      </c>
      <c r="AF339" s="510">
        <f t="shared" si="188"/>
        <v>93683.290000000052</v>
      </c>
      <c r="AG339" s="510">
        <f t="shared" si="217"/>
        <v>-382.11</v>
      </c>
      <c r="AH339" s="510">
        <f t="shared" si="218"/>
        <v>73013.810000000056</v>
      </c>
      <c r="AI339" s="510"/>
      <c r="AJ339" s="14">
        <f t="shared" si="196"/>
        <v>-382.11</v>
      </c>
      <c r="AK339" s="14">
        <f t="shared" si="197"/>
        <v>425660.91999999958</v>
      </c>
      <c r="AL339" s="510">
        <f>IF(R339&lt;=0,0,+(Profit!$B$4+AM338)*$AL$1/12)</f>
        <v>0</v>
      </c>
      <c r="AM339" s="14">
        <f t="shared" si="219"/>
        <v>227647.99117059269</v>
      </c>
    </row>
    <row r="340" spans="1:39" x14ac:dyDescent="0.25">
      <c r="A340" s="499">
        <f t="shared" si="207"/>
        <v>54159</v>
      </c>
      <c r="B340" s="288">
        <f t="shared" si="208"/>
        <v>12651.270000000015</v>
      </c>
      <c r="C340" s="14">
        <f t="shared" si="198"/>
        <v>382.11</v>
      </c>
      <c r="D340" s="14">
        <f t="shared" si="220"/>
        <v>342.57</v>
      </c>
      <c r="E340" s="14">
        <f t="shared" si="199"/>
        <v>39.54</v>
      </c>
      <c r="F340" s="288">
        <f t="shared" si="209"/>
        <v>70458.240000000005</v>
      </c>
      <c r="G340" s="288">
        <f t="shared" si="210"/>
        <v>54367.46</v>
      </c>
      <c r="H340" s="288">
        <f t="shared" si="200"/>
        <v>12308.700000000015</v>
      </c>
      <c r="I340" s="410">
        <f t="shared" si="201"/>
        <v>23</v>
      </c>
      <c r="J340" s="288">
        <f t="shared" si="211"/>
        <v>147742.09999999989</v>
      </c>
      <c r="K340" s="288">
        <f t="shared" si="190"/>
        <v>2298.4699999999998</v>
      </c>
      <c r="L340" s="288">
        <f t="shared" si="221"/>
        <v>1467.4199999999998</v>
      </c>
      <c r="M340" s="288">
        <f t="shared" si="191"/>
        <v>831.05</v>
      </c>
      <c r="N340" s="288">
        <f t="shared" si="212"/>
        <v>208100.31999999998</v>
      </c>
      <c r="O340" s="288">
        <f t="shared" si="213"/>
        <v>437769.74999999988</v>
      </c>
      <c r="P340" s="288">
        <f t="shared" si="202"/>
        <v>146274.67999999988</v>
      </c>
      <c r="Q340" s="499">
        <f t="shared" si="203"/>
        <v>54159</v>
      </c>
      <c r="R340" s="288">
        <f t="shared" si="189"/>
        <v>0</v>
      </c>
      <c r="S340" s="492">
        <f t="shared" si="214"/>
        <v>6.7500000000000004E-2</v>
      </c>
      <c r="T340" s="288">
        <f t="shared" si="204"/>
        <v>0</v>
      </c>
      <c r="U340" s="288">
        <f t="shared" si="192"/>
        <v>0</v>
      </c>
      <c r="V340" s="288">
        <f t="shared" si="205"/>
        <v>0</v>
      </c>
      <c r="W340" s="288">
        <f t="shared" si="185"/>
        <v>0</v>
      </c>
      <c r="X340" s="288">
        <f t="shared" si="186"/>
        <v>0</v>
      </c>
      <c r="Y340" s="288">
        <f t="shared" si="193"/>
        <v>0</v>
      </c>
      <c r="Z340" s="288">
        <f t="shared" si="194"/>
        <v>357260.75999999995</v>
      </c>
      <c r="AA340" s="288">
        <f t="shared" si="195"/>
        <v>179976.28000000012</v>
      </c>
      <c r="AB340" s="288">
        <f t="shared" si="206"/>
        <v>0</v>
      </c>
      <c r="AC340" s="410">
        <f t="shared" si="215"/>
        <v>280</v>
      </c>
      <c r="AD340" s="510">
        <f t="shared" si="216"/>
        <v>108633.03000000007</v>
      </c>
      <c r="AE340" s="510">
        <f t="shared" si="187"/>
        <v>-12308.700000000015</v>
      </c>
      <c r="AF340" s="510">
        <f t="shared" si="188"/>
        <v>96324.33000000006</v>
      </c>
      <c r="AG340" s="510">
        <f t="shared" si="217"/>
        <v>-382.11</v>
      </c>
      <c r="AH340" s="510">
        <f t="shared" si="218"/>
        <v>73356.380000000063</v>
      </c>
      <c r="AI340" s="510"/>
      <c r="AJ340" s="14">
        <f t="shared" si="196"/>
        <v>-382.11</v>
      </c>
      <c r="AK340" s="14">
        <f t="shared" si="197"/>
        <v>425278.80999999959</v>
      </c>
      <c r="AL340" s="510">
        <f>IF(R340&lt;=0,0,+(Profit!$B$4+AM339)*$AL$1/12)</f>
        <v>0</v>
      </c>
      <c r="AM340" s="14">
        <f t="shared" si="219"/>
        <v>227647.99117059269</v>
      </c>
    </row>
    <row r="341" spans="1:39" x14ac:dyDescent="0.25">
      <c r="A341" s="499">
        <f t="shared" si="207"/>
        <v>54189</v>
      </c>
      <c r="B341" s="288">
        <f t="shared" si="208"/>
        <v>12308.700000000015</v>
      </c>
      <c r="C341" s="14">
        <f t="shared" si="198"/>
        <v>382.11</v>
      </c>
      <c r="D341" s="14">
        <f t="shared" si="220"/>
        <v>343.65000000000003</v>
      </c>
      <c r="E341" s="14">
        <f t="shared" si="199"/>
        <v>38.46</v>
      </c>
      <c r="F341" s="288">
        <f t="shared" si="209"/>
        <v>70801.89</v>
      </c>
      <c r="G341" s="288">
        <f t="shared" si="210"/>
        <v>54405.919999999998</v>
      </c>
      <c r="H341" s="288">
        <f t="shared" si="200"/>
        <v>11965.050000000016</v>
      </c>
      <c r="I341" s="410">
        <f t="shared" si="201"/>
        <v>23</v>
      </c>
      <c r="J341" s="288">
        <f t="shared" si="211"/>
        <v>146274.67999999988</v>
      </c>
      <c r="K341" s="288">
        <f t="shared" si="190"/>
        <v>2298.4699999999998</v>
      </c>
      <c r="L341" s="288">
        <f t="shared" si="221"/>
        <v>1475.6699999999998</v>
      </c>
      <c r="M341" s="288">
        <f t="shared" si="191"/>
        <v>822.8</v>
      </c>
      <c r="N341" s="288">
        <f t="shared" si="212"/>
        <v>209575.99</v>
      </c>
      <c r="O341" s="288">
        <f t="shared" si="213"/>
        <v>438592.54999999987</v>
      </c>
      <c r="P341" s="288">
        <f t="shared" si="202"/>
        <v>144799.00999999986</v>
      </c>
      <c r="Q341" s="499">
        <f t="shared" si="203"/>
        <v>54189</v>
      </c>
      <c r="R341" s="288">
        <f t="shared" si="189"/>
        <v>0</v>
      </c>
      <c r="S341" s="492">
        <f t="shared" si="214"/>
        <v>6.7500000000000004E-2</v>
      </c>
      <c r="T341" s="288">
        <f t="shared" si="204"/>
        <v>0</v>
      </c>
      <c r="U341" s="288">
        <f t="shared" si="192"/>
        <v>0</v>
      </c>
      <c r="V341" s="288">
        <f t="shared" si="205"/>
        <v>0</v>
      </c>
      <c r="W341" s="288">
        <f t="shared" si="185"/>
        <v>0</v>
      </c>
      <c r="X341" s="288">
        <f t="shared" si="186"/>
        <v>0</v>
      </c>
      <c r="Y341" s="288">
        <f t="shared" si="193"/>
        <v>0</v>
      </c>
      <c r="Z341" s="288">
        <f t="shared" si="194"/>
        <v>357260.75999999995</v>
      </c>
      <c r="AA341" s="288">
        <f t="shared" si="195"/>
        <v>179976.28000000012</v>
      </c>
      <c r="AB341" s="288">
        <f t="shared" si="206"/>
        <v>0</v>
      </c>
      <c r="AC341" s="410">
        <f t="shared" si="215"/>
        <v>281</v>
      </c>
      <c r="AD341" s="510">
        <f t="shared" si="216"/>
        <v>110931.50000000007</v>
      </c>
      <c r="AE341" s="510">
        <f t="shared" si="187"/>
        <v>-11965.050000000016</v>
      </c>
      <c r="AF341" s="510">
        <f t="shared" si="188"/>
        <v>98966.450000000055</v>
      </c>
      <c r="AG341" s="510">
        <f t="shared" si="217"/>
        <v>-382.11</v>
      </c>
      <c r="AH341" s="510">
        <f t="shared" si="218"/>
        <v>73700.030000000086</v>
      </c>
      <c r="AI341" s="510"/>
      <c r="AJ341" s="14">
        <f t="shared" si="196"/>
        <v>-382.11</v>
      </c>
      <c r="AK341" s="14">
        <f t="shared" si="197"/>
        <v>424896.6999999996</v>
      </c>
      <c r="AL341" s="510">
        <f>IF(R341&lt;=0,0,+(Profit!$B$4+AM340)*$AL$1/12)</f>
        <v>0</v>
      </c>
      <c r="AM341" s="14">
        <f t="shared" si="219"/>
        <v>227647.99117059269</v>
      </c>
    </row>
    <row r="342" spans="1:39" x14ac:dyDescent="0.25">
      <c r="A342" s="499">
        <f t="shared" si="207"/>
        <v>54219</v>
      </c>
      <c r="B342" s="288">
        <f t="shared" si="208"/>
        <v>11965.050000000016</v>
      </c>
      <c r="C342" s="14">
        <f t="shared" si="198"/>
        <v>382.11</v>
      </c>
      <c r="D342" s="14">
        <f t="shared" si="220"/>
        <v>344.72</v>
      </c>
      <c r="E342" s="14">
        <f t="shared" si="199"/>
        <v>37.39</v>
      </c>
      <c r="F342" s="288">
        <f t="shared" si="209"/>
        <v>71146.61</v>
      </c>
      <c r="G342" s="288">
        <f t="shared" si="210"/>
        <v>54443.31</v>
      </c>
      <c r="H342" s="288">
        <f t="shared" si="200"/>
        <v>11620.330000000016</v>
      </c>
      <c r="I342" s="410">
        <f t="shared" si="201"/>
        <v>23</v>
      </c>
      <c r="J342" s="288">
        <f t="shared" si="211"/>
        <v>144799.00999999986</v>
      </c>
      <c r="K342" s="288">
        <f t="shared" si="190"/>
        <v>2298.4699999999998</v>
      </c>
      <c r="L342" s="288">
        <f t="shared" si="221"/>
        <v>1483.9799999999998</v>
      </c>
      <c r="M342" s="288">
        <f t="shared" si="191"/>
        <v>814.49</v>
      </c>
      <c r="N342" s="288">
        <f t="shared" si="212"/>
        <v>211059.97</v>
      </c>
      <c r="O342" s="288">
        <f t="shared" si="213"/>
        <v>439407.03999999986</v>
      </c>
      <c r="P342" s="288">
        <f t="shared" si="202"/>
        <v>143315.02999999985</v>
      </c>
      <c r="Q342" s="499">
        <f t="shared" si="203"/>
        <v>54219</v>
      </c>
      <c r="R342" s="288">
        <f t="shared" si="189"/>
        <v>0</v>
      </c>
      <c r="S342" s="492">
        <f t="shared" si="214"/>
        <v>6.7500000000000004E-2</v>
      </c>
      <c r="T342" s="288">
        <f t="shared" si="204"/>
        <v>0</v>
      </c>
      <c r="U342" s="288">
        <f t="shared" si="192"/>
        <v>0</v>
      </c>
      <c r="V342" s="288">
        <f t="shared" si="205"/>
        <v>0</v>
      </c>
      <c r="W342" s="288">
        <f t="shared" si="185"/>
        <v>0</v>
      </c>
      <c r="X342" s="288">
        <f t="shared" si="186"/>
        <v>0</v>
      </c>
      <c r="Y342" s="288">
        <f t="shared" si="193"/>
        <v>0</v>
      </c>
      <c r="Z342" s="288">
        <f t="shared" si="194"/>
        <v>357260.75999999995</v>
      </c>
      <c r="AA342" s="288">
        <f t="shared" si="195"/>
        <v>179976.28000000012</v>
      </c>
      <c r="AB342" s="288">
        <f t="shared" si="206"/>
        <v>0</v>
      </c>
      <c r="AC342" s="410">
        <f t="shared" si="215"/>
        <v>282</v>
      </c>
      <c r="AD342" s="510">
        <f t="shared" si="216"/>
        <v>113229.97000000007</v>
      </c>
      <c r="AE342" s="510">
        <f t="shared" si="187"/>
        <v>-11620.330000000016</v>
      </c>
      <c r="AF342" s="510">
        <f t="shared" si="188"/>
        <v>101609.64000000006</v>
      </c>
      <c r="AG342" s="510">
        <f t="shared" si="217"/>
        <v>-382.11</v>
      </c>
      <c r="AH342" s="510">
        <f t="shared" si="218"/>
        <v>74044.750000000058</v>
      </c>
      <c r="AI342" s="510"/>
      <c r="AJ342" s="14">
        <f t="shared" si="196"/>
        <v>-382.11</v>
      </c>
      <c r="AK342" s="14">
        <f t="shared" si="197"/>
        <v>424514.58999999962</v>
      </c>
      <c r="AL342" s="510">
        <f>IF(R342&lt;=0,0,+(Profit!$B$4+AM341)*$AL$1/12)</f>
        <v>0</v>
      </c>
      <c r="AM342" s="14">
        <f t="shared" si="219"/>
        <v>227647.99117059269</v>
      </c>
    </row>
    <row r="343" spans="1:39" x14ac:dyDescent="0.25">
      <c r="A343" s="499">
        <f t="shared" si="207"/>
        <v>54249</v>
      </c>
      <c r="B343" s="288">
        <f t="shared" si="208"/>
        <v>11620.330000000016</v>
      </c>
      <c r="C343" s="14">
        <f t="shared" si="198"/>
        <v>382.11</v>
      </c>
      <c r="D343" s="14">
        <f t="shared" si="220"/>
        <v>345.8</v>
      </c>
      <c r="E343" s="14">
        <f t="shared" si="199"/>
        <v>36.31</v>
      </c>
      <c r="F343" s="288">
        <f t="shared" si="209"/>
        <v>71492.41</v>
      </c>
      <c r="G343" s="288">
        <f t="shared" si="210"/>
        <v>54479.619999999995</v>
      </c>
      <c r="H343" s="288">
        <f t="shared" si="200"/>
        <v>11274.530000000017</v>
      </c>
      <c r="I343" s="410">
        <f t="shared" si="201"/>
        <v>23</v>
      </c>
      <c r="J343" s="288">
        <f t="shared" si="211"/>
        <v>143315.02999999985</v>
      </c>
      <c r="K343" s="288">
        <f t="shared" si="190"/>
        <v>2298.4699999999998</v>
      </c>
      <c r="L343" s="288">
        <f t="shared" si="221"/>
        <v>1492.3199999999997</v>
      </c>
      <c r="M343" s="288">
        <f t="shared" si="191"/>
        <v>806.15</v>
      </c>
      <c r="N343" s="288">
        <f t="shared" si="212"/>
        <v>212552.29</v>
      </c>
      <c r="O343" s="288">
        <f t="shared" si="213"/>
        <v>440213.18999999989</v>
      </c>
      <c r="P343" s="288">
        <f t="shared" si="202"/>
        <v>141822.70999999985</v>
      </c>
      <c r="Q343" s="499">
        <f t="shared" si="203"/>
        <v>54249</v>
      </c>
      <c r="R343" s="288">
        <f t="shared" si="189"/>
        <v>0</v>
      </c>
      <c r="S343" s="492">
        <f t="shared" si="214"/>
        <v>6.7500000000000004E-2</v>
      </c>
      <c r="T343" s="288">
        <f t="shared" si="204"/>
        <v>0</v>
      </c>
      <c r="U343" s="288">
        <f t="shared" si="192"/>
        <v>0</v>
      </c>
      <c r="V343" s="288">
        <f t="shared" si="205"/>
        <v>0</v>
      </c>
      <c r="W343" s="288">
        <f t="shared" si="185"/>
        <v>0</v>
      </c>
      <c r="X343" s="288">
        <f t="shared" si="186"/>
        <v>0</v>
      </c>
      <c r="Y343" s="288">
        <f t="shared" si="193"/>
        <v>0</v>
      </c>
      <c r="Z343" s="288">
        <f t="shared" si="194"/>
        <v>357260.75999999995</v>
      </c>
      <c r="AA343" s="288">
        <f t="shared" si="195"/>
        <v>179976.28000000012</v>
      </c>
      <c r="AB343" s="288">
        <f t="shared" si="206"/>
        <v>0</v>
      </c>
      <c r="AC343" s="410">
        <f t="shared" si="215"/>
        <v>283</v>
      </c>
      <c r="AD343" s="510">
        <f t="shared" si="216"/>
        <v>115528.44000000008</v>
      </c>
      <c r="AE343" s="510">
        <f t="shared" si="187"/>
        <v>-11274.530000000017</v>
      </c>
      <c r="AF343" s="510">
        <f t="shared" si="188"/>
        <v>104253.91000000006</v>
      </c>
      <c r="AG343" s="510">
        <f t="shared" si="217"/>
        <v>-382.11</v>
      </c>
      <c r="AH343" s="510">
        <f t="shared" si="218"/>
        <v>74390.550000000105</v>
      </c>
      <c r="AI343" s="510"/>
      <c r="AJ343" s="14">
        <f t="shared" si="196"/>
        <v>-382.11</v>
      </c>
      <c r="AK343" s="14">
        <f t="shared" si="197"/>
        <v>424132.47999999963</v>
      </c>
      <c r="AL343" s="510">
        <f>IF(R343&lt;=0,0,+(Profit!$B$4+AM342)*$AL$1/12)</f>
        <v>0</v>
      </c>
      <c r="AM343" s="14">
        <f t="shared" si="219"/>
        <v>227647.99117059269</v>
      </c>
    </row>
    <row r="344" spans="1:39" x14ac:dyDescent="0.25">
      <c r="A344" s="499">
        <f t="shared" si="207"/>
        <v>54279</v>
      </c>
      <c r="B344" s="288">
        <f t="shared" si="208"/>
        <v>11274.530000000017</v>
      </c>
      <c r="C344" s="14">
        <f t="shared" si="198"/>
        <v>382.11</v>
      </c>
      <c r="D344" s="14">
        <f t="shared" si="220"/>
        <v>346.88</v>
      </c>
      <c r="E344" s="14">
        <f t="shared" si="199"/>
        <v>35.229999999999997</v>
      </c>
      <c r="F344" s="288">
        <f t="shared" si="209"/>
        <v>71839.290000000008</v>
      </c>
      <c r="G344" s="288">
        <f t="shared" si="210"/>
        <v>54514.85</v>
      </c>
      <c r="H344" s="288">
        <f t="shared" si="200"/>
        <v>10927.650000000018</v>
      </c>
      <c r="I344" s="410">
        <f t="shared" si="201"/>
        <v>23</v>
      </c>
      <c r="J344" s="288">
        <f t="shared" si="211"/>
        <v>141822.70999999985</v>
      </c>
      <c r="K344" s="288">
        <f t="shared" si="190"/>
        <v>2298.4699999999998</v>
      </c>
      <c r="L344" s="288">
        <f t="shared" si="221"/>
        <v>1500.7199999999998</v>
      </c>
      <c r="M344" s="288">
        <f t="shared" si="191"/>
        <v>797.75</v>
      </c>
      <c r="N344" s="288">
        <f t="shared" si="212"/>
        <v>214053.01</v>
      </c>
      <c r="O344" s="288">
        <f t="shared" si="213"/>
        <v>441010.93999999989</v>
      </c>
      <c r="P344" s="288">
        <f t="shared" si="202"/>
        <v>140321.98999999985</v>
      </c>
      <c r="Q344" s="499">
        <f t="shared" si="203"/>
        <v>54279</v>
      </c>
      <c r="R344" s="288">
        <f t="shared" si="189"/>
        <v>0</v>
      </c>
      <c r="S344" s="492">
        <f t="shared" si="214"/>
        <v>6.7500000000000004E-2</v>
      </c>
      <c r="T344" s="288">
        <f t="shared" si="204"/>
        <v>0</v>
      </c>
      <c r="U344" s="288">
        <f t="shared" si="192"/>
        <v>0</v>
      </c>
      <c r="V344" s="288">
        <f t="shared" si="205"/>
        <v>0</v>
      </c>
      <c r="W344" s="288">
        <f t="shared" si="185"/>
        <v>0</v>
      </c>
      <c r="X344" s="288">
        <f t="shared" si="186"/>
        <v>0</v>
      </c>
      <c r="Y344" s="288">
        <f t="shared" si="193"/>
        <v>0</v>
      </c>
      <c r="Z344" s="288">
        <f t="shared" si="194"/>
        <v>357260.75999999995</v>
      </c>
      <c r="AA344" s="288">
        <f t="shared" si="195"/>
        <v>179976.28000000012</v>
      </c>
      <c r="AB344" s="288">
        <f t="shared" si="206"/>
        <v>0</v>
      </c>
      <c r="AC344" s="410">
        <f t="shared" si="215"/>
        <v>284</v>
      </c>
      <c r="AD344" s="510">
        <f t="shared" si="216"/>
        <v>117826.91000000008</v>
      </c>
      <c r="AE344" s="510">
        <f t="shared" si="187"/>
        <v>-10927.650000000018</v>
      </c>
      <c r="AF344" s="510">
        <f t="shared" si="188"/>
        <v>106899.26000000005</v>
      </c>
      <c r="AG344" s="510">
        <f t="shared" si="217"/>
        <v>-382.11</v>
      </c>
      <c r="AH344" s="510">
        <f t="shared" si="218"/>
        <v>74737.430000000109</v>
      </c>
      <c r="AI344" s="510"/>
      <c r="AJ344" s="14">
        <f t="shared" si="196"/>
        <v>-382.11</v>
      </c>
      <c r="AK344" s="14">
        <f t="shared" si="197"/>
        <v>423750.36999999965</v>
      </c>
      <c r="AL344" s="510">
        <f>IF(R344&lt;=0,0,+(Profit!$B$4+AM343)*$AL$1/12)</f>
        <v>0</v>
      </c>
      <c r="AM344" s="14">
        <f t="shared" si="219"/>
        <v>227647.99117059269</v>
      </c>
    </row>
    <row r="345" spans="1:39" x14ac:dyDescent="0.25">
      <c r="A345" s="499">
        <f t="shared" si="207"/>
        <v>54309</v>
      </c>
      <c r="B345" s="288">
        <f t="shared" si="208"/>
        <v>10927.650000000018</v>
      </c>
      <c r="C345" s="14">
        <f t="shared" si="198"/>
        <v>382.11</v>
      </c>
      <c r="D345" s="14">
        <f t="shared" si="220"/>
        <v>347.96000000000004</v>
      </c>
      <c r="E345" s="14">
        <f t="shared" si="199"/>
        <v>34.15</v>
      </c>
      <c r="F345" s="288">
        <f t="shared" si="209"/>
        <v>72187.250000000015</v>
      </c>
      <c r="G345" s="288">
        <f t="shared" si="210"/>
        <v>54549</v>
      </c>
      <c r="H345" s="288">
        <f t="shared" si="200"/>
        <v>10579.690000000017</v>
      </c>
      <c r="I345" s="410">
        <f t="shared" si="201"/>
        <v>23</v>
      </c>
      <c r="J345" s="288">
        <f t="shared" si="211"/>
        <v>140321.98999999985</v>
      </c>
      <c r="K345" s="288">
        <f t="shared" si="190"/>
        <v>2298.4699999999998</v>
      </c>
      <c r="L345" s="288">
        <f t="shared" si="221"/>
        <v>1509.1599999999999</v>
      </c>
      <c r="M345" s="288">
        <f t="shared" si="191"/>
        <v>789.31</v>
      </c>
      <c r="N345" s="288">
        <f t="shared" si="212"/>
        <v>215562.17</v>
      </c>
      <c r="O345" s="288">
        <f t="shared" si="213"/>
        <v>441800.24999999988</v>
      </c>
      <c r="P345" s="288">
        <f t="shared" si="202"/>
        <v>138812.82999999984</v>
      </c>
      <c r="Q345" s="499">
        <f t="shared" si="203"/>
        <v>54309</v>
      </c>
      <c r="R345" s="288">
        <f t="shared" si="189"/>
        <v>0</v>
      </c>
      <c r="S345" s="492">
        <f t="shared" si="214"/>
        <v>6.7500000000000004E-2</v>
      </c>
      <c r="T345" s="288">
        <f t="shared" si="204"/>
        <v>0</v>
      </c>
      <c r="U345" s="288">
        <f t="shared" si="192"/>
        <v>0</v>
      </c>
      <c r="V345" s="288">
        <f t="shared" si="205"/>
        <v>0</v>
      </c>
      <c r="W345" s="288">
        <f t="shared" si="185"/>
        <v>0</v>
      </c>
      <c r="X345" s="288">
        <f t="shared" si="186"/>
        <v>0</v>
      </c>
      <c r="Y345" s="288">
        <f t="shared" si="193"/>
        <v>0</v>
      </c>
      <c r="Z345" s="288">
        <f t="shared" si="194"/>
        <v>357260.75999999995</v>
      </c>
      <c r="AA345" s="288">
        <f t="shared" si="195"/>
        <v>179976.28000000012</v>
      </c>
      <c r="AB345" s="288">
        <f t="shared" si="206"/>
        <v>0</v>
      </c>
      <c r="AC345" s="410">
        <f t="shared" si="215"/>
        <v>285</v>
      </c>
      <c r="AD345" s="510">
        <f t="shared" si="216"/>
        <v>120125.38000000008</v>
      </c>
      <c r="AE345" s="510">
        <f t="shared" si="187"/>
        <v>-10579.690000000017</v>
      </c>
      <c r="AF345" s="510">
        <f t="shared" si="188"/>
        <v>109545.69000000006</v>
      </c>
      <c r="AG345" s="510">
        <f t="shared" si="217"/>
        <v>-382.11</v>
      </c>
      <c r="AH345" s="510">
        <f t="shared" si="218"/>
        <v>75085.390000000072</v>
      </c>
      <c r="AI345" s="510"/>
      <c r="AJ345" s="14">
        <f t="shared" si="196"/>
        <v>-382.11</v>
      </c>
      <c r="AK345" s="14">
        <f t="shared" si="197"/>
        <v>423368.25999999966</v>
      </c>
      <c r="AL345" s="510">
        <f>IF(R345&lt;=0,0,+(Profit!$B$4+AM344)*$AL$1/12)</f>
        <v>0</v>
      </c>
      <c r="AM345" s="14">
        <f t="shared" si="219"/>
        <v>227647.99117059269</v>
      </c>
    </row>
    <row r="346" spans="1:39" x14ac:dyDescent="0.25">
      <c r="A346" s="499">
        <f t="shared" si="207"/>
        <v>54339</v>
      </c>
      <c r="B346" s="288">
        <f t="shared" si="208"/>
        <v>10579.690000000017</v>
      </c>
      <c r="C346" s="14">
        <f t="shared" si="198"/>
        <v>382.11</v>
      </c>
      <c r="D346" s="14">
        <f t="shared" si="220"/>
        <v>349.05</v>
      </c>
      <c r="E346" s="14">
        <f t="shared" si="199"/>
        <v>33.06</v>
      </c>
      <c r="F346" s="288">
        <f t="shared" si="209"/>
        <v>72536.300000000017</v>
      </c>
      <c r="G346" s="288">
        <f t="shared" si="210"/>
        <v>54582.06</v>
      </c>
      <c r="H346" s="288">
        <f t="shared" si="200"/>
        <v>10230.640000000018</v>
      </c>
      <c r="I346" s="410">
        <f t="shared" si="201"/>
        <v>23</v>
      </c>
      <c r="J346" s="288">
        <f t="shared" si="211"/>
        <v>138812.82999999984</v>
      </c>
      <c r="K346" s="288">
        <f t="shared" si="190"/>
        <v>2298.4699999999998</v>
      </c>
      <c r="L346" s="288">
        <f t="shared" si="221"/>
        <v>1517.6499999999996</v>
      </c>
      <c r="M346" s="288">
        <f t="shared" si="191"/>
        <v>780.82</v>
      </c>
      <c r="N346" s="288">
        <f t="shared" si="212"/>
        <v>217079.82</v>
      </c>
      <c r="O346" s="288">
        <f t="shared" si="213"/>
        <v>442581.06999999989</v>
      </c>
      <c r="P346" s="288">
        <f t="shared" si="202"/>
        <v>137295.17999999985</v>
      </c>
      <c r="Q346" s="499">
        <f t="shared" si="203"/>
        <v>54339</v>
      </c>
      <c r="R346" s="288">
        <f t="shared" si="189"/>
        <v>0</v>
      </c>
      <c r="S346" s="492">
        <f t="shared" si="214"/>
        <v>6.7500000000000004E-2</v>
      </c>
      <c r="T346" s="288">
        <f t="shared" si="204"/>
        <v>0</v>
      </c>
      <c r="U346" s="288">
        <f t="shared" si="192"/>
        <v>0</v>
      </c>
      <c r="V346" s="288">
        <f t="shared" si="205"/>
        <v>0</v>
      </c>
      <c r="W346" s="288">
        <f t="shared" si="185"/>
        <v>0</v>
      </c>
      <c r="X346" s="288">
        <f t="shared" si="186"/>
        <v>0</v>
      </c>
      <c r="Y346" s="288">
        <f t="shared" si="193"/>
        <v>0</v>
      </c>
      <c r="Z346" s="288">
        <f t="shared" si="194"/>
        <v>357260.75999999995</v>
      </c>
      <c r="AA346" s="288">
        <f t="shared" si="195"/>
        <v>179976.28000000012</v>
      </c>
      <c r="AB346" s="288">
        <f t="shared" si="206"/>
        <v>0</v>
      </c>
      <c r="AC346" s="410">
        <f t="shared" si="215"/>
        <v>286</v>
      </c>
      <c r="AD346" s="510">
        <f t="shared" si="216"/>
        <v>122423.85000000008</v>
      </c>
      <c r="AE346" s="510">
        <f t="shared" si="187"/>
        <v>-10230.640000000018</v>
      </c>
      <c r="AF346" s="510">
        <f t="shared" si="188"/>
        <v>112193.21000000006</v>
      </c>
      <c r="AG346" s="510">
        <f t="shared" si="217"/>
        <v>-382.11</v>
      </c>
      <c r="AH346" s="510">
        <f t="shared" si="218"/>
        <v>75434.440000000119</v>
      </c>
      <c r="AI346" s="510"/>
      <c r="AJ346" s="14">
        <f t="shared" si="196"/>
        <v>-382.11</v>
      </c>
      <c r="AK346" s="14">
        <f t="shared" si="197"/>
        <v>422986.14999999967</v>
      </c>
      <c r="AL346" s="510">
        <f>IF(R346&lt;=0,0,+(Profit!$B$4+AM345)*$AL$1/12)</f>
        <v>0</v>
      </c>
      <c r="AM346" s="14">
        <f t="shared" si="219"/>
        <v>227647.99117059269</v>
      </c>
    </row>
    <row r="347" spans="1:39" x14ac:dyDescent="0.25">
      <c r="A347" s="499">
        <f t="shared" si="207"/>
        <v>54369</v>
      </c>
      <c r="B347" s="288">
        <f t="shared" si="208"/>
        <v>10230.640000000018</v>
      </c>
      <c r="C347" s="14">
        <f t="shared" si="198"/>
        <v>382.11</v>
      </c>
      <c r="D347" s="14">
        <f t="shared" si="220"/>
        <v>350.14</v>
      </c>
      <c r="E347" s="14">
        <f t="shared" si="199"/>
        <v>31.97</v>
      </c>
      <c r="F347" s="288">
        <f t="shared" si="209"/>
        <v>72886.440000000017</v>
      </c>
      <c r="G347" s="288">
        <f t="shared" si="210"/>
        <v>54614.03</v>
      </c>
      <c r="H347" s="288">
        <f t="shared" si="200"/>
        <v>9880.5000000000182</v>
      </c>
      <c r="I347" s="410">
        <f t="shared" si="201"/>
        <v>23</v>
      </c>
      <c r="J347" s="288">
        <f t="shared" si="211"/>
        <v>137295.17999999985</v>
      </c>
      <c r="K347" s="288">
        <f t="shared" si="190"/>
        <v>2298.4699999999998</v>
      </c>
      <c r="L347" s="288">
        <f t="shared" si="221"/>
        <v>1526.1799999999998</v>
      </c>
      <c r="M347" s="288">
        <f t="shared" si="191"/>
        <v>772.29</v>
      </c>
      <c r="N347" s="288">
        <f t="shared" si="212"/>
        <v>218606</v>
      </c>
      <c r="O347" s="288">
        <f t="shared" si="213"/>
        <v>443353.35999999987</v>
      </c>
      <c r="P347" s="288">
        <f t="shared" si="202"/>
        <v>135768.99999999985</v>
      </c>
      <c r="Q347" s="499">
        <f t="shared" si="203"/>
        <v>54369</v>
      </c>
      <c r="R347" s="288">
        <f t="shared" si="189"/>
        <v>0</v>
      </c>
      <c r="S347" s="492">
        <f t="shared" si="214"/>
        <v>6.7500000000000004E-2</v>
      </c>
      <c r="T347" s="288">
        <f t="shared" si="204"/>
        <v>0</v>
      </c>
      <c r="U347" s="288">
        <f t="shared" si="192"/>
        <v>0</v>
      </c>
      <c r="V347" s="288">
        <f t="shared" si="205"/>
        <v>0</v>
      </c>
      <c r="W347" s="288">
        <f t="shared" si="185"/>
        <v>0</v>
      </c>
      <c r="X347" s="288">
        <f t="shared" si="186"/>
        <v>0</v>
      </c>
      <c r="Y347" s="288">
        <f t="shared" si="193"/>
        <v>0</v>
      </c>
      <c r="Z347" s="288">
        <f t="shared" si="194"/>
        <v>357260.75999999995</v>
      </c>
      <c r="AA347" s="288">
        <f t="shared" si="195"/>
        <v>179976.28000000012</v>
      </c>
      <c r="AB347" s="288">
        <f t="shared" si="206"/>
        <v>0</v>
      </c>
      <c r="AC347" s="410">
        <f t="shared" si="215"/>
        <v>287</v>
      </c>
      <c r="AD347" s="510">
        <f t="shared" si="216"/>
        <v>124722.32000000008</v>
      </c>
      <c r="AE347" s="510">
        <f t="shared" si="187"/>
        <v>-9880.5000000000182</v>
      </c>
      <c r="AF347" s="510">
        <f t="shared" si="188"/>
        <v>114841.82000000007</v>
      </c>
      <c r="AG347" s="510">
        <f t="shared" si="217"/>
        <v>-382.11</v>
      </c>
      <c r="AH347" s="510">
        <f t="shared" si="218"/>
        <v>75784.580000000075</v>
      </c>
      <c r="AI347" s="510"/>
      <c r="AJ347" s="14">
        <f t="shared" si="196"/>
        <v>-382.11</v>
      </c>
      <c r="AK347" s="14">
        <f t="shared" si="197"/>
        <v>422604.03999999969</v>
      </c>
      <c r="AL347" s="510">
        <f>IF(R347&lt;=0,0,+(Profit!$B$4+AM346)*$AL$1/12)</f>
        <v>0</v>
      </c>
      <c r="AM347" s="14">
        <f t="shared" si="219"/>
        <v>227647.99117059269</v>
      </c>
    </row>
    <row r="348" spans="1:39" x14ac:dyDescent="0.25">
      <c r="A348" s="499">
        <f t="shared" si="207"/>
        <v>54399</v>
      </c>
      <c r="B348" s="288">
        <f t="shared" si="208"/>
        <v>9880.5000000000182</v>
      </c>
      <c r="C348" s="14">
        <f t="shared" si="198"/>
        <v>382.11</v>
      </c>
      <c r="D348" s="14">
        <f t="shared" si="220"/>
        <v>351.23</v>
      </c>
      <c r="E348" s="14">
        <f t="shared" si="199"/>
        <v>30.88</v>
      </c>
      <c r="F348" s="288">
        <f t="shared" si="209"/>
        <v>73237.670000000013</v>
      </c>
      <c r="G348" s="288">
        <f t="shared" si="210"/>
        <v>54644.909999999996</v>
      </c>
      <c r="H348" s="288">
        <f t="shared" si="200"/>
        <v>9529.2700000000186</v>
      </c>
      <c r="I348" s="410">
        <f t="shared" si="201"/>
        <v>24</v>
      </c>
      <c r="J348" s="288">
        <f t="shared" si="211"/>
        <v>135768.99999999985</v>
      </c>
      <c r="K348" s="288">
        <f t="shared" si="190"/>
        <v>2298.4699999999998</v>
      </c>
      <c r="L348" s="288">
        <f t="shared" si="221"/>
        <v>1534.7699999999998</v>
      </c>
      <c r="M348" s="288">
        <f t="shared" si="191"/>
        <v>763.7</v>
      </c>
      <c r="N348" s="288">
        <f t="shared" si="212"/>
        <v>220140.77</v>
      </c>
      <c r="O348" s="288">
        <f t="shared" si="213"/>
        <v>444117.05999999988</v>
      </c>
      <c r="P348" s="288">
        <f t="shared" si="202"/>
        <v>134234.22999999986</v>
      </c>
      <c r="Q348" s="499">
        <f t="shared" si="203"/>
        <v>54399</v>
      </c>
      <c r="R348" s="288">
        <f t="shared" si="189"/>
        <v>0</v>
      </c>
      <c r="S348" s="492">
        <f t="shared" si="214"/>
        <v>6.7500000000000004E-2</v>
      </c>
      <c r="T348" s="288">
        <f t="shared" si="204"/>
        <v>0</v>
      </c>
      <c r="U348" s="288">
        <f t="shared" si="192"/>
        <v>0</v>
      </c>
      <c r="V348" s="288">
        <f t="shared" si="205"/>
        <v>0</v>
      </c>
      <c r="W348" s="288">
        <f t="shared" si="185"/>
        <v>0</v>
      </c>
      <c r="X348" s="288">
        <f t="shared" si="186"/>
        <v>0</v>
      </c>
      <c r="Y348" s="288">
        <f t="shared" si="193"/>
        <v>0</v>
      </c>
      <c r="Z348" s="288">
        <f t="shared" si="194"/>
        <v>357260.75999999995</v>
      </c>
      <c r="AA348" s="288">
        <f t="shared" si="195"/>
        <v>179976.28000000012</v>
      </c>
      <c r="AB348" s="288">
        <f t="shared" si="206"/>
        <v>0</v>
      </c>
      <c r="AC348" s="410">
        <f t="shared" si="215"/>
        <v>288</v>
      </c>
      <c r="AD348" s="510">
        <f t="shared" si="216"/>
        <v>127020.79000000008</v>
      </c>
      <c r="AE348" s="510">
        <f t="shared" si="187"/>
        <v>-9529.2700000000186</v>
      </c>
      <c r="AF348" s="510">
        <f t="shared" si="188"/>
        <v>117491.52000000006</v>
      </c>
      <c r="AG348" s="510">
        <f t="shared" si="217"/>
        <v>-382.11</v>
      </c>
      <c r="AH348" s="510">
        <f t="shared" si="218"/>
        <v>76135.810000000114</v>
      </c>
      <c r="AI348" s="510"/>
      <c r="AJ348" s="14">
        <f t="shared" si="196"/>
        <v>-382.11</v>
      </c>
      <c r="AK348" s="14">
        <f t="shared" si="197"/>
        <v>422221.9299999997</v>
      </c>
      <c r="AL348" s="510">
        <f>IF(R348&lt;=0,0,+(Profit!$B$4+AM347)*$AL$1/12)</f>
        <v>0</v>
      </c>
      <c r="AM348" s="14">
        <f t="shared" si="219"/>
        <v>227647.99117059269</v>
      </c>
    </row>
    <row r="349" spans="1:39" x14ac:dyDescent="0.25">
      <c r="A349" s="499">
        <f t="shared" si="207"/>
        <v>54429</v>
      </c>
      <c r="B349" s="288">
        <f t="shared" si="208"/>
        <v>9529.2700000000186</v>
      </c>
      <c r="C349" s="14">
        <f t="shared" si="198"/>
        <v>382.11</v>
      </c>
      <c r="D349" s="14">
        <f t="shared" si="220"/>
        <v>352.33000000000004</v>
      </c>
      <c r="E349" s="14">
        <f t="shared" si="199"/>
        <v>29.78</v>
      </c>
      <c r="F349" s="288">
        <f t="shared" si="209"/>
        <v>73590.000000000015</v>
      </c>
      <c r="G349" s="288">
        <f t="shared" si="210"/>
        <v>54674.689999999995</v>
      </c>
      <c r="H349" s="288">
        <f t="shared" si="200"/>
        <v>9176.9400000000187</v>
      </c>
      <c r="I349" s="410">
        <f t="shared" si="201"/>
        <v>24</v>
      </c>
      <c r="J349" s="288">
        <f t="shared" si="211"/>
        <v>134234.22999999986</v>
      </c>
      <c r="K349" s="288">
        <f t="shared" si="190"/>
        <v>2298.4699999999998</v>
      </c>
      <c r="L349" s="288">
        <f t="shared" si="221"/>
        <v>1543.3999999999996</v>
      </c>
      <c r="M349" s="288">
        <f t="shared" si="191"/>
        <v>755.07</v>
      </c>
      <c r="N349" s="288">
        <f t="shared" si="212"/>
        <v>221684.16999999998</v>
      </c>
      <c r="O349" s="288">
        <f t="shared" si="213"/>
        <v>444872.12999999989</v>
      </c>
      <c r="P349" s="288">
        <f t="shared" si="202"/>
        <v>132690.82999999987</v>
      </c>
      <c r="Q349" s="499">
        <f t="shared" si="203"/>
        <v>54429</v>
      </c>
      <c r="R349" s="288">
        <f t="shared" si="189"/>
        <v>0</v>
      </c>
      <c r="S349" s="492">
        <f t="shared" si="214"/>
        <v>6.7500000000000004E-2</v>
      </c>
      <c r="T349" s="288">
        <f t="shared" si="204"/>
        <v>0</v>
      </c>
      <c r="U349" s="288">
        <f t="shared" si="192"/>
        <v>0</v>
      </c>
      <c r="V349" s="288">
        <f t="shared" si="205"/>
        <v>0</v>
      </c>
      <c r="W349" s="288">
        <f t="shared" si="185"/>
        <v>0</v>
      </c>
      <c r="X349" s="288">
        <f t="shared" si="186"/>
        <v>0</v>
      </c>
      <c r="Y349" s="288">
        <f t="shared" si="193"/>
        <v>0</v>
      </c>
      <c r="Z349" s="288">
        <f t="shared" si="194"/>
        <v>357260.75999999995</v>
      </c>
      <c r="AA349" s="288">
        <f t="shared" si="195"/>
        <v>179976.28000000012</v>
      </c>
      <c r="AB349" s="288">
        <f t="shared" si="206"/>
        <v>0</v>
      </c>
      <c r="AC349" s="410">
        <f t="shared" si="215"/>
        <v>289</v>
      </c>
      <c r="AD349" s="510">
        <f t="shared" si="216"/>
        <v>129319.26000000008</v>
      </c>
      <c r="AE349" s="510">
        <f t="shared" si="187"/>
        <v>-9176.9400000000187</v>
      </c>
      <c r="AF349" s="510">
        <f t="shared" si="188"/>
        <v>120142.32000000007</v>
      </c>
      <c r="AG349" s="510">
        <f t="shared" si="217"/>
        <v>-382.11</v>
      </c>
      <c r="AH349" s="510">
        <f t="shared" si="218"/>
        <v>76488.140000000072</v>
      </c>
      <c r="AI349" s="510"/>
      <c r="AJ349" s="14">
        <f t="shared" si="196"/>
        <v>-382.11</v>
      </c>
      <c r="AK349" s="14">
        <f t="shared" si="197"/>
        <v>421839.81999999972</v>
      </c>
      <c r="AL349" s="510">
        <f>IF(R349&lt;=0,0,+(Profit!$B$4+AM348)*$AL$1/12)</f>
        <v>0</v>
      </c>
      <c r="AM349" s="14">
        <f t="shared" si="219"/>
        <v>227647.99117059269</v>
      </c>
    </row>
    <row r="350" spans="1:39" ht="15.75" thickBot="1" x14ac:dyDescent="0.3">
      <c r="A350" s="502">
        <f t="shared" si="207"/>
        <v>54459</v>
      </c>
      <c r="B350" s="343">
        <f t="shared" si="208"/>
        <v>9176.9400000000187</v>
      </c>
      <c r="C350" s="21">
        <f t="shared" si="198"/>
        <v>382.11</v>
      </c>
      <c r="D350" s="21">
        <f t="shared" si="220"/>
        <v>353.43</v>
      </c>
      <c r="E350" s="21">
        <f t="shared" si="199"/>
        <v>28.68</v>
      </c>
      <c r="F350" s="343">
        <f t="shared" si="209"/>
        <v>73943.430000000008</v>
      </c>
      <c r="G350" s="343">
        <f t="shared" si="210"/>
        <v>54703.369999999995</v>
      </c>
      <c r="H350" s="343">
        <f t="shared" si="200"/>
        <v>8823.5100000000184</v>
      </c>
      <c r="I350" s="411">
        <f t="shared" si="201"/>
        <v>24</v>
      </c>
      <c r="J350" s="343">
        <f t="shared" si="211"/>
        <v>132690.82999999987</v>
      </c>
      <c r="K350" s="343">
        <f t="shared" si="190"/>
        <v>2298.4699999999998</v>
      </c>
      <c r="L350" s="343">
        <f t="shared" si="221"/>
        <v>1552.08</v>
      </c>
      <c r="M350" s="343">
        <f t="shared" si="191"/>
        <v>746.39</v>
      </c>
      <c r="N350" s="343">
        <f t="shared" si="212"/>
        <v>223236.24999999997</v>
      </c>
      <c r="O350" s="343">
        <f t="shared" si="213"/>
        <v>445618.5199999999</v>
      </c>
      <c r="P350" s="343">
        <f t="shared" si="202"/>
        <v>131138.74999999988</v>
      </c>
      <c r="Q350" s="502">
        <f t="shared" si="203"/>
        <v>54459</v>
      </c>
      <c r="R350" s="343">
        <f t="shared" si="189"/>
        <v>0</v>
      </c>
      <c r="S350" s="493">
        <f t="shared" si="214"/>
        <v>6.7500000000000004E-2</v>
      </c>
      <c r="T350" s="343">
        <f t="shared" si="204"/>
        <v>0</v>
      </c>
      <c r="U350" s="343">
        <f t="shared" si="192"/>
        <v>0</v>
      </c>
      <c r="V350" s="343">
        <f t="shared" si="205"/>
        <v>0</v>
      </c>
      <c r="W350" s="343">
        <f t="shared" si="185"/>
        <v>0</v>
      </c>
      <c r="X350" s="343">
        <f t="shared" si="186"/>
        <v>0</v>
      </c>
      <c r="Y350" s="343">
        <f t="shared" si="193"/>
        <v>0</v>
      </c>
      <c r="Z350" s="343">
        <f t="shared" si="194"/>
        <v>357260.75999999995</v>
      </c>
      <c r="AA350" s="343">
        <f t="shared" si="195"/>
        <v>179976.28000000012</v>
      </c>
      <c r="AB350" s="343">
        <f t="shared" si="206"/>
        <v>0</v>
      </c>
      <c r="AC350" s="411">
        <f t="shared" si="215"/>
        <v>290</v>
      </c>
      <c r="AD350" s="511">
        <f t="shared" si="216"/>
        <v>131617.73000000007</v>
      </c>
      <c r="AE350" s="511">
        <f t="shared" si="187"/>
        <v>-8823.5100000000184</v>
      </c>
      <c r="AF350" s="511">
        <f t="shared" si="188"/>
        <v>122794.22000000004</v>
      </c>
      <c r="AG350" s="511">
        <f t="shared" si="217"/>
        <v>-382.11</v>
      </c>
      <c r="AH350" s="511">
        <f t="shared" si="218"/>
        <v>76841.570000000065</v>
      </c>
      <c r="AI350" s="511"/>
      <c r="AJ350" s="21">
        <f t="shared" si="196"/>
        <v>-382.11</v>
      </c>
      <c r="AK350" s="21">
        <f t="shared" si="197"/>
        <v>421457.70999999973</v>
      </c>
      <c r="AL350" s="511">
        <f>IF(R350&lt;=0,0,+(Profit!$B$4+AM349)*$AL$1/12)</f>
        <v>0</v>
      </c>
      <c r="AM350" s="21">
        <f t="shared" si="219"/>
        <v>227647.99117059269</v>
      </c>
    </row>
    <row r="351" spans="1:39" x14ac:dyDescent="0.25">
      <c r="A351" s="499">
        <f t="shared" si="207"/>
        <v>54489</v>
      </c>
      <c r="B351" s="288">
        <f t="shared" si="208"/>
        <v>8823.5100000000184</v>
      </c>
      <c r="C351" s="14">
        <f t="shared" si="198"/>
        <v>382.11</v>
      </c>
      <c r="D351" s="14">
        <f t="shared" si="220"/>
        <v>354.54</v>
      </c>
      <c r="E351" s="14">
        <f t="shared" si="199"/>
        <v>27.57</v>
      </c>
      <c r="F351" s="288">
        <f t="shared" si="209"/>
        <v>74297.97</v>
      </c>
      <c r="G351" s="288">
        <f t="shared" si="210"/>
        <v>54730.939999999995</v>
      </c>
      <c r="H351" s="288">
        <f t="shared" si="200"/>
        <v>8468.9700000000175</v>
      </c>
      <c r="I351" s="410">
        <f t="shared" si="201"/>
        <v>24</v>
      </c>
      <c r="J351" s="288">
        <f t="shared" si="211"/>
        <v>131138.74999999988</v>
      </c>
      <c r="K351" s="288">
        <f t="shared" si="190"/>
        <v>2298.4699999999998</v>
      </c>
      <c r="L351" s="288">
        <f t="shared" si="221"/>
        <v>1560.81</v>
      </c>
      <c r="M351" s="288">
        <f t="shared" si="191"/>
        <v>737.66</v>
      </c>
      <c r="N351" s="288">
        <f t="shared" si="212"/>
        <v>224797.05999999997</v>
      </c>
      <c r="O351" s="288">
        <f t="shared" si="213"/>
        <v>446356.17999999988</v>
      </c>
      <c r="P351" s="288">
        <f t="shared" si="202"/>
        <v>129577.93999999989</v>
      </c>
      <c r="Q351" s="499">
        <f t="shared" si="203"/>
        <v>54489</v>
      </c>
      <c r="R351" s="288">
        <f t="shared" si="189"/>
        <v>0</v>
      </c>
      <c r="S351" s="492">
        <f t="shared" si="214"/>
        <v>6.7500000000000004E-2</v>
      </c>
      <c r="T351" s="288">
        <f t="shared" si="204"/>
        <v>0</v>
      </c>
      <c r="U351" s="288">
        <f t="shared" si="192"/>
        <v>0</v>
      </c>
      <c r="V351" s="288">
        <f t="shared" si="205"/>
        <v>0</v>
      </c>
      <c r="W351" s="288">
        <f t="shared" si="185"/>
        <v>0</v>
      </c>
      <c r="X351" s="288">
        <f t="shared" si="186"/>
        <v>0</v>
      </c>
      <c r="Y351" s="288">
        <f t="shared" si="193"/>
        <v>0</v>
      </c>
      <c r="Z351" s="288">
        <f t="shared" si="194"/>
        <v>357260.75999999995</v>
      </c>
      <c r="AA351" s="288">
        <f t="shared" si="195"/>
        <v>179976.28000000012</v>
      </c>
      <c r="AB351" s="288">
        <f t="shared" si="206"/>
        <v>0</v>
      </c>
      <c r="AC351" s="410">
        <f t="shared" si="215"/>
        <v>291</v>
      </c>
      <c r="AD351" s="510">
        <f t="shared" si="216"/>
        <v>133916.20000000007</v>
      </c>
      <c r="AE351" s="510">
        <f t="shared" si="187"/>
        <v>-8468.9700000000175</v>
      </c>
      <c r="AF351" s="510">
        <f t="shared" si="188"/>
        <v>125447.23000000005</v>
      </c>
      <c r="AG351" s="510">
        <f t="shared" si="217"/>
        <v>-382.11</v>
      </c>
      <c r="AH351" s="510">
        <f t="shared" si="218"/>
        <v>77196.110000000044</v>
      </c>
      <c r="AI351" s="510"/>
      <c r="AJ351" s="14">
        <f t="shared" si="196"/>
        <v>-382.11</v>
      </c>
      <c r="AK351" s="14">
        <f t="shared" si="197"/>
        <v>421075.59999999974</v>
      </c>
      <c r="AL351" s="510">
        <f>IF(R351&lt;=0,0,+(Profit!$B$4+AM350)*$AL$1/12)</f>
        <v>0</v>
      </c>
      <c r="AM351" s="14">
        <f t="shared" si="219"/>
        <v>227647.99117059269</v>
      </c>
    </row>
    <row r="352" spans="1:39" x14ac:dyDescent="0.25">
      <c r="A352" s="499">
        <f t="shared" si="207"/>
        <v>54519</v>
      </c>
      <c r="B352" s="288">
        <f t="shared" si="208"/>
        <v>8468.9700000000175</v>
      </c>
      <c r="C352" s="14">
        <f t="shared" si="198"/>
        <v>382.11</v>
      </c>
      <c r="D352" s="14">
        <f t="shared" si="220"/>
        <v>355.64</v>
      </c>
      <c r="E352" s="14">
        <f t="shared" si="199"/>
        <v>26.47</v>
      </c>
      <c r="F352" s="288">
        <f t="shared" si="209"/>
        <v>74653.61</v>
      </c>
      <c r="G352" s="288">
        <f t="shared" si="210"/>
        <v>54757.409999999996</v>
      </c>
      <c r="H352" s="288">
        <f t="shared" si="200"/>
        <v>8113.3300000000172</v>
      </c>
      <c r="I352" s="410">
        <f t="shared" si="201"/>
        <v>24</v>
      </c>
      <c r="J352" s="288">
        <f t="shared" si="211"/>
        <v>129577.93999999989</v>
      </c>
      <c r="K352" s="288">
        <f t="shared" si="190"/>
        <v>2298.4699999999998</v>
      </c>
      <c r="L352" s="288">
        <f t="shared" si="221"/>
        <v>1569.5899999999997</v>
      </c>
      <c r="M352" s="288">
        <f t="shared" si="191"/>
        <v>728.88</v>
      </c>
      <c r="N352" s="288">
        <f t="shared" si="212"/>
        <v>226366.64999999997</v>
      </c>
      <c r="O352" s="288">
        <f t="shared" si="213"/>
        <v>447085.05999999988</v>
      </c>
      <c r="P352" s="288">
        <f t="shared" si="202"/>
        <v>128008.34999999989</v>
      </c>
      <c r="Q352" s="499">
        <f t="shared" si="203"/>
        <v>54519</v>
      </c>
      <c r="R352" s="288">
        <f t="shared" si="189"/>
        <v>0</v>
      </c>
      <c r="S352" s="492">
        <f t="shared" si="214"/>
        <v>6.7500000000000004E-2</v>
      </c>
      <c r="T352" s="288">
        <f t="shared" si="204"/>
        <v>0</v>
      </c>
      <c r="U352" s="288">
        <f t="shared" si="192"/>
        <v>0</v>
      </c>
      <c r="V352" s="288">
        <f t="shared" si="205"/>
        <v>0</v>
      </c>
      <c r="W352" s="288">
        <f t="shared" si="185"/>
        <v>0</v>
      </c>
      <c r="X352" s="288">
        <f t="shared" si="186"/>
        <v>0</v>
      </c>
      <c r="Y352" s="288">
        <f t="shared" si="193"/>
        <v>0</v>
      </c>
      <c r="Z352" s="288">
        <f t="shared" si="194"/>
        <v>357260.75999999995</v>
      </c>
      <c r="AA352" s="288">
        <f t="shared" si="195"/>
        <v>179976.28000000012</v>
      </c>
      <c r="AB352" s="288">
        <f t="shared" si="206"/>
        <v>0</v>
      </c>
      <c r="AC352" s="410">
        <f t="shared" si="215"/>
        <v>292</v>
      </c>
      <c r="AD352" s="510">
        <f t="shared" si="216"/>
        <v>136214.67000000007</v>
      </c>
      <c r="AE352" s="510">
        <f t="shared" si="187"/>
        <v>-8113.3300000000172</v>
      </c>
      <c r="AF352" s="510">
        <f t="shared" si="188"/>
        <v>128101.34000000005</v>
      </c>
      <c r="AG352" s="510">
        <f t="shared" si="217"/>
        <v>-382.11</v>
      </c>
      <c r="AH352" s="510">
        <f t="shared" si="218"/>
        <v>77551.750000000058</v>
      </c>
      <c r="AI352" s="510"/>
      <c r="AJ352" s="14">
        <f t="shared" si="196"/>
        <v>-382.11</v>
      </c>
      <c r="AK352" s="14">
        <f t="shared" si="197"/>
        <v>420693.48999999976</v>
      </c>
      <c r="AL352" s="510">
        <f>IF(R352&lt;=0,0,+(Profit!$B$4+AM351)*$AL$1/12)</f>
        <v>0</v>
      </c>
      <c r="AM352" s="14">
        <f t="shared" si="219"/>
        <v>227647.99117059269</v>
      </c>
    </row>
    <row r="353" spans="1:39" x14ac:dyDescent="0.25">
      <c r="A353" s="499">
        <f t="shared" si="207"/>
        <v>54549</v>
      </c>
      <c r="B353" s="288">
        <f t="shared" si="208"/>
        <v>8113.3300000000172</v>
      </c>
      <c r="C353" s="14">
        <f t="shared" si="198"/>
        <v>382.11</v>
      </c>
      <c r="D353" s="14">
        <f t="shared" si="220"/>
        <v>356.76</v>
      </c>
      <c r="E353" s="14">
        <f t="shared" si="199"/>
        <v>25.35</v>
      </c>
      <c r="F353" s="288">
        <f t="shared" si="209"/>
        <v>75010.37</v>
      </c>
      <c r="G353" s="288">
        <f t="shared" si="210"/>
        <v>54782.759999999995</v>
      </c>
      <c r="H353" s="288">
        <f t="shared" si="200"/>
        <v>7756.570000000017</v>
      </c>
      <c r="I353" s="410">
        <f t="shared" si="201"/>
        <v>24</v>
      </c>
      <c r="J353" s="288">
        <f t="shared" si="211"/>
        <v>128008.34999999989</v>
      </c>
      <c r="K353" s="288">
        <f t="shared" si="190"/>
        <v>2298.4699999999998</v>
      </c>
      <c r="L353" s="288">
        <f t="shared" si="221"/>
        <v>1578.4199999999998</v>
      </c>
      <c r="M353" s="288">
        <f t="shared" si="191"/>
        <v>720.05</v>
      </c>
      <c r="N353" s="288">
        <f t="shared" si="212"/>
        <v>227945.06999999998</v>
      </c>
      <c r="O353" s="288">
        <f t="shared" si="213"/>
        <v>447805.10999999987</v>
      </c>
      <c r="P353" s="288">
        <f t="shared" si="202"/>
        <v>126429.92999999989</v>
      </c>
      <c r="Q353" s="499">
        <f t="shared" si="203"/>
        <v>54549</v>
      </c>
      <c r="R353" s="288">
        <f t="shared" si="189"/>
        <v>0</v>
      </c>
      <c r="S353" s="492">
        <f t="shared" si="214"/>
        <v>6.7500000000000004E-2</v>
      </c>
      <c r="T353" s="288">
        <f t="shared" si="204"/>
        <v>0</v>
      </c>
      <c r="U353" s="288">
        <f t="shared" si="192"/>
        <v>0</v>
      </c>
      <c r="V353" s="288">
        <f t="shared" si="205"/>
        <v>0</v>
      </c>
      <c r="W353" s="288">
        <f t="shared" si="185"/>
        <v>0</v>
      </c>
      <c r="X353" s="288">
        <f t="shared" si="186"/>
        <v>0</v>
      </c>
      <c r="Y353" s="288">
        <f t="shared" si="193"/>
        <v>0</v>
      </c>
      <c r="Z353" s="288">
        <f t="shared" si="194"/>
        <v>357260.75999999995</v>
      </c>
      <c r="AA353" s="288">
        <f t="shared" si="195"/>
        <v>179976.28000000012</v>
      </c>
      <c r="AB353" s="288">
        <f t="shared" si="206"/>
        <v>0</v>
      </c>
      <c r="AC353" s="410">
        <f t="shared" si="215"/>
        <v>293</v>
      </c>
      <c r="AD353" s="510">
        <f t="shared" si="216"/>
        <v>138513.14000000007</v>
      </c>
      <c r="AE353" s="510">
        <f t="shared" si="187"/>
        <v>-7756.570000000017</v>
      </c>
      <c r="AF353" s="510">
        <f t="shared" si="188"/>
        <v>130756.57000000005</v>
      </c>
      <c r="AG353" s="510">
        <f t="shared" si="217"/>
        <v>-382.11</v>
      </c>
      <c r="AH353" s="510">
        <f t="shared" si="218"/>
        <v>77908.510000000068</v>
      </c>
      <c r="AI353" s="510"/>
      <c r="AJ353" s="14">
        <f t="shared" si="196"/>
        <v>-382.11</v>
      </c>
      <c r="AK353" s="14">
        <f t="shared" si="197"/>
        <v>420311.37999999977</v>
      </c>
      <c r="AL353" s="510">
        <f>IF(R353&lt;=0,0,+(Profit!$B$4+AM352)*$AL$1/12)</f>
        <v>0</v>
      </c>
      <c r="AM353" s="14">
        <f t="shared" si="219"/>
        <v>227647.99117059269</v>
      </c>
    </row>
    <row r="354" spans="1:39" x14ac:dyDescent="0.25">
      <c r="A354" s="499">
        <f t="shared" si="207"/>
        <v>54579</v>
      </c>
      <c r="B354" s="288">
        <f t="shared" si="208"/>
        <v>7756.570000000017</v>
      </c>
      <c r="C354" s="14">
        <f t="shared" si="198"/>
        <v>382.11</v>
      </c>
      <c r="D354" s="14">
        <f t="shared" si="220"/>
        <v>357.87</v>
      </c>
      <c r="E354" s="14">
        <f t="shared" si="199"/>
        <v>24.24</v>
      </c>
      <c r="F354" s="288">
        <f t="shared" si="209"/>
        <v>75368.239999999991</v>
      </c>
      <c r="G354" s="288">
        <f t="shared" si="210"/>
        <v>54806.999999999993</v>
      </c>
      <c r="H354" s="288">
        <f t="shared" si="200"/>
        <v>7398.7000000000171</v>
      </c>
      <c r="I354" s="410">
        <f t="shared" si="201"/>
        <v>24</v>
      </c>
      <c r="J354" s="288">
        <f t="shared" si="211"/>
        <v>126429.92999999989</v>
      </c>
      <c r="K354" s="288">
        <f t="shared" si="190"/>
        <v>2298.4699999999998</v>
      </c>
      <c r="L354" s="288">
        <f t="shared" si="221"/>
        <v>1587.2999999999997</v>
      </c>
      <c r="M354" s="288">
        <f t="shared" si="191"/>
        <v>711.17</v>
      </c>
      <c r="N354" s="288">
        <f t="shared" si="212"/>
        <v>229532.36999999997</v>
      </c>
      <c r="O354" s="288">
        <f t="shared" si="213"/>
        <v>448516.27999999985</v>
      </c>
      <c r="P354" s="288">
        <f t="shared" si="202"/>
        <v>124842.62999999989</v>
      </c>
      <c r="Q354" s="499">
        <f t="shared" si="203"/>
        <v>54579</v>
      </c>
      <c r="R354" s="288">
        <f t="shared" si="189"/>
        <v>0</v>
      </c>
      <c r="S354" s="492">
        <f t="shared" si="214"/>
        <v>6.7500000000000004E-2</v>
      </c>
      <c r="T354" s="288">
        <f t="shared" si="204"/>
        <v>0</v>
      </c>
      <c r="U354" s="288">
        <f t="shared" si="192"/>
        <v>0</v>
      </c>
      <c r="V354" s="288">
        <f t="shared" si="205"/>
        <v>0</v>
      </c>
      <c r="W354" s="288">
        <f t="shared" si="185"/>
        <v>0</v>
      </c>
      <c r="X354" s="288">
        <f t="shared" si="186"/>
        <v>0</v>
      </c>
      <c r="Y354" s="288">
        <f t="shared" si="193"/>
        <v>0</v>
      </c>
      <c r="Z354" s="288">
        <f t="shared" si="194"/>
        <v>357260.75999999995</v>
      </c>
      <c r="AA354" s="288">
        <f t="shared" si="195"/>
        <v>179976.28000000012</v>
      </c>
      <c r="AB354" s="288">
        <f t="shared" si="206"/>
        <v>0</v>
      </c>
      <c r="AC354" s="410">
        <f t="shared" si="215"/>
        <v>294</v>
      </c>
      <c r="AD354" s="510">
        <f t="shared" si="216"/>
        <v>140811.61000000007</v>
      </c>
      <c r="AE354" s="510">
        <f t="shared" si="187"/>
        <v>-7398.7000000000171</v>
      </c>
      <c r="AF354" s="510">
        <f t="shared" si="188"/>
        <v>133412.91000000006</v>
      </c>
      <c r="AG354" s="510">
        <f t="shared" si="217"/>
        <v>-382.11</v>
      </c>
      <c r="AH354" s="510">
        <f t="shared" si="218"/>
        <v>78266.380000000063</v>
      </c>
      <c r="AI354" s="510"/>
      <c r="AJ354" s="14">
        <f t="shared" si="196"/>
        <v>-382.11</v>
      </c>
      <c r="AK354" s="14">
        <f t="shared" si="197"/>
        <v>419929.26999999979</v>
      </c>
      <c r="AL354" s="510">
        <f>IF(R354&lt;=0,0,+(Profit!$B$4+AM353)*$AL$1/12)</f>
        <v>0</v>
      </c>
      <c r="AM354" s="14">
        <f t="shared" si="219"/>
        <v>227647.99117059269</v>
      </c>
    </row>
    <row r="355" spans="1:39" x14ac:dyDescent="0.25">
      <c r="A355" s="499">
        <f t="shared" si="207"/>
        <v>54609</v>
      </c>
      <c r="B355" s="288">
        <f t="shared" si="208"/>
        <v>7398.7000000000171</v>
      </c>
      <c r="C355" s="14">
        <f t="shared" si="198"/>
        <v>382.11</v>
      </c>
      <c r="D355" s="14">
        <f t="shared" si="220"/>
        <v>358.99</v>
      </c>
      <c r="E355" s="14">
        <f t="shared" si="199"/>
        <v>23.12</v>
      </c>
      <c r="F355" s="288">
        <f t="shared" si="209"/>
        <v>75727.23</v>
      </c>
      <c r="G355" s="288">
        <f t="shared" si="210"/>
        <v>54830.119999999995</v>
      </c>
      <c r="H355" s="288">
        <f t="shared" si="200"/>
        <v>7039.7100000000173</v>
      </c>
      <c r="I355" s="410">
        <f t="shared" si="201"/>
        <v>24</v>
      </c>
      <c r="J355" s="288">
        <f t="shared" si="211"/>
        <v>124842.62999999989</v>
      </c>
      <c r="K355" s="288">
        <f t="shared" si="190"/>
        <v>2298.4699999999998</v>
      </c>
      <c r="L355" s="288">
        <f t="shared" si="221"/>
        <v>1596.2299999999998</v>
      </c>
      <c r="M355" s="288">
        <f t="shared" si="191"/>
        <v>702.24</v>
      </c>
      <c r="N355" s="288">
        <f t="shared" si="212"/>
        <v>231128.59999999998</v>
      </c>
      <c r="O355" s="288">
        <f t="shared" si="213"/>
        <v>449218.51999999984</v>
      </c>
      <c r="P355" s="288">
        <f t="shared" si="202"/>
        <v>123246.39999999989</v>
      </c>
      <c r="Q355" s="499">
        <f t="shared" si="203"/>
        <v>54609</v>
      </c>
      <c r="R355" s="288">
        <f t="shared" si="189"/>
        <v>0</v>
      </c>
      <c r="S355" s="492">
        <f t="shared" si="214"/>
        <v>6.7500000000000004E-2</v>
      </c>
      <c r="T355" s="288">
        <f t="shared" si="204"/>
        <v>0</v>
      </c>
      <c r="U355" s="288">
        <f t="shared" si="192"/>
        <v>0</v>
      </c>
      <c r="V355" s="288">
        <f t="shared" si="205"/>
        <v>0</v>
      </c>
      <c r="W355" s="288">
        <f t="shared" si="185"/>
        <v>0</v>
      </c>
      <c r="X355" s="288">
        <f t="shared" si="186"/>
        <v>0</v>
      </c>
      <c r="Y355" s="288">
        <f t="shared" si="193"/>
        <v>0</v>
      </c>
      <c r="Z355" s="288">
        <f t="shared" si="194"/>
        <v>357260.75999999995</v>
      </c>
      <c r="AA355" s="288">
        <f t="shared" si="195"/>
        <v>179976.28000000012</v>
      </c>
      <c r="AB355" s="288">
        <f t="shared" si="206"/>
        <v>0</v>
      </c>
      <c r="AC355" s="410">
        <f t="shared" si="215"/>
        <v>295</v>
      </c>
      <c r="AD355" s="510">
        <f t="shared" si="216"/>
        <v>143110.08000000007</v>
      </c>
      <c r="AE355" s="510">
        <f t="shared" si="187"/>
        <v>-7039.7100000000173</v>
      </c>
      <c r="AF355" s="510">
        <f t="shared" si="188"/>
        <v>136070.37000000005</v>
      </c>
      <c r="AG355" s="510">
        <f t="shared" si="217"/>
        <v>-382.11</v>
      </c>
      <c r="AH355" s="510">
        <f t="shared" si="218"/>
        <v>78625.370000000054</v>
      </c>
      <c r="AI355" s="510"/>
      <c r="AJ355" s="14">
        <f t="shared" si="196"/>
        <v>-382.11</v>
      </c>
      <c r="AK355" s="14">
        <f t="shared" si="197"/>
        <v>419547.1599999998</v>
      </c>
      <c r="AL355" s="510">
        <f>IF(R355&lt;=0,0,+(Profit!$B$4+AM354)*$AL$1/12)</f>
        <v>0</v>
      </c>
      <c r="AM355" s="14">
        <f t="shared" si="219"/>
        <v>227647.99117059269</v>
      </c>
    </row>
    <row r="356" spans="1:39" x14ac:dyDescent="0.25">
      <c r="A356" s="499">
        <f t="shared" si="207"/>
        <v>54639</v>
      </c>
      <c r="B356" s="288">
        <f t="shared" si="208"/>
        <v>7039.7100000000173</v>
      </c>
      <c r="C356" s="14">
        <f t="shared" si="198"/>
        <v>382.11</v>
      </c>
      <c r="D356" s="14">
        <f t="shared" si="220"/>
        <v>360.11</v>
      </c>
      <c r="E356" s="14">
        <f t="shared" si="199"/>
        <v>22</v>
      </c>
      <c r="F356" s="288">
        <f t="shared" si="209"/>
        <v>76087.34</v>
      </c>
      <c r="G356" s="288">
        <f t="shared" si="210"/>
        <v>54852.119999999995</v>
      </c>
      <c r="H356" s="288">
        <f t="shared" si="200"/>
        <v>6679.6000000000176</v>
      </c>
      <c r="I356" s="410">
        <f t="shared" si="201"/>
        <v>24</v>
      </c>
      <c r="J356" s="288">
        <f t="shared" si="211"/>
        <v>123246.39999999989</v>
      </c>
      <c r="K356" s="288">
        <f t="shared" si="190"/>
        <v>2298.4699999999998</v>
      </c>
      <c r="L356" s="288">
        <f t="shared" si="221"/>
        <v>1605.2099999999998</v>
      </c>
      <c r="M356" s="288">
        <f t="shared" si="191"/>
        <v>693.26</v>
      </c>
      <c r="N356" s="288">
        <f t="shared" si="212"/>
        <v>232733.80999999997</v>
      </c>
      <c r="O356" s="288">
        <f t="shared" si="213"/>
        <v>449911.77999999985</v>
      </c>
      <c r="P356" s="288">
        <f t="shared" si="202"/>
        <v>121641.18999999989</v>
      </c>
      <c r="Q356" s="499">
        <f t="shared" si="203"/>
        <v>54639</v>
      </c>
      <c r="R356" s="288">
        <f t="shared" si="189"/>
        <v>0</v>
      </c>
      <c r="S356" s="492">
        <f t="shared" si="214"/>
        <v>6.7500000000000004E-2</v>
      </c>
      <c r="T356" s="288">
        <f t="shared" si="204"/>
        <v>0</v>
      </c>
      <c r="U356" s="288">
        <f t="shared" si="192"/>
        <v>0</v>
      </c>
      <c r="V356" s="288">
        <f t="shared" si="205"/>
        <v>0</v>
      </c>
      <c r="W356" s="288">
        <f t="shared" si="185"/>
        <v>0</v>
      </c>
      <c r="X356" s="288">
        <f t="shared" si="186"/>
        <v>0</v>
      </c>
      <c r="Y356" s="288">
        <f t="shared" si="193"/>
        <v>0</v>
      </c>
      <c r="Z356" s="288">
        <f t="shared" si="194"/>
        <v>357260.75999999995</v>
      </c>
      <c r="AA356" s="288">
        <f t="shared" si="195"/>
        <v>179976.28000000012</v>
      </c>
      <c r="AB356" s="288">
        <f t="shared" si="206"/>
        <v>0</v>
      </c>
      <c r="AC356" s="410">
        <f t="shared" si="215"/>
        <v>296</v>
      </c>
      <c r="AD356" s="510">
        <f t="shared" si="216"/>
        <v>145408.55000000008</v>
      </c>
      <c r="AE356" s="510">
        <f t="shared" si="187"/>
        <v>-6679.6000000000176</v>
      </c>
      <c r="AF356" s="510">
        <f t="shared" si="188"/>
        <v>138728.95000000007</v>
      </c>
      <c r="AG356" s="510">
        <f t="shared" si="217"/>
        <v>-382.11</v>
      </c>
      <c r="AH356" s="510">
        <f t="shared" si="218"/>
        <v>78985.48000000004</v>
      </c>
      <c r="AI356" s="510"/>
      <c r="AJ356" s="14">
        <f t="shared" si="196"/>
        <v>-382.11</v>
      </c>
      <c r="AK356" s="14">
        <f t="shared" si="197"/>
        <v>419165.04999999981</v>
      </c>
      <c r="AL356" s="510">
        <f>IF(R356&lt;=0,0,+(Profit!$B$4+AM355)*$AL$1/12)</f>
        <v>0</v>
      </c>
      <c r="AM356" s="14">
        <f t="shared" si="219"/>
        <v>227647.99117059269</v>
      </c>
    </row>
    <row r="357" spans="1:39" x14ac:dyDescent="0.25">
      <c r="A357" s="499">
        <f t="shared" si="207"/>
        <v>54669</v>
      </c>
      <c r="B357" s="288">
        <f t="shared" si="208"/>
        <v>6679.6000000000176</v>
      </c>
      <c r="C357" s="14">
        <f t="shared" si="198"/>
        <v>382.11</v>
      </c>
      <c r="D357" s="14">
        <f t="shared" si="220"/>
        <v>361.24</v>
      </c>
      <c r="E357" s="14">
        <f t="shared" si="199"/>
        <v>20.87</v>
      </c>
      <c r="F357" s="288">
        <f t="shared" si="209"/>
        <v>76448.58</v>
      </c>
      <c r="G357" s="288">
        <f t="shared" si="210"/>
        <v>54872.99</v>
      </c>
      <c r="H357" s="288">
        <f t="shared" si="200"/>
        <v>6318.3600000000179</v>
      </c>
      <c r="I357" s="410">
        <f t="shared" si="201"/>
        <v>24</v>
      </c>
      <c r="J357" s="288">
        <f t="shared" si="211"/>
        <v>121641.18999999989</v>
      </c>
      <c r="K357" s="288">
        <f t="shared" si="190"/>
        <v>2298.4699999999998</v>
      </c>
      <c r="L357" s="288">
        <f t="shared" si="221"/>
        <v>1614.2399999999998</v>
      </c>
      <c r="M357" s="288">
        <f t="shared" si="191"/>
        <v>684.23</v>
      </c>
      <c r="N357" s="288">
        <f t="shared" si="212"/>
        <v>234348.04999999996</v>
      </c>
      <c r="O357" s="288">
        <f t="shared" si="213"/>
        <v>450596.00999999983</v>
      </c>
      <c r="P357" s="288">
        <f t="shared" si="202"/>
        <v>120026.94999999988</v>
      </c>
      <c r="Q357" s="499">
        <f t="shared" si="203"/>
        <v>54669</v>
      </c>
      <c r="R357" s="288">
        <f t="shared" si="189"/>
        <v>0</v>
      </c>
      <c r="S357" s="492">
        <f t="shared" si="214"/>
        <v>6.7500000000000004E-2</v>
      </c>
      <c r="T357" s="288">
        <f t="shared" si="204"/>
        <v>0</v>
      </c>
      <c r="U357" s="288">
        <f t="shared" si="192"/>
        <v>0</v>
      </c>
      <c r="V357" s="288">
        <f t="shared" si="205"/>
        <v>0</v>
      </c>
      <c r="W357" s="288">
        <f t="shared" si="185"/>
        <v>0</v>
      </c>
      <c r="X357" s="288">
        <f t="shared" si="186"/>
        <v>0</v>
      </c>
      <c r="Y357" s="288">
        <f t="shared" si="193"/>
        <v>0</v>
      </c>
      <c r="Z357" s="288">
        <f t="shared" si="194"/>
        <v>357260.75999999995</v>
      </c>
      <c r="AA357" s="288">
        <f t="shared" si="195"/>
        <v>179976.28000000012</v>
      </c>
      <c r="AB357" s="288">
        <f t="shared" si="206"/>
        <v>0</v>
      </c>
      <c r="AC357" s="410">
        <f t="shared" si="215"/>
        <v>297</v>
      </c>
      <c r="AD357" s="510">
        <f t="shared" si="216"/>
        <v>147707.02000000008</v>
      </c>
      <c r="AE357" s="510">
        <f t="shared" si="187"/>
        <v>-6318.3600000000179</v>
      </c>
      <c r="AF357" s="510">
        <f t="shared" si="188"/>
        <v>141388.66000000006</v>
      </c>
      <c r="AG357" s="510">
        <f t="shared" si="217"/>
        <v>-382.11</v>
      </c>
      <c r="AH357" s="510">
        <f t="shared" si="218"/>
        <v>79346.720000000088</v>
      </c>
      <c r="AI357" s="510"/>
      <c r="AJ357" s="14">
        <f t="shared" si="196"/>
        <v>-382.11</v>
      </c>
      <c r="AK357" s="14">
        <f t="shared" si="197"/>
        <v>418782.93999999983</v>
      </c>
      <c r="AL357" s="510">
        <f>IF(R357&lt;=0,0,+(Profit!$B$4+AM356)*$AL$1/12)</f>
        <v>0</v>
      </c>
      <c r="AM357" s="14">
        <f t="shared" si="219"/>
        <v>227647.99117059269</v>
      </c>
    </row>
    <row r="358" spans="1:39" x14ac:dyDescent="0.25">
      <c r="A358" s="499">
        <f t="shared" si="207"/>
        <v>54699</v>
      </c>
      <c r="B358" s="288">
        <f t="shared" si="208"/>
        <v>6318.3600000000179</v>
      </c>
      <c r="C358" s="14">
        <f t="shared" si="198"/>
        <v>382.11</v>
      </c>
      <c r="D358" s="14">
        <f t="shared" si="220"/>
        <v>362.37</v>
      </c>
      <c r="E358" s="14">
        <f t="shared" si="199"/>
        <v>19.739999999999998</v>
      </c>
      <c r="F358" s="288">
        <f t="shared" si="209"/>
        <v>76810.95</v>
      </c>
      <c r="G358" s="288">
        <f t="shared" si="210"/>
        <v>54892.729999999996</v>
      </c>
      <c r="H358" s="288">
        <f t="shared" si="200"/>
        <v>5955.990000000018</v>
      </c>
      <c r="I358" s="410">
        <f t="shared" si="201"/>
        <v>24</v>
      </c>
      <c r="J358" s="288">
        <f t="shared" si="211"/>
        <v>120026.94999999988</v>
      </c>
      <c r="K358" s="288">
        <f t="shared" si="190"/>
        <v>2298.4699999999998</v>
      </c>
      <c r="L358" s="288">
        <f t="shared" si="221"/>
        <v>1623.3199999999997</v>
      </c>
      <c r="M358" s="288">
        <f t="shared" si="191"/>
        <v>675.15</v>
      </c>
      <c r="N358" s="288">
        <f t="shared" si="212"/>
        <v>235971.36999999997</v>
      </c>
      <c r="O358" s="288">
        <f t="shared" si="213"/>
        <v>451271.15999999986</v>
      </c>
      <c r="P358" s="288">
        <f t="shared" si="202"/>
        <v>118403.62999999989</v>
      </c>
      <c r="Q358" s="499">
        <f t="shared" si="203"/>
        <v>54699</v>
      </c>
      <c r="R358" s="288">
        <f t="shared" si="189"/>
        <v>0</v>
      </c>
      <c r="S358" s="492">
        <f t="shared" si="214"/>
        <v>6.7500000000000004E-2</v>
      </c>
      <c r="T358" s="288">
        <f t="shared" si="204"/>
        <v>0</v>
      </c>
      <c r="U358" s="288">
        <f t="shared" si="192"/>
        <v>0</v>
      </c>
      <c r="V358" s="288">
        <f t="shared" si="205"/>
        <v>0</v>
      </c>
      <c r="W358" s="288">
        <f t="shared" si="185"/>
        <v>0</v>
      </c>
      <c r="X358" s="288">
        <f t="shared" si="186"/>
        <v>0</v>
      </c>
      <c r="Y358" s="288">
        <f t="shared" si="193"/>
        <v>0</v>
      </c>
      <c r="Z358" s="288">
        <f t="shared" si="194"/>
        <v>357260.75999999995</v>
      </c>
      <c r="AA358" s="288">
        <f t="shared" si="195"/>
        <v>179976.28000000012</v>
      </c>
      <c r="AB358" s="288">
        <f t="shared" si="206"/>
        <v>0</v>
      </c>
      <c r="AC358" s="410">
        <f t="shared" si="215"/>
        <v>298</v>
      </c>
      <c r="AD358" s="510">
        <f t="shared" si="216"/>
        <v>150005.49000000008</v>
      </c>
      <c r="AE358" s="510">
        <f t="shared" si="187"/>
        <v>-5955.990000000018</v>
      </c>
      <c r="AF358" s="510">
        <f t="shared" si="188"/>
        <v>144049.50000000006</v>
      </c>
      <c r="AG358" s="510">
        <f t="shared" si="217"/>
        <v>-382.11</v>
      </c>
      <c r="AH358" s="510">
        <f t="shared" si="218"/>
        <v>79709.090000000084</v>
      </c>
      <c r="AI358" s="510"/>
      <c r="AJ358" s="14">
        <f t="shared" si="196"/>
        <v>-382.11</v>
      </c>
      <c r="AK358" s="14">
        <f t="shared" si="197"/>
        <v>418400.82999999984</v>
      </c>
      <c r="AL358" s="510">
        <f>IF(R358&lt;=0,0,+(Profit!$B$4+AM357)*$AL$1/12)</f>
        <v>0</v>
      </c>
      <c r="AM358" s="14">
        <f t="shared" si="219"/>
        <v>227647.99117059269</v>
      </c>
    </row>
    <row r="359" spans="1:39" x14ac:dyDescent="0.25">
      <c r="A359" s="499">
        <f t="shared" si="207"/>
        <v>54729</v>
      </c>
      <c r="B359" s="288">
        <f t="shared" si="208"/>
        <v>5955.990000000018</v>
      </c>
      <c r="C359" s="14">
        <f t="shared" si="198"/>
        <v>382.11</v>
      </c>
      <c r="D359" s="14">
        <f t="shared" si="220"/>
        <v>363.5</v>
      </c>
      <c r="E359" s="14">
        <f t="shared" si="199"/>
        <v>18.61</v>
      </c>
      <c r="F359" s="288">
        <f t="shared" si="209"/>
        <v>77174.45</v>
      </c>
      <c r="G359" s="288">
        <f t="shared" si="210"/>
        <v>54911.34</v>
      </c>
      <c r="H359" s="288">
        <f t="shared" si="200"/>
        <v>5592.490000000018</v>
      </c>
      <c r="I359" s="410">
        <f t="shared" si="201"/>
        <v>24</v>
      </c>
      <c r="J359" s="288">
        <f t="shared" si="211"/>
        <v>118403.62999999989</v>
      </c>
      <c r="K359" s="288">
        <f t="shared" si="190"/>
        <v>2298.4699999999998</v>
      </c>
      <c r="L359" s="288">
        <f t="shared" si="221"/>
        <v>1632.4499999999998</v>
      </c>
      <c r="M359" s="288">
        <f t="shared" si="191"/>
        <v>666.02</v>
      </c>
      <c r="N359" s="288">
        <f t="shared" si="212"/>
        <v>237603.81999999998</v>
      </c>
      <c r="O359" s="288">
        <f t="shared" si="213"/>
        <v>451937.17999999988</v>
      </c>
      <c r="P359" s="288">
        <f t="shared" si="202"/>
        <v>116771.17999999989</v>
      </c>
      <c r="Q359" s="499">
        <f t="shared" si="203"/>
        <v>54729</v>
      </c>
      <c r="R359" s="288">
        <f t="shared" si="189"/>
        <v>0</v>
      </c>
      <c r="S359" s="492">
        <f t="shared" si="214"/>
        <v>6.7500000000000004E-2</v>
      </c>
      <c r="T359" s="288">
        <f t="shared" si="204"/>
        <v>0</v>
      </c>
      <c r="U359" s="288">
        <f t="shared" si="192"/>
        <v>0</v>
      </c>
      <c r="V359" s="288">
        <f t="shared" si="205"/>
        <v>0</v>
      </c>
      <c r="W359" s="288">
        <f t="shared" si="185"/>
        <v>0</v>
      </c>
      <c r="X359" s="288">
        <f t="shared" si="186"/>
        <v>0</v>
      </c>
      <c r="Y359" s="288">
        <f t="shared" si="193"/>
        <v>0</v>
      </c>
      <c r="Z359" s="288">
        <f t="shared" si="194"/>
        <v>357260.75999999995</v>
      </c>
      <c r="AA359" s="288">
        <f t="shared" si="195"/>
        <v>179976.28000000012</v>
      </c>
      <c r="AB359" s="288">
        <f t="shared" si="206"/>
        <v>0</v>
      </c>
      <c r="AC359" s="410">
        <f t="shared" si="215"/>
        <v>299</v>
      </c>
      <c r="AD359" s="510">
        <f t="shared" si="216"/>
        <v>152303.96000000008</v>
      </c>
      <c r="AE359" s="510">
        <f t="shared" si="187"/>
        <v>-5592.490000000018</v>
      </c>
      <c r="AF359" s="510">
        <f t="shared" si="188"/>
        <v>146711.47000000006</v>
      </c>
      <c r="AG359" s="510">
        <f t="shared" si="217"/>
        <v>-382.11</v>
      </c>
      <c r="AH359" s="510">
        <f t="shared" si="218"/>
        <v>80072.590000000084</v>
      </c>
      <c r="AI359" s="510"/>
      <c r="AJ359" s="14">
        <f t="shared" si="196"/>
        <v>-382.11</v>
      </c>
      <c r="AK359" s="14">
        <f t="shared" si="197"/>
        <v>418018.71999999986</v>
      </c>
      <c r="AL359" s="510">
        <f>IF(R359&lt;=0,0,+(Profit!$B$4+AM358)*$AL$1/12)</f>
        <v>0</v>
      </c>
      <c r="AM359" s="14">
        <f t="shared" si="219"/>
        <v>227647.99117059269</v>
      </c>
    </row>
    <row r="360" spans="1:39" x14ac:dyDescent="0.25">
      <c r="A360" s="499">
        <f t="shared" si="207"/>
        <v>54759</v>
      </c>
      <c r="B360" s="288">
        <f t="shared" si="208"/>
        <v>5592.490000000018</v>
      </c>
      <c r="C360" s="14">
        <f t="shared" si="198"/>
        <v>382.11</v>
      </c>
      <c r="D360" s="14">
        <f t="shared" si="220"/>
        <v>364.63</v>
      </c>
      <c r="E360" s="14">
        <f t="shared" si="199"/>
        <v>17.48</v>
      </c>
      <c r="F360" s="288">
        <f t="shared" si="209"/>
        <v>77539.08</v>
      </c>
      <c r="G360" s="288">
        <f t="shared" si="210"/>
        <v>54928.82</v>
      </c>
      <c r="H360" s="288">
        <f t="shared" si="200"/>
        <v>5227.8600000000179</v>
      </c>
      <c r="I360" s="410">
        <f t="shared" si="201"/>
        <v>25</v>
      </c>
      <c r="J360" s="288">
        <f t="shared" si="211"/>
        <v>116771.17999999989</v>
      </c>
      <c r="K360" s="288">
        <f t="shared" si="190"/>
        <v>2298.4699999999998</v>
      </c>
      <c r="L360" s="288">
        <f t="shared" si="221"/>
        <v>1641.6299999999997</v>
      </c>
      <c r="M360" s="288">
        <f t="shared" si="191"/>
        <v>656.84</v>
      </c>
      <c r="N360" s="288">
        <f t="shared" si="212"/>
        <v>239245.44999999998</v>
      </c>
      <c r="O360" s="288">
        <f t="shared" si="213"/>
        <v>452594.0199999999</v>
      </c>
      <c r="P360" s="288">
        <f t="shared" si="202"/>
        <v>115129.54999999989</v>
      </c>
      <c r="Q360" s="499">
        <f t="shared" si="203"/>
        <v>54759</v>
      </c>
      <c r="R360" s="288">
        <f t="shared" si="189"/>
        <v>0</v>
      </c>
      <c r="S360" s="492">
        <f t="shared" si="214"/>
        <v>6.7500000000000004E-2</v>
      </c>
      <c r="T360" s="288">
        <f t="shared" si="204"/>
        <v>0</v>
      </c>
      <c r="U360" s="288">
        <f t="shared" si="192"/>
        <v>0</v>
      </c>
      <c r="V360" s="288">
        <f t="shared" si="205"/>
        <v>0</v>
      </c>
      <c r="W360" s="288">
        <f t="shared" si="185"/>
        <v>0</v>
      </c>
      <c r="X360" s="288">
        <f t="shared" si="186"/>
        <v>0</v>
      </c>
      <c r="Y360" s="288">
        <f t="shared" si="193"/>
        <v>0</v>
      </c>
      <c r="Z360" s="288">
        <f t="shared" si="194"/>
        <v>357260.75999999995</v>
      </c>
      <c r="AA360" s="288">
        <f t="shared" si="195"/>
        <v>179976.28000000012</v>
      </c>
      <c r="AB360" s="288">
        <f t="shared" si="206"/>
        <v>0</v>
      </c>
      <c r="AC360" s="410">
        <f t="shared" si="215"/>
        <v>300</v>
      </c>
      <c r="AD360" s="510">
        <f t="shared" si="216"/>
        <v>154602.43000000008</v>
      </c>
      <c r="AE360" s="510">
        <f t="shared" si="187"/>
        <v>-5227.8600000000179</v>
      </c>
      <c r="AF360" s="510">
        <f t="shared" si="188"/>
        <v>149374.57000000007</v>
      </c>
      <c r="AG360" s="510">
        <f t="shared" si="217"/>
        <v>-382.11</v>
      </c>
      <c r="AH360" s="510">
        <f t="shared" si="218"/>
        <v>80437.220000000088</v>
      </c>
      <c r="AI360" s="510"/>
      <c r="AJ360" s="14">
        <f t="shared" si="196"/>
        <v>-382.11</v>
      </c>
      <c r="AK360" s="14">
        <f t="shared" si="197"/>
        <v>417636.60999999987</v>
      </c>
      <c r="AL360" s="510">
        <f>IF(R360&lt;=0,0,+(Profit!$B$4+AM359)*$AL$1/12)</f>
        <v>0</v>
      </c>
      <c r="AM360" s="14">
        <f t="shared" si="219"/>
        <v>227647.99117059269</v>
      </c>
    </row>
    <row r="361" spans="1:39" x14ac:dyDescent="0.25">
      <c r="A361" s="499">
        <f t="shared" si="207"/>
        <v>54789</v>
      </c>
      <c r="B361" s="288">
        <f t="shared" si="208"/>
        <v>5227.8600000000179</v>
      </c>
      <c r="C361" s="14">
        <f t="shared" si="198"/>
        <v>382.11</v>
      </c>
      <c r="D361" s="14">
        <f t="shared" si="220"/>
        <v>365.77000000000004</v>
      </c>
      <c r="E361" s="14">
        <f t="shared" si="199"/>
        <v>16.34</v>
      </c>
      <c r="F361" s="288">
        <f t="shared" si="209"/>
        <v>77904.850000000006</v>
      </c>
      <c r="G361" s="288">
        <f t="shared" si="210"/>
        <v>54945.159999999996</v>
      </c>
      <c r="H361" s="288">
        <f t="shared" si="200"/>
        <v>4862.0900000000174</v>
      </c>
      <c r="I361" s="410">
        <f t="shared" si="201"/>
        <v>25</v>
      </c>
      <c r="J361" s="288">
        <f t="shared" si="211"/>
        <v>115129.54999999989</v>
      </c>
      <c r="K361" s="288">
        <f t="shared" si="190"/>
        <v>2298.4699999999998</v>
      </c>
      <c r="L361" s="288">
        <f t="shared" si="221"/>
        <v>1650.87</v>
      </c>
      <c r="M361" s="288">
        <f t="shared" si="191"/>
        <v>647.6</v>
      </c>
      <c r="N361" s="288">
        <f t="shared" si="212"/>
        <v>240896.31999999998</v>
      </c>
      <c r="O361" s="288">
        <f t="shared" si="213"/>
        <v>453241.61999999988</v>
      </c>
      <c r="P361" s="288">
        <f t="shared" si="202"/>
        <v>113478.67999999989</v>
      </c>
      <c r="Q361" s="499">
        <f t="shared" si="203"/>
        <v>54789</v>
      </c>
      <c r="R361" s="288">
        <f t="shared" si="189"/>
        <v>0</v>
      </c>
      <c r="S361" s="492">
        <f t="shared" si="214"/>
        <v>6.7500000000000004E-2</v>
      </c>
      <c r="T361" s="288">
        <f t="shared" si="204"/>
        <v>0</v>
      </c>
      <c r="U361" s="288">
        <f t="shared" si="192"/>
        <v>0</v>
      </c>
      <c r="V361" s="288">
        <f t="shared" si="205"/>
        <v>0</v>
      </c>
      <c r="W361" s="288">
        <f t="shared" si="185"/>
        <v>0</v>
      </c>
      <c r="X361" s="288">
        <f t="shared" si="186"/>
        <v>0</v>
      </c>
      <c r="Y361" s="288">
        <f t="shared" si="193"/>
        <v>0</v>
      </c>
      <c r="Z361" s="288">
        <f t="shared" si="194"/>
        <v>357260.75999999995</v>
      </c>
      <c r="AA361" s="288">
        <f t="shared" si="195"/>
        <v>179976.28000000012</v>
      </c>
      <c r="AB361" s="288">
        <f t="shared" si="206"/>
        <v>0</v>
      </c>
      <c r="AC361" s="410">
        <f t="shared" si="215"/>
        <v>301</v>
      </c>
      <c r="AD361" s="510">
        <f t="shared" si="216"/>
        <v>156900.90000000008</v>
      </c>
      <c r="AE361" s="510">
        <f t="shared" si="187"/>
        <v>-4862.0900000000174</v>
      </c>
      <c r="AF361" s="510">
        <f t="shared" si="188"/>
        <v>152038.81000000006</v>
      </c>
      <c r="AG361" s="510">
        <f t="shared" si="217"/>
        <v>-382.11</v>
      </c>
      <c r="AH361" s="510">
        <f t="shared" si="218"/>
        <v>80802.990000000049</v>
      </c>
      <c r="AI361" s="510"/>
      <c r="AJ361" s="14">
        <f t="shared" si="196"/>
        <v>-382.11</v>
      </c>
      <c r="AK361" s="14">
        <f t="shared" si="197"/>
        <v>417254.49999999988</v>
      </c>
      <c r="AL361" s="510">
        <f>IF(R361&lt;=0,0,+(Profit!$B$4+AM360)*$AL$1/12)</f>
        <v>0</v>
      </c>
      <c r="AM361" s="14">
        <f t="shared" si="219"/>
        <v>227647.99117059269</v>
      </c>
    </row>
    <row r="362" spans="1:39" ht="15.75" thickBot="1" x14ac:dyDescent="0.3">
      <c r="A362" s="502">
        <f t="shared" si="207"/>
        <v>54819</v>
      </c>
      <c r="B362" s="343">
        <f t="shared" si="208"/>
        <v>4862.0900000000174</v>
      </c>
      <c r="C362" s="21">
        <f t="shared" si="198"/>
        <v>382.11</v>
      </c>
      <c r="D362" s="21">
        <f t="shared" si="220"/>
        <v>366.92</v>
      </c>
      <c r="E362" s="21">
        <f t="shared" si="199"/>
        <v>15.19</v>
      </c>
      <c r="F362" s="343">
        <f t="shared" si="209"/>
        <v>78271.77</v>
      </c>
      <c r="G362" s="343">
        <f t="shared" si="210"/>
        <v>54960.35</v>
      </c>
      <c r="H362" s="343">
        <f t="shared" si="200"/>
        <v>4495.1700000000174</v>
      </c>
      <c r="I362" s="411">
        <f t="shared" si="201"/>
        <v>25</v>
      </c>
      <c r="J362" s="343">
        <f t="shared" si="211"/>
        <v>113478.67999999989</v>
      </c>
      <c r="K362" s="343">
        <f t="shared" si="190"/>
        <v>2298.4699999999998</v>
      </c>
      <c r="L362" s="343">
        <f t="shared" si="221"/>
        <v>1660.1499999999996</v>
      </c>
      <c r="M362" s="343">
        <f t="shared" si="191"/>
        <v>638.32000000000005</v>
      </c>
      <c r="N362" s="343">
        <f t="shared" si="212"/>
        <v>242556.46999999997</v>
      </c>
      <c r="O362" s="343">
        <f t="shared" si="213"/>
        <v>453879.93999999989</v>
      </c>
      <c r="P362" s="343">
        <f t="shared" si="202"/>
        <v>111818.5299999999</v>
      </c>
      <c r="Q362" s="502">
        <f t="shared" si="203"/>
        <v>54819</v>
      </c>
      <c r="R362" s="343">
        <f t="shared" si="189"/>
        <v>0</v>
      </c>
      <c r="S362" s="493">
        <f t="shared" si="214"/>
        <v>6.7500000000000004E-2</v>
      </c>
      <c r="T362" s="343">
        <f t="shared" si="204"/>
        <v>0</v>
      </c>
      <c r="U362" s="343">
        <f t="shared" si="192"/>
        <v>0</v>
      </c>
      <c r="V362" s="343">
        <f t="shared" si="205"/>
        <v>0</v>
      </c>
      <c r="W362" s="343">
        <f t="shared" si="185"/>
        <v>0</v>
      </c>
      <c r="X362" s="343">
        <f t="shared" si="186"/>
        <v>0</v>
      </c>
      <c r="Y362" s="343">
        <f t="shared" si="193"/>
        <v>0</v>
      </c>
      <c r="Z362" s="343">
        <f t="shared" si="194"/>
        <v>357260.75999999995</v>
      </c>
      <c r="AA362" s="343">
        <f t="shared" si="195"/>
        <v>179976.28000000012</v>
      </c>
      <c r="AB362" s="343">
        <f t="shared" si="206"/>
        <v>0</v>
      </c>
      <c r="AC362" s="411">
        <f t="shared" si="215"/>
        <v>302</v>
      </c>
      <c r="AD362" s="511">
        <f t="shared" si="216"/>
        <v>159199.37000000008</v>
      </c>
      <c r="AE362" s="511">
        <f t="shared" si="187"/>
        <v>-4495.1700000000174</v>
      </c>
      <c r="AF362" s="511">
        <f t="shared" si="188"/>
        <v>154704.20000000007</v>
      </c>
      <c r="AG362" s="511">
        <f t="shared" si="217"/>
        <v>-382.11</v>
      </c>
      <c r="AH362" s="511">
        <f t="shared" si="218"/>
        <v>81169.910000000091</v>
      </c>
      <c r="AI362" s="511"/>
      <c r="AJ362" s="21">
        <f t="shared" si="196"/>
        <v>-382.11</v>
      </c>
      <c r="AK362" s="21">
        <f t="shared" si="197"/>
        <v>416872.3899999999</v>
      </c>
      <c r="AL362" s="511">
        <f>IF(R362&lt;=0,0,+(Profit!$B$4+AM361)*$AL$1/12)</f>
        <v>0</v>
      </c>
      <c r="AM362" s="21">
        <f t="shared" si="219"/>
        <v>227647.99117059269</v>
      </c>
    </row>
    <row r="363" spans="1:39" x14ac:dyDescent="0.25">
      <c r="A363" s="499">
        <f t="shared" si="207"/>
        <v>54849</v>
      </c>
      <c r="B363" s="288">
        <f t="shared" si="208"/>
        <v>4495.1700000000174</v>
      </c>
      <c r="C363" s="14">
        <f t="shared" si="198"/>
        <v>382.11</v>
      </c>
      <c r="D363" s="14">
        <f t="shared" si="220"/>
        <v>368.06</v>
      </c>
      <c r="E363" s="14">
        <f t="shared" si="199"/>
        <v>14.05</v>
      </c>
      <c r="F363" s="288">
        <f t="shared" si="209"/>
        <v>78639.83</v>
      </c>
      <c r="G363" s="288">
        <f t="shared" si="210"/>
        <v>54974.400000000001</v>
      </c>
      <c r="H363" s="288">
        <f t="shared" si="200"/>
        <v>4127.110000000017</v>
      </c>
      <c r="I363" s="410">
        <f t="shared" si="201"/>
        <v>25</v>
      </c>
      <c r="J363" s="288">
        <f t="shared" si="211"/>
        <v>111818.5299999999</v>
      </c>
      <c r="K363" s="288">
        <f t="shared" si="190"/>
        <v>2298.4699999999998</v>
      </c>
      <c r="L363" s="288">
        <f t="shared" si="221"/>
        <v>1669.4899999999998</v>
      </c>
      <c r="M363" s="288">
        <f t="shared" si="191"/>
        <v>628.98</v>
      </c>
      <c r="N363" s="288">
        <f t="shared" si="212"/>
        <v>244225.95999999996</v>
      </c>
      <c r="O363" s="288">
        <f t="shared" si="213"/>
        <v>454508.91999999987</v>
      </c>
      <c r="P363" s="288">
        <f t="shared" si="202"/>
        <v>110149.03999999989</v>
      </c>
      <c r="Q363" s="499">
        <f t="shared" si="203"/>
        <v>54849</v>
      </c>
      <c r="R363" s="288">
        <f t="shared" si="189"/>
        <v>0</v>
      </c>
      <c r="S363" s="492">
        <f t="shared" si="214"/>
        <v>6.7500000000000004E-2</v>
      </c>
      <c r="T363" s="288">
        <f t="shared" si="204"/>
        <v>0</v>
      </c>
      <c r="U363" s="288">
        <f t="shared" si="192"/>
        <v>0</v>
      </c>
      <c r="V363" s="288">
        <f t="shared" si="205"/>
        <v>0</v>
      </c>
      <c r="W363" s="288">
        <f t="shared" si="185"/>
        <v>0</v>
      </c>
      <c r="X363" s="288">
        <f t="shared" si="186"/>
        <v>0</v>
      </c>
      <c r="Y363" s="288">
        <f t="shared" si="193"/>
        <v>0</v>
      </c>
      <c r="Z363" s="288">
        <f t="shared" si="194"/>
        <v>357260.75999999995</v>
      </c>
      <c r="AA363" s="288">
        <f t="shared" si="195"/>
        <v>179976.28000000012</v>
      </c>
      <c r="AB363" s="288">
        <f t="shared" si="206"/>
        <v>0</v>
      </c>
      <c r="AC363" s="410">
        <f t="shared" si="215"/>
        <v>303</v>
      </c>
      <c r="AD363" s="510">
        <f t="shared" si="216"/>
        <v>161497.84000000008</v>
      </c>
      <c r="AE363" s="510">
        <f t="shared" si="187"/>
        <v>-4127.110000000017</v>
      </c>
      <c r="AF363" s="510">
        <f t="shared" si="188"/>
        <v>157370.73000000007</v>
      </c>
      <c r="AG363" s="510">
        <f t="shared" si="217"/>
        <v>-382.11</v>
      </c>
      <c r="AH363" s="510">
        <f t="shared" si="218"/>
        <v>81537.970000000088</v>
      </c>
      <c r="AI363" s="510"/>
      <c r="AJ363" s="14">
        <f t="shared" si="196"/>
        <v>-382.11</v>
      </c>
      <c r="AK363" s="14">
        <f t="shared" si="197"/>
        <v>416490.27999999991</v>
      </c>
      <c r="AL363" s="510">
        <f>IF(R363&lt;=0,0,+(Profit!$B$4+AM362)*$AL$1/12)</f>
        <v>0</v>
      </c>
      <c r="AM363" s="14">
        <f t="shared" si="219"/>
        <v>227647.99117059269</v>
      </c>
    </row>
    <row r="364" spans="1:39" x14ac:dyDescent="0.25">
      <c r="A364" s="499">
        <f t="shared" si="207"/>
        <v>54879</v>
      </c>
      <c r="B364" s="288">
        <f t="shared" si="208"/>
        <v>4127.110000000017</v>
      </c>
      <c r="C364" s="14">
        <f t="shared" si="198"/>
        <v>382.11</v>
      </c>
      <c r="D364" s="14">
        <f t="shared" si="220"/>
        <v>369.21000000000004</v>
      </c>
      <c r="E364" s="14">
        <f t="shared" si="199"/>
        <v>12.9</v>
      </c>
      <c r="F364" s="288">
        <f t="shared" si="209"/>
        <v>79009.040000000008</v>
      </c>
      <c r="G364" s="288">
        <f t="shared" si="210"/>
        <v>54987.3</v>
      </c>
      <c r="H364" s="288">
        <f t="shared" si="200"/>
        <v>3757.9000000000169</v>
      </c>
      <c r="I364" s="410">
        <f t="shared" si="201"/>
        <v>25</v>
      </c>
      <c r="J364" s="288">
        <f t="shared" si="211"/>
        <v>110149.03999999989</v>
      </c>
      <c r="K364" s="288">
        <f t="shared" si="190"/>
        <v>2298.4699999999998</v>
      </c>
      <c r="L364" s="288">
        <f t="shared" si="221"/>
        <v>1678.8799999999997</v>
      </c>
      <c r="M364" s="288">
        <f t="shared" si="191"/>
        <v>619.59</v>
      </c>
      <c r="N364" s="288">
        <f t="shared" si="212"/>
        <v>245904.83999999997</v>
      </c>
      <c r="O364" s="288">
        <f t="shared" si="213"/>
        <v>455128.50999999989</v>
      </c>
      <c r="P364" s="288">
        <f t="shared" si="202"/>
        <v>108470.15999999989</v>
      </c>
      <c r="Q364" s="499">
        <f t="shared" si="203"/>
        <v>54879</v>
      </c>
      <c r="R364" s="288">
        <f t="shared" si="189"/>
        <v>0</v>
      </c>
      <c r="S364" s="492">
        <f t="shared" si="214"/>
        <v>6.7500000000000004E-2</v>
      </c>
      <c r="T364" s="288">
        <f t="shared" si="204"/>
        <v>0</v>
      </c>
      <c r="U364" s="288">
        <f t="shared" si="192"/>
        <v>0</v>
      </c>
      <c r="V364" s="288">
        <f t="shared" si="205"/>
        <v>0</v>
      </c>
      <c r="W364" s="288">
        <f t="shared" si="185"/>
        <v>0</v>
      </c>
      <c r="X364" s="288">
        <f t="shared" si="186"/>
        <v>0</v>
      </c>
      <c r="Y364" s="288">
        <f t="shared" si="193"/>
        <v>0</v>
      </c>
      <c r="Z364" s="288">
        <f t="shared" si="194"/>
        <v>357260.75999999995</v>
      </c>
      <c r="AA364" s="288">
        <f t="shared" si="195"/>
        <v>179976.28000000012</v>
      </c>
      <c r="AB364" s="288">
        <f t="shared" si="206"/>
        <v>0</v>
      </c>
      <c r="AC364" s="410">
        <f t="shared" si="215"/>
        <v>304</v>
      </c>
      <c r="AD364" s="510">
        <f t="shared" si="216"/>
        <v>163796.31000000008</v>
      </c>
      <c r="AE364" s="510">
        <f t="shared" si="187"/>
        <v>-3757.9000000000169</v>
      </c>
      <c r="AF364" s="510">
        <f t="shared" si="188"/>
        <v>160038.41000000006</v>
      </c>
      <c r="AG364" s="510">
        <f t="shared" si="217"/>
        <v>-382.11</v>
      </c>
      <c r="AH364" s="510">
        <f t="shared" si="218"/>
        <v>81907.180000000109</v>
      </c>
      <c r="AI364" s="510"/>
      <c r="AJ364" s="14">
        <f t="shared" si="196"/>
        <v>-382.11</v>
      </c>
      <c r="AK364" s="14">
        <f t="shared" si="197"/>
        <v>416108.16999999993</v>
      </c>
      <c r="AL364" s="510">
        <f>IF(R364&lt;=0,0,+(Profit!$B$4+AM363)*$AL$1/12)</f>
        <v>0</v>
      </c>
      <c r="AM364" s="14">
        <f t="shared" si="219"/>
        <v>227647.99117059269</v>
      </c>
    </row>
    <row r="365" spans="1:39" x14ac:dyDescent="0.25">
      <c r="A365" s="499">
        <f t="shared" si="207"/>
        <v>54909</v>
      </c>
      <c r="B365" s="288">
        <f t="shared" si="208"/>
        <v>3757.9000000000169</v>
      </c>
      <c r="C365" s="14">
        <f t="shared" si="198"/>
        <v>382.11</v>
      </c>
      <c r="D365" s="14">
        <f t="shared" si="220"/>
        <v>370.37</v>
      </c>
      <c r="E365" s="14">
        <f t="shared" si="199"/>
        <v>11.74</v>
      </c>
      <c r="F365" s="288">
        <f t="shared" si="209"/>
        <v>79379.41</v>
      </c>
      <c r="G365" s="288">
        <f t="shared" si="210"/>
        <v>54999.040000000001</v>
      </c>
      <c r="H365" s="288">
        <f t="shared" si="200"/>
        <v>3387.530000000017</v>
      </c>
      <c r="I365" s="410">
        <f t="shared" si="201"/>
        <v>25</v>
      </c>
      <c r="J365" s="288">
        <f t="shared" si="211"/>
        <v>108470.15999999989</v>
      </c>
      <c r="K365" s="288">
        <f t="shared" si="190"/>
        <v>2298.4699999999998</v>
      </c>
      <c r="L365" s="288">
        <f t="shared" si="221"/>
        <v>1688.33</v>
      </c>
      <c r="M365" s="288">
        <f t="shared" si="191"/>
        <v>610.14</v>
      </c>
      <c r="N365" s="288">
        <f t="shared" si="212"/>
        <v>247593.16999999995</v>
      </c>
      <c r="O365" s="288">
        <f t="shared" si="213"/>
        <v>455738.64999999991</v>
      </c>
      <c r="P365" s="288">
        <f t="shared" si="202"/>
        <v>106781.82999999989</v>
      </c>
      <c r="Q365" s="499">
        <f t="shared" si="203"/>
        <v>54909</v>
      </c>
      <c r="R365" s="288">
        <f t="shared" si="189"/>
        <v>0</v>
      </c>
      <c r="S365" s="492">
        <f t="shared" si="214"/>
        <v>6.7500000000000004E-2</v>
      </c>
      <c r="T365" s="288">
        <f t="shared" si="204"/>
        <v>0</v>
      </c>
      <c r="U365" s="288">
        <f t="shared" si="192"/>
        <v>0</v>
      </c>
      <c r="V365" s="288">
        <f t="shared" si="205"/>
        <v>0</v>
      </c>
      <c r="W365" s="288">
        <f t="shared" si="185"/>
        <v>0</v>
      </c>
      <c r="X365" s="288">
        <f t="shared" si="186"/>
        <v>0</v>
      </c>
      <c r="Y365" s="288">
        <f t="shared" si="193"/>
        <v>0</v>
      </c>
      <c r="Z365" s="288">
        <f t="shared" si="194"/>
        <v>357260.75999999995</v>
      </c>
      <c r="AA365" s="288">
        <f t="shared" si="195"/>
        <v>179976.28000000012</v>
      </c>
      <c r="AB365" s="288">
        <f t="shared" si="206"/>
        <v>0</v>
      </c>
      <c r="AC365" s="410">
        <f t="shared" si="215"/>
        <v>305</v>
      </c>
      <c r="AD365" s="510">
        <f t="shared" si="216"/>
        <v>166094.78000000009</v>
      </c>
      <c r="AE365" s="510">
        <f t="shared" si="187"/>
        <v>-3387.530000000017</v>
      </c>
      <c r="AF365" s="510">
        <f t="shared" si="188"/>
        <v>162707.25000000006</v>
      </c>
      <c r="AG365" s="510">
        <f t="shared" si="217"/>
        <v>-382.11</v>
      </c>
      <c r="AH365" s="510">
        <f t="shared" si="218"/>
        <v>82277.550000000105</v>
      </c>
      <c r="AI365" s="510"/>
      <c r="AJ365" s="14">
        <f t="shared" si="196"/>
        <v>-382.11</v>
      </c>
      <c r="AK365" s="14">
        <f t="shared" si="197"/>
        <v>415726.05999999994</v>
      </c>
      <c r="AL365" s="510">
        <f>IF(R365&lt;=0,0,+(Profit!$B$4+AM364)*$AL$1/12)</f>
        <v>0</v>
      </c>
      <c r="AM365" s="14">
        <f t="shared" si="219"/>
        <v>227647.99117059269</v>
      </c>
    </row>
    <row r="366" spans="1:39" x14ac:dyDescent="0.25">
      <c r="A366" s="499">
        <f t="shared" si="207"/>
        <v>54939</v>
      </c>
      <c r="B366" s="288">
        <f t="shared" si="208"/>
        <v>3387.530000000017</v>
      </c>
      <c r="C366" s="14">
        <f t="shared" si="198"/>
        <v>382.11</v>
      </c>
      <c r="D366" s="14">
        <f t="shared" si="220"/>
        <v>371.52000000000004</v>
      </c>
      <c r="E366" s="14">
        <f t="shared" si="199"/>
        <v>10.59</v>
      </c>
      <c r="F366" s="288">
        <f t="shared" si="209"/>
        <v>79750.930000000008</v>
      </c>
      <c r="G366" s="288">
        <f t="shared" si="210"/>
        <v>55009.63</v>
      </c>
      <c r="H366" s="288">
        <f t="shared" si="200"/>
        <v>3016.010000000017</v>
      </c>
      <c r="I366" s="410">
        <f t="shared" si="201"/>
        <v>25</v>
      </c>
      <c r="J366" s="288">
        <f t="shared" si="211"/>
        <v>106781.82999999989</v>
      </c>
      <c r="K366" s="288">
        <f t="shared" si="190"/>
        <v>2298.4699999999998</v>
      </c>
      <c r="L366" s="288">
        <f t="shared" si="221"/>
        <v>1697.8199999999997</v>
      </c>
      <c r="M366" s="288">
        <f t="shared" si="191"/>
        <v>600.65</v>
      </c>
      <c r="N366" s="288">
        <f t="shared" si="212"/>
        <v>249290.98999999996</v>
      </c>
      <c r="O366" s="288">
        <f t="shared" si="213"/>
        <v>456339.29999999993</v>
      </c>
      <c r="P366" s="288">
        <f t="shared" si="202"/>
        <v>105084.00999999989</v>
      </c>
      <c r="Q366" s="499">
        <f t="shared" si="203"/>
        <v>54939</v>
      </c>
      <c r="R366" s="288">
        <f t="shared" si="189"/>
        <v>0</v>
      </c>
      <c r="S366" s="492">
        <f t="shared" si="214"/>
        <v>6.7500000000000004E-2</v>
      </c>
      <c r="T366" s="288">
        <f t="shared" si="204"/>
        <v>0</v>
      </c>
      <c r="U366" s="288">
        <f t="shared" si="192"/>
        <v>0</v>
      </c>
      <c r="V366" s="288">
        <f t="shared" si="205"/>
        <v>0</v>
      </c>
      <c r="W366" s="288">
        <f t="shared" si="185"/>
        <v>0</v>
      </c>
      <c r="X366" s="288">
        <f t="shared" si="186"/>
        <v>0</v>
      </c>
      <c r="Y366" s="288">
        <f t="shared" si="193"/>
        <v>0</v>
      </c>
      <c r="Z366" s="288">
        <f t="shared" si="194"/>
        <v>357260.75999999995</v>
      </c>
      <c r="AA366" s="288">
        <f t="shared" si="195"/>
        <v>179976.28000000012</v>
      </c>
      <c r="AB366" s="288">
        <f t="shared" si="206"/>
        <v>0</v>
      </c>
      <c r="AC366" s="410">
        <f t="shared" si="215"/>
        <v>306</v>
      </c>
      <c r="AD366" s="510">
        <f t="shared" si="216"/>
        <v>168393.25000000009</v>
      </c>
      <c r="AE366" s="510">
        <f t="shared" si="187"/>
        <v>-3016.010000000017</v>
      </c>
      <c r="AF366" s="510">
        <f t="shared" si="188"/>
        <v>165377.24000000008</v>
      </c>
      <c r="AG366" s="510">
        <f t="shared" si="217"/>
        <v>-382.11</v>
      </c>
      <c r="AH366" s="510">
        <f t="shared" si="218"/>
        <v>82649.070000000065</v>
      </c>
      <c r="AI366" s="510"/>
      <c r="AJ366" s="14">
        <f t="shared" si="196"/>
        <v>-382.11</v>
      </c>
      <c r="AK366" s="14">
        <f t="shared" si="197"/>
        <v>415343.94999999995</v>
      </c>
      <c r="AL366" s="510">
        <f>IF(R366&lt;=0,0,+(Profit!$B$4+AM365)*$AL$1/12)</f>
        <v>0</v>
      </c>
      <c r="AM366" s="14">
        <f t="shared" si="219"/>
        <v>227647.99117059269</v>
      </c>
    </row>
    <row r="367" spans="1:39" x14ac:dyDescent="0.25">
      <c r="A367" s="499">
        <f t="shared" si="207"/>
        <v>54969</v>
      </c>
      <c r="B367" s="288">
        <f t="shared" si="208"/>
        <v>3016.010000000017</v>
      </c>
      <c r="C367" s="14">
        <f t="shared" si="198"/>
        <v>382.11</v>
      </c>
      <c r="D367" s="14">
        <f t="shared" si="220"/>
        <v>372.68</v>
      </c>
      <c r="E367" s="14">
        <f t="shared" si="199"/>
        <v>9.43</v>
      </c>
      <c r="F367" s="288">
        <f t="shared" si="209"/>
        <v>80123.61</v>
      </c>
      <c r="G367" s="288">
        <f t="shared" si="210"/>
        <v>55019.06</v>
      </c>
      <c r="H367" s="288">
        <f t="shared" si="200"/>
        <v>2643.3300000000172</v>
      </c>
      <c r="I367" s="410">
        <f t="shared" si="201"/>
        <v>25</v>
      </c>
      <c r="J367" s="288">
        <f t="shared" si="211"/>
        <v>105084.00999999989</v>
      </c>
      <c r="K367" s="288">
        <f t="shared" si="190"/>
        <v>2298.4699999999998</v>
      </c>
      <c r="L367" s="288">
        <f t="shared" si="221"/>
        <v>1707.37</v>
      </c>
      <c r="M367" s="288">
        <f t="shared" si="191"/>
        <v>591.1</v>
      </c>
      <c r="N367" s="288">
        <f t="shared" si="212"/>
        <v>250998.35999999996</v>
      </c>
      <c r="O367" s="288">
        <f t="shared" si="213"/>
        <v>456930.39999999991</v>
      </c>
      <c r="P367" s="288">
        <f t="shared" si="202"/>
        <v>103376.6399999999</v>
      </c>
      <c r="Q367" s="499">
        <f t="shared" si="203"/>
        <v>54969</v>
      </c>
      <c r="R367" s="288">
        <f t="shared" si="189"/>
        <v>0</v>
      </c>
      <c r="S367" s="492">
        <f t="shared" si="214"/>
        <v>6.7500000000000004E-2</v>
      </c>
      <c r="T367" s="288">
        <f t="shared" si="204"/>
        <v>0</v>
      </c>
      <c r="U367" s="288">
        <f t="shared" si="192"/>
        <v>0</v>
      </c>
      <c r="V367" s="288">
        <f t="shared" si="205"/>
        <v>0</v>
      </c>
      <c r="W367" s="288">
        <f t="shared" si="185"/>
        <v>0</v>
      </c>
      <c r="X367" s="288">
        <f t="shared" si="186"/>
        <v>0</v>
      </c>
      <c r="Y367" s="288">
        <f t="shared" si="193"/>
        <v>0</v>
      </c>
      <c r="Z367" s="288">
        <f t="shared" si="194"/>
        <v>357260.75999999995</v>
      </c>
      <c r="AA367" s="288">
        <f t="shared" si="195"/>
        <v>179976.28000000012</v>
      </c>
      <c r="AB367" s="288">
        <f t="shared" si="206"/>
        <v>0</v>
      </c>
      <c r="AC367" s="410">
        <f t="shared" si="215"/>
        <v>307</v>
      </c>
      <c r="AD367" s="510">
        <f t="shared" si="216"/>
        <v>170691.72000000009</v>
      </c>
      <c r="AE367" s="510">
        <f t="shared" si="187"/>
        <v>-2643.3300000000172</v>
      </c>
      <c r="AF367" s="510">
        <f t="shared" si="188"/>
        <v>168048.39000000007</v>
      </c>
      <c r="AG367" s="510">
        <f t="shared" si="217"/>
        <v>-382.11</v>
      </c>
      <c r="AH367" s="510">
        <f t="shared" si="218"/>
        <v>83021.750000000058</v>
      </c>
      <c r="AI367" s="510"/>
      <c r="AJ367" s="14">
        <f t="shared" si="196"/>
        <v>-382.11</v>
      </c>
      <c r="AK367" s="14">
        <f t="shared" si="197"/>
        <v>414961.83999999997</v>
      </c>
      <c r="AL367" s="510">
        <f>IF(R367&lt;=0,0,+(Profit!$B$4+AM366)*$AL$1/12)</f>
        <v>0</v>
      </c>
      <c r="AM367" s="14">
        <f t="shared" si="219"/>
        <v>227647.99117059269</v>
      </c>
    </row>
    <row r="368" spans="1:39" x14ac:dyDescent="0.25">
      <c r="A368" s="499">
        <f t="shared" si="207"/>
        <v>54999</v>
      </c>
      <c r="B368" s="288">
        <f t="shared" si="208"/>
        <v>2643.3300000000172</v>
      </c>
      <c r="C368" s="14">
        <f t="shared" si="198"/>
        <v>382.11</v>
      </c>
      <c r="D368" s="14">
        <f t="shared" si="220"/>
        <v>373.85</v>
      </c>
      <c r="E368" s="14">
        <f t="shared" si="199"/>
        <v>8.26</v>
      </c>
      <c r="F368" s="288">
        <f t="shared" si="209"/>
        <v>80497.460000000006</v>
      </c>
      <c r="G368" s="288">
        <f t="shared" si="210"/>
        <v>55027.32</v>
      </c>
      <c r="H368" s="288">
        <f t="shared" si="200"/>
        <v>2269.4800000000173</v>
      </c>
      <c r="I368" s="410">
        <f t="shared" si="201"/>
        <v>25</v>
      </c>
      <c r="J368" s="288">
        <f t="shared" si="211"/>
        <v>103376.6399999999</v>
      </c>
      <c r="K368" s="288">
        <f t="shared" si="190"/>
        <v>2298.4699999999998</v>
      </c>
      <c r="L368" s="288">
        <f t="shared" si="221"/>
        <v>1716.9799999999998</v>
      </c>
      <c r="M368" s="288">
        <f t="shared" si="191"/>
        <v>581.49</v>
      </c>
      <c r="N368" s="288">
        <f t="shared" si="212"/>
        <v>252715.33999999997</v>
      </c>
      <c r="O368" s="288">
        <f t="shared" si="213"/>
        <v>457511.8899999999</v>
      </c>
      <c r="P368" s="288">
        <f t="shared" si="202"/>
        <v>101659.6599999999</v>
      </c>
      <c r="Q368" s="499">
        <f t="shared" si="203"/>
        <v>54999</v>
      </c>
      <c r="R368" s="288">
        <f t="shared" si="189"/>
        <v>0</v>
      </c>
      <c r="S368" s="492">
        <f t="shared" si="214"/>
        <v>6.7500000000000004E-2</v>
      </c>
      <c r="T368" s="288">
        <f t="shared" si="204"/>
        <v>0</v>
      </c>
      <c r="U368" s="288">
        <f t="shared" si="192"/>
        <v>0</v>
      </c>
      <c r="V368" s="288">
        <f t="shared" si="205"/>
        <v>0</v>
      </c>
      <c r="W368" s="288">
        <f t="shared" si="185"/>
        <v>0</v>
      </c>
      <c r="X368" s="288">
        <f t="shared" si="186"/>
        <v>0</v>
      </c>
      <c r="Y368" s="288">
        <f t="shared" si="193"/>
        <v>0</v>
      </c>
      <c r="Z368" s="288">
        <f t="shared" si="194"/>
        <v>357260.75999999995</v>
      </c>
      <c r="AA368" s="288">
        <f t="shared" si="195"/>
        <v>179976.28000000012</v>
      </c>
      <c r="AB368" s="288">
        <f t="shared" si="206"/>
        <v>0</v>
      </c>
      <c r="AC368" s="410">
        <f t="shared" si="215"/>
        <v>308</v>
      </c>
      <c r="AD368" s="510">
        <f t="shared" si="216"/>
        <v>172990.19000000009</v>
      </c>
      <c r="AE368" s="510">
        <f t="shared" si="187"/>
        <v>-2269.4800000000173</v>
      </c>
      <c r="AF368" s="510">
        <f t="shared" si="188"/>
        <v>170720.71000000008</v>
      </c>
      <c r="AG368" s="510">
        <f t="shared" si="217"/>
        <v>-382.11</v>
      </c>
      <c r="AH368" s="510">
        <f t="shared" si="218"/>
        <v>83395.600000000093</v>
      </c>
      <c r="AI368" s="510"/>
      <c r="AJ368" s="14">
        <f t="shared" si="196"/>
        <v>-382.11</v>
      </c>
      <c r="AK368" s="14">
        <f t="shared" si="197"/>
        <v>414579.73</v>
      </c>
      <c r="AL368" s="510">
        <f>IF(R368&lt;=0,0,+(Profit!$B$4+AM367)*$AL$1/12)</f>
        <v>0</v>
      </c>
      <c r="AM368" s="14">
        <f t="shared" si="219"/>
        <v>227647.99117059269</v>
      </c>
    </row>
    <row r="369" spans="1:39" x14ac:dyDescent="0.25">
      <c r="A369" s="499">
        <f t="shared" si="207"/>
        <v>55029</v>
      </c>
      <c r="B369" s="288">
        <f t="shared" si="208"/>
        <v>2269.4800000000173</v>
      </c>
      <c r="C369" s="14">
        <f t="shared" si="198"/>
        <v>382.11</v>
      </c>
      <c r="D369" s="14">
        <f t="shared" si="220"/>
        <v>375.02000000000004</v>
      </c>
      <c r="E369" s="14">
        <f t="shared" si="199"/>
        <v>7.09</v>
      </c>
      <c r="F369" s="288">
        <f t="shared" si="209"/>
        <v>80872.48000000001</v>
      </c>
      <c r="G369" s="288">
        <f t="shared" si="210"/>
        <v>55034.409999999996</v>
      </c>
      <c r="H369" s="288">
        <f t="shared" si="200"/>
        <v>1894.4600000000173</v>
      </c>
      <c r="I369" s="410">
        <f t="shared" si="201"/>
        <v>25</v>
      </c>
      <c r="J369" s="288">
        <f t="shared" si="211"/>
        <v>101659.6599999999</v>
      </c>
      <c r="K369" s="288">
        <f t="shared" si="190"/>
        <v>2298.4699999999998</v>
      </c>
      <c r="L369" s="288">
        <f t="shared" si="221"/>
        <v>1726.6299999999997</v>
      </c>
      <c r="M369" s="288">
        <f t="shared" si="191"/>
        <v>571.84</v>
      </c>
      <c r="N369" s="288">
        <f t="shared" si="212"/>
        <v>254441.96999999997</v>
      </c>
      <c r="O369" s="288">
        <f t="shared" si="213"/>
        <v>458083.72999999992</v>
      </c>
      <c r="P369" s="288">
        <f t="shared" si="202"/>
        <v>99933.029999999897</v>
      </c>
      <c r="Q369" s="499">
        <f t="shared" si="203"/>
        <v>55029</v>
      </c>
      <c r="R369" s="288">
        <f t="shared" si="189"/>
        <v>0</v>
      </c>
      <c r="S369" s="492">
        <f t="shared" si="214"/>
        <v>6.7500000000000004E-2</v>
      </c>
      <c r="T369" s="288">
        <f t="shared" si="204"/>
        <v>0</v>
      </c>
      <c r="U369" s="288">
        <f t="shared" si="192"/>
        <v>0</v>
      </c>
      <c r="V369" s="288">
        <f t="shared" si="205"/>
        <v>0</v>
      </c>
      <c r="W369" s="288">
        <f t="shared" si="185"/>
        <v>0</v>
      </c>
      <c r="X369" s="288">
        <f t="shared" si="186"/>
        <v>0</v>
      </c>
      <c r="Y369" s="288">
        <f t="shared" si="193"/>
        <v>0</v>
      </c>
      <c r="Z369" s="288">
        <f t="shared" si="194"/>
        <v>357260.75999999995</v>
      </c>
      <c r="AA369" s="288">
        <f t="shared" si="195"/>
        <v>179976.28000000012</v>
      </c>
      <c r="AB369" s="288">
        <f t="shared" si="206"/>
        <v>0</v>
      </c>
      <c r="AC369" s="410">
        <f t="shared" si="215"/>
        <v>309</v>
      </c>
      <c r="AD369" s="510">
        <f t="shared" si="216"/>
        <v>175288.66000000009</v>
      </c>
      <c r="AE369" s="510">
        <f t="shared" si="187"/>
        <v>-1894.4600000000173</v>
      </c>
      <c r="AF369" s="510">
        <f t="shared" si="188"/>
        <v>173394.20000000007</v>
      </c>
      <c r="AG369" s="510">
        <f t="shared" si="217"/>
        <v>-382.11</v>
      </c>
      <c r="AH369" s="510">
        <f t="shared" si="218"/>
        <v>83770.620000000054</v>
      </c>
      <c r="AI369" s="510"/>
      <c r="AJ369" s="14">
        <f t="shared" si="196"/>
        <v>-382.11</v>
      </c>
      <c r="AK369" s="14">
        <f t="shared" si="197"/>
        <v>414197.62</v>
      </c>
      <c r="AL369" s="510">
        <f>IF(R369&lt;=0,0,+(Profit!$B$4+AM368)*$AL$1/12)</f>
        <v>0</v>
      </c>
      <c r="AM369" s="14">
        <f t="shared" si="219"/>
        <v>227647.99117059269</v>
      </c>
    </row>
    <row r="370" spans="1:39" x14ac:dyDescent="0.25">
      <c r="A370" s="499">
        <f t="shared" si="207"/>
        <v>55059</v>
      </c>
      <c r="B370" s="288">
        <f t="shared" si="208"/>
        <v>1894.4600000000173</v>
      </c>
      <c r="C370" s="14">
        <f t="shared" si="198"/>
        <v>382.11</v>
      </c>
      <c r="D370" s="14">
        <f t="shared" si="220"/>
        <v>376.19</v>
      </c>
      <c r="E370" s="14">
        <f t="shared" si="199"/>
        <v>5.92</v>
      </c>
      <c r="F370" s="288">
        <f t="shared" si="209"/>
        <v>81248.670000000013</v>
      </c>
      <c r="G370" s="288">
        <f t="shared" si="210"/>
        <v>55040.329999999994</v>
      </c>
      <c r="H370" s="288">
        <f t="shared" si="200"/>
        <v>1518.2700000000173</v>
      </c>
      <c r="I370" s="410">
        <f t="shared" si="201"/>
        <v>25</v>
      </c>
      <c r="J370" s="288">
        <f t="shared" si="211"/>
        <v>99933.029999999897</v>
      </c>
      <c r="K370" s="288">
        <f t="shared" si="190"/>
        <v>2298.4699999999998</v>
      </c>
      <c r="L370" s="288">
        <f t="shared" si="221"/>
        <v>1736.35</v>
      </c>
      <c r="M370" s="288">
        <f t="shared" si="191"/>
        <v>562.12</v>
      </c>
      <c r="N370" s="288">
        <f t="shared" si="212"/>
        <v>256178.31999999998</v>
      </c>
      <c r="O370" s="288">
        <f t="shared" si="213"/>
        <v>458645.84999999992</v>
      </c>
      <c r="P370" s="288">
        <f t="shared" si="202"/>
        <v>98196.679999999891</v>
      </c>
      <c r="Q370" s="499">
        <f t="shared" si="203"/>
        <v>55059</v>
      </c>
      <c r="R370" s="288">
        <f t="shared" si="189"/>
        <v>0</v>
      </c>
      <c r="S370" s="492">
        <f t="shared" si="214"/>
        <v>6.7500000000000004E-2</v>
      </c>
      <c r="T370" s="288">
        <f t="shared" si="204"/>
        <v>0</v>
      </c>
      <c r="U370" s="288">
        <f t="shared" si="192"/>
        <v>0</v>
      </c>
      <c r="V370" s="288">
        <f t="shared" si="205"/>
        <v>0</v>
      </c>
      <c r="W370" s="288">
        <f t="shared" si="185"/>
        <v>0</v>
      </c>
      <c r="X370" s="288">
        <f t="shared" si="186"/>
        <v>0</v>
      </c>
      <c r="Y370" s="288">
        <f t="shared" si="193"/>
        <v>0</v>
      </c>
      <c r="Z370" s="288">
        <f t="shared" si="194"/>
        <v>357260.75999999995</v>
      </c>
      <c r="AA370" s="288">
        <f t="shared" si="195"/>
        <v>179976.28000000012</v>
      </c>
      <c r="AB370" s="288">
        <f t="shared" si="206"/>
        <v>0</v>
      </c>
      <c r="AC370" s="410">
        <f t="shared" si="215"/>
        <v>310</v>
      </c>
      <c r="AD370" s="510">
        <f t="shared" si="216"/>
        <v>177587.13000000009</v>
      </c>
      <c r="AE370" s="510">
        <f t="shared" si="187"/>
        <v>-1518.2700000000173</v>
      </c>
      <c r="AF370" s="510">
        <f t="shared" si="188"/>
        <v>176068.86000000007</v>
      </c>
      <c r="AG370" s="510">
        <f t="shared" si="217"/>
        <v>-382.11</v>
      </c>
      <c r="AH370" s="510">
        <f t="shared" si="218"/>
        <v>84146.810000000114</v>
      </c>
      <c r="AI370" s="510"/>
      <c r="AJ370" s="14">
        <f t="shared" si="196"/>
        <v>-382.11</v>
      </c>
      <c r="AK370" s="14">
        <f t="shared" si="197"/>
        <v>413815.51</v>
      </c>
      <c r="AL370" s="510">
        <f>IF(R370&lt;=0,0,+(Profit!$B$4+AM369)*$AL$1/12)</f>
        <v>0</v>
      </c>
      <c r="AM370" s="14">
        <f t="shared" si="219"/>
        <v>227647.99117059269</v>
      </c>
    </row>
    <row r="371" spans="1:39" x14ac:dyDescent="0.25">
      <c r="A371" s="499">
        <f t="shared" si="207"/>
        <v>55089</v>
      </c>
      <c r="B371" s="288">
        <f t="shared" si="208"/>
        <v>1518.2700000000173</v>
      </c>
      <c r="C371" s="14">
        <f t="shared" si="198"/>
        <v>382.11</v>
      </c>
      <c r="D371" s="14">
        <f t="shared" si="220"/>
        <v>377.37</v>
      </c>
      <c r="E371" s="14">
        <f t="shared" si="199"/>
        <v>4.74</v>
      </c>
      <c r="F371" s="288">
        <f t="shared" si="209"/>
        <v>81626.040000000008</v>
      </c>
      <c r="G371" s="288">
        <f t="shared" si="210"/>
        <v>55045.069999999992</v>
      </c>
      <c r="H371" s="288">
        <f t="shared" si="200"/>
        <v>1140.9000000000174</v>
      </c>
      <c r="I371" s="410">
        <f t="shared" si="201"/>
        <v>25</v>
      </c>
      <c r="J371" s="288">
        <f t="shared" si="211"/>
        <v>98196.679999999891</v>
      </c>
      <c r="K371" s="288">
        <f t="shared" si="190"/>
        <v>2298.4699999999998</v>
      </c>
      <c r="L371" s="288">
        <f t="shared" si="221"/>
        <v>1746.1099999999997</v>
      </c>
      <c r="M371" s="288">
        <f t="shared" si="191"/>
        <v>552.36</v>
      </c>
      <c r="N371" s="288">
        <f t="shared" si="212"/>
        <v>257924.42999999996</v>
      </c>
      <c r="O371" s="288">
        <f t="shared" si="213"/>
        <v>459198.2099999999</v>
      </c>
      <c r="P371" s="288">
        <f t="shared" si="202"/>
        <v>96450.569999999891</v>
      </c>
      <c r="Q371" s="499">
        <f t="shared" si="203"/>
        <v>55089</v>
      </c>
      <c r="R371" s="288">
        <f t="shared" si="189"/>
        <v>0</v>
      </c>
      <c r="S371" s="492">
        <f t="shared" si="214"/>
        <v>6.7500000000000004E-2</v>
      </c>
      <c r="T371" s="288">
        <f t="shared" si="204"/>
        <v>0</v>
      </c>
      <c r="U371" s="288">
        <f t="shared" si="192"/>
        <v>0</v>
      </c>
      <c r="V371" s="288">
        <f t="shared" si="205"/>
        <v>0</v>
      </c>
      <c r="W371" s="288">
        <f t="shared" si="185"/>
        <v>0</v>
      </c>
      <c r="X371" s="288">
        <f t="shared" si="186"/>
        <v>0</v>
      </c>
      <c r="Y371" s="288">
        <f t="shared" si="193"/>
        <v>0</v>
      </c>
      <c r="Z371" s="288">
        <f t="shared" si="194"/>
        <v>357260.75999999995</v>
      </c>
      <c r="AA371" s="288">
        <f t="shared" si="195"/>
        <v>179976.28000000012</v>
      </c>
      <c r="AB371" s="288">
        <f t="shared" si="206"/>
        <v>0</v>
      </c>
      <c r="AC371" s="410">
        <f t="shared" si="215"/>
        <v>311</v>
      </c>
      <c r="AD371" s="510">
        <f t="shared" si="216"/>
        <v>179885.60000000009</v>
      </c>
      <c r="AE371" s="510">
        <f t="shared" si="187"/>
        <v>-1140.9000000000174</v>
      </c>
      <c r="AF371" s="510">
        <f t="shared" si="188"/>
        <v>178744.70000000007</v>
      </c>
      <c r="AG371" s="510">
        <f t="shared" si="217"/>
        <v>-382.11</v>
      </c>
      <c r="AH371" s="510">
        <f t="shared" si="218"/>
        <v>84524.180000000109</v>
      </c>
      <c r="AI371" s="510"/>
      <c r="AJ371" s="14">
        <f t="shared" si="196"/>
        <v>-382.11</v>
      </c>
      <c r="AK371" s="14">
        <f t="shared" si="197"/>
        <v>413433.4</v>
      </c>
      <c r="AL371" s="510">
        <f>IF(R371&lt;=0,0,+(Profit!$B$4+AM370)*$AL$1/12)</f>
        <v>0</v>
      </c>
      <c r="AM371" s="14">
        <f t="shared" si="219"/>
        <v>227647.99117059269</v>
      </c>
    </row>
    <row r="372" spans="1:39" x14ac:dyDescent="0.25">
      <c r="A372" s="499">
        <f t="shared" si="207"/>
        <v>55119</v>
      </c>
      <c r="B372" s="288">
        <f t="shared" si="208"/>
        <v>1140.9000000000174</v>
      </c>
      <c r="C372" s="14">
        <f t="shared" si="198"/>
        <v>382.11</v>
      </c>
      <c r="D372" s="14">
        <f t="shared" si="220"/>
        <v>378.54</v>
      </c>
      <c r="E372" s="14">
        <f t="shared" si="199"/>
        <v>3.57</v>
      </c>
      <c r="F372" s="288">
        <f t="shared" si="209"/>
        <v>82004.58</v>
      </c>
      <c r="G372" s="288">
        <f t="shared" si="210"/>
        <v>55048.639999999992</v>
      </c>
      <c r="H372" s="288">
        <f t="shared" si="200"/>
        <v>762.36000000001741</v>
      </c>
      <c r="I372" s="410">
        <f t="shared" si="201"/>
        <v>26</v>
      </c>
      <c r="J372" s="288">
        <f t="shared" si="211"/>
        <v>96450.569999999891</v>
      </c>
      <c r="K372" s="288">
        <f t="shared" si="190"/>
        <v>2298.4699999999998</v>
      </c>
      <c r="L372" s="288">
        <f t="shared" si="221"/>
        <v>1755.9399999999998</v>
      </c>
      <c r="M372" s="288">
        <f t="shared" si="191"/>
        <v>542.53</v>
      </c>
      <c r="N372" s="288">
        <f t="shared" si="212"/>
        <v>259680.36999999997</v>
      </c>
      <c r="O372" s="288">
        <f t="shared" si="213"/>
        <v>459740.73999999993</v>
      </c>
      <c r="P372" s="288">
        <f t="shared" si="202"/>
        <v>94694.629999999888</v>
      </c>
      <c r="Q372" s="499">
        <f t="shared" si="203"/>
        <v>55119</v>
      </c>
      <c r="R372" s="288">
        <f t="shared" si="189"/>
        <v>0</v>
      </c>
      <c r="S372" s="492">
        <f t="shared" si="214"/>
        <v>6.7500000000000004E-2</v>
      </c>
      <c r="T372" s="288">
        <f t="shared" si="204"/>
        <v>0</v>
      </c>
      <c r="U372" s="288">
        <f t="shared" si="192"/>
        <v>0</v>
      </c>
      <c r="V372" s="288">
        <f t="shared" si="205"/>
        <v>0</v>
      </c>
      <c r="W372" s="288">
        <f t="shared" si="185"/>
        <v>0</v>
      </c>
      <c r="X372" s="288">
        <f t="shared" si="186"/>
        <v>0</v>
      </c>
      <c r="Y372" s="288">
        <f t="shared" si="193"/>
        <v>0</v>
      </c>
      <c r="Z372" s="288">
        <f t="shared" si="194"/>
        <v>357260.75999999995</v>
      </c>
      <c r="AA372" s="288">
        <f t="shared" si="195"/>
        <v>179976.28000000012</v>
      </c>
      <c r="AB372" s="288">
        <f t="shared" si="206"/>
        <v>0</v>
      </c>
      <c r="AC372" s="410">
        <f t="shared" si="215"/>
        <v>312</v>
      </c>
      <c r="AD372" s="510">
        <f t="shared" si="216"/>
        <v>182184.07000000009</v>
      </c>
      <c r="AE372" s="510">
        <f t="shared" si="187"/>
        <v>-762.36000000001741</v>
      </c>
      <c r="AF372" s="510">
        <f t="shared" si="188"/>
        <v>181421.71000000008</v>
      </c>
      <c r="AG372" s="510">
        <f t="shared" si="217"/>
        <v>-382.11</v>
      </c>
      <c r="AH372" s="510">
        <f t="shared" si="218"/>
        <v>84902.720000000088</v>
      </c>
      <c r="AI372" s="510"/>
      <c r="AJ372" s="14">
        <f t="shared" si="196"/>
        <v>-382.11</v>
      </c>
      <c r="AK372" s="14">
        <f t="shared" si="197"/>
        <v>413051.29000000004</v>
      </c>
      <c r="AL372" s="510">
        <f>IF(R372&lt;=0,0,+(Profit!$B$4+AM371)*$AL$1/12)</f>
        <v>0</v>
      </c>
      <c r="AM372" s="14">
        <f t="shared" si="219"/>
        <v>227647.99117059269</v>
      </c>
    </row>
    <row r="373" spans="1:39" x14ac:dyDescent="0.25">
      <c r="A373" s="499">
        <f t="shared" si="207"/>
        <v>55149</v>
      </c>
      <c r="B373" s="288">
        <f t="shared" si="208"/>
        <v>762.36000000001741</v>
      </c>
      <c r="C373" s="14">
        <f t="shared" si="198"/>
        <v>382.11</v>
      </c>
      <c r="D373" s="14">
        <f t="shared" si="220"/>
        <v>379.73</v>
      </c>
      <c r="E373" s="14">
        <f t="shared" si="199"/>
        <v>2.38</v>
      </c>
      <c r="F373" s="288">
        <f t="shared" si="209"/>
        <v>82384.31</v>
      </c>
      <c r="G373" s="288">
        <f t="shared" si="210"/>
        <v>55051.01999999999</v>
      </c>
      <c r="H373" s="288">
        <f t="shared" si="200"/>
        <v>382.63000000001739</v>
      </c>
      <c r="I373" s="410">
        <f t="shared" si="201"/>
        <v>26</v>
      </c>
      <c r="J373" s="288">
        <f t="shared" si="211"/>
        <v>94694.629999999888</v>
      </c>
      <c r="K373" s="288">
        <f t="shared" si="190"/>
        <v>2298.4699999999998</v>
      </c>
      <c r="L373" s="288">
        <f t="shared" si="221"/>
        <v>1765.81</v>
      </c>
      <c r="M373" s="288">
        <f t="shared" si="191"/>
        <v>532.66</v>
      </c>
      <c r="N373" s="288">
        <f t="shared" si="212"/>
        <v>261446.17999999996</v>
      </c>
      <c r="O373" s="288">
        <f t="shared" si="213"/>
        <v>460273.39999999991</v>
      </c>
      <c r="P373" s="288">
        <f t="shared" si="202"/>
        <v>92928.819999999891</v>
      </c>
      <c r="Q373" s="499">
        <f t="shared" si="203"/>
        <v>55149</v>
      </c>
      <c r="R373" s="288">
        <f t="shared" si="189"/>
        <v>0</v>
      </c>
      <c r="S373" s="492">
        <f t="shared" si="214"/>
        <v>6.7500000000000004E-2</v>
      </c>
      <c r="T373" s="288">
        <f t="shared" si="204"/>
        <v>0</v>
      </c>
      <c r="U373" s="288">
        <f t="shared" si="192"/>
        <v>0</v>
      </c>
      <c r="V373" s="288">
        <f t="shared" si="205"/>
        <v>0</v>
      </c>
      <c r="W373" s="288">
        <f t="shared" si="185"/>
        <v>0</v>
      </c>
      <c r="X373" s="288">
        <f t="shared" si="186"/>
        <v>0</v>
      </c>
      <c r="Y373" s="288">
        <f t="shared" si="193"/>
        <v>0</v>
      </c>
      <c r="Z373" s="288">
        <f t="shared" si="194"/>
        <v>357260.75999999995</v>
      </c>
      <c r="AA373" s="288">
        <f t="shared" si="195"/>
        <v>179976.28000000012</v>
      </c>
      <c r="AB373" s="288">
        <f t="shared" si="206"/>
        <v>0</v>
      </c>
      <c r="AC373" s="410">
        <f t="shared" si="215"/>
        <v>313</v>
      </c>
      <c r="AD373" s="510">
        <f t="shared" si="216"/>
        <v>184482.5400000001</v>
      </c>
      <c r="AE373" s="510">
        <f t="shared" si="187"/>
        <v>-382.63000000001739</v>
      </c>
      <c r="AF373" s="510">
        <f t="shared" si="188"/>
        <v>184099.91000000009</v>
      </c>
      <c r="AG373" s="510">
        <f t="shared" si="217"/>
        <v>-382.11</v>
      </c>
      <c r="AH373" s="510">
        <f t="shared" si="218"/>
        <v>85282.45000000007</v>
      </c>
      <c r="AI373" s="510"/>
      <c r="AJ373" s="14">
        <f t="shared" si="196"/>
        <v>-382.11</v>
      </c>
      <c r="AK373" s="14">
        <f t="shared" si="197"/>
        <v>412669.18000000005</v>
      </c>
      <c r="AL373" s="510">
        <f>IF(R373&lt;=0,0,+(Profit!$B$4+AM372)*$AL$1/12)</f>
        <v>0</v>
      </c>
      <c r="AM373" s="14">
        <f t="shared" si="219"/>
        <v>227647.99117059269</v>
      </c>
    </row>
    <row r="374" spans="1:39" ht="15.75" thickBot="1" x14ac:dyDescent="0.3">
      <c r="A374" s="502">
        <f t="shared" si="207"/>
        <v>55179</v>
      </c>
      <c r="B374" s="343">
        <f>IF(+H373&lt;0,0,+H373)</f>
        <v>382.63000000001739</v>
      </c>
      <c r="C374" s="21">
        <f t="shared" si="198"/>
        <v>382.11</v>
      </c>
      <c r="D374" s="21">
        <f t="shared" si="220"/>
        <v>380.91</v>
      </c>
      <c r="E374" s="21">
        <f t="shared" si="199"/>
        <v>1.2</v>
      </c>
      <c r="F374" s="343">
        <f t="shared" si="209"/>
        <v>82765.22</v>
      </c>
      <c r="G374" s="343">
        <f t="shared" si="210"/>
        <v>55052.219999999987</v>
      </c>
      <c r="H374" s="343">
        <f t="shared" si="200"/>
        <v>1.7200000000173645</v>
      </c>
      <c r="I374" s="411">
        <f t="shared" si="201"/>
        <v>26</v>
      </c>
      <c r="J374" s="343">
        <f t="shared" si="211"/>
        <v>92928.819999999891</v>
      </c>
      <c r="K374" s="343">
        <f t="shared" si="190"/>
        <v>2298.4699999999998</v>
      </c>
      <c r="L374" s="343">
        <f t="shared" si="221"/>
        <v>1775.7499999999998</v>
      </c>
      <c r="M374" s="343">
        <f t="shared" si="191"/>
        <v>522.72</v>
      </c>
      <c r="N374" s="343">
        <f t="shared" si="212"/>
        <v>263221.92999999993</v>
      </c>
      <c r="O374" s="343">
        <f t="shared" si="213"/>
        <v>460796.11999999988</v>
      </c>
      <c r="P374" s="343">
        <f t="shared" si="202"/>
        <v>91153.069999999891</v>
      </c>
      <c r="Q374" s="502">
        <f t="shared" si="203"/>
        <v>55179</v>
      </c>
      <c r="R374" s="343">
        <f t="shared" si="189"/>
        <v>0</v>
      </c>
      <c r="S374" s="493">
        <f t="shared" si="214"/>
        <v>6.7500000000000004E-2</v>
      </c>
      <c r="T374" s="343">
        <f t="shared" si="204"/>
        <v>0</v>
      </c>
      <c r="U374" s="343">
        <f t="shared" si="192"/>
        <v>0</v>
      </c>
      <c r="V374" s="343">
        <f t="shared" si="205"/>
        <v>0</v>
      </c>
      <c r="W374" s="343">
        <f t="shared" si="185"/>
        <v>0</v>
      </c>
      <c r="X374" s="343">
        <f t="shared" si="186"/>
        <v>0</v>
      </c>
      <c r="Y374" s="343">
        <f t="shared" si="193"/>
        <v>0</v>
      </c>
      <c r="Z374" s="343">
        <f t="shared" si="194"/>
        <v>357260.75999999995</v>
      </c>
      <c r="AA374" s="343">
        <f t="shared" si="195"/>
        <v>179976.28000000012</v>
      </c>
      <c r="AB374" s="343">
        <f t="shared" si="206"/>
        <v>0</v>
      </c>
      <c r="AC374" s="411">
        <f t="shared" si="215"/>
        <v>314</v>
      </c>
      <c r="AD374" s="511">
        <f t="shared" si="216"/>
        <v>186781.0100000001</v>
      </c>
      <c r="AE374" s="511">
        <f t="shared" si="187"/>
        <v>-1.7200000000173645</v>
      </c>
      <c r="AF374" s="511">
        <f t="shared" si="188"/>
        <v>186779.29000000007</v>
      </c>
      <c r="AG374" s="511">
        <f t="shared" si="217"/>
        <v>-382.11</v>
      </c>
      <c r="AH374" s="511">
        <f t="shared" si="218"/>
        <v>85663.360000000044</v>
      </c>
      <c r="AI374" s="511"/>
      <c r="AJ374" s="21">
        <f t="shared" si="196"/>
        <v>-382.11</v>
      </c>
      <c r="AK374" s="21">
        <f t="shared" si="197"/>
        <v>412287.07000000007</v>
      </c>
      <c r="AL374" s="511">
        <f>IF(R374&lt;=0,0,+(Profit!$B$4+AM373)*$AL$1/12)</f>
        <v>0</v>
      </c>
      <c r="AM374" s="21">
        <f t="shared" si="219"/>
        <v>227647.99117059269</v>
      </c>
    </row>
    <row r="375" spans="1:39" x14ac:dyDescent="0.25">
      <c r="A375" s="499" t="str">
        <f t="shared" si="207"/>
        <v xml:space="preserve"> </v>
      </c>
      <c r="B375" s="288">
        <f>IF(+$H374&lt;0,0,+H374)</f>
        <v>1.7200000000173645</v>
      </c>
      <c r="C375" s="14">
        <f t="shared" si="198"/>
        <v>382.11</v>
      </c>
      <c r="D375" s="14">
        <f t="shared" si="220"/>
        <v>382.1</v>
      </c>
      <c r="E375" s="14">
        <f t="shared" si="199"/>
        <v>0.01</v>
      </c>
      <c r="F375" s="288">
        <f t="shared" si="209"/>
        <v>83147.320000000007</v>
      </c>
      <c r="G375" s="288">
        <f t="shared" si="210"/>
        <v>55052.229999999989</v>
      </c>
      <c r="H375" s="288">
        <f t="shared" si="200"/>
        <v>-380.37999999998266</v>
      </c>
      <c r="I375" s="410">
        <f t="shared" si="201"/>
        <v>26</v>
      </c>
      <c r="J375" s="288">
        <f t="shared" si="211"/>
        <v>91153.069999999891</v>
      </c>
      <c r="K375" s="288">
        <f t="shared" si="190"/>
        <v>2298.4699999999998</v>
      </c>
      <c r="L375" s="288">
        <f t="shared" si="221"/>
        <v>1785.7299999999998</v>
      </c>
      <c r="M375" s="288">
        <f t="shared" si="191"/>
        <v>512.74</v>
      </c>
      <c r="N375" s="288">
        <f t="shared" si="212"/>
        <v>265007.65999999992</v>
      </c>
      <c r="O375" s="288">
        <f t="shared" si="213"/>
        <v>461308.85999999987</v>
      </c>
      <c r="P375" s="288">
        <f t="shared" si="202"/>
        <v>89367.339999999895</v>
      </c>
      <c r="Q375" s="499" t="str">
        <f t="shared" si="203"/>
        <v xml:space="preserve"> </v>
      </c>
      <c r="R375" s="288">
        <f t="shared" si="189"/>
        <v>0</v>
      </c>
      <c r="S375" s="492">
        <f t="shared" si="214"/>
        <v>6.7500000000000004E-2</v>
      </c>
      <c r="T375" s="288">
        <f t="shared" si="204"/>
        <v>0</v>
      </c>
      <c r="U375" s="288">
        <f t="shared" si="192"/>
        <v>0</v>
      </c>
      <c r="V375" s="288">
        <f t="shared" si="205"/>
        <v>0</v>
      </c>
      <c r="W375" s="288">
        <f t="shared" si="185"/>
        <v>0</v>
      </c>
      <c r="X375" s="288">
        <f t="shared" si="186"/>
        <v>0</v>
      </c>
      <c r="Y375" s="288">
        <f t="shared" si="193"/>
        <v>0</v>
      </c>
      <c r="Z375" s="288">
        <f t="shared" si="194"/>
        <v>357260.75999999995</v>
      </c>
      <c r="AA375" s="288">
        <f t="shared" si="195"/>
        <v>179976.28000000012</v>
      </c>
      <c r="AB375" s="288">
        <f t="shared" si="206"/>
        <v>0</v>
      </c>
      <c r="AC375" s="410">
        <f t="shared" si="215"/>
        <v>315</v>
      </c>
      <c r="AD375" s="510">
        <f t="shared" si="216"/>
        <v>189079.4800000001</v>
      </c>
      <c r="AE375" s="510">
        <f t="shared" si="187"/>
        <v>380.37999999998266</v>
      </c>
      <c r="AF375" s="510">
        <f t="shared" si="188"/>
        <v>189459.86000000007</v>
      </c>
      <c r="AG375" s="510">
        <f t="shared" si="217"/>
        <v>-382.11</v>
      </c>
      <c r="AH375" s="510">
        <f t="shared" si="218"/>
        <v>86045.460000000079</v>
      </c>
      <c r="AI375" s="510"/>
      <c r="AJ375" s="14">
        <f t="shared" si="196"/>
        <v>-382.11</v>
      </c>
      <c r="AK375" s="14">
        <f t="shared" si="197"/>
        <v>411904.96000000008</v>
      </c>
      <c r="AL375" s="510">
        <f>IF(R375&lt;=0,0,+(Profit!$B$4+AM374)*$AL$1/12)</f>
        <v>0</v>
      </c>
      <c r="AM375" s="14">
        <f t="shared" si="219"/>
        <v>227647.99117059269</v>
      </c>
    </row>
    <row r="376" spans="1:39" x14ac:dyDescent="0.25">
      <c r="A376" s="499" t="str">
        <f t="shared" si="207"/>
        <v xml:space="preserve"> </v>
      </c>
      <c r="B376" s="288">
        <f t="shared" ref="B376:B439" si="222">IF(+H375&lt;0,0,+H375)</f>
        <v>0</v>
      </c>
      <c r="C376" s="14">
        <f t="shared" si="198"/>
        <v>0</v>
      </c>
      <c r="D376" s="14">
        <f t="shared" si="220"/>
        <v>0</v>
      </c>
      <c r="E376" s="14">
        <f t="shared" si="199"/>
        <v>0</v>
      </c>
      <c r="F376" s="288">
        <f t="shared" si="209"/>
        <v>83147.320000000007</v>
      </c>
      <c r="G376" s="288">
        <f t="shared" si="210"/>
        <v>55052.229999999989</v>
      </c>
      <c r="H376" s="288">
        <f t="shared" si="200"/>
        <v>0</v>
      </c>
      <c r="I376" s="410">
        <f t="shared" si="201"/>
        <v>26</v>
      </c>
      <c r="J376" s="288">
        <f t="shared" si="211"/>
        <v>89367.339999999895</v>
      </c>
      <c r="K376" s="288">
        <f t="shared" si="190"/>
        <v>2298.4699999999998</v>
      </c>
      <c r="L376" s="288">
        <f t="shared" si="221"/>
        <v>1795.7799999999997</v>
      </c>
      <c r="M376" s="288">
        <f t="shared" si="191"/>
        <v>502.69</v>
      </c>
      <c r="N376" s="288">
        <f t="shared" si="212"/>
        <v>266803.43999999994</v>
      </c>
      <c r="O376" s="288">
        <f t="shared" si="213"/>
        <v>461811.54999999987</v>
      </c>
      <c r="P376" s="288">
        <f t="shared" si="202"/>
        <v>87571.559999999896</v>
      </c>
      <c r="Q376" s="499" t="str">
        <f t="shared" si="203"/>
        <v xml:space="preserve"> </v>
      </c>
      <c r="R376" s="288">
        <f t="shared" si="189"/>
        <v>0</v>
      </c>
      <c r="S376" s="492">
        <f t="shared" si="214"/>
        <v>6.7500000000000004E-2</v>
      </c>
      <c r="T376" s="288">
        <f t="shared" si="204"/>
        <v>0</v>
      </c>
      <c r="U376" s="288">
        <f t="shared" si="192"/>
        <v>0</v>
      </c>
      <c r="V376" s="288">
        <f t="shared" si="205"/>
        <v>0</v>
      </c>
      <c r="W376" s="288">
        <f t="shared" si="185"/>
        <v>0</v>
      </c>
      <c r="X376" s="288">
        <f t="shared" si="186"/>
        <v>0</v>
      </c>
      <c r="Y376" s="288">
        <f t="shared" si="193"/>
        <v>0</v>
      </c>
      <c r="Z376" s="288">
        <f t="shared" si="194"/>
        <v>357260.75999999995</v>
      </c>
      <c r="AA376" s="288">
        <f t="shared" si="195"/>
        <v>179976.28000000012</v>
      </c>
      <c r="AB376" s="288">
        <f t="shared" si="206"/>
        <v>0</v>
      </c>
      <c r="AC376" s="410">
        <f t="shared" si="215"/>
        <v>316</v>
      </c>
      <c r="AD376" s="510">
        <f t="shared" si="216"/>
        <v>191377.9500000001</v>
      </c>
      <c r="AE376" s="510">
        <f t="shared" si="187"/>
        <v>0</v>
      </c>
      <c r="AF376" s="510">
        <f t="shared" si="188"/>
        <v>191377.9500000001</v>
      </c>
      <c r="AG376" s="510">
        <f t="shared" si="217"/>
        <v>0</v>
      </c>
      <c r="AH376" s="510">
        <f t="shared" si="218"/>
        <v>86045.460000000079</v>
      </c>
      <c r="AI376" s="510"/>
      <c r="AJ376" s="14">
        <f t="shared" si="196"/>
        <v>0</v>
      </c>
      <c r="AK376" s="14">
        <f t="shared" si="197"/>
        <v>411904.96000000008</v>
      </c>
      <c r="AL376" s="510">
        <f>IF(R376&lt;=0,0,+(Profit!$B$4+AM375)*$AL$1/12)</f>
        <v>0</v>
      </c>
      <c r="AM376" s="14">
        <f t="shared" si="219"/>
        <v>227647.99117059269</v>
      </c>
    </row>
    <row r="377" spans="1:39" x14ac:dyDescent="0.25">
      <c r="A377" s="499" t="str">
        <f t="shared" si="207"/>
        <v xml:space="preserve"> </v>
      </c>
      <c r="B377" s="288">
        <f t="shared" si="222"/>
        <v>0</v>
      </c>
      <c r="C377" s="14">
        <f t="shared" si="198"/>
        <v>0</v>
      </c>
      <c r="D377" s="14">
        <f t="shared" si="220"/>
        <v>0</v>
      </c>
      <c r="E377" s="14">
        <f t="shared" si="199"/>
        <v>0</v>
      </c>
      <c r="F377" s="288">
        <f t="shared" si="209"/>
        <v>83147.320000000007</v>
      </c>
      <c r="G377" s="288">
        <f t="shared" si="210"/>
        <v>55052.229999999989</v>
      </c>
      <c r="H377" s="288">
        <f t="shared" si="200"/>
        <v>0</v>
      </c>
      <c r="I377" s="410">
        <f t="shared" si="201"/>
        <v>26</v>
      </c>
      <c r="J377" s="288">
        <f t="shared" si="211"/>
        <v>87571.559999999896</v>
      </c>
      <c r="K377" s="288">
        <f t="shared" si="190"/>
        <v>2298.4699999999998</v>
      </c>
      <c r="L377" s="288">
        <f t="shared" si="221"/>
        <v>1805.8799999999999</v>
      </c>
      <c r="M377" s="288">
        <f t="shared" si="191"/>
        <v>492.59</v>
      </c>
      <c r="N377" s="288">
        <f t="shared" si="212"/>
        <v>268609.31999999995</v>
      </c>
      <c r="O377" s="288">
        <f t="shared" si="213"/>
        <v>462304.1399999999</v>
      </c>
      <c r="P377" s="288">
        <f t="shared" si="202"/>
        <v>85765.679999999891</v>
      </c>
      <c r="Q377" s="499" t="str">
        <f t="shared" si="203"/>
        <v xml:space="preserve"> </v>
      </c>
      <c r="R377" s="288">
        <f t="shared" si="189"/>
        <v>0</v>
      </c>
      <c r="S377" s="492">
        <f t="shared" si="214"/>
        <v>6.7500000000000004E-2</v>
      </c>
      <c r="T377" s="288">
        <f t="shared" si="204"/>
        <v>0</v>
      </c>
      <c r="U377" s="288">
        <f t="shared" si="192"/>
        <v>0</v>
      </c>
      <c r="V377" s="288">
        <f t="shared" si="205"/>
        <v>0</v>
      </c>
      <c r="W377" s="288">
        <f t="shared" si="185"/>
        <v>0</v>
      </c>
      <c r="X377" s="288">
        <f t="shared" si="186"/>
        <v>0</v>
      </c>
      <c r="Y377" s="288">
        <f t="shared" si="193"/>
        <v>0</v>
      </c>
      <c r="Z377" s="288">
        <f t="shared" si="194"/>
        <v>357260.75999999995</v>
      </c>
      <c r="AA377" s="288">
        <f t="shared" si="195"/>
        <v>179976.28000000012</v>
      </c>
      <c r="AB377" s="288">
        <f t="shared" si="206"/>
        <v>0</v>
      </c>
      <c r="AC377" s="410">
        <f t="shared" si="215"/>
        <v>317</v>
      </c>
      <c r="AD377" s="510">
        <f t="shared" si="216"/>
        <v>193676.4200000001</v>
      </c>
      <c r="AE377" s="510">
        <f t="shared" si="187"/>
        <v>0</v>
      </c>
      <c r="AF377" s="510">
        <f t="shared" si="188"/>
        <v>193676.4200000001</v>
      </c>
      <c r="AG377" s="510">
        <f t="shared" si="217"/>
        <v>0</v>
      </c>
      <c r="AH377" s="510">
        <f t="shared" si="218"/>
        <v>86045.460000000079</v>
      </c>
      <c r="AI377" s="510"/>
      <c r="AJ377" s="14">
        <f t="shared" si="196"/>
        <v>0</v>
      </c>
      <c r="AK377" s="14">
        <f t="shared" si="197"/>
        <v>411904.96000000008</v>
      </c>
      <c r="AL377" s="510">
        <f>IF(R377&lt;=0,0,+(Profit!$B$4+AM376)*$AL$1/12)</f>
        <v>0</v>
      </c>
      <c r="AM377" s="14">
        <f t="shared" si="219"/>
        <v>227647.99117059269</v>
      </c>
    </row>
    <row r="378" spans="1:39" x14ac:dyDescent="0.25">
      <c r="A378" s="499" t="str">
        <f t="shared" si="207"/>
        <v xml:space="preserve"> </v>
      </c>
      <c r="B378" s="288">
        <f t="shared" si="222"/>
        <v>0</v>
      </c>
      <c r="C378" s="14">
        <f t="shared" si="198"/>
        <v>0</v>
      </c>
      <c r="D378" s="14">
        <f t="shared" si="220"/>
        <v>0</v>
      </c>
      <c r="E378" s="14">
        <f t="shared" si="199"/>
        <v>0</v>
      </c>
      <c r="F378" s="288">
        <f t="shared" si="209"/>
        <v>83147.320000000007</v>
      </c>
      <c r="G378" s="288">
        <f t="shared" si="210"/>
        <v>55052.229999999989</v>
      </c>
      <c r="H378" s="288">
        <f t="shared" si="200"/>
        <v>0</v>
      </c>
      <c r="I378" s="410">
        <f t="shared" si="201"/>
        <v>26</v>
      </c>
      <c r="J378" s="288">
        <f t="shared" si="211"/>
        <v>85765.679999999891</v>
      </c>
      <c r="K378" s="288">
        <f t="shared" si="190"/>
        <v>2298.4699999999998</v>
      </c>
      <c r="L378" s="288">
        <f t="shared" si="221"/>
        <v>1816.0399999999997</v>
      </c>
      <c r="M378" s="288">
        <f t="shared" si="191"/>
        <v>482.43</v>
      </c>
      <c r="N378" s="288">
        <f t="shared" si="212"/>
        <v>270425.35999999993</v>
      </c>
      <c r="O378" s="288">
        <f t="shared" si="213"/>
        <v>462786.56999999989</v>
      </c>
      <c r="P378" s="288">
        <f t="shared" si="202"/>
        <v>83949.639999999898</v>
      </c>
      <c r="Q378" s="499" t="str">
        <f t="shared" si="203"/>
        <v xml:space="preserve"> </v>
      </c>
      <c r="R378" s="288">
        <f t="shared" si="189"/>
        <v>0</v>
      </c>
      <c r="S378" s="492">
        <f t="shared" si="214"/>
        <v>6.7500000000000004E-2</v>
      </c>
      <c r="T378" s="288">
        <f t="shared" si="204"/>
        <v>0</v>
      </c>
      <c r="U378" s="288">
        <f t="shared" si="192"/>
        <v>0</v>
      </c>
      <c r="V378" s="288">
        <f t="shared" si="205"/>
        <v>0</v>
      </c>
      <c r="W378" s="288">
        <f t="shared" si="185"/>
        <v>0</v>
      </c>
      <c r="X378" s="288">
        <f t="shared" si="186"/>
        <v>0</v>
      </c>
      <c r="Y378" s="288">
        <f t="shared" si="193"/>
        <v>0</v>
      </c>
      <c r="Z378" s="288">
        <f t="shared" si="194"/>
        <v>357260.75999999995</v>
      </c>
      <c r="AA378" s="288">
        <f t="shared" si="195"/>
        <v>179976.28000000012</v>
      </c>
      <c r="AB378" s="288">
        <f t="shared" si="206"/>
        <v>0</v>
      </c>
      <c r="AC378" s="410">
        <f t="shared" si="215"/>
        <v>318</v>
      </c>
      <c r="AD378" s="510">
        <f t="shared" si="216"/>
        <v>195974.8900000001</v>
      </c>
      <c r="AE378" s="510">
        <f t="shared" si="187"/>
        <v>0</v>
      </c>
      <c r="AF378" s="510">
        <f t="shared" si="188"/>
        <v>195974.8900000001</v>
      </c>
      <c r="AG378" s="510">
        <f t="shared" si="217"/>
        <v>0</v>
      </c>
      <c r="AH378" s="510">
        <f t="shared" si="218"/>
        <v>86045.460000000079</v>
      </c>
      <c r="AI378" s="510"/>
      <c r="AJ378" s="14">
        <f t="shared" si="196"/>
        <v>0</v>
      </c>
      <c r="AK378" s="14">
        <f t="shared" si="197"/>
        <v>411904.96000000008</v>
      </c>
      <c r="AL378" s="510">
        <f>IF(R378&lt;=0,0,+(Profit!$B$4+AM377)*$AL$1/12)</f>
        <v>0</v>
      </c>
      <c r="AM378" s="14">
        <f t="shared" si="219"/>
        <v>227647.99117059269</v>
      </c>
    </row>
    <row r="379" spans="1:39" x14ac:dyDescent="0.25">
      <c r="A379" s="499" t="str">
        <f t="shared" si="207"/>
        <v xml:space="preserve"> </v>
      </c>
      <c r="B379" s="288">
        <f t="shared" si="222"/>
        <v>0</v>
      </c>
      <c r="C379" s="14">
        <f t="shared" si="198"/>
        <v>0</v>
      </c>
      <c r="D379" s="14">
        <f t="shared" si="220"/>
        <v>0</v>
      </c>
      <c r="E379" s="14">
        <f t="shared" si="199"/>
        <v>0</v>
      </c>
      <c r="F379" s="288">
        <f t="shared" si="209"/>
        <v>83147.320000000007</v>
      </c>
      <c r="G379" s="288">
        <f t="shared" si="210"/>
        <v>55052.229999999989</v>
      </c>
      <c r="H379" s="288">
        <f t="shared" si="200"/>
        <v>0</v>
      </c>
      <c r="I379" s="410">
        <f t="shared" si="201"/>
        <v>26</v>
      </c>
      <c r="J379" s="288">
        <f t="shared" si="211"/>
        <v>83949.639999999898</v>
      </c>
      <c r="K379" s="288">
        <f t="shared" si="190"/>
        <v>2298.4699999999998</v>
      </c>
      <c r="L379" s="288">
        <f t="shared" si="221"/>
        <v>1826.2499999999998</v>
      </c>
      <c r="M379" s="288">
        <f t="shared" si="191"/>
        <v>472.22</v>
      </c>
      <c r="N379" s="288">
        <f t="shared" si="212"/>
        <v>272251.60999999993</v>
      </c>
      <c r="O379" s="288">
        <f t="shared" si="213"/>
        <v>463258.78999999986</v>
      </c>
      <c r="P379" s="288">
        <f t="shared" si="202"/>
        <v>82123.389999999898</v>
      </c>
      <c r="Q379" s="499" t="str">
        <f t="shared" si="203"/>
        <v xml:space="preserve"> </v>
      </c>
      <c r="R379" s="288">
        <f t="shared" si="189"/>
        <v>0</v>
      </c>
      <c r="S379" s="492">
        <f t="shared" si="214"/>
        <v>6.7500000000000004E-2</v>
      </c>
      <c r="T379" s="288">
        <f t="shared" si="204"/>
        <v>0</v>
      </c>
      <c r="U379" s="288">
        <f t="shared" si="192"/>
        <v>0</v>
      </c>
      <c r="V379" s="288">
        <f t="shared" si="205"/>
        <v>0</v>
      </c>
      <c r="W379" s="288">
        <f t="shared" si="185"/>
        <v>0</v>
      </c>
      <c r="X379" s="288">
        <f t="shared" si="186"/>
        <v>0</v>
      </c>
      <c r="Y379" s="288">
        <f t="shared" si="193"/>
        <v>0</v>
      </c>
      <c r="Z379" s="288">
        <f t="shared" si="194"/>
        <v>357260.75999999995</v>
      </c>
      <c r="AA379" s="288">
        <f t="shared" si="195"/>
        <v>179976.28000000012</v>
      </c>
      <c r="AB379" s="288">
        <f t="shared" si="206"/>
        <v>0</v>
      </c>
      <c r="AC379" s="410">
        <f t="shared" si="215"/>
        <v>319</v>
      </c>
      <c r="AD379" s="510">
        <f t="shared" si="216"/>
        <v>198273.3600000001</v>
      </c>
      <c r="AE379" s="510">
        <f t="shared" si="187"/>
        <v>0</v>
      </c>
      <c r="AF379" s="510">
        <f t="shared" si="188"/>
        <v>198273.3600000001</v>
      </c>
      <c r="AG379" s="510">
        <f t="shared" si="217"/>
        <v>0</v>
      </c>
      <c r="AH379" s="510">
        <f t="shared" si="218"/>
        <v>86045.460000000079</v>
      </c>
      <c r="AI379" s="510"/>
      <c r="AJ379" s="14">
        <f t="shared" si="196"/>
        <v>0</v>
      </c>
      <c r="AK379" s="14">
        <f t="shared" si="197"/>
        <v>411904.96000000008</v>
      </c>
      <c r="AL379" s="510">
        <f>IF(R379&lt;=0,0,+(Profit!$B$4+AM378)*$AL$1/12)</f>
        <v>0</v>
      </c>
      <c r="AM379" s="14">
        <f t="shared" si="219"/>
        <v>227647.99117059269</v>
      </c>
    </row>
    <row r="380" spans="1:39" x14ac:dyDescent="0.25">
      <c r="A380" s="499" t="str">
        <f t="shared" si="207"/>
        <v xml:space="preserve"> </v>
      </c>
      <c r="B380" s="288">
        <f t="shared" si="222"/>
        <v>0</v>
      </c>
      <c r="C380" s="14">
        <f t="shared" si="198"/>
        <v>0</v>
      </c>
      <c r="D380" s="14">
        <f t="shared" si="220"/>
        <v>0</v>
      </c>
      <c r="E380" s="14">
        <f t="shared" si="199"/>
        <v>0</v>
      </c>
      <c r="F380" s="288">
        <f t="shared" si="209"/>
        <v>83147.320000000007</v>
      </c>
      <c r="G380" s="288">
        <f t="shared" si="210"/>
        <v>55052.229999999989</v>
      </c>
      <c r="H380" s="288">
        <f t="shared" si="200"/>
        <v>0</v>
      </c>
      <c r="I380" s="410">
        <f t="shared" si="201"/>
        <v>26</v>
      </c>
      <c r="J380" s="288">
        <f t="shared" si="211"/>
        <v>82123.389999999898</v>
      </c>
      <c r="K380" s="288">
        <f t="shared" si="190"/>
        <v>2298.4699999999998</v>
      </c>
      <c r="L380" s="288">
        <f t="shared" si="221"/>
        <v>1836.5299999999997</v>
      </c>
      <c r="M380" s="288">
        <f t="shared" si="191"/>
        <v>461.94</v>
      </c>
      <c r="N380" s="288">
        <f t="shared" si="212"/>
        <v>274088.13999999996</v>
      </c>
      <c r="O380" s="288">
        <f t="shared" si="213"/>
        <v>463720.72999999986</v>
      </c>
      <c r="P380" s="288">
        <f t="shared" si="202"/>
        <v>80286.859999999899</v>
      </c>
      <c r="Q380" s="499" t="str">
        <f t="shared" si="203"/>
        <v xml:space="preserve"> </v>
      </c>
      <c r="R380" s="288">
        <f t="shared" si="189"/>
        <v>0</v>
      </c>
      <c r="S380" s="492">
        <f t="shared" si="214"/>
        <v>6.7500000000000004E-2</v>
      </c>
      <c r="T380" s="288">
        <f t="shared" si="204"/>
        <v>0</v>
      </c>
      <c r="U380" s="288">
        <f t="shared" si="192"/>
        <v>0</v>
      </c>
      <c r="V380" s="288">
        <f t="shared" si="205"/>
        <v>0</v>
      </c>
      <c r="W380" s="288">
        <f t="shared" ref="W380:W443" si="223">+W379</f>
        <v>0</v>
      </c>
      <c r="X380" s="288">
        <f t="shared" ref="X380:X443" si="224">+X379</f>
        <v>0</v>
      </c>
      <c r="Y380" s="288">
        <f t="shared" si="193"/>
        <v>0</v>
      </c>
      <c r="Z380" s="288">
        <f t="shared" si="194"/>
        <v>357260.75999999995</v>
      </c>
      <c r="AA380" s="288">
        <f t="shared" si="195"/>
        <v>179976.28000000012</v>
      </c>
      <c r="AB380" s="288">
        <f t="shared" si="206"/>
        <v>0</v>
      </c>
      <c r="AC380" s="410">
        <f t="shared" si="215"/>
        <v>320</v>
      </c>
      <c r="AD380" s="510">
        <f t="shared" si="216"/>
        <v>200571.8300000001</v>
      </c>
      <c r="AE380" s="510">
        <f t="shared" ref="AE380:AE443" si="225">AB380-H380</f>
        <v>0</v>
      </c>
      <c r="AF380" s="510">
        <f t="shared" ref="AF380:AF443" si="226">SUM(AD380:AE380)</f>
        <v>200571.8300000001</v>
      </c>
      <c r="AG380" s="510">
        <f t="shared" si="217"/>
        <v>0</v>
      </c>
      <c r="AH380" s="510">
        <f t="shared" si="218"/>
        <v>86045.460000000079</v>
      </c>
      <c r="AI380" s="510"/>
      <c r="AJ380" s="14">
        <f t="shared" si="196"/>
        <v>0</v>
      </c>
      <c r="AK380" s="14">
        <f t="shared" si="197"/>
        <v>411904.96000000008</v>
      </c>
      <c r="AL380" s="510">
        <f>IF(R380&lt;=0,0,+(Profit!$B$4+AM379)*$AL$1/12)</f>
        <v>0</v>
      </c>
      <c r="AM380" s="14">
        <f t="shared" si="219"/>
        <v>227647.99117059269</v>
      </c>
    </row>
    <row r="381" spans="1:39" x14ac:dyDescent="0.25">
      <c r="A381" s="499" t="str">
        <f t="shared" si="207"/>
        <v xml:space="preserve"> </v>
      </c>
      <c r="B381" s="288">
        <f t="shared" si="222"/>
        <v>0</v>
      </c>
      <c r="C381" s="14">
        <f t="shared" si="198"/>
        <v>0</v>
      </c>
      <c r="D381" s="14">
        <f t="shared" si="220"/>
        <v>0</v>
      </c>
      <c r="E381" s="14">
        <f t="shared" si="199"/>
        <v>0</v>
      </c>
      <c r="F381" s="288">
        <f t="shared" si="209"/>
        <v>83147.320000000007</v>
      </c>
      <c r="G381" s="288">
        <f t="shared" si="210"/>
        <v>55052.229999999989</v>
      </c>
      <c r="H381" s="288">
        <f t="shared" si="200"/>
        <v>0</v>
      </c>
      <c r="I381" s="410">
        <f t="shared" si="201"/>
        <v>26</v>
      </c>
      <c r="J381" s="288">
        <f t="shared" si="211"/>
        <v>80286.859999999899</v>
      </c>
      <c r="K381" s="288">
        <f t="shared" si="190"/>
        <v>2298.4699999999998</v>
      </c>
      <c r="L381" s="288">
        <f t="shared" si="221"/>
        <v>1846.8599999999997</v>
      </c>
      <c r="M381" s="288">
        <f t="shared" si="191"/>
        <v>451.61</v>
      </c>
      <c r="N381" s="288">
        <f t="shared" si="212"/>
        <v>275934.99999999994</v>
      </c>
      <c r="O381" s="288">
        <f t="shared" si="213"/>
        <v>464172.33999999985</v>
      </c>
      <c r="P381" s="288">
        <f t="shared" si="202"/>
        <v>78439.999999999898</v>
      </c>
      <c r="Q381" s="499" t="str">
        <f t="shared" si="203"/>
        <v xml:space="preserve"> </v>
      </c>
      <c r="R381" s="288">
        <f t="shared" ref="R381:R444" si="227">IF(Q381&gt;$J$10,IF(+AB380&lt;0,0,+AB380),0)</f>
        <v>0</v>
      </c>
      <c r="S381" s="492">
        <f t="shared" si="214"/>
        <v>6.7500000000000004E-2</v>
      </c>
      <c r="T381" s="288">
        <f t="shared" si="204"/>
        <v>0</v>
      </c>
      <c r="U381" s="288">
        <f t="shared" si="192"/>
        <v>0</v>
      </c>
      <c r="V381" s="288">
        <f t="shared" si="205"/>
        <v>0</v>
      </c>
      <c r="W381" s="288">
        <f t="shared" si="223"/>
        <v>0</v>
      </c>
      <c r="X381" s="288">
        <f t="shared" si="224"/>
        <v>0</v>
      </c>
      <c r="Y381" s="288">
        <f t="shared" si="193"/>
        <v>0</v>
      </c>
      <c r="Z381" s="288">
        <f t="shared" si="194"/>
        <v>357260.75999999995</v>
      </c>
      <c r="AA381" s="288">
        <f t="shared" si="195"/>
        <v>179976.28000000012</v>
      </c>
      <c r="AB381" s="288">
        <f t="shared" si="206"/>
        <v>0</v>
      </c>
      <c r="AC381" s="410">
        <f t="shared" si="215"/>
        <v>321</v>
      </c>
      <c r="AD381" s="510">
        <f t="shared" si="216"/>
        <v>202870.3000000001</v>
      </c>
      <c r="AE381" s="510">
        <f t="shared" si="225"/>
        <v>0</v>
      </c>
      <c r="AF381" s="510">
        <f t="shared" si="226"/>
        <v>202870.3000000001</v>
      </c>
      <c r="AG381" s="510">
        <f t="shared" si="217"/>
        <v>0</v>
      </c>
      <c r="AH381" s="510">
        <f t="shared" si="218"/>
        <v>86045.460000000079</v>
      </c>
      <c r="AI381" s="510"/>
      <c r="AJ381" s="14">
        <f t="shared" si="196"/>
        <v>0</v>
      </c>
      <c r="AK381" s="14">
        <f t="shared" si="197"/>
        <v>411904.96000000008</v>
      </c>
      <c r="AL381" s="510">
        <f>IF(R381&lt;=0,0,+(Profit!$B$4+AM380)*$AL$1/12)</f>
        <v>0</v>
      </c>
      <c r="AM381" s="14">
        <f t="shared" si="219"/>
        <v>227647.99117059269</v>
      </c>
    </row>
    <row r="382" spans="1:39" x14ac:dyDescent="0.25">
      <c r="A382" s="499" t="str">
        <f t="shared" si="207"/>
        <v xml:space="preserve"> </v>
      </c>
      <c r="B382" s="288">
        <f t="shared" si="222"/>
        <v>0</v>
      </c>
      <c r="C382" s="14">
        <f t="shared" si="198"/>
        <v>0</v>
      </c>
      <c r="D382" s="14">
        <f t="shared" si="220"/>
        <v>0</v>
      </c>
      <c r="E382" s="14">
        <f t="shared" si="199"/>
        <v>0</v>
      </c>
      <c r="F382" s="288">
        <f t="shared" si="209"/>
        <v>83147.320000000007</v>
      </c>
      <c r="G382" s="288">
        <f t="shared" si="210"/>
        <v>55052.229999999989</v>
      </c>
      <c r="H382" s="288">
        <f t="shared" si="200"/>
        <v>0</v>
      </c>
      <c r="I382" s="410">
        <f t="shared" si="201"/>
        <v>26</v>
      </c>
      <c r="J382" s="288">
        <f t="shared" si="211"/>
        <v>78439.999999999898</v>
      </c>
      <c r="K382" s="288">
        <f t="shared" ref="K382:K445" si="228">IF($J$10&lt;=A382,IF(+$P381&lt;=0,0,$J$9),0)</f>
        <v>2298.4699999999998</v>
      </c>
      <c r="L382" s="288">
        <f t="shared" si="221"/>
        <v>1857.2499999999998</v>
      </c>
      <c r="M382" s="288">
        <f t="shared" ref="M382:M445" si="229">IF($J$10&lt;=A382,ROUND(J382*($J$7/12),2),0)</f>
        <v>441.22</v>
      </c>
      <c r="N382" s="288">
        <f t="shared" si="212"/>
        <v>277792.24999999994</v>
      </c>
      <c r="O382" s="288">
        <f t="shared" si="213"/>
        <v>464613.55999999982</v>
      </c>
      <c r="P382" s="288">
        <f t="shared" si="202"/>
        <v>76582.749999999898</v>
      </c>
      <c r="Q382" s="499" t="str">
        <f t="shared" si="203"/>
        <v xml:space="preserve"> </v>
      </c>
      <c r="R382" s="288">
        <f t="shared" si="227"/>
        <v>0</v>
      </c>
      <c r="S382" s="492">
        <f t="shared" si="214"/>
        <v>6.7500000000000004E-2</v>
      </c>
      <c r="T382" s="288">
        <f t="shared" si="204"/>
        <v>0</v>
      </c>
      <c r="U382" s="288">
        <f t="shared" ref="U382:U445" si="230">+T382-V382</f>
        <v>0</v>
      </c>
      <c r="V382" s="288">
        <f t="shared" si="205"/>
        <v>0</v>
      </c>
      <c r="W382" s="288">
        <f t="shared" si="223"/>
        <v>0</v>
      </c>
      <c r="X382" s="288">
        <f t="shared" si="224"/>
        <v>0</v>
      </c>
      <c r="Y382" s="288">
        <f t="shared" ref="Y382:Y445" si="231">SUM(U382:X382)</f>
        <v>0</v>
      </c>
      <c r="Z382" s="288">
        <f t="shared" ref="Z382:Z445" si="232">+U382+Z381</f>
        <v>357260.75999999995</v>
      </c>
      <c r="AA382" s="288">
        <f t="shared" ref="AA382:AA445" si="233">+AA381+V382</f>
        <v>179976.28000000012</v>
      </c>
      <c r="AB382" s="288">
        <f t="shared" si="206"/>
        <v>0</v>
      </c>
      <c r="AC382" s="410">
        <f t="shared" si="215"/>
        <v>322</v>
      </c>
      <c r="AD382" s="510">
        <f t="shared" si="216"/>
        <v>205168.77000000011</v>
      </c>
      <c r="AE382" s="510">
        <f t="shared" si="225"/>
        <v>0</v>
      </c>
      <c r="AF382" s="510">
        <f t="shared" si="226"/>
        <v>205168.77000000011</v>
      </c>
      <c r="AG382" s="510">
        <f t="shared" si="217"/>
        <v>0</v>
      </c>
      <c r="AH382" s="510">
        <f t="shared" si="218"/>
        <v>86045.460000000079</v>
      </c>
      <c r="AI382" s="510"/>
      <c r="AJ382" s="14">
        <f t="shared" ref="AJ382:AJ445" si="234">+AG382-AI382</f>
        <v>0</v>
      </c>
      <c r="AK382" s="14">
        <f t="shared" si="197"/>
        <v>411904.96000000008</v>
      </c>
      <c r="AL382" s="510">
        <f>IF(R382&lt;=0,0,+(Profit!$B$4+AM381)*$AL$1/12)</f>
        <v>0</v>
      </c>
      <c r="AM382" s="14">
        <f t="shared" si="219"/>
        <v>227647.99117059269</v>
      </c>
    </row>
    <row r="383" spans="1:39" x14ac:dyDescent="0.25">
      <c r="A383" s="499" t="str">
        <f t="shared" si="207"/>
        <v xml:space="preserve"> </v>
      </c>
      <c r="B383" s="288">
        <f t="shared" si="222"/>
        <v>0</v>
      </c>
      <c r="C383" s="14">
        <f t="shared" si="198"/>
        <v>0</v>
      </c>
      <c r="D383" s="14">
        <f t="shared" si="220"/>
        <v>0</v>
      </c>
      <c r="E383" s="14">
        <f t="shared" si="199"/>
        <v>0</v>
      </c>
      <c r="F383" s="288">
        <f t="shared" si="209"/>
        <v>83147.320000000007</v>
      </c>
      <c r="G383" s="288">
        <f t="shared" si="210"/>
        <v>55052.229999999989</v>
      </c>
      <c r="H383" s="288">
        <f t="shared" si="200"/>
        <v>0</v>
      </c>
      <c r="I383" s="410">
        <f t="shared" si="201"/>
        <v>26</v>
      </c>
      <c r="J383" s="288">
        <f t="shared" si="211"/>
        <v>76582.749999999898</v>
      </c>
      <c r="K383" s="288">
        <f t="shared" si="228"/>
        <v>2298.4699999999998</v>
      </c>
      <c r="L383" s="288">
        <f t="shared" si="221"/>
        <v>1867.6899999999998</v>
      </c>
      <c r="M383" s="288">
        <f t="shared" si="229"/>
        <v>430.78</v>
      </c>
      <c r="N383" s="288">
        <f t="shared" si="212"/>
        <v>279659.93999999994</v>
      </c>
      <c r="O383" s="288">
        <f t="shared" si="213"/>
        <v>465044.33999999985</v>
      </c>
      <c r="P383" s="288">
        <f t="shared" si="202"/>
        <v>74715.059999999896</v>
      </c>
      <c r="Q383" s="499" t="str">
        <f t="shared" si="203"/>
        <v xml:space="preserve"> </v>
      </c>
      <c r="R383" s="288">
        <f t="shared" si="227"/>
        <v>0</v>
      </c>
      <c r="S383" s="492">
        <f t="shared" si="214"/>
        <v>6.7500000000000004E-2</v>
      </c>
      <c r="T383" s="288">
        <f t="shared" si="204"/>
        <v>0</v>
      </c>
      <c r="U383" s="288">
        <f t="shared" si="230"/>
        <v>0</v>
      </c>
      <c r="V383" s="288">
        <f t="shared" si="205"/>
        <v>0</v>
      </c>
      <c r="W383" s="288">
        <f t="shared" si="223"/>
        <v>0</v>
      </c>
      <c r="X383" s="288">
        <f t="shared" si="224"/>
        <v>0</v>
      </c>
      <c r="Y383" s="288">
        <f t="shared" si="231"/>
        <v>0</v>
      </c>
      <c r="Z383" s="288">
        <f t="shared" si="232"/>
        <v>357260.75999999995</v>
      </c>
      <c r="AA383" s="288">
        <f t="shared" si="233"/>
        <v>179976.28000000012</v>
      </c>
      <c r="AB383" s="288">
        <f t="shared" si="206"/>
        <v>0</v>
      </c>
      <c r="AC383" s="410">
        <f t="shared" si="215"/>
        <v>323</v>
      </c>
      <c r="AD383" s="510">
        <f t="shared" si="216"/>
        <v>207467.24000000011</v>
      </c>
      <c r="AE383" s="510">
        <f t="shared" si="225"/>
        <v>0</v>
      </c>
      <c r="AF383" s="510">
        <f t="shared" si="226"/>
        <v>207467.24000000011</v>
      </c>
      <c r="AG383" s="510">
        <f t="shared" si="217"/>
        <v>0</v>
      </c>
      <c r="AH383" s="510">
        <f t="shared" si="218"/>
        <v>86045.460000000079</v>
      </c>
      <c r="AI383" s="510"/>
      <c r="AJ383" s="14">
        <f t="shared" si="234"/>
        <v>0</v>
      </c>
      <c r="AK383" s="14">
        <f t="shared" si="197"/>
        <v>411904.96000000008</v>
      </c>
      <c r="AL383" s="510">
        <f>IF(R383&lt;=0,0,+(Profit!$B$4+AM382)*$AL$1/12)</f>
        <v>0</v>
      </c>
      <c r="AM383" s="14">
        <f t="shared" si="219"/>
        <v>227647.99117059269</v>
      </c>
    </row>
    <row r="384" spans="1:39" x14ac:dyDescent="0.25">
      <c r="A384" s="499" t="str">
        <f t="shared" si="207"/>
        <v xml:space="preserve"> </v>
      </c>
      <c r="B384" s="288">
        <f t="shared" si="222"/>
        <v>0</v>
      </c>
      <c r="C384" s="14">
        <f t="shared" si="198"/>
        <v>0</v>
      </c>
      <c r="D384" s="14">
        <f t="shared" si="220"/>
        <v>0</v>
      </c>
      <c r="E384" s="14">
        <f t="shared" si="199"/>
        <v>0</v>
      </c>
      <c r="F384" s="288">
        <f t="shared" si="209"/>
        <v>83147.320000000007</v>
      </c>
      <c r="G384" s="288">
        <f t="shared" si="210"/>
        <v>55052.229999999989</v>
      </c>
      <c r="H384" s="288">
        <f t="shared" si="200"/>
        <v>0</v>
      </c>
      <c r="I384" s="410">
        <f t="shared" si="201"/>
        <v>27</v>
      </c>
      <c r="J384" s="288">
        <f t="shared" si="211"/>
        <v>74715.059999999896</v>
      </c>
      <c r="K384" s="288">
        <f t="shared" si="228"/>
        <v>2298.4699999999998</v>
      </c>
      <c r="L384" s="288">
        <f t="shared" si="221"/>
        <v>1878.1999999999998</v>
      </c>
      <c r="M384" s="288">
        <f t="shared" si="229"/>
        <v>420.27</v>
      </c>
      <c r="N384" s="288">
        <f t="shared" si="212"/>
        <v>281538.13999999996</v>
      </c>
      <c r="O384" s="288">
        <f t="shared" si="213"/>
        <v>465464.60999999987</v>
      </c>
      <c r="P384" s="288">
        <f t="shared" si="202"/>
        <v>72836.859999999899</v>
      </c>
      <c r="Q384" s="499" t="str">
        <f t="shared" si="203"/>
        <v xml:space="preserve"> </v>
      </c>
      <c r="R384" s="288">
        <f t="shared" si="227"/>
        <v>0</v>
      </c>
      <c r="S384" s="492">
        <f t="shared" si="214"/>
        <v>6.7500000000000004E-2</v>
      </c>
      <c r="T384" s="288">
        <f t="shared" si="204"/>
        <v>0</v>
      </c>
      <c r="U384" s="288">
        <f t="shared" si="230"/>
        <v>0</v>
      </c>
      <c r="V384" s="288">
        <f t="shared" si="205"/>
        <v>0</v>
      </c>
      <c r="W384" s="288">
        <f t="shared" si="223"/>
        <v>0</v>
      </c>
      <c r="X384" s="288">
        <f t="shared" si="224"/>
        <v>0</v>
      </c>
      <c r="Y384" s="288">
        <f t="shared" si="231"/>
        <v>0</v>
      </c>
      <c r="Z384" s="288">
        <f t="shared" si="232"/>
        <v>357260.75999999995</v>
      </c>
      <c r="AA384" s="288">
        <f t="shared" si="233"/>
        <v>179976.28000000012</v>
      </c>
      <c r="AB384" s="288">
        <f t="shared" si="206"/>
        <v>0</v>
      </c>
      <c r="AC384" s="410">
        <f t="shared" si="215"/>
        <v>324</v>
      </c>
      <c r="AD384" s="510">
        <f t="shared" si="216"/>
        <v>209765.71000000011</v>
      </c>
      <c r="AE384" s="510">
        <f t="shared" si="225"/>
        <v>0</v>
      </c>
      <c r="AF384" s="510">
        <f t="shared" si="226"/>
        <v>209765.71000000011</v>
      </c>
      <c r="AG384" s="510">
        <f t="shared" si="217"/>
        <v>0</v>
      </c>
      <c r="AH384" s="510">
        <f t="shared" si="218"/>
        <v>86045.460000000079</v>
      </c>
      <c r="AI384" s="510"/>
      <c r="AJ384" s="14">
        <f t="shared" si="234"/>
        <v>0</v>
      </c>
      <c r="AK384" s="14">
        <f t="shared" si="197"/>
        <v>411904.96000000008</v>
      </c>
      <c r="AL384" s="510">
        <f>IF(R384&lt;=0,0,+(Profit!$B$4+AM383)*$AL$1/12)</f>
        <v>0</v>
      </c>
      <c r="AM384" s="14">
        <f t="shared" si="219"/>
        <v>227647.99117059269</v>
      </c>
    </row>
    <row r="385" spans="1:39" x14ac:dyDescent="0.25">
      <c r="A385" s="499" t="str">
        <f t="shared" si="207"/>
        <v xml:space="preserve"> </v>
      </c>
      <c r="B385" s="288">
        <f t="shared" si="222"/>
        <v>0</v>
      </c>
      <c r="C385" s="14">
        <f t="shared" si="198"/>
        <v>0</v>
      </c>
      <c r="D385" s="14">
        <f t="shared" si="220"/>
        <v>0</v>
      </c>
      <c r="E385" s="14">
        <f t="shared" si="199"/>
        <v>0</v>
      </c>
      <c r="F385" s="288">
        <f t="shared" si="209"/>
        <v>83147.320000000007</v>
      </c>
      <c r="G385" s="288">
        <f t="shared" si="210"/>
        <v>55052.229999999989</v>
      </c>
      <c r="H385" s="288">
        <f t="shared" si="200"/>
        <v>0</v>
      </c>
      <c r="I385" s="410">
        <f t="shared" si="201"/>
        <v>27</v>
      </c>
      <c r="J385" s="288">
        <f t="shared" si="211"/>
        <v>72836.859999999899</v>
      </c>
      <c r="K385" s="288">
        <f t="shared" si="228"/>
        <v>2298.4699999999998</v>
      </c>
      <c r="L385" s="288">
        <f t="shared" si="221"/>
        <v>1888.7599999999998</v>
      </c>
      <c r="M385" s="288">
        <f t="shared" si="229"/>
        <v>409.71</v>
      </c>
      <c r="N385" s="288">
        <f t="shared" si="212"/>
        <v>283426.89999999997</v>
      </c>
      <c r="O385" s="288">
        <f t="shared" si="213"/>
        <v>465874.31999999989</v>
      </c>
      <c r="P385" s="288">
        <f t="shared" si="202"/>
        <v>70948.099999999904</v>
      </c>
      <c r="Q385" s="499" t="str">
        <f t="shared" si="203"/>
        <v xml:space="preserve"> </v>
      </c>
      <c r="R385" s="288">
        <f t="shared" si="227"/>
        <v>0</v>
      </c>
      <c r="S385" s="492">
        <f t="shared" si="214"/>
        <v>6.7500000000000004E-2</v>
      </c>
      <c r="T385" s="288">
        <f t="shared" si="204"/>
        <v>0</v>
      </c>
      <c r="U385" s="288">
        <f t="shared" si="230"/>
        <v>0</v>
      </c>
      <c r="V385" s="288">
        <f t="shared" si="205"/>
        <v>0</v>
      </c>
      <c r="W385" s="288">
        <f t="shared" si="223"/>
        <v>0</v>
      </c>
      <c r="X385" s="288">
        <f t="shared" si="224"/>
        <v>0</v>
      </c>
      <c r="Y385" s="288">
        <f t="shared" si="231"/>
        <v>0</v>
      </c>
      <c r="Z385" s="288">
        <f t="shared" si="232"/>
        <v>357260.75999999995</v>
      </c>
      <c r="AA385" s="288">
        <f t="shared" si="233"/>
        <v>179976.28000000012</v>
      </c>
      <c r="AB385" s="288">
        <f t="shared" si="206"/>
        <v>0</v>
      </c>
      <c r="AC385" s="410">
        <f t="shared" si="215"/>
        <v>325</v>
      </c>
      <c r="AD385" s="510">
        <f t="shared" si="216"/>
        <v>212064.18000000011</v>
      </c>
      <c r="AE385" s="510">
        <f t="shared" si="225"/>
        <v>0</v>
      </c>
      <c r="AF385" s="510">
        <f t="shared" si="226"/>
        <v>212064.18000000011</v>
      </c>
      <c r="AG385" s="510">
        <f t="shared" si="217"/>
        <v>0</v>
      </c>
      <c r="AH385" s="510">
        <f t="shared" si="218"/>
        <v>86045.460000000079</v>
      </c>
      <c r="AI385" s="510"/>
      <c r="AJ385" s="14">
        <f t="shared" si="234"/>
        <v>0</v>
      </c>
      <c r="AK385" s="14">
        <f t="shared" si="197"/>
        <v>411904.96000000008</v>
      </c>
      <c r="AL385" s="510">
        <f>IF(R385&lt;=0,0,+(Profit!$B$4+AM384)*$AL$1/12)</f>
        <v>0</v>
      </c>
      <c r="AM385" s="14">
        <f t="shared" si="219"/>
        <v>227647.99117059269</v>
      </c>
    </row>
    <row r="386" spans="1:39" ht="15.75" thickBot="1" x14ac:dyDescent="0.3">
      <c r="A386" s="502" t="str">
        <f t="shared" si="207"/>
        <v xml:space="preserve"> </v>
      </c>
      <c r="B386" s="343">
        <f t="shared" si="222"/>
        <v>0</v>
      </c>
      <c r="C386" s="21">
        <f t="shared" si="198"/>
        <v>0</v>
      </c>
      <c r="D386" s="21">
        <f t="shared" si="220"/>
        <v>0</v>
      </c>
      <c r="E386" s="21">
        <f t="shared" si="199"/>
        <v>0</v>
      </c>
      <c r="F386" s="343">
        <f t="shared" si="209"/>
        <v>83147.320000000007</v>
      </c>
      <c r="G386" s="343">
        <f t="shared" si="210"/>
        <v>55052.229999999989</v>
      </c>
      <c r="H386" s="343">
        <f t="shared" si="200"/>
        <v>0</v>
      </c>
      <c r="I386" s="411">
        <f t="shared" si="201"/>
        <v>27</v>
      </c>
      <c r="J386" s="343">
        <f t="shared" si="211"/>
        <v>70948.099999999904</v>
      </c>
      <c r="K386" s="343">
        <f t="shared" si="228"/>
        <v>2298.4699999999998</v>
      </c>
      <c r="L386" s="343">
        <f t="shared" si="221"/>
        <v>1899.3899999999999</v>
      </c>
      <c r="M386" s="343">
        <f t="shared" si="229"/>
        <v>399.08</v>
      </c>
      <c r="N386" s="343">
        <f t="shared" si="212"/>
        <v>285326.28999999998</v>
      </c>
      <c r="O386" s="343">
        <f t="shared" si="213"/>
        <v>466273.39999999991</v>
      </c>
      <c r="P386" s="343">
        <f t="shared" si="202"/>
        <v>69048.709999999905</v>
      </c>
      <c r="Q386" s="502" t="str">
        <f t="shared" si="203"/>
        <v xml:space="preserve"> </v>
      </c>
      <c r="R386" s="343">
        <f t="shared" si="227"/>
        <v>0</v>
      </c>
      <c r="S386" s="493">
        <f t="shared" si="214"/>
        <v>6.7500000000000004E-2</v>
      </c>
      <c r="T386" s="343">
        <f t="shared" si="204"/>
        <v>0</v>
      </c>
      <c r="U386" s="343">
        <f t="shared" si="230"/>
        <v>0</v>
      </c>
      <c r="V386" s="343">
        <f t="shared" si="205"/>
        <v>0</v>
      </c>
      <c r="W386" s="343">
        <f t="shared" si="223"/>
        <v>0</v>
      </c>
      <c r="X386" s="343">
        <f t="shared" si="224"/>
        <v>0</v>
      </c>
      <c r="Y386" s="343">
        <f t="shared" si="231"/>
        <v>0</v>
      </c>
      <c r="Z386" s="343">
        <f t="shared" si="232"/>
        <v>357260.75999999995</v>
      </c>
      <c r="AA386" s="343">
        <f t="shared" si="233"/>
        <v>179976.28000000012</v>
      </c>
      <c r="AB386" s="343">
        <f t="shared" si="206"/>
        <v>0</v>
      </c>
      <c r="AC386" s="411">
        <f t="shared" si="215"/>
        <v>326</v>
      </c>
      <c r="AD386" s="511">
        <f t="shared" si="216"/>
        <v>214362.65000000011</v>
      </c>
      <c r="AE386" s="511">
        <f t="shared" si="225"/>
        <v>0</v>
      </c>
      <c r="AF386" s="511">
        <f t="shared" si="226"/>
        <v>214362.65000000011</v>
      </c>
      <c r="AG386" s="511">
        <f t="shared" si="217"/>
        <v>0</v>
      </c>
      <c r="AH386" s="511">
        <f t="shared" si="218"/>
        <v>86045.460000000079</v>
      </c>
      <c r="AI386" s="511"/>
      <c r="AJ386" s="21">
        <f t="shared" si="234"/>
        <v>0</v>
      </c>
      <c r="AK386" s="21">
        <f t="shared" ref="AK386:AK449" si="235">IF(P386&lt;=0,0,+AJ386+AK385)</f>
        <v>411904.96000000008</v>
      </c>
      <c r="AL386" s="511">
        <f>IF(R386&lt;=0,0,+(Profit!$B$4+AM385)*$AL$1/12)</f>
        <v>0</v>
      </c>
      <c r="AM386" s="21">
        <f t="shared" si="219"/>
        <v>227647.99117059269</v>
      </c>
    </row>
    <row r="387" spans="1:39" x14ac:dyDescent="0.25">
      <c r="A387" s="499" t="str">
        <f t="shared" si="207"/>
        <v xml:space="preserve"> </v>
      </c>
      <c r="B387" s="288">
        <f t="shared" si="222"/>
        <v>0</v>
      </c>
      <c r="C387" s="14">
        <f t="shared" si="198"/>
        <v>0</v>
      </c>
      <c r="D387" s="14">
        <f t="shared" si="220"/>
        <v>0</v>
      </c>
      <c r="E387" s="14">
        <f t="shared" si="199"/>
        <v>0</v>
      </c>
      <c r="F387" s="288">
        <f t="shared" si="209"/>
        <v>83147.320000000007</v>
      </c>
      <c r="G387" s="288">
        <f t="shared" si="210"/>
        <v>55052.229999999989</v>
      </c>
      <c r="H387" s="288">
        <f t="shared" si="200"/>
        <v>0</v>
      </c>
      <c r="I387" s="410">
        <f t="shared" si="201"/>
        <v>27</v>
      </c>
      <c r="J387" s="288">
        <f t="shared" si="211"/>
        <v>69048.709999999905</v>
      </c>
      <c r="K387" s="288">
        <f t="shared" si="228"/>
        <v>2298.4699999999998</v>
      </c>
      <c r="L387" s="288">
        <f t="shared" si="221"/>
        <v>1910.0699999999997</v>
      </c>
      <c r="M387" s="288">
        <f t="shared" si="229"/>
        <v>388.4</v>
      </c>
      <c r="N387" s="288">
        <f t="shared" si="212"/>
        <v>287236.36</v>
      </c>
      <c r="O387" s="288">
        <f t="shared" si="213"/>
        <v>466661.79999999993</v>
      </c>
      <c r="P387" s="288">
        <f t="shared" si="202"/>
        <v>67138.639999999898</v>
      </c>
      <c r="Q387" s="499" t="str">
        <f t="shared" si="203"/>
        <v xml:space="preserve"> </v>
      </c>
      <c r="R387" s="288">
        <f t="shared" si="227"/>
        <v>0</v>
      </c>
      <c r="S387" s="492">
        <f t="shared" si="214"/>
        <v>6.7500000000000004E-2</v>
      </c>
      <c r="T387" s="288">
        <f t="shared" si="204"/>
        <v>0</v>
      </c>
      <c r="U387" s="288">
        <f t="shared" si="230"/>
        <v>0</v>
      </c>
      <c r="V387" s="288">
        <f t="shared" si="205"/>
        <v>0</v>
      </c>
      <c r="W387" s="288">
        <f t="shared" si="223"/>
        <v>0</v>
      </c>
      <c r="X387" s="288">
        <f t="shared" si="224"/>
        <v>0</v>
      </c>
      <c r="Y387" s="288">
        <f t="shared" si="231"/>
        <v>0</v>
      </c>
      <c r="Z387" s="288">
        <f t="shared" si="232"/>
        <v>357260.75999999995</v>
      </c>
      <c r="AA387" s="288">
        <f t="shared" si="233"/>
        <v>179976.28000000012</v>
      </c>
      <c r="AB387" s="288">
        <f t="shared" si="206"/>
        <v>0</v>
      </c>
      <c r="AC387" s="410">
        <f t="shared" si="215"/>
        <v>327</v>
      </c>
      <c r="AD387" s="510">
        <f t="shared" si="216"/>
        <v>216661.12000000011</v>
      </c>
      <c r="AE387" s="510">
        <f t="shared" si="225"/>
        <v>0</v>
      </c>
      <c r="AF387" s="510">
        <f t="shared" si="226"/>
        <v>216661.12000000011</v>
      </c>
      <c r="AG387" s="510">
        <f t="shared" si="217"/>
        <v>0</v>
      </c>
      <c r="AH387" s="510">
        <f t="shared" si="218"/>
        <v>86045.460000000079</v>
      </c>
      <c r="AI387" s="510"/>
      <c r="AJ387" s="14">
        <f t="shared" si="234"/>
        <v>0</v>
      </c>
      <c r="AK387" s="14">
        <f t="shared" si="235"/>
        <v>411904.96000000008</v>
      </c>
      <c r="AL387" s="510">
        <f>IF(R387&lt;=0,0,+(Profit!$B$4+AM386)*$AL$1/12)</f>
        <v>0</v>
      </c>
      <c r="AM387" s="14">
        <f t="shared" si="219"/>
        <v>227647.99117059269</v>
      </c>
    </row>
    <row r="388" spans="1:39" x14ac:dyDescent="0.25">
      <c r="A388" s="499" t="str">
        <f t="shared" si="207"/>
        <v xml:space="preserve"> </v>
      </c>
      <c r="B388" s="288">
        <f t="shared" si="222"/>
        <v>0</v>
      </c>
      <c r="C388" s="14">
        <f t="shared" si="198"/>
        <v>0</v>
      </c>
      <c r="D388" s="14">
        <f t="shared" si="220"/>
        <v>0</v>
      </c>
      <c r="E388" s="14">
        <f t="shared" si="199"/>
        <v>0</v>
      </c>
      <c r="F388" s="288">
        <f t="shared" si="209"/>
        <v>83147.320000000007</v>
      </c>
      <c r="G388" s="288">
        <f t="shared" si="210"/>
        <v>55052.229999999989</v>
      </c>
      <c r="H388" s="288">
        <f t="shared" si="200"/>
        <v>0</v>
      </c>
      <c r="I388" s="410">
        <f t="shared" si="201"/>
        <v>27</v>
      </c>
      <c r="J388" s="288">
        <f t="shared" si="211"/>
        <v>67138.639999999898</v>
      </c>
      <c r="K388" s="288">
        <f t="shared" si="228"/>
        <v>2298.4699999999998</v>
      </c>
      <c r="L388" s="288">
        <f t="shared" si="221"/>
        <v>1920.8199999999997</v>
      </c>
      <c r="M388" s="288">
        <f t="shared" si="229"/>
        <v>377.65</v>
      </c>
      <c r="N388" s="288">
        <f t="shared" si="212"/>
        <v>289157.18</v>
      </c>
      <c r="O388" s="288">
        <f t="shared" si="213"/>
        <v>467039.44999999995</v>
      </c>
      <c r="P388" s="288">
        <f t="shared" si="202"/>
        <v>65217.819999999898</v>
      </c>
      <c r="Q388" s="499" t="str">
        <f t="shared" si="203"/>
        <v xml:space="preserve"> </v>
      </c>
      <c r="R388" s="288">
        <f t="shared" si="227"/>
        <v>0</v>
      </c>
      <c r="S388" s="492">
        <f t="shared" si="214"/>
        <v>6.7500000000000004E-2</v>
      </c>
      <c r="T388" s="288">
        <f t="shared" si="204"/>
        <v>0</v>
      </c>
      <c r="U388" s="288">
        <f t="shared" si="230"/>
        <v>0</v>
      </c>
      <c r="V388" s="288">
        <f t="shared" si="205"/>
        <v>0</v>
      </c>
      <c r="W388" s="288">
        <f t="shared" si="223"/>
        <v>0</v>
      </c>
      <c r="X388" s="288">
        <f t="shared" si="224"/>
        <v>0</v>
      </c>
      <c r="Y388" s="288">
        <f t="shared" si="231"/>
        <v>0</v>
      </c>
      <c r="Z388" s="288">
        <f t="shared" si="232"/>
        <v>357260.75999999995</v>
      </c>
      <c r="AA388" s="288">
        <f t="shared" si="233"/>
        <v>179976.28000000012</v>
      </c>
      <c r="AB388" s="288">
        <f t="shared" si="206"/>
        <v>0</v>
      </c>
      <c r="AC388" s="410">
        <f t="shared" si="215"/>
        <v>328</v>
      </c>
      <c r="AD388" s="510">
        <f t="shared" si="216"/>
        <v>218959.59000000011</v>
      </c>
      <c r="AE388" s="510">
        <f t="shared" si="225"/>
        <v>0</v>
      </c>
      <c r="AF388" s="510">
        <f t="shared" si="226"/>
        <v>218959.59000000011</v>
      </c>
      <c r="AG388" s="510">
        <f t="shared" si="217"/>
        <v>0</v>
      </c>
      <c r="AH388" s="510">
        <f t="shared" si="218"/>
        <v>86045.460000000079</v>
      </c>
      <c r="AI388" s="510"/>
      <c r="AJ388" s="14">
        <f t="shared" si="234"/>
        <v>0</v>
      </c>
      <c r="AK388" s="14">
        <f t="shared" si="235"/>
        <v>411904.96000000008</v>
      </c>
      <c r="AL388" s="510">
        <f>IF(R388&lt;=0,0,+(Profit!$B$4+AM387)*$AL$1/12)</f>
        <v>0</v>
      </c>
      <c r="AM388" s="14">
        <f t="shared" si="219"/>
        <v>227647.99117059269</v>
      </c>
    </row>
    <row r="389" spans="1:39" x14ac:dyDescent="0.25">
      <c r="A389" s="499" t="str">
        <f t="shared" si="207"/>
        <v xml:space="preserve"> </v>
      </c>
      <c r="B389" s="288">
        <f t="shared" si="222"/>
        <v>0</v>
      </c>
      <c r="C389" s="14">
        <f t="shared" si="198"/>
        <v>0</v>
      </c>
      <c r="D389" s="14">
        <f t="shared" si="220"/>
        <v>0</v>
      </c>
      <c r="E389" s="14">
        <f t="shared" si="199"/>
        <v>0</v>
      </c>
      <c r="F389" s="288">
        <f t="shared" si="209"/>
        <v>83147.320000000007</v>
      </c>
      <c r="G389" s="288">
        <f t="shared" si="210"/>
        <v>55052.229999999989</v>
      </c>
      <c r="H389" s="288">
        <f t="shared" si="200"/>
        <v>0</v>
      </c>
      <c r="I389" s="410">
        <f t="shared" si="201"/>
        <v>27</v>
      </c>
      <c r="J389" s="288">
        <f t="shared" si="211"/>
        <v>65217.819999999898</v>
      </c>
      <c r="K389" s="288">
        <f t="shared" si="228"/>
        <v>2298.4699999999998</v>
      </c>
      <c r="L389" s="288">
        <f t="shared" si="221"/>
        <v>1931.62</v>
      </c>
      <c r="M389" s="288">
        <f t="shared" si="229"/>
        <v>366.85</v>
      </c>
      <c r="N389" s="288">
        <f t="shared" si="212"/>
        <v>291088.8</v>
      </c>
      <c r="O389" s="288">
        <f t="shared" si="213"/>
        <v>467406.29999999993</v>
      </c>
      <c r="P389" s="288">
        <f t="shared" si="202"/>
        <v>63286.199999999895</v>
      </c>
      <c r="Q389" s="499" t="str">
        <f t="shared" si="203"/>
        <v xml:space="preserve"> </v>
      </c>
      <c r="R389" s="288">
        <f t="shared" si="227"/>
        <v>0</v>
      </c>
      <c r="S389" s="492">
        <f t="shared" si="214"/>
        <v>6.7500000000000004E-2</v>
      </c>
      <c r="T389" s="288">
        <f t="shared" si="204"/>
        <v>0</v>
      </c>
      <c r="U389" s="288">
        <f t="shared" si="230"/>
        <v>0</v>
      </c>
      <c r="V389" s="288">
        <f t="shared" si="205"/>
        <v>0</v>
      </c>
      <c r="W389" s="288">
        <f t="shared" si="223"/>
        <v>0</v>
      </c>
      <c r="X389" s="288">
        <f t="shared" si="224"/>
        <v>0</v>
      </c>
      <c r="Y389" s="288">
        <f t="shared" si="231"/>
        <v>0</v>
      </c>
      <c r="Z389" s="288">
        <f t="shared" si="232"/>
        <v>357260.75999999995</v>
      </c>
      <c r="AA389" s="288">
        <f t="shared" si="233"/>
        <v>179976.28000000012</v>
      </c>
      <c r="AB389" s="288">
        <f t="shared" si="206"/>
        <v>0</v>
      </c>
      <c r="AC389" s="410">
        <f t="shared" si="215"/>
        <v>329</v>
      </c>
      <c r="AD389" s="510">
        <f t="shared" si="216"/>
        <v>221258.06000000011</v>
      </c>
      <c r="AE389" s="510">
        <f t="shared" si="225"/>
        <v>0</v>
      </c>
      <c r="AF389" s="510">
        <f t="shared" si="226"/>
        <v>221258.06000000011</v>
      </c>
      <c r="AG389" s="510">
        <f t="shared" si="217"/>
        <v>0</v>
      </c>
      <c r="AH389" s="510">
        <f t="shared" si="218"/>
        <v>86045.460000000079</v>
      </c>
      <c r="AI389" s="510"/>
      <c r="AJ389" s="14">
        <f t="shared" si="234"/>
        <v>0</v>
      </c>
      <c r="AK389" s="14">
        <f t="shared" si="235"/>
        <v>411904.96000000008</v>
      </c>
      <c r="AL389" s="510">
        <f>IF(R389&lt;=0,0,+(Profit!$B$4+AM388)*$AL$1/12)</f>
        <v>0</v>
      </c>
      <c r="AM389" s="14">
        <f t="shared" si="219"/>
        <v>227647.99117059269</v>
      </c>
    </row>
    <row r="390" spans="1:39" x14ac:dyDescent="0.25">
      <c r="A390" s="499" t="str">
        <f t="shared" si="207"/>
        <v xml:space="preserve"> </v>
      </c>
      <c r="B390" s="288">
        <f t="shared" si="222"/>
        <v>0</v>
      </c>
      <c r="C390" s="14">
        <f t="shared" si="198"/>
        <v>0</v>
      </c>
      <c r="D390" s="14">
        <f t="shared" si="220"/>
        <v>0</v>
      </c>
      <c r="E390" s="14">
        <f t="shared" si="199"/>
        <v>0</v>
      </c>
      <c r="F390" s="288">
        <f t="shared" si="209"/>
        <v>83147.320000000007</v>
      </c>
      <c r="G390" s="288">
        <f t="shared" si="210"/>
        <v>55052.229999999989</v>
      </c>
      <c r="H390" s="288">
        <f t="shared" si="200"/>
        <v>0</v>
      </c>
      <c r="I390" s="410">
        <f t="shared" si="201"/>
        <v>27</v>
      </c>
      <c r="J390" s="288">
        <f t="shared" si="211"/>
        <v>63286.199999999895</v>
      </c>
      <c r="K390" s="288">
        <f t="shared" si="228"/>
        <v>2298.4699999999998</v>
      </c>
      <c r="L390" s="288">
        <f t="shared" si="221"/>
        <v>1942.4899999999998</v>
      </c>
      <c r="M390" s="288">
        <f t="shared" si="229"/>
        <v>355.98</v>
      </c>
      <c r="N390" s="288">
        <f t="shared" si="212"/>
        <v>293031.28999999998</v>
      </c>
      <c r="O390" s="288">
        <f t="shared" si="213"/>
        <v>467762.27999999991</v>
      </c>
      <c r="P390" s="288">
        <f t="shared" si="202"/>
        <v>61343.709999999897</v>
      </c>
      <c r="Q390" s="499" t="str">
        <f t="shared" si="203"/>
        <v xml:space="preserve"> </v>
      </c>
      <c r="R390" s="288">
        <f t="shared" si="227"/>
        <v>0</v>
      </c>
      <c r="S390" s="492">
        <f t="shared" si="214"/>
        <v>6.7500000000000004E-2</v>
      </c>
      <c r="T390" s="288">
        <f t="shared" si="204"/>
        <v>0</v>
      </c>
      <c r="U390" s="288">
        <f t="shared" si="230"/>
        <v>0</v>
      </c>
      <c r="V390" s="288">
        <f t="shared" si="205"/>
        <v>0</v>
      </c>
      <c r="W390" s="288">
        <f t="shared" si="223"/>
        <v>0</v>
      </c>
      <c r="X390" s="288">
        <f t="shared" si="224"/>
        <v>0</v>
      </c>
      <c r="Y390" s="288">
        <f t="shared" si="231"/>
        <v>0</v>
      </c>
      <c r="Z390" s="288">
        <f t="shared" si="232"/>
        <v>357260.75999999995</v>
      </c>
      <c r="AA390" s="288">
        <f t="shared" si="233"/>
        <v>179976.28000000012</v>
      </c>
      <c r="AB390" s="288">
        <f t="shared" si="206"/>
        <v>0</v>
      </c>
      <c r="AC390" s="410">
        <f t="shared" si="215"/>
        <v>330</v>
      </c>
      <c r="AD390" s="510">
        <f t="shared" si="216"/>
        <v>223556.53000000012</v>
      </c>
      <c r="AE390" s="510">
        <f t="shared" si="225"/>
        <v>0</v>
      </c>
      <c r="AF390" s="510">
        <f t="shared" si="226"/>
        <v>223556.53000000012</v>
      </c>
      <c r="AG390" s="510">
        <f t="shared" si="217"/>
        <v>0</v>
      </c>
      <c r="AH390" s="510">
        <f t="shared" si="218"/>
        <v>86045.460000000079</v>
      </c>
      <c r="AI390" s="510"/>
      <c r="AJ390" s="14">
        <f t="shared" si="234"/>
        <v>0</v>
      </c>
      <c r="AK390" s="14">
        <f t="shared" si="235"/>
        <v>411904.96000000008</v>
      </c>
      <c r="AL390" s="510">
        <f>IF(R390&lt;=0,0,+(Profit!$B$4+AM389)*$AL$1/12)</f>
        <v>0</v>
      </c>
      <c r="AM390" s="14">
        <f t="shared" si="219"/>
        <v>227647.99117059269</v>
      </c>
    </row>
    <row r="391" spans="1:39" x14ac:dyDescent="0.25">
      <c r="A391" s="499" t="str">
        <f t="shared" si="207"/>
        <v xml:space="preserve"> </v>
      </c>
      <c r="B391" s="288">
        <f t="shared" si="222"/>
        <v>0</v>
      </c>
      <c r="C391" s="14">
        <f t="shared" si="198"/>
        <v>0</v>
      </c>
      <c r="D391" s="14">
        <f t="shared" si="220"/>
        <v>0</v>
      </c>
      <c r="E391" s="14">
        <f t="shared" si="199"/>
        <v>0</v>
      </c>
      <c r="F391" s="288">
        <f t="shared" si="209"/>
        <v>83147.320000000007</v>
      </c>
      <c r="G391" s="288">
        <f t="shared" si="210"/>
        <v>55052.229999999989</v>
      </c>
      <c r="H391" s="288">
        <f t="shared" si="200"/>
        <v>0</v>
      </c>
      <c r="I391" s="410">
        <f t="shared" si="201"/>
        <v>27</v>
      </c>
      <c r="J391" s="288">
        <f t="shared" si="211"/>
        <v>61343.709999999897</v>
      </c>
      <c r="K391" s="288">
        <f t="shared" si="228"/>
        <v>2298.4699999999998</v>
      </c>
      <c r="L391" s="288">
        <f t="shared" si="221"/>
        <v>1953.4099999999999</v>
      </c>
      <c r="M391" s="288">
        <f t="shared" si="229"/>
        <v>345.06</v>
      </c>
      <c r="N391" s="288">
        <f t="shared" si="212"/>
        <v>294984.69999999995</v>
      </c>
      <c r="O391" s="288">
        <f t="shared" si="213"/>
        <v>468107.33999999991</v>
      </c>
      <c r="P391" s="288">
        <f t="shared" si="202"/>
        <v>59390.299999999901</v>
      </c>
      <c r="Q391" s="499" t="str">
        <f t="shared" si="203"/>
        <v xml:space="preserve"> </v>
      </c>
      <c r="R391" s="288">
        <f t="shared" si="227"/>
        <v>0</v>
      </c>
      <c r="S391" s="492">
        <f t="shared" si="214"/>
        <v>6.7500000000000004E-2</v>
      </c>
      <c r="T391" s="288">
        <f t="shared" si="204"/>
        <v>0</v>
      </c>
      <c r="U391" s="288">
        <f t="shared" si="230"/>
        <v>0</v>
      </c>
      <c r="V391" s="288">
        <f t="shared" si="205"/>
        <v>0</v>
      </c>
      <c r="W391" s="288">
        <f t="shared" si="223"/>
        <v>0</v>
      </c>
      <c r="X391" s="288">
        <f t="shared" si="224"/>
        <v>0</v>
      </c>
      <c r="Y391" s="288">
        <f t="shared" si="231"/>
        <v>0</v>
      </c>
      <c r="Z391" s="288">
        <f t="shared" si="232"/>
        <v>357260.75999999995</v>
      </c>
      <c r="AA391" s="288">
        <f t="shared" si="233"/>
        <v>179976.28000000012</v>
      </c>
      <c r="AB391" s="288">
        <f t="shared" si="206"/>
        <v>0</v>
      </c>
      <c r="AC391" s="410">
        <f t="shared" si="215"/>
        <v>331</v>
      </c>
      <c r="AD391" s="510">
        <f t="shared" si="216"/>
        <v>225855.00000000012</v>
      </c>
      <c r="AE391" s="510">
        <f t="shared" si="225"/>
        <v>0</v>
      </c>
      <c r="AF391" s="510">
        <f t="shared" si="226"/>
        <v>225855.00000000012</v>
      </c>
      <c r="AG391" s="510">
        <f t="shared" si="217"/>
        <v>0</v>
      </c>
      <c r="AH391" s="510">
        <f t="shared" si="218"/>
        <v>86045.460000000079</v>
      </c>
      <c r="AI391" s="510"/>
      <c r="AJ391" s="14">
        <f t="shared" si="234"/>
        <v>0</v>
      </c>
      <c r="AK391" s="14">
        <f t="shared" si="235"/>
        <v>411904.96000000008</v>
      </c>
      <c r="AL391" s="510">
        <f>IF(R391&lt;=0,0,+(Profit!$B$4+AM390)*$AL$1/12)</f>
        <v>0</v>
      </c>
      <c r="AM391" s="14">
        <f t="shared" si="219"/>
        <v>227647.99117059269</v>
      </c>
    </row>
    <row r="392" spans="1:39" x14ac:dyDescent="0.25">
      <c r="A392" s="499" t="str">
        <f t="shared" si="207"/>
        <v xml:space="preserve"> </v>
      </c>
      <c r="B392" s="288">
        <f t="shared" si="222"/>
        <v>0</v>
      </c>
      <c r="C392" s="14">
        <f t="shared" si="198"/>
        <v>0</v>
      </c>
      <c r="D392" s="14">
        <f t="shared" si="220"/>
        <v>0</v>
      </c>
      <c r="E392" s="14">
        <f t="shared" si="199"/>
        <v>0</v>
      </c>
      <c r="F392" s="288">
        <f t="shared" si="209"/>
        <v>83147.320000000007</v>
      </c>
      <c r="G392" s="288">
        <f t="shared" si="210"/>
        <v>55052.229999999989</v>
      </c>
      <c r="H392" s="288">
        <f t="shared" si="200"/>
        <v>0</v>
      </c>
      <c r="I392" s="410">
        <f t="shared" si="201"/>
        <v>27</v>
      </c>
      <c r="J392" s="288">
        <f t="shared" si="211"/>
        <v>59390.299999999901</v>
      </c>
      <c r="K392" s="288">
        <f t="shared" si="228"/>
        <v>2298.4699999999998</v>
      </c>
      <c r="L392" s="288">
        <f t="shared" si="221"/>
        <v>1964.3999999999999</v>
      </c>
      <c r="M392" s="288">
        <f t="shared" si="229"/>
        <v>334.07</v>
      </c>
      <c r="N392" s="288">
        <f t="shared" si="212"/>
        <v>296949.09999999998</v>
      </c>
      <c r="O392" s="288">
        <f t="shared" si="213"/>
        <v>468441.40999999992</v>
      </c>
      <c r="P392" s="288">
        <f t="shared" si="202"/>
        <v>57425.8999999999</v>
      </c>
      <c r="Q392" s="499" t="str">
        <f t="shared" si="203"/>
        <v xml:space="preserve"> </v>
      </c>
      <c r="R392" s="288">
        <f t="shared" si="227"/>
        <v>0</v>
      </c>
      <c r="S392" s="492">
        <f t="shared" si="214"/>
        <v>6.7500000000000004E-2</v>
      </c>
      <c r="T392" s="288">
        <f t="shared" si="204"/>
        <v>0</v>
      </c>
      <c r="U392" s="288">
        <f t="shared" si="230"/>
        <v>0</v>
      </c>
      <c r="V392" s="288">
        <f t="shared" si="205"/>
        <v>0</v>
      </c>
      <c r="W392" s="288">
        <f t="shared" si="223"/>
        <v>0</v>
      </c>
      <c r="X392" s="288">
        <f t="shared" si="224"/>
        <v>0</v>
      </c>
      <c r="Y392" s="288">
        <f t="shared" si="231"/>
        <v>0</v>
      </c>
      <c r="Z392" s="288">
        <f t="shared" si="232"/>
        <v>357260.75999999995</v>
      </c>
      <c r="AA392" s="288">
        <f t="shared" si="233"/>
        <v>179976.28000000012</v>
      </c>
      <c r="AB392" s="288">
        <f t="shared" si="206"/>
        <v>0</v>
      </c>
      <c r="AC392" s="410">
        <f t="shared" si="215"/>
        <v>332</v>
      </c>
      <c r="AD392" s="510">
        <f t="shared" si="216"/>
        <v>228153.47000000012</v>
      </c>
      <c r="AE392" s="510">
        <f t="shared" si="225"/>
        <v>0</v>
      </c>
      <c r="AF392" s="510">
        <f t="shared" si="226"/>
        <v>228153.47000000012</v>
      </c>
      <c r="AG392" s="510">
        <f t="shared" si="217"/>
        <v>0</v>
      </c>
      <c r="AH392" s="510">
        <f t="shared" si="218"/>
        <v>86045.460000000079</v>
      </c>
      <c r="AI392" s="510"/>
      <c r="AJ392" s="14">
        <f t="shared" si="234"/>
        <v>0</v>
      </c>
      <c r="AK392" s="14">
        <f t="shared" si="235"/>
        <v>411904.96000000008</v>
      </c>
      <c r="AL392" s="510">
        <f>IF(R392&lt;=0,0,+(Profit!$B$4+AM391)*$AL$1/12)</f>
        <v>0</v>
      </c>
      <c r="AM392" s="14">
        <f t="shared" si="219"/>
        <v>227647.99117059269</v>
      </c>
    </row>
    <row r="393" spans="1:39" x14ac:dyDescent="0.25">
      <c r="A393" s="499" t="str">
        <f t="shared" si="207"/>
        <v xml:space="preserve"> </v>
      </c>
      <c r="B393" s="288">
        <f t="shared" si="222"/>
        <v>0</v>
      </c>
      <c r="C393" s="14">
        <f t="shared" si="198"/>
        <v>0</v>
      </c>
      <c r="D393" s="14">
        <f t="shared" si="220"/>
        <v>0</v>
      </c>
      <c r="E393" s="14">
        <f t="shared" si="199"/>
        <v>0</v>
      </c>
      <c r="F393" s="288">
        <f t="shared" si="209"/>
        <v>83147.320000000007</v>
      </c>
      <c r="G393" s="288">
        <f t="shared" si="210"/>
        <v>55052.229999999989</v>
      </c>
      <c r="H393" s="288">
        <f t="shared" si="200"/>
        <v>0</v>
      </c>
      <c r="I393" s="410">
        <f t="shared" si="201"/>
        <v>27</v>
      </c>
      <c r="J393" s="288">
        <f t="shared" si="211"/>
        <v>57425.8999999999</v>
      </c>
      <c r="K393" s="288">
        <f t="shared" si="228"/>
        <v>2298.4699999999998</v>
      </c>
      <c r="L393" s="288">
        <f t="shared" si="221"/>
        <v>1975.4499999999998</v>
      </c>
      <c r="M393" s="288">
        <f t="shared" si="229"/>
        <v>323.02</v>
      </c>
      <c r="N393" s="288">
        <f t="shared" si="212"/>
        <v>298924.55</v>
      </c>
      <c r="O393" s="288">
        <f t="shared" si="213"/>
        <v>468764.42999999993</v>
      </c>
      <c r="P393" s="288">
        <f t="shared" si="202"/>
        <v>55450.449999999903</v>
      </c>
      <c r="Q393" s="499" t="str">
        <f t="shared" si="203"/>
        <v xml:space="preserve"> </v>
      </c>
      <c r="R393" s="288">
        <f t="shared" si="227"/>
        <v>0</v>
      </c>
      <c r="S393" s="492">
        <f t="shared" si="214"/>
        <v>6.7500000000000004E-2</v>
      </c>
      <c r="T393" s="288">
        <f t="shared" si="204"/>
        <v>0</v>
      </c>
      <c r="U393" s="288">
        <f t="shared" si="230"/>
        <v>0</v>
      </c>
      <c r="V393" s="288">
        <f t="shared" si="205"/>
        <v>0</v>
      </c>
      <c r="W393" s="288">
        <f t="shared" si="223"/>
        <v>0</v>
      </c>
      <c r="X393" s="288">
        <f t="shared" si="224"/>
        <v>0</v>
      </c>
      <c r="Y393" s="288">
        <f t="shared" si="231"/>
        <v>0</v>
      </c>
      <c r="Z393" s="288">
        <f t="shared" si="232"/>
        <v>357260.75999999995</v>
      </c>
      <c r="AA393" s="288">
        <f t="shared" si="233"/>
        <v>179976.28000000012</v>
      </c>
      <c r="AB393" s="288">
        <f t="shared" si="206"/>
        <v>0</v>
      </c>
      <c r="AC393" s="410">
        <f t="shared" si="215"/>
        <v>333</v>
      </c>
      <c r="AD393" s="510">
        <f t="shared" si="216"/>
        <v>230451.94000000012</v>
      </c>
      <c r="AE393" s="510">
        <f t="shared" si="225"/>
        <v>0</v>
      </c>
      <c r="AF393" s="510">
        <f t="shared" si="226"/>
        <v>230451.94000000012</v>
      </c>
      <c r="AG393" s="510">
        <f t="shared" si="217"/>
        <v>0</v>
      </c>
      <c r="AH393" s="510">
        <f t="shared" si="218"/>
        <v>86045.460000000079</v>
      </c>
      <c r="AI393" s="510"/>
      <c r="AJ393" s="14">
        <f t="shared" si="234"/>
        <v>0</v>
      </c>
      <c r="AK393" s="14">
        <f t="shared" si="235"/>
        <v>411904.96000000008</v>
      </c>
      <c r="AL393" s="510">
        <f>IF(R393&lt;=0,0,+(Profit!$B$4+AM392)*$AL$1/12)</f>
        <v>0</v>
      </c>
      <c r="AM393" s="14">
        <f t="shared" si="219"/>
        <v>227647.99117059269</v>
      </c>
    </row>
    <row r="394" spans="1:39" x14ac:dyDescent="0.25">
      <c r="A394" s="499" t="str">
        <f t="shared" si="207"/>
        <v xml:space="preserve"> </v>
      </c>
      <c r="B394" s="288">
        <f t="shared" si="222"/>
        <v>0</v>
      </c>
      <c r="C394" s="14">
        <f t="shared" si="198"/>
        <v>0</v>
      </c>
      <c r="D394" s="14">
        <f t="shared" si="220"/>
        <v>0</v>
      </c>
      <c r="E394" s="14">
        <f t="shared" si="199"/>
        <v>0</v>
      </c>
      <c r="F394" s="288">
        <f t="shared" si="209"/>
        <v>83147.320000000007</v>
      </c>
      <c r="G394" s="288">
        <f t="shared" si="210"/>
        <v>55052.229999999989</v>
      </c>
      <c r="H394" s="288">
        <f t="shared" si="200"/>
        <v>0</v>
      </c>
      <c r="I394" s="410">
        <f t="shared" si="201"/>
        <v>27</v>
      </c>
      <c r="J394" s="288">
        <f t="shared" si="211"/>
        <v>55450.449999999903</v>
      </c>
      <c r="K394" s="288">
        <f t="shared" si="228"/>
        <v>2298.4699999999998</v>
      </c>
      <c r="L394" s="288">
        <f t="shared" si="221"/>
        <v>1986.5599999999997</v>
      </c>
      <c r="M394" s="288">
        <f t="shared" si="229"/>
        <v>311.91000000000003</v>
      </c>
      <c r="N394" s="288">
        <f t="shared" si="212"/>
        <v>300911.11</v>
      </c>
      <c r="O394" s="288">
        <f t="shared" si="213"/>
        <v>469076.33999999991</v>
      </c>
      <c r="P394" s="288">
        <f t="shared" si="202"/>
        <v>53463.889999999905</v>
      </c>
      <c r="Q394" s="499" t="str">
        <f t="shared" si="203"/>
        <v xml:space="preserve"> </v>
      </c>
      <c r="R394" s="288">
        <f t="shared" si="227"/>
        <v>0</v>
      </c>
      <c r="S394" s="492">
        <f t="shared" si="214"/>
        <v>6.7500000000000004E-2</v>
      </c>
      <c r="T394" s="288">
        <f t="shared" si="204"/>
        <v>0</v>
      </c>
      <c r="U394" s="288">
        <f t="shared" si="230"/>
        <v>0</v>
      </c>
      <c r="V394" s="288">
        <f t="shared" si="205"/>
        <v>0</v>
      </c>
      <c r="W394" s="288">
        <f t="shared" si="223"/>
        <v>0</v>
      </c>
      <c r="X394" s="288">
        <f t="shared" si="224"/>
        <v>0</v>
      </c>
      <c r="Y394" s="288">
        <f t="shared" si="231"/>
        <v>0</v>
      </c>
      <c r="Z394" s="288">
        <f t="shared" si="232"/>
        <v>357260.75999999995</v>
      </c>
      <c r="AA394" s="288">
        <f t="shared" si="233"/>
        <v>179976.28000000012</v>
      </c>
      <c r="AB394" s="288">
        <f t="shared" si="206"/>
        <v>0</v>
      </c>
      <c r="AC394" s="410">
        <f t="shared" si="215"/>
        <v>334</v>
      </c>
      <c r="AD394" s="510">
        <f t="shared" si="216"/>
        <v>232750.41000000012</v>
      </c>
      <c r="AE394" s="510">
        <f t="shared" si="225"/>
        <v>0</v>
      </c>
      <c r="AF394" s="510">
        <f t="shared" si="226"/>
        <v>232750.41000000012</v>
      </c>
      <c r="AG394" s="510">
        <f t="shared" si="217"/>
        <v>0</v>
      </c>
      <c r="AH394" s="510">
        <f t="shared" si="218"/>
        <v>86045.460000000079</v>
      </c>
      <c r="AI394" s="510"/>
      <c r="AJ394" s="14">
        <f t="shared" si="234"/>
        <v>0</v>
      </c>
      <c r="AK394" s="14">
        <f t="shared" si="235"/>
        <v>411904.96000000008</v>
      </c>
      <c r="AL394" s="510">
        <f>IF(R394&lt;=0,0,+(Profit!$B$4+AM393)*$AL$1/12)</f>
        <v>0</v>
      </c>
      <c r="AM394" s="14">
        <f t="shared" si="219"/>
        <v>227647.99117059269</v>
      </c>
    </row>
    <row r="395" spans="1:39" x14ac:dyDescent="0.25">
      <c r="A395" s="499" t="str">
        <f t="shared" si="207"/>
        <v xml:space="preserve"> </v>
      </c>
      <c r="B395" s="288">
        <f t="shared" si="222"/>
        <v>0</v>
      </c>
      <c r="C395" s="14">
        <f t="shared" si="198"/>
        <v>0</v>
      </c>
      <c r="D395" s="14">
        <f t="shared" si="220"/>
        <v>0</v>
      </c>
      <c r="E395" s="14">
        <f t="shared" si="199"/>
        <v>0</v>
      </c>
      <c r="F395" s="288">
        <f t="shared" si="209"/>
        <v>83147.320000000007</v>
      </c>
      <c r="G395" s="288">
        <f t="shared" si="210"/>
        <v>55052.229999999989</v>
      </c>
      <c r="H395" s="288">
        <f t="shared" si="200"/>
        <v>0</v>
      </c>
      <c r="I395" s="410">
        <f t="shared" si="201"/>
        <v>27</v>
      </c>
      <c r="J395" s="288">
        <f t="shared" si="211"/>
        <v>53463.889999999905</v>
      </c>
      <c r="K395" s="288">
        <f t="shared" si="228"/>
        <v>2298.4699999999998</v>
      </c>
      <c r="L395" s="288">
        <f t="shared" si="221"/>
        <v>1997.7399999999998</v>
      </c>
      <c r="M395" s="288">
        <f t="shared" si="229"/>
        <v>300.73</v>
      </c>
      <c r="N395" s="288">
        <f t="shared" si="212"/>
        <v>302908.84999999998</v>
      </c>
      <c r="O395" s="288">
        <f t="shared" si="213"/>
        <v>469377.06999999989</v>
      </c>
      <c r="P395" s="288">
        <f t="shared" si="202"/>
        <v>51466.149999999907</v>
      </c>
      <c r="Q395" s="499" t="str">
        <f t="shared" si="203"/>
        <v xml:space="preserve"> </v>
      </c>
      <c r="R395" s="288">
        <f t="shared" si="227"/>
        <v>0</v>
      </c>
      <c r="S395" s="492">
        <f t="shared" si="214"/>
        <v>6.7500000000000004E-2</v>
      </c>
      <c r="T395" s="288">
        <f t="shared" si="204"/>
        <v>0</v>
      </c>
      <c r="U395" s="288">
        <f t="shared" si="230"/>
        <v>0</v>
      </c>
      <c r="V395" s="288">
        <f t="shared" si="205"/>
        <v>0</v>
      </c>
      <c r="W395" s="288">
        <f t="shared" si="223"/>
        <v>0</v>
      </c>
      <c r="X395" s="288">
        <f t="shared" si="224"/>
        <v>0</v>
      </c>
      <c r="Y395" s="288">
        <f t="shared" si="231"/>
        <v>0</v>
      </c>
      <c r="Z395" s="288">
        <f t="shared" si="232"/>
        <v>357260.75999999995</v>
      </c>
      <c r="AA395" s="288">
        <f t="shared" si="233"/>
        <v>179976.28000000012</v>
      </c>
      <c r="AB395" s="288">
        <f t="shared" si="206"/>
        <v>0</v>
      </c>
      <c r="AC395" s="410">
        <f t="shared" si="215"/>
        <v>335</v>
      </c>
      <c r="AD395" s="510">
        <f t="shared" si="216"/>
        <v>235048.88000000012</v>
      </c>
      <c r="AE395" s="510">
        <f t="shared" si="225"/>
        <v>0</v>
      </c>
      <c r="AF395" s="510">
        <f t="shared" si="226"/>
        <v>235048.88000000012</v>
      </c>
      <c r="AG395" s="510">
        <f t="shared" si="217"/>
        <v>0</v>
      </c>
      <c r="AH395" s="510">
        <f t="shared" si="218"/>
        <v>86045.460000000079</v>
      </c>
      <c r="AI395" s="510"/>
      <c r="AJ395" s="14">
        <f t="shared" si="234"/>
        <v>0</v>
      </c>
      <c r="AK395" s="14">
        <f t="shared" si="235"/>
        <v>411904.96000000008</v>
      </c>
      <c r="AL395" s="510">
        <f>IF(R395&lt;=0,0,+(Profit!$B$4+AM394)*$AL$1/12)</f>
        <v>0</v>
      </c>
      <c r="AM395" s="14">
        <f t="shared" si="219"/>
        <v>227647.99117059269</v>
      </c>
    </row>
    <row r="396" spans="1:39" x14ac:dyDescent="0.25">
      <c r="A396" s="499" t="str">
        <f t="shared" si="207"/>
        <v xml:space="preserve"> </v>
      </c>
      <c r="B396" s="288">
        <f t="shared" si="222"/>
        <v>0</v>
      </c>
      <c r="C396" s="14">
        <f t="shared" si="198"/>
        <v>0</v>
      </c>
      <c r="D396" s="14">
        <f t="shared" si="220"/>
        <v>0</v>
      </c>
      <c r="E396" s="14">
        <f t="shared" si="199"/>
        <v>0</v>
      </c>
      <c r="F396" s="288">
        <f t="shared" si="209"/>
        <v>83147.320000000007</v>
      </c>
      <c r="G396" s="288">
        <f t="shared" si="210"/>
        <v>55052.229999999989</v>
      </c>
      <c r="H396" s="288">
        <f t="shared" si="200"/>
        <v>0</v>
      </c>
      <c r="I396" s="410">
        <f t="shared" si="201"/>
        <v>28</v>
      </c>
      <c r="J396" s="288">
        <f t="shared" si="211"/>
        <v>51466.149999999907</v>
      </c>
      <c r="K396" s="288">
        <f t="shared" si="228"/>
        <v>2298.4699999999998</v>
      </c>
      <c r="L396" s="288">
        <f t="shared" si="221"/>
        <v>2008.9699999999998</v>
      </c>
      <c r="M396" s="288">
        <f t="shared" si="229"/>
        <v>289.5</v>
      </c>
      <c r="N396" s="288">
        <f t="shared" si="212"/>
        <v>304917.81999999995</v>
      </c>
      <c r="O396" s="288">
        <f t="shared" si="213"/>
        <v>469666.56999999989</v>
      </c>
      <c r="P396" s="288">
        <f t="shared" si="202"/>
        <v>49457.179999999906</v>
      </c>
      <c r="Q396" s="499" t="str">
        <f t="shared" si="203"/>
        <v xml:space="preserve"> </v>
      </c>
      <c r="R396" s="288">
        <f t="shared" si="227"/>
        <v>0</v>
      </c>
      <c r="S396" s="492">
        <f t="shared" si="214"/>
        <v>6.7500000000000004E-2</v>
      </c>
      <c r="T396" s="288">
        <f t="shared" si="204"/>
        <v>0</v>
      </c>
      <c r="U396" s="288">
        <f t="shared" si="230"/>
        <v>0</v>
      </c>
      <c r="V396" s="288">
        <f t="shared" si="205"/>
        <v>0</v>
      </c>
      <c r="W396" s="288">
        <f t="shared" si="223"/>
        <v>0</v>
      </c>
      <c r="X396" s="288">
        <f t="shared" si="224"/>
        <v>0</v>
      </c>
      <c r="Y396" s="288">
        <f t="shared" si="231"/>
        <v>0</v>
      </c>
      <c r="Z396" s="288">
        <f t="shared" si="232"/>
        <v>357260.75999999995</v>
      </c>
      <c r="AA396" s="288">
        <f t="shared" si="233"/>
        <v>179976.28000000012</v>
      </c>
      <c r="AB396" s="288">
        <f t="shared" si="206"/>
        <v>0</v>
      </c>
      <c r="AC396" s="410">
        <f t="shared" si="215"/>
        <v>336</v>
      </c>
      <c r="AD396" s="510">
        <f t="shared" si="216"/>
        <v>237347.35000000012</v>
      </c>
      <c r="AE396" s="510">
        <f t="shared" si="225"/>
        <v>0</v>
      </c>
      <c r="AF396" s="510">
        <f t="shared" si="226"/>
        <v>237347.35000000012</v>
      </c>
      <c r="AG396" s="510">
        <f t="shared" si="217"/>
        <v>0</v>
      </c>
      <c r="AH396" s="510">
        <f t="shared" si="218"/>
        <v>86045.460000000079</v>
      </c>
      <c r="AI396" s="510"/>
      <c r="AJ396" s="14">
        <f t="shared" si="234"/>
        <v>0</v>
      </c>
      <c r="AK396" s="14">
        <f t="shared" si="235"/>
        <v>411904.96000000008</v>
      </c>
      <c r="AL396" s="510">
        <f>IF(R396&lt;=0,0,+(Profit!$B$4+AM395)*$AL$1/12)</f>
        <v>0</v>
      </c>
      <c r="AM396" s="14">
        <f t="shared" si="219"/>
        <v>227647.99117059269</v>
      </c>
    </row>
    <row r="397" spans="1:39" x14ac:dyDescent="0.25">
      <c r="A397" s="499" t="str">
        <f t="shared" si="207"/>
        <v xml:space="preserve"> </v>
      </c>
      <c r="B397" s="288">
        <f t="shared" si="222"/>
        <v>0</v>
      </c>
      <c r="C397" s="14">
        <f t="shared" si="198"/>
        <v>0</v>
      </c>
      <c r="D397" s="14">
        <f t="shared" si="220"/>
        <v>0</v>
      </c>
      <c r="E397" s="14">
        <f t="shared" si="199"/>
        <v>0</v>
      </c>
      <c r="F397" s="288">
        <f t="shared" si="209"/>
        <v>83147.320000000007</v>
      </c>
      <c r="G397" s="288">
        <f t="shared" si="210"/>
        <v>55052.229999999989</v>
      </c>
      <c r="H397" s="288">
        <f t="shared" si="200"/>
        <v>0</v>
      </c>
      <c r="I397" s="410">
        <f t="shared" si="201"/>
        <v>28</v>
      </c>
      <c r="J397" s="288">
        <f t="shared" si="211"/>
        <v>49457.179999999906</v>
      </c>
      <c r="K397" s="288">
        <f t="shared" si="228"/>
        <v>2298.4699999999998</v>
      </c>
      <c r="L397" s="288">
        <f t="shared" si="221"/>
        <v>2020.2699999999998</v>
      </c>
      <c r="M397" s="288">
        <f t="shared" si="229"/>
        <v>278.2</v>
      </c>
      <c r="N397" s="288">
        <f t="shared" si="212"/>
        <v>306938.08999999997</v>
      </c>
      <c r="O397" s="288">
        <f t="shared" si="213"/>
        <v>469944.7699999999</v>
      </c>
      <c r="P397" s="288">
        <f t="shared" si="202"/>
        <v>47436.909999999909</v>
      </c>
      <c r="Q397" s="499" t="str">
        <f t="shared" si="203"/>
        <v xml:space="preserve"> </v>
      </c>
      <c r="R397" s="288">
        <f t="shared" si="227"/>
        <v>0</v>
      </c>
      <c r="S397" s="492">
        <f t="shared" si="214"/>
        <v>6.7500000000000004E-2</v>
      </c>
      <c r="T397" s="288">
        <f t="shared" si="204"/>
        <v>0</v>
      </c>
      <c r="U397" s="288">
        <f t="shared" si="230"/>
        <v>0</v>
      </c>
      <c r="V397" s="288">
        <f t="shared" si="205"/>
        <v>0</v>
      </c>
      <c r="W397" s="288">
        <f t="shared" si="223"/>
        <v>0</v>
      </c>
      <c r="X397" s="288">
        <f t="shared" si="224"/>
        <v>0</v>
      </c>
      <c r="Y397" s="288">
        <f t="shared" si="231"/>
        <v>0</v>
      </c>
      <c r="Z397" s="288">
        <f t="shared" si="232"/>
        <v>357260.75999999995</v>
      </c>
      <c r="AA397" s="288">
        <f t="shared" si="233"/>
        <v>179976.28000000012</v>
      </c>
      <c r="AB397" s="288">
        <f t="shared" si="206"/>
        <v>0</v>
      </c>
      <c r="AC397" s="410">
        <f t="shared" si="215"/>
        <v>337</v>
      </c>
      <c r="AD397" s="510">
        <f t="shared" si="216"/>
        <v>239645.82000000012</v>
      </c>
      <c r="AE397" s="510">
        <f t="shared" si="225"/>
        <v>0</v>
      </c>
      <c r="AF397" s="510">
        <f t="shared" si="226"/>
        <v>239645.82000000012</v>
      </c>
      <c r="AG397" s="510">
        <f t="shared" si="217"/>
        <v>0</v>
      </c>
      <c r="AH397" s="510">
        <f t="shared" si="218"/>
        <v>86045.460000000079</v>
      </c>
      <c r="AI397" s="510"/>
      <c r="AJ397" s="14">
        <f t="shared" si="234"/>
        <v>0</v>
      </c>
      <c r="AK397" s="14">
        <f t="shared" si="235"/>
        <v>411904.96000000008</v>
      </c>
      <c r="AL397" s="510">
        <f>IF(R397&lt;=0,0,+(Profit!$B$4+AM396)*$AL$1/12)</f>
        <v>0</v>
      </c>
      <c r="AM397" s="14">
        <f t="shared" si="219"/>
        <v>227647.99117059269</v>
      </c>
    </row>
    <row r="398" spans="1:39" ht="15.75" thickBot="1" x14ac:dyDescent="0.3">
      <c r="A398" s="502" t="str">
        <f t="shared" si="207"/>
        <v xml:space="preserve"> </v>
      </c>
      <c r="B398" s="343">
        <f t="shared" si="222"/>
        <v>0</v>
      </c>
      <c r="C398" s="21">
        <f t="shared" si="198"/>
        <v>0</v>
      </c>
      <c r="D398" s="21">
        <f t="shared" si="220"/>
        <v>0</v>
      </c>
      <c r="E398" s="21">
        <f t="shared" si="199"/>
        <v>0</v>
      </c>
      <c r="F398" s="343">
        <f t="shared" si="209"/>
        <v>83147.320000000007</v>
      </c>
      <c r="G398" s="343">
        <f t="shared" si="210"/>
        <v>55052.229999999989</v>
      </c>
      <c r="H398" s="343">
        <f t="shared" si="200"/>
        <v>0</v>
      </c>
      <c r="I398" s="411">
        <f t="shared" si="201"/>
        <v>28</v>
      </c>
      <c r="J398" s="343">
        <f t="shared" si="211"/>
        <v>47436.909999999909</v>
      </c>
      <c r="K398" s="343">
        <f t="shared" si="228"/>
        <v>2298.4699999999998</v>
      </c>
      <c r="L398" s="343">
        <f t="shared" si="221"/>
        <v>2031.6399999999999</v>
      </c>
      <c r="M398" s="343">
        <f t="shared" si="229"/>
        <v>266.83</v>
      </c>
      <c r="N398" s="343">
        <f t="shared" si="212"/>
        <v>308969.73</v>
      </c>
      <c r="O398" s="343">
        <f t="shared" si="213"/>
        <v>470211.59999999992</v>
      </c>
      <c r="P398" s="343">
        <f t="shared" si="202"/>
        <v>45405.269999999909</v>
      </c>
      <c r="Q398" s="502" t="str">
        <f t="shared" si="203"/>
        <v xml:space="preserve"> </v>
      </c>
      <c r="R398" s="343">
        <f t="shared" si="227"/>
        <v>0</v>
      </c>
      <c r="S398" s="493">
        <f t="shared" si="214"/>
        <v>6.7500000000000004E-2</v>
      </c>
      <c r="T398" s="343">
        <f t="shared" si="204"/>
        <v>0</v>
      </c>
      <c r="U398" s="343">
        <f t="shared" si="230"/>
        <v>0</v>
      </c>
      <c r="V398" s="343">
        <f t="shared" si="205"/>
        <v>0</v>
      </c>
      <c r="W398" s="343">
        <f t="shared" si="223"/>
        <v>0</v>
      </c>
      <c r="X398" s="343">
        <f t="shared" si="224"/>
        <v>0</v>
      </c>
      <c r="Y398" s="343">
        <f t="shared" si="231"/>
        <v>0</v>
      </c>
      <c r="Z398" s="343">
        <f t="shared" si="232"/>
        <v>357260.75999999995</v>
      </c>
      <c r="AA398" s="343">
        <f t="shared" si="233"/>
        <v>179976.28000000012</v>
      </c>
      <c r="AB398" s="343">
        <f t="shared" si="206"/>
        <v>0</v>
      </c>
      <c r="AC398" s="411">
        <f t="shared" si="215"/>
        <v>338</v>
      </c>
      <c r="AD398" s="511">
        <f t="shared" si="216"/>
        <v>241944.29000000012</v>
      </c>
      <c r="AE398" s="511">
        <f t="shared" si="225"/>
        <v>0</v>
      </c>
      <c r="AF398" s="511">
        <f t="shared" si="226"/>
        <v>241944.29000000012</v>
      </c>
      <c r="AG398" s="511">
        <f t="shared" si="217"/>
        <v>0</v>
      </c>
      <c r="AH398" s="511">
        <f t="shared" si="218"/>
        <v>86045.460000000079</v>
      </c>
      <c r="AI398" s="511"/>
      <c r="AJ398" s="21">
        <f t="shared" si="234"/>
        <v>0</v>
      </c>
      <c r="AK398" s="21">
        <f t="shared" si="235"/>
        <v>411904.96000000008</v>
      </c>
      <c r="AL398" s="511">
        <f>IF(R398&lt;=0,0,+(Profit!$B$4+AM397)*$AL$1/12)</f>
        <v>0</v>
      </c>
      <c r="AM398" s="21">
        <f t="shared" si="219"/>
        <v>227647.99117059269</v>
      </c>
    </row>
    <row r="399" spans="1:39" x14ac:dyDescent="0.25">
      <c r="A399" s="499" t="str">
        <f t="shared" si="207"/>
        <v xml:space="preserve"> </v>
      </c>
      <c r="B399" s="288">
        <f t="shared" si="222"/>
        <v>0</v>
      </c>
      <c r="C399" s="14">
        <f t="shared" ref="C399:C462" si="236">IF(+$H398&lt;=0,0,$C$5)</f>
        <v>0</v>
      </c>
      <c r="D399" s="14">
        <f t="shared" si="220"/>
        <v>0</v>
      </c>
      <c r="E399" s="14">
        <f t="shared" ref="E399:E462" si="237">ROUND($B399*($C$3/12), 2)</f>
        <v>0</v>
      </c>
      <c r="F399" s="288">
        <f t="shared" si="209"/>
        <v>83147.320000000007</v>
      </c>
      <c r="G399" s="288">
        <f t="shared" si="210"/>
        <v>55052.229999999989</v>
      </c>
      <c r="H399" s="288">
        <f t="shared" ref="H399:H462" si="238">+B399-D399</f>
        <v>0</v>
      </c>
      <c r="I399" s="410">
        <f t="shared" ref="I399:I462" si="239">IF(MOD(AC399,12)=0,AC399/12,I398)</f>
        <v>28</v>
      </c>
      <c r="J399" s="288">
        <f t="shared" si="211"/>
        <v>45405.269999999909</v>
      </c>
      <c r="K399" s="288">
        <f t="shared" si="228"/>
        <v>2298.4699999999998</v>
      </c>
      <c r="L399" s="288">
        <f t="shared" si="221"/>
        <v>2043.0699999999997</v>
      </c>
      <c r="M399" s="288">
        <f t="shared" si="229"/>
        <v>255.4</v>
      </c>
      <c r="N399" s="288">
        <f t="shared" si="212"/>
        <v>311012.8</v>
      </c>
      <c r="O399" s="288">
        <f t="shared" si="213"/>
        <v>470466.99999999994</v>
      </c>
      <c r="P399" s="288">
        <f t="shared" ref="P399:P462" si="240">+J399-L399</f>
        <v>43362.19999999991</v>
      </c>
      <c r="Q399" s="499" t="str">
        <f t="shared" ref="Q399:Q462" si="241">+A399</f>
        <v xml:space="preserve"> </v>
      </c>
      <c r="R399" s="288">
        <f t="shared" si="227"/>
        <v>0</v>
      </c>
      <c r="S399" s="492">
        <f t="shared" si="214"/>
        <v>6.7500000000000004E-2</v>
      </c>
      <c r="T399" s="288">
        <f t="shared" ref="T399:T462" si="242">IF($J$10&lt;=$A399,IF(+AB398&lt;=0,0,IF(S399=$T$9,$S$9,$S$10)),0)</f>
        <v>0</v>
      </c>
      <c r="U399" s="288">
        <f t="shared" si="230"/>
        <v>0</v>
      </c>
      <c r="V399" s="288">
        <f t="shared" ref="V399:V462" si="243">IF($J$10&lt;=$A399,ROUND(R399*(S399/12),2),0)</f>
        <v>0</v>
      </c>
      <c r="W399" s="288">
        <f t="shared" si="223"/>
        <v>0</v>
      </c>
      <c r="X399" s="288">
        <f t="shared" si="224"/>
        <v>0</v>
      </c>
      <c r="Y399" s="288">
        <f t="shared" si="231"/>
        <v>0</v>
      </c>
      <c r="Z399" s="288">
        <f t="shared" si="232"/>
        <v>357260.75999999995</v>
      </c>
      <c r="AA399" s="288">
        <f t="shared" si="233"/>
        <v>179976.28000000012</v>
      </c>
      <c r="AB399" s="288">
        <f t="shared" ref="AB399:AB462" si="244">IF(Q399&lt;$J$10,$J$6,+R399-U399)</f>
        <v>0</v>
      </c>
      <c r="AC399" s="410">
        <f t="shared" si="215"/>
        <v>339</v>
      </c>
      <c r="AD399" s="510">
        <f t="shared" si="216"/>
        <v>244242.76000000013</v>
      </c>
      <c r="AE399" s="510">
        <f t="shared" si="225"/>
        <v>0</v>
      </c>
      <c r="AF399" s="510">
        <f t="shared" si="226"/>
        <v>244242.76000000013</v>
      </c>
      <c r="AG399" s="510">
        <f t="shared" si="217"/>
        <v>0</v>
      </c>
      <c r="AH399" s="510">
        <f t="shared" si="218"/>
        <v>86045.460000000079</v>
      </c>
      <c r="AI399" s="510"/>
      <c r="AJ399" s="14">
        <f t="shared" si="234"/>
        <v>0</v>
      </c>
      <c r="AK399" s="14">
        <f t="shared" si="235"/>
        <v>411904.96000000008</v>
      </c>
      <c r="AL399" s="510">
        <f>IF(R399&lt;=0,0,+(Profit!$B$4+AM398)*$AL$1/12)</f>
        <v>0</v>
      </c>
      <c r="AM399" s="14">
        <f t="shared" si="219"/>
        <v>227647.99117059269</v>
      </c>
    </row>
    <row r="400" spans="1:39" x14ac:dyDescent="0.25">
      <c r="A400" s="499" t="str">
        <f t="shared" ref="A400:A463" si="245">IF(H400&lt;=0," ",+A399+30)</f>
        <v xml:space="preserve"> </v>
      </c>
      <c r="B400" s="288">
        <f t="shared" si="222"/>
        <v>0</v>
      </c>
      <c r="C400" s="14">
        <f t="shared" si="236"/>
        <v>0</v>
      </c>
      <c r="D400" s="14">
        <f t="shared" si="220"/>
        <v>0</v>
      </c>
      <c r="E400" s="14">
        <f t="shared" si="237"/>
        <v>0</v>
      </c>
      <c r="F400" s="288">
        <f t="shared" ref="F400:F463" si="246">$D400+$F399</f>
        <v>83147.320000000007</v>
      </c>
      <c r="G400" s="288">
        <f t="shared" ref="G400:G463" si="247">$E400+$G399</f>
        <v>55052.229999999989</v>
      </c>
      <c r="H400" s="288">
        <f t="shared" si="238"/>
        <v>0</v>
      </c>
      <c r="I400" s="410">
        <f t="shared" si="239"/>
        <v>28</v>
      </c>
      <c r="J400" s="288">
        <f t="shared" ref="J400:J417" si="248">IF(+P399&lt;0,0,+P399)</f>
        <v>43362.19999999991</v>
      </c>
      <c r="K400" s="288">
        <f t="shared" si="228"/>
        <v>2298.4699999999998</v>
      </c>
      <c r="L400" s="288">
        <f t="shared" si="221"/>
        <v>2054.56</v>
      </c>
      <c r="M400" s="288">
        <f t="shared" si="229"/>
        <v>243.91</v>
      </c>
      <c r="N400" s="288">
        <f t="shared" ref="N400:N463" si="249">+L400+N399</f>
        <v>313067.36</v>
      </c>
      <c r="O400" s="288">
        <f t="shared" ref="O400:O463" si="250">+O399+M400</f>
        <v>470710.90999999992</v>
      </c>
      <c r="P400" s="288">
        <f t="shared" si="240"/>
        <v>41307.639999999912</v>
      </c>
      <c r="Q400" s="499" t="str">
        <f t="shared" si="241"/>
        <v xml:space="preserve"> </v>
      </c>
      <c r="R400" s="288">
        <f t="shared" si="227"/>
        <v>0</v>
      </c>
      <c r="S400" s="492">
        <f t="shared" ref="S400:S463" si="251">IF(AC400&gt;60,$T$10,$T$9)</f>
        <v>6.7500000000000004E-2</v>
      </c>
      <c r="T400" s="288">
        <f t="shared" si="242"/>
        <v>0</v>
      </c>
      <c r="U400" s="288">
        <f t="shared" si="230"/>
        <v>0</v>
      </c>
      <c r="V400" s="288">
        <f t="shared" si="243"/>
        <v>0</v>
      </c>
      <c r="W400" s="288">
        <f t="shared" si="223"/>
        <v>0</v>
      </c>
      <c r="X400" s="288">
        <f t="shared" si="224"/>
        <v>0</v>
      </c>
      <c r="Y400" s="288">
        <f t="shared" si="231"/>
        <v>0</v>
      </c>
      <c r="Z400" s="288">
        <f t="shared" si="232"/>
        <v>357260.75999999995</v>
      </c>
      <c r="AA400" s="288">
        <f t="shared" si="233"/>
        <v>179976.28000000012</v>
      </c>
      <c r="AB400" s="288">
        <f t="shared" si="244"/>
        <v>0</v>
      </c>
      <c r="AC400" s="410">
        <f t="shared" ref="AC400:AC463" si="252">IF(J400&lt;&gt;"",IF(J400=$J$6,0,+AC399+1),0)</f>
        <v>340</v>
      </c>
      <c r="AD400" s="510">
        <f t="shared" ref="AD400:AD463" si="253">K400-T400+AD399</f>
        <v>246541.23000000013</v>
      </c>
      <c r="AE400" s="510">
        <f t="shared" si="225"/>
        <v>0</v>
      </c>
      <c r="AF400" s="510">
        <f t="shared" si="226"/>
        <v>246541.23000000013</v>
      </c>
      <c r="AG400" s="510">
        <f t="shared" ref="AG400:AG463" si="254">IF(Q400&lt;=$C$10,0,+T400-$C400)</f>
        <v>0</v>
      </c>
      <c r="AH400" s="510">
        <f t="shared" ref="AH400:AH463" si="255">IF(P400&lt;=0,0,+$T$5-$C$2+F400-Z400)</f>
        <v>86045.460000000079</v>
      </c>
      <c r="AI400" s="510"/>
      <c r="AJ400" s="14">
        <f t="shared" si="234"/>
        <v>0</v>
      </c>
      <c r="AK400" s="14">
        <f t="shared" si="235"/>
        <v>411904.96000000008</v>
      </c>
      <c r="AL400" s="510">
        <f>IF(R400&lt;=0,0,+(Profit!$B$4+AM399)*$AL$1/12)</f>
        <v>0</v>
      </c>
      <c r="AM400" s="14">
        <f t="shared" ref="AM400:AM463" si="256">IF(P400&lt;=0,0,+AM399+AL400)</f>
        <v>227647.99117059269</v>
      </c>
    </row>
    <row r="401" spans="1:39" x14ac:dyDescent="0.25">
      <c r="A401" s="499" t="str">
        <f t="shared" si="245"/>
        <v xml:space="preserve"> </v>
      </c>
      <c r="B401" s="288">
        <f t="shared" si="222"/>
        <v>0</v>
      </c>
      <c r="C401" s="14">
        <f t="shared" si="236"/>
        <v>0</v>
      </c>
      <c r="D401" s="14">
        <f t="shared" ref="D401:D464" si="257">+C401-E401</f>
        <v>0</v>
      </c>
      <c r="E401" s="14">
        <f t="shared" si="237"/>
        <v>0</v>
      </c>
      <c r="F401" s="288">
        <f t="shared" si="246"/>
        <v>83147.320000000007</v>
      </c>
      <c r="G401" s="288">
        <f t="shared" si="247"/>
        <v>55052.229999999989</v>
      </c>
      <c r="H401" s="288">
        <f t="shared" si="238"/>
        <v>0</v>
      </c>
      <c r="I401" s="410">
        <f t="shared" si="239"/>
        <v>28</v>
      </c>
      <c r="J401" s="288">
        <f t="shared" si="248"/>
        <v>41307.639999999912</v>
      </c>
      <c r="K401" s="288">
        <f t="shared" si="228"/>
        <v>2298.4699999999998</v>
      </c>
      <c r="L401" s="288">
        <f t="shared" ref="L401:L464" si="258">+K401-M401</f>
        <v>2066.1099999999997</v>
      </c>
      <c r="M401" s="288">
        <f t="shared" si="229"/>
        <v>232.36</v>
      </c>
      <c r="N401" s="288">
        <f t="shared" si="249"/>
        <v>315133.46999999997</v>
      </c>
      <c r="O401" s="288">
        <f t="shared" si="250"/>
        <v>470943.2699999999</v>
      </c>
      <c r="P401" s="288">
        <f t="shared" si="240"/>
        <v>39241.529999999912</v>
      </c>
      <c r="Q401" s="499" t="str">
        <f t="shared" si="241"/>
        <v xml:space="preserve"> </v>
      </c>
      <c r="R401" s="288">
        <f t="shared" si="227"/>
        <v>0</v>
      </c>
      <c r="S401" s="492">
        <f t="shared" si="251"/>
        <v>6.7500000000000004E-2</v>
      </c>
      <c r="T401" s="288">
        <f t="shared" si="242"/>
        <v>0</v>
      </c>
      <c r="U401" s="288">
        <f t="shared" si="230"/>
        <v>0</v>
      </c>
      <c r="V401" s="288">
        <f t="shared" si="243"/>
        <v>0</v>
      </c>
      <c r="W401" s="288">
        <f t="shared" si="223"/>
        <v>0</v>
      </c>
      <c r="X401" s="288">
        <f t="shared" si="224"/>
        <v>0</v>
      </c>
      <c r="Y401" s="288">
        <f t="shared" si="231"/>
        <v>0</v>
      </c>
      <c r="Z401" s="288">
        <f t="shared" si="232"/>
        <v>357260.75999999995</v>
      </c>
      <c r="AA401" s="288">
        <f t="shared" si="233"/>
        <v>179976.28000000012</v>
      </c>
      <c r="AB401" s="288">
        <f t="shared" si="244"/>
        <v>0</v>
      </c>
      <c r="AC401" s="410">
        <f t="shared" si="252"/>
        <v>341</v>
      </c>
      <c r="AD401" s="510">
        <f t="shared" si="253"/>
        <v>248839.70000000013</v>
      </c>
      <c r="AE401" s="510">
        <f t="shared" si="225"/>
        <v>0</v>
      </c>
      <c r="AF401" s="510">
        <f t="shared" si="226"/>
        <v>248839.70000000013</v>
      </c>
      <c r="AG401" s="510">
        <f t="shared" si="254"/>
        <v>0</v>
      </c>
      <c r="AH401" s="510">
        <f t="shared" si="255"/>
        <v>86045.460000000079</v>
      </c>
      <c r="AI401" s="510"/>
      <c r="AJ401" s="14">
        <f t="shared" si="234"/>
        <v>0</v>
      </c>
      <c r="AK401" s="14">
        <f t="shared" si="235"/>
        <v>411904.96000000008</v>
      </c>
      <c r="AL401" s="510">
        <f>IF(R401&lt;=0,0,+(Profit!$B$4+AM400)*$AL$1/12)</f>
        <v>0</v>
      </c>
      <c r="AM401" s="14">
        <f t="shared" si="256"/>
        <v>227647.99117059269</v>
      </c>
    </row>
    <row r="402" spans="1:39" x14ac:dyDescent="0.25">
      <c r="A402" s="499" t="str">
        <f t="shared" si="245"/>
        <v xml:space="preserve"> </v>
      </c>
      <c r="B402" s="288">
        <f t="shared" si="222"/>
        <v>0</v>
      </c>
      <c r="C402" s="14">
        <f t="shared" si="236"/>
        <v>0</v>
      </c>
      <c r="D402" s="14">
        <f t="shared" si="257"/>
        <v>0</v>
      </c>
      <c r="E402" s="14">
        <f t="shared" si="237"/>
        <v>0</v>
      </c>
      <c r="F402" s="288">
        <f t="shared" si="246"/>
        <v>83147.320000000007</v>
      </c>
      <c r="G402" s="288">
        <f t="shared" si="247"/>
        <v>55052.229999999989</v>
      </c>
      <c r="H402" s="288">
        <f t="shared" si="238"/>
        <v>0</v>
      </c>
      <c r="I402" s="410">
        <f t="shared" si="239"/>
        <v>28</v>
      </c>
      <c r="J402" s="288">
        <f t="shared" si="248"/>
        <v>39241.529999999912</v>
      </c>
      <c r="K402" s="288">
        <f t="shared" si="228"/>
        <v>2298.4699999999998</v>
      </c>
      <c r="L402" s="288">
        <f t="shared" si="258"/>
        <v>2077.7399999999998</v>
      </c>
      <c r="M402" s="288">
        <f t="shared" si="229"/>
        <v>220.73</v>
      </c>
      <c r="N402" s="288">
        <f t="shared" si="249"/>
        <v>317211.20999999996</v>
      </c>
      <c r="O402" s="288">
        <f t="shared" si="250"/>
        <v>471163.99999999988</v>
      </c>
      <c r="P402" s="288">
        <f t="shared" si="240"/>
        <v>37163.789999999914</v>
      </c>
      <c r="Q402" s="499" t="str">
        <f t="shared" si="241"/>
        <v xml:space="preserve"> </v>
      </c>
      <c r="R402" s="288">
        <f t="shared" si="227"/>
        <v>0</v>
      </c>
      <c r="S402" s="492">
        <f t="shared" si="251"/>
        <v>6.7500000000000004E-2</v>
      </c>
      <c r="T402" s="288">
        <f t="shared" si="242"/>
        <v>0</v>
      </c>
      <c r="U402" s="288">
        <f t="shared" si="230"/>
        <v>0</v>
      </c>
      <c r="V402" s="288">
        <f t="shared" si="243"/>
        <v>0</v>
      </c>
      <c r="W402" s="288">
        <f t="shared" si="223"/>
        <v>0</v>
      </c>
      <c r="X402" s="288">
        <f t="shared" si="224"/>
        <v>0</v>
      </c>
      <c r="Y402" s="288">
        <f t="shared" si="231"/>
        <v>0</v>
      </c>
      <c r="Z402" s="288">
        <f t="shared" si="232"/>
        <v>357260.75999999995</v>
      </c>
      <c r="AA402" s="288">
        <f t="shared" si="233"/>
        <v>179976.28000000012</v>
      </c>
      <c r="AB402" s="288">
        <f t="shared" si="244"/>
        <v>0</v>
      </c>
      <c r="AC402" s="410">
        <f t="shared" si="252"/>
        <v>342</v>
      </c>
      <c r="AD402" s="510">
        <f t="shared" si="253"/>
        <v>251138.17000000013</v>
      </c>
      <c r="AE402" s="510">
        <f t="shared" si="225"/>
        <v>0</v>
      </c>
      <c r="AF402" s="510">
        <f t="shared" si="226"/>
        <v>251138.17000000013</v>
      </c>
      <c r="AG402" s="510">
        <f t="shared" si="254"/>
        <v>0</v>
      </c>
      <c r="AH402" s="510">
        <f t="shared" si="255"/>
        <v>86045.460000000079</v>
      </c>
      <c r="AI402" s="510"/>
      <c r="AJ402" s="14">
        <f t="shared" si="234"/>
        <v>0</v>
      </c>
      <c r="AK402" s="14">
        <f t="shared" si="235"/>
        <v>411904.96000000008</v>
      </c>
      <c r="AL402" s="510">
        <f>IF(R402&lt;=0,0,+(Profit!$B$4+AM401)*$AL$1/12)</f>
        <v>0</v>
      </c>
      <c r="AM402" s="14">
        <f t="shared" si="256"/>
        <v>227647.99117059269</v>
      </c>
    </row>
    <row r="403" spans="1:39" x14ac:dyDescent="0.25">
      <c r="A403" s="499" t="str">
        <f t="shared" si="245"/>
        <v xml:space="preserve"> </v>
      </c>
      <c r="B403" s="288">
        <f t="shared" si="222"/>
        <v>0</v>
      </c>
      <c r="C403" s="14">
        <f t="shared" si="236"/>
        <v>0</v>
      </c>
      <c r="D403" s="14">
        <f t="shared" si="257"/>
        <v>0</v>
      </c>
      <c r="E403" s="14">
        <f t="shared" si="237"/>
        <v>0</v>
      </c>
      <c r="F403" s="288">
        <f t="shared" si="246"/>
        <v>83147.320000000007</v>
      </c>
      <c r="G403" s="288">
        <f t="shared" si="247"/>
        <v>55052.229999999989</v>
      </c>
      <c r="H403" s="288">
        <f t="shared" si="238"/>
        <v>0</v>
      </c>
      <c r="I403" s="410">
        <f t="shared" si="239"/>
        <v>28</v>
      </c>
      <c r="J403" s="288">
        <f t="shared" si="248"/>
        <v>37163.789999999914</v>
      </c>
      <c r="K403" s="288">
        <f t="shared" si="228"/>
        <v>2298.4699999999998</v>
      </c>
      <c r="L403" s="288">
        <f t="shared" si="258"/>
        <v>2089.4199999999996</v>
      </c>
      <c r="M403" s="288">
        <f t="shared" si="229"/>
        <v>209.05</v>
      </c>
      <c r="N403" s="288">
        <f t="shared" si="249"/>
        <v>319300.62999999995</v>
      </c>
      <c r="O403" s="288">
        <f t="shared" si="250"/>
        <v>471373.04999999987</v>
      </c>
      <c r="P403" s="288">
        <f t="shared" si="240"/>
        <v>35074.369999999915</v>
      </c>
      <c r="Q403" s="499" t="str">
        <f t="shared" si="241"/>
        <v xml:space="preserve"> </v>
      </c>
      <c r="R403" s="288">
        <f t="shared" si="227"/>
        <v>0</v>
      </c>
      <c r="S403" s="492">
        <f t="shared" si="251"/>
        <v>6.7500000000000004E-2</v>
      </c>
      <c r="T403" s="288">
        <f t="shared" si="242"/>
        <v>0</v>
      </c>
      <c r="U403" s="288">
        <f t="shared" si="230"/>
        <v>0</v>
      </c>
      <c r="V403" s="288">
        <f t="shared" si="243"/>
        <v>0</v>
      </c>
      <c r="W403" s="288">
        <f t="shared" si="223"/>
        <v>0</v>
      </c>
      <c r="X403" s="288">
        <f t="shared" si="224"/>
        <v>0</v>
      </c>
      <c r="Y403" s="288">
        <f t="shared" si="231"/>
        <v>0</v>
      </c>
      <c r="Z403" s="288">
        <f t="shared" si="232"/>
        <v>357260.75999999995</v>
      </c>
      <c r="AA403" s="288">
        <f t="shared" si="233"/>
        <v>179976.28000000012</v>
      </c>
      <c r="AB403" s="288">
        <f t="shared" si="244"/>
        <v>0</v>
      </c>
      <c r="AC403" s="410">
        <f t="shared" si="252"/>
        <v>343</v>
      </c>
      <c r="AD403" s="510">
        <f t="shared" si="253"/>
        <v>253436.64000000013</v>
      </c>
      <c r="AE403" s="510">
        <f t="shared" si="225"/>
        <v>0</v>
      </c>
      <c r="AF403" s="510">
        <f t="shared" si="226"/>
        <v>253436.64000000013</v>
      </c>
      <c r="AG403" s="510">
        <f t="shared" si="254"/>
        <v>0</v>
      </c>
      <c r="AH403" s="510">
        <f t="shared" si="255"/>
        <v>86045.460000000079</v>
      </c>
      <c r="AI403" s="510"/>
      <c r="AJ403" s="14">
        <f t="shared" si="234"/>
        <v>0</v>
      </c>
      <c r="AK403" s="14">
        <f t="shared" si="235"/>
        <v>411904.96000000008</v>
      </c>
      <c r="AL403" s="510">
        <f>IF(R403&lt;=0,0,+(Profit!$B$4+AM402)*$AL$1/12)</f>
        <v>0</v>
      </c>
      <c r="AM403" s="14">
        <f t="shared" si="256"/>
        <v>227647.99117059269</v>
      </c>
    </row>
    <row r="404" spans="1:39" x14ac:dyDescent="0.25">
      <c r="A404" s="499" t="str">
        <f t="shared" si="245"/>
        <v xml:space="preserve"> </v>
      </c>
      <c r="B404" s="288">
        <f t="shared" si="222"/>
        <v>0</v>
      </c>
      <c r="C404" s="14">
        <f t="shared" si="236"/>
        <v>0</v>
      </c>
      <c r="D404" s="14">
        <f t="shared" si="257"/>
        <v>0</v>
      </c>
      <c r="E404" s="14">
        <f t="shared" si="237"/>
        <v>0</v>
      </c>
      <c r="F404" s="288">
        <f t="shared" si="246"/>
        <v>83147.320000000007</v>
      </c>
      <c r="G404" s="288">
        <f t="shared" si="247"/>
        <v>55052.229999999989</v>
      </c>
      <c r="H404" s="288">
        <f t="shared" si="238"/>
        <v>0</v>
      </c>
      <c r="I404" s="410">
        <f t="shared" si="239"/>
        <v>28</v>
      </c>
      <c r="J404" s="288">
        <f t="shared" si="248"/>
        <v>35074.369999999915</v>
      </c>
      <c r="K404" s="288">
        <f t="shared" si="228"/>
        <v>2298.4699999999998</v>
      </c>
      <c r="L404" s="288">
        <f t="shared" si="258"/>
        <v>2101.1799999999998</v>
      </c>
      <c r="M404" s="288">
        <f t="shared" si="229"/>
        <v>197.29</v>
      </c>
      <c r="N404" s="288">
        <f t="shared" si="249"/>
        <v>321401.80999999994</v>
      </c>
      <c r="O404" s="288">
        <f t="shared" si="250"/>
        <v>471570.33999999985</v>
      </c>
      <c r="P404" s="288">
        <f t="shared" si="240"/>
        <v>32973.189999999915</v>
      </c>
      <c r="Q404" s="499" t="str">
        <f t="shared" si="241"/>
        <v xml:space="preserve"> </v>
      </c>
      <c r="R404" s="288">
        <f t="shared" si="227"/>
        <v>0</v>
      </c>
      <c r="S404" s="492">
        <f t="shared" si="251"/>
        <v>6.7500000000000004E-2</v>
      </c>
      <c r="T404" s="288">
        <f t="shared" si="242"/>
        <v>0</v>
      </c>
      <c r="U404" s="288">
        <f t="shared" si="230"/>
        <v>0</v>
      </c>
      <c r="V404" s="288">
        <f t="shared" si="243"/>
        <v>0</v>
      </c>
      <c r="W404" s="288">
        <f t="shared" si="223"/>
        <v>0</v>
      </c>
      <c r="X404" s="288">
        <f t="shared" si="224"/>
        <v>0</v>
      </c>
      <c r="Y404" s="288">
        <f t="shared" si="231"/>
        <v>0</v>
      </c>
      <c r="Z404" s="288">
        <f t="shared" si="232"/>
        <v>357260.75999999995</v>
      </c>
      <c r="AA404" s="288">
        <f t="shared" si="233"/>
        <v>179976.28000000012</v>
      </c>
      <c r="AB404" s="288">
        <f t="shared" si="244"/>
        <v>0</v>
      </c>
      <c r="AC404" s="410">
        <f t="shared" si="252"/>
        <v>344</v>
      </c>
      <c r="AD404" s="510">
        <f t="shared" si="253"/>
        <v>255735.11000000013</v>
      </c>
      <c r="AE404" s="510">
        <f t="shared" si="225"/>
        <v>0</v>
      </c>
      <c r="AF404" s="510">
        <f t="shared" si="226"/>
        <v>255735.11000000013</v>
      </c>
      <c r="AG404" s="510">
        <f t="shared" si="254"/>
        <v>0</v>
      </c>
      <c r="AH404" s="510">
        <f t="shared" si="255"/>
        <v>86045.460000000079</v>
      </c>
      <c r="AI404" s="510"/>
      <c r="AJ404" s="14">
        <f t="shared" si="234"/>
        <v>0</v>
      </c>
      <c r="AK404" s="14">
        <f t="shared" si="235"/>
        <v>411904.96000000008</v>
      </c>
      <c r="AL404" s="510">
        <f>IF(R404&lt;=0,0,+(Profit!$B$4+AM403)*$AL$1/12)</f>
        <v>0</v>
      </c>
      <c r="AM404" s="14">
        <f t="shared" si="256"/>
        <v>227647.99117059269</v>
      </c>
    </row>
    <row r="405" spans="1:39" x14ac:dyDescent="0.25">
      <c r="A405" s="499" t="str">
        <f t="shared" si="245"/>
        <v xml:space="preserve"> </v>
      </c>
      <c r="B405" s="288">
        <f t="shared" si="222"/>
        <v>0</v>
      </c>
      <c r="C405" s="14">
        <f t="shared" si="236"/>
        <v>0</v>
      </c>
      <c r="D405" s="14">
        <f t="shared" si="257"/>
        <v>0</v>
      </c>
      <c r="E405" s="14">
        <f t="shared" si="237"/>
        <v>0</v>
      </c>
      <c r="F405" s="288">
        <f t="shared" si="246"/>
        <v>83147.320000000007</v>
      </c>
      <c r="G405" s="288">
        <f t="shared" si="247"/>
        <v>55052.229999999989</v>
      </c>
      <c r="H405" s="288">
        <f t="shared" si="238"/>
        <v>0</v>
      </c>
      <c r="I405" s="410">
        <f t="shared" si="239"/>
        <v>28</v>
      </c>
      <c r="J405" s="288">
        <f t="shared" si="248"/>
        <v>32973.189999999915</v>
      </c>
      <c r="K405" s="288">
        <f t="shared" si="228"/>
        <v>2298.4699999999998</v>
      </c>
      <c r="L405" s="288">
        <f t="shared" si="258"/>
        <v>2113</v>
      </c>
      <c r="M405" s="288">
        <f t="shared" si="229"/>
        <v>185.47</v>
      </c>
      <c r="N405" s="288">
        <f t="shared" si="249"/>
        <v>323514.80999999994</v>
      </c>
      <c r="O405" s="288">
        <f t="shared" si="250"/>
        <v>471755.80999999982</v>
      </c>
      <c r="P405" s="288">
        <f t="shared" si="240"/>
        <v>30860.189999999915</v>
      </c>
      <c r="Q405" s="499" t="str">
        <f t="shared" si="241"/>
        <v xml:space="preserve"> </v>
      </c>
      <c r="R405" s="288">
        <f t="shared" si="227"/>
        <v>0</v>
      </c>
      <c r="S405" s="492">
        <f t="shared" si="251"/>
        <v>6.7500000000000004E-2</v>
      </c>
      <c r="T405" s="288">
        <f t="shared" si="242"/>
        <v>0</v>
      </c>
      <c r="U405" s="288">
        <f t="shared" si="230"/>
        <v>0</v>
      </c>
      <c r="V405" s="288">
        <f t="shared" si="243"/>
        <v>0</v>
      </c>
      <c r="W405" s="288">
        <f t="shared" si="223"/>
        <v>0</v>
      </c>
      <c r="X405" s="288">
        <f t="shared" si="224"/>
        <v>0</v>
      </c>
      <c r="Y405" s="288">
        <f t="shared" si="231"/>
        <v>0</v>
      </c>
      <c r="Z405" s="288">
        <f t="shared" si="232"/>
        <v>357260.75999999995</v>
      </c>
      <c r="AA405" s="288">
        <f t="shared" si="233"/>
        <v>179976.28000000012</v>
      </c>
      <c r="AB405" s="288">
        <f t="shared" si="244"/>
        <v>0</v>
      </c>
      <c r="AC405" s="410">
        <f t="shared" si="252"/>
        <v>345</v>
      </c>
      <c r="AD405" s="510">
        <f t="shared" si="253"/>
        <v>258033.58000000013</v>
      </c>
      <c r="AE405" s="510">
        <f t="shared" si="225"/>
        <v>0</v>
      </c>
      <c r="AF405" s="510">
        <f t="shared" si="226"/>
        <v>258033.58000000013</v>
      </c>
      <c r="AG405" s="510">
        <f t="shared" si="254"/>
        <v>0</v>
      </c>
      <c r="AH405" s="510">
        <f t="shared" si="255"/>
        <v>86045.460000000079</v>
      </c>
      <c r="AI405" s="510"/>
      <c r="AJ405" s="14">
        <f t="shared" si="234"/>
        <v>0</v>
      </c>
      <c r="AK405" s="14">
        <f t="shared" si="235"/>
        <v>411904.96000000008</v>
      </c>
      <c r="AL405" s="510">
        <f>IF(R405&lt;=0,0,+(Profit!$B$4+AM404)*$AL$1/12)</f>
        <v>0</v>
      </c>
      <c r="AM405" s="14">
        <f t="shared" si="256"/>
        <v>227647.99117059269</v>
      </c>
    </row>
    <row r="406" spans="1:39" x14ac:dyDescent="0.25">
      <c r="A406" s="499" t="str">
        <f t="shared" si="245"/>
        <v xml:space="preserve"> </v>
      </c>
      <c r="B406" s="288">
        <f t="shared" si="222"/>
        <v>0</v>
      </c>
      <c r="C406" s="14">
        <f t="shared" si="236"/>
        <v>0</v>
      </c>
      <c r="D406" s="14">
        <f t="shared" si="257"/>
        <v>0</v>
      </c>
      <c r="E406" s="14">
        <f t="shared" si="237"/>
        <v>0</v>
      </c>
      <c r="F406" s="288">
        <f t="shared" si="246"/>
        <v>83147.320000000007</v>
      </c>
      <c r="G406" s="288">
        <f t="shared" si="247"/>
        <v>55052.229999999989</v>
      </c>
      <c r="H406" s="288">
        <f t="shared" si="238"/>
        <v>0</v>
      </c>
      <c r="I406" s="410">
        <f t="shared" si="239"/>
        <v>28</v>
      </c>
      <c r="J406" s="288">
        <f t="shared" si="248"/>
        <v>30860.189999999915</v>
      </c>
      <c r="K406" s="288">
        <f t="shared" si="228"/>
        <v>2298.4699999999998</v>
      </c>
      <c r="L406" s="288">
        <f t="shared" si="258"/>
        <v>2124.8799999999997</v>
      </c>
      <c r="M406" s="288">
        <f t="shared" si="229"/>
        <v>173.59</v>
      </c>
      <c r="N406" s="288">
        <f t="shared" si="249"/>
        <v>325639.68999999994</v>
      </c>
      <c r="O406" s="288">
        <f t="shared" si="250"/>
        <v>471929.39999999985</v>
      </c>
      <c r="P406" s="288">
        <f t="shared" si="240"/>
        <v>28735.309999999914</v>
      </c>
      <c r="Q406" s="499" t="str">
        <f t="shared" si="241"/>
        <v xml:space="preserve"> </v>
      </c>
      <c r="R406" s="288">
        <f t="shared" si="227"/>
        <v>0</v>
      </c>
      <c r="S406" s="492">
        <f t="shared" si="251"/>
        <v>6.7500000000000004E-2</v>
      </c>
      <c r="T406" s="288">
        <f t="shared" si="242"/>
        <v>0</v>
      </c>
      <c r="U406" s="288">
        <f t="shared" si="230"/>
        <v>0</v>
      </c>
      <c r="V406" s="288">
        <f t="shared" si="243"/>
        <v>0</v>
      </c>
      <c r="W406" s="288">
        <f t="shared" si="223"/>
        <v>0</v>
      </c>
      <c r="X406" s="288">
        <f t="shared" si="224"/>
        <v>0</v>
      </c>
      <c r="Y406" s="288">
        <f t="shared" si="231"/>
        <v>0</v>
      </c>
      <c r="Z406" s="288">
        <f t="shared" si="232"/>
        <v>357260.75999999995</v>
      </c>
      <c r="AA406" s="288">
        <f t="shared" si="233"/>
        <v>179976.28000000012</v>
      </c>
      <c r="AB406" s="288">
        <f t="shared" si="244"/>
        <v>0</v>
      </c>
      <c r="AC406" s="410">
        <f t="shared" si="252"/>
        <v>346</v>
      </c>
      <c r="AD406" s="510">
        <f t="shared" si="253"/>
        <v>260332.05000000013</v>
      </c>
      <c r="AE406" s="510">
        <f t="shared" si="225"/>
        <v>0</v>
      </c>
      <c r="AF406" s="510">
        <f t="shared" si="226"/>
        <v>260332.05000000013</v>
      </c>
      <c r="AG406" s="510">
        <f t="shared" si="254"/>
        <v>0</v>
      </c>
      <c r="AH406" s="510">
        <f t="shared" si="255"/>
        <v>86045.460000000079</v>
      </c>
      <c r="AI406" s="510"/>
      <c r="AJ406" s="14">
        <f t="shared" si="234"/>
        <v>0</v>
      </c>
      <c r="AK406" s="14">
        <f t="shared" si="235"/>
        <v>411904.96000000008</v>
      </c>
      <c r="AL406" s="510">
        <f>IF(R406&lt;=0,0,+(Profit!$B$4+AM405)*$AL$1/12)</f>
        <v>0</v>
      </c>
      <c r="AM406" s="14">
        <f t="shared" si="256"/>
        <v>227647.99117059269</v>
      </c>
    </row>
    <row r="407" spans="1:39" x14ac:dyDescent="0.25">
      <c r="A407" s="499" t="str">
        <f t="shared" si="245"/>
        <v xml:space="preserve"> </v>
      </c>
      <c r="B407" s="288">
        <f t="shared" si="222"/>
        <v>0</v>
      </c>
      <c r="C407" s="14">
        <f t="shared" si="236"/>
        <v>0</v>
      </c>
      <c r="D407" s="14">
        <f t="shared" si="257"/>
        <v>0</v>
      </c>
      <c r="E407" s="14">
        <f t="shared" si="237"/>
        <v>0</v>
      </c>
      <c r="F407" s="288">
        <f t="shared" si="246"/>
        <v>83147.320000000007</v>
      </c>
      <c r="G407" s="288">
        <f t="shared" si="247"/>
        <v>55052.229999999989</v>
      </c>
      <c r="H407" s="288">
        <f t="shared" si="238"/>
        <v>0</v>
      </c>
      <c r="I407" s="410">
        <f t="shared" si="239"/>
        <v>28</v>
      </c>
      <c r="J407" s="288">
        <f t="shared" si="248"/>
        <v>28735.309999999914</v>
      </c>
      <c r="K407" s="288">
        <f t="shared" si="228"/>
        <v>2298.4699999999998</v>
      </c>
      <c r="L407" s="288">
        <f t="shared" si="258"/>
        <v>2136.83</v>
      </c>
      <c r="M407" s="288">
        <f t="shared" si="229"/>
        <v>161.63999999999999</v>
      </c>
      <c r="N407" s="288">
        <f t="shared" si="249"/>
        <v>327776.51999999996</v>
      </c>
      <c r="O407" s="288">
        <f t="shared" si="250"/>
        <v>472091.03999999986</v>
      </c>
      <c r="P407" s="288">
        <f t="shared" si="240"/>
        <v>26598.479999999916</v>
      </c>
      <c r="Q407" s="499" t="str">
        <f t="shared" si="241"/>
        <v xml:space="preserve"> </v>
      </c>
      <c r="R407" s="288">
        <f t="shared" si="227"/>
        <v>0</v>
      </c>
      <c r="S407" s="492">
        <f t="shared" si="251"/>
        <v>6.7500000000000004E-2</v>
      </c>
      <c r="T407" s="288">
        <f t="shared" si="242"/>
        <v>0</v>
      </c>
      <c r="U407" s="288">
        <f t="shared" si="230"/>
        <v>0</v>
      </c>
      <c r="V407" s="288">
        <f t="shared" si="243"/>
        <v>0</v>
      </c>
      <c r="W407" s="288">
        <f t="shared" si="223"/>
        <v>0</v>
      </c>
      <c r="X407" s="288">
        <f t="shared" si="224"/>
        <v>0</v>
      </c>
      <c r="Y407" s="288">
        <f t="shared" si="231"/>
        <v>0</v>
      </c>
      <c r="Z407" s="288">
        <f t="shared" si="232"/>
        <v>357260.75999999995</v>
      </c>
      <c r="AA407" s="288">
        <f t="shared" si="233"/>
        <v>179976.28000000012</v>
      </c>
      <c r="AB407" s="288">
        <f t="shared" si="244"/>
        <v>0</v>
      </c>
      <c r="AC407" s="410">
        <f t="shared" si="252"/>
        <v>347</v>
      </c>
      <c r="AD407" s="510">
        <f t="shared" si="253"/>
        <v>262630.52000000014</v>
      </c>
      <c r="AE407" s="510">
        <f t="shared" si="225"/>
        <v>0</v>
      </c>
      <c r="AF407" s="510">
        <f t="shared" si="226"/>
        <v>262630.52000000014</v>
      </c>
      <c r="AG407" s="510">
        <f t="shared" si="254"/>
        <v>0</v>
      </c>
      <c r="AH407" s="510">
        <f t="shared" si="255"/>
        <v>86045.460000000079</v>
      </c>
      <c r="AI407" s="510"/>
      <c r="AJ407" s="14">
        <f t="shared" si="234"/>
        <v>0</v>
      </c>
      <c r="AK407" s="14">
        <f t="shared" si="235"/>
        <v>411904.96000000008</v>
      </c>
      <c r="AL407" s="510">
        <f>IF(R407&lt;=0,0,+(Profit!$B$4+AM406)*$AL$1/12)</f>
        <v>0</v>
      </c>
      <c r="AM407" s="14">
        <f t="shared" si="256"/>
        <v>227647.99117059269</v>
      </c>
    </row>
    <row r="408" spans="1:39" x14ac:dyDescent="0.25">
      <c r="A408" s="499" t="str">
        <f t="shared" si="245"/>
        <v xml:space="preserve"> </v>
      </c>
      <c r="B408" s="288">
        <f t="shared" si="222"/>
        <v>0</v>
      </c>
      <c r="C408" s="14">
        <f t="shared" si="236"/>
        <v>0</v>
      </c>
      <c r="D408" s="14">
        <f t="shared" si="257"/>
        <v>0</v>
      </c>
      <c r="E408" s="14">
        <f t="shared" si="237"/>
        <v>0</v>
      </c>
      <c r="F408" s="288">
        <f t="shared" si="246"/>
        <v>83147.320000000007</v>
      </c>
      <c r="G408" s="288">
        <f t="shared" si="247"/>
        <v>55052.229999999989</v>
      </c>
      <c r="H408" s="288">
        <f t="shared" si="238"/>
        <v>0</v>
      </c>
      <c r="I408" s="410">
        <f t="shared" si="239"/>
        <v>29</v>
      </c>
      <c r="J408" s="288">
        <f t="shared" si="248"/>
        <v>26598.479999999916</v>
      </c>
      <c r="K408" s="288">
        <f t="shared" si="228"/>
        <v>2298.4699999999998</v>
      </c>
      <c r="L408" s="288">
        <f t="shared" si="258"/>
        <v>2148.85</v>
      </c>
      <c r="M408" s="288">
        <f t="shared" si="229"/>
        <v>149.62</v>
      </c>
      <c r="N408" s="288">
        <f t="shared" si="249"/>
        <v>329925.36999999994</v>
      </c>
      <c r="O408" s="288">
        <f t="shared" si="250"/>
        <v>472240.65999999986</v>
      </c>
      <c r="P408" s="288">
        <f t="shared" si="240"/>
        <v>24449.629999999917</v>
      </c>
      <c r="Q408" s="499" t="str">
        <f t="shared" si="241"/>
        <v xml:space="preserve"> </v>
      </c>
      <c r="R408" s="288">
        <f t="shared" si="227"/>
        <v>0</v>
      </c>
      <c r="S408" s="492">
        <f t="shared" si="251"/>
        <v>6.7500000000000004E-2</v>
      </c>
      <c r="T408" s="288">
        <f t="shared" si="242"/>
        <v>0</v>
      </c>
      <c r="U408" s="288">
        <f t="shared" si="230"/>
        <v>0</v>
      </c>
      <c r="V408" s="288">
        <f t="shared" si="243"/>
        <v>0</v>
      </c>
      <c r="W408" s="288">
        <f t="shared" si="223"/>
        <v>0</v>
      </c>
      <c r="X408" s="288">
        <f t="shared" si="224"/>
        <v>0</v>
      </c>
      <c r="Y408" s="288">
        <f t="shared" si="231"/>
        <v>0</v>
      </c>
      <c r="Z408" s="288">
        <f t="shared" si="232"/>
        <v>357260.75999999995</v>
      </c>
      <c r="AA408" s="288">
        <f t="shared" si="233"/>
        <v>179976.28000000012</v>
      </c>
      <c r="AB408" s="288">
        <f t="shared" si="244"/>
        <v>0</v>
      </c>
      <c r="AC408" s="410">
        <f t="shared" si="252"/>
        <v>348</v>
      </c>
      <c r="AD408" s="510">
        <f t="shared" si="253"/>
        <v>264928.99000000011</v>
      </c>
      <c r="AE408" s="510">
        <f t="shared" si="225"/>
        <v>0</v>
      </c>
      <c r="AF408" s="510">
        <f t="shared" si="226"/>
        <v>264928.99000000011</v>
      </c>
      <c r="AG408" s="510">
        <f t="shared" si="254"/>
        <v>0</v>
      </c>
      <c r="AH408" s="510">
        <f t="shared" si="255"/>
        <v>86045.460000000079</v>
      </c>
      <c r="AI408" s="510"/>
      <c r="AJ408" s="14">
        <f t="shared" si="234"/>
        <v>0</v>
      </c>
      <c r="AK408" s="14">
        <f t="shared" si="235"/>
        <v>411904.96000000008</v>
      </c>
      <c r="AL408" s="510">
        <f>IF(R408&lt;=0,0,+(Profit!$B$4+AM407)*$AL$1/12)</f>
        <v>0</v>
      </c>
      <c r="AM408" s="14">
        <f t="shared" si="256"/>
        <v>227647.99117059269</v>
      </c>
    </row>
    <row r="409" spans="1:39" x14ac:dyDescent="0.25">
      <c r="A409" s="499" t="str">
        <f t="shared" si="245"/>
        <v xml:space="preserve"> </v>
      </c>
      <c r="B409" s="288">
        <f t="shared" si="222"/>
        <v>0</v>
      </c>
      <c r="C409" s="14">
        <f t="shared" si="236"/>
        <v>0</v>
      </c>
      <c r="D409" s="14">
        <f t="shared" si="257"/>
        <v>0</v>
      </c>
      <c r="E409" s="14">
        <f t="shared" si="237"/>
        <v>0</v>
      </c>
      <c r="F409" s="288">
        <f t="shared" si="246"/>
        <v>83147.320000000007</v>
      </c>
      <c r="G409" s="288">
        <f t="shared" si="247"/>
        <v>55052.229999999989</v>
      </c>
      <c r="H409" s="288">
        <f t="shared" si="238"/>
        <v>0</v>
      </c>
      <c r="I409" s="410">
        <f t="shared" si="239"/>
        <v>29</v>
      </c>
      <c r="J409" s="288">
        <f t="shared" si="248"/>
        <v>24449.629999999917</v>
      </c>
      <c r="K409" s="288">
        <f t="shared" si="228"/>
        <v>2298.4699999999998</v>
      </c>
      <c r="L409" s="288">
        <f t="shared" si="258"/>
        <v>2160.9399999999996</v>
      </c>
      <c r="M409" s="288">
        <f t="shared" si="229"/>
        <v>137.53</v>
      </c>
      <c r="N409" s="288">
        <f t="shared" si="249"/>
        <v>332086.30999999994</v>
      </c>
      <c r="O409" s="288">
        <f t="shared" si="250"/>
        <v>472378.18999999989</v>
      </c>
      <c r="P409" s="288">
        <f t="shared" si="240"/>
        <v>22288.689999999919</v>
      </c>
      <c r="Q409" s="499" t="str">
        <f t="shared" si="241"/>
        <v xml:space="preserve"> </v>
      </c>
      <c r="R409" s="288">
        <f t="shared" si="227"/>
        <v>0</v>
      </c>
      <c r="S409" s="492">
        <f t="shared" si="251"/>
        <v>6.7500000000000004E-2</v>
      </c>
      <c r="T409" s="288">
        <f t="shared" si="242"/>
        <v>0</v>
      </c>
      <c r="U409" s="288">
        <f t="shared" si="230"/>
        <v>0</v>
      </c>
      <c r="V409" s="288">
        <f t="shared" si="243"/>
        <v>0</v>
      </c>
      <c r="W409" s="288">
        <f t="shared" si="223"/>
        <v>0</v>
      </c>
      <c r="X409" s="288">
        <f t="shared" si="224"/>
        <v>0</v>
      </c>
      <c r="Y409" s="288">
        <f t="shared" si="231"/>
        <v>0</v>
      </c>
      <c r="Z409" s="288">
        <f t="shared" si="232"/>
        <v>357260.75999999995</v>
      </c>
      <c r="AA409" s="288">
        <f t="shared" si="233"/>
        <v>179976.28000000012</v>
      </c>
      <c r="AB409" s="288">
        <f t="shared" si="244"/>
        <v>0</v>
      </c>
      <c r="AC409" s="410">
        <f t="shared" si="252"/>
        <v>349</v>
      </c>
      <c r="AD409" s="510">
        <f t="shared" si="253"/>
        <v>267227.46000000008</v>
      </c>
      <c r="AE409" s="510">
        <f t="shared" si="225"/>
        <v>0</v>
      </c>
      <c r="AF409" s="510">
        <f t="shared" si="226"/>
        <v>267227.46000000008</v>
      </c>
      <c r="AG409" s="510">
        <f t="shared" si="254"/>
        <v>0</v>
      </c>
      <c r="AH409" s="510">
        <f t="shared" si="255"/>
        <v>86045.460000000079</v>
      </c>
      <c r="AI409" s="510"/>
      <c r="AJ409" s="14">
        <f t="shared" si="234"/>
        <v>0</v>
      </c>
      <c r="AK409" s="14">
        <f t="shared" si="235"/>
        <v>411904.96000000008</v>
      </c>
      <c r="AL409" s="510">
        <f>IF(R409&lt;=0,0,+(Profit!$B$4+AM408)*$AL$1/12)</f>
        <v>0</v>
      </c>
      <c r="AM409" s="14">
        <f t="shared" si="256"/>
        <v>227647.99117059269</v>
      </c>
    </row>
    <row r="410" spans="1:39" ht="15.75" thickBot="1" x14ac:dyDescent="0.3">
      <c r="A410" s="502" t="str">
        <f t="shared" si="245"/>
        <v xml:space="preserve"> </v>
      </c>
      <c r="B410" s="343">
        <f t="shared" si="222"/>
        <v>0</v>
      </c>
      <c r="C410" s="21">
        <f t="shared" si="236"/>
        <v>0</v>
      </c>
      <c r="D410" s="21">
        <f t="shared" si="257"/>
        <v>0</v>
      </c>
      <c r="E410" s="21">
        <f t="shared" si="237"/>
        <v>0</v>
      </c>
      <c r="F410" s="343">
        <f t="shared" si="246"/>
        <v>83147.320000000007</v>
      </c>
      <c r="G410" s="343">
        <f t="shared" si="247"/>
        <v>55052.229999999989</v>
      </c>
      <c r="H410" s="343">
        <f t="shared" si="238"/>
        <v>0</v>
      </c>
      <c r="I410" s="411">
        <f t="shared" si="239"/>
        <v>29</v>
      </c>
      <c r="J410" s="343">
        <f t="shared" si="248"/>
        <v>22288.689999999919</v>
      </c>
      <c r="K410" s="343">
        <f t="shared" si="228"/>
        <v>2298.4699999999998</v>
      </c>
      <c r="L410" s="343">
        <f t="shared" si="258"/>
        <v>2173.1</v>
      </c>
      <c r="M410" s="343">
        <f t="shared" si="229"/>
        <v>125.37</v>
      </c>
      <c r="N410" s="343">
        <f t="shared" si="249"/>
        <v>334259.40999999992</v>
      </c>
      <c r="O410" s="343">
        <f t="shared" si="250"/>
        <v>472503.55999999988</v>
      </c>
      <c r="P410" s="343">
        <f t="shared" si="240"/>
        <v>20115.58999999992</v>
      </c>
      <c r="Q410" s="502" t="str">
        <f t="shared" si="241"/>
        <v xml:space="preserve"> </v>
      </c>
      <c r="R410" s="343">
        <f t="shared" si="227"/>
        <v>0</v>
      </c>
      <c r="S410" s="493">
        <f t="shared" si="251"/>
        <v>6.7500000000000004E-2</v>
      </c>
      <c r="T410" s="343">
        <f t="shared" si="242"/>
        <v>0</v>
      </c>
      <c r="U410" s="343">
        <f t="shared" si="230"/>
        <v>0</v>
      </c>
      <c r="V410" s="343">
        <f t="shared" si="243"/>
        <v>0</v>
      </c>
      <c r="W410" s="343">
        <f t="shared" si="223"/>
        <v>0</v>
      </c>
      <c r="X410" s="343">
        <f t="shared" si="224"/>
        <v>0</v>
      </c>
      <c r="Y410" s="343">
        <f t="shared" si="231"/>
        <v>0</v>
      </c>
      <c r="Z410" s="343">
        <f t="shared" si="232"/>
        <v>357260.75999999995</v>
      </c>
      <c r="AA410" s="343">
        <f t="shared" si="233"/>
        <v>179976.28000000012</v>
      </c>
      <c r="AB410" s="343">
        <f t="shared" si="244"/>
        <v>0</v>
      </c>
      <c r="AC410" s="411">
        <f t="shared" si="252"/>
        <v>350</v>
      </c>
      <c r="AD410" s="511">
        <f t="shared" si="253"/>
        <v>269525.93000000005</v>
      </c>
      <c r="AE410" s="511">
        <f t="shared" si="225"/>
        <v>0</v>
      </c>
      <c r="AF410" s="511">
        <f t="shared" si="226"/>
        <v>269525.93000000005</v>
      </c>
      <c r="AG410" s="511">
        <f t="shared" si="254"/>
        <v>0</v>
      </c>
      <c r="AH410" s="511">
        <f t="shared" si="255"/>
        <v>86045.460000000079</v>
      </c>
      <c r="AI410" s="511"/>
      <c r="AJ410" s="21">
        <f t="shared" si="234"/>
        <v>0</v>
      </c>
      <c r="AK410" s="21">
        <f t="shared" si="235"/>
        <v>411904.96000000008</v>
      </c>
      <c r="AL410" s="511">
        <f>IF(R410&lt;=0,0,+(Profit!$B$4+AM409)*$AL$1/12)</f>
        <v>0</v>
      </c>
      <c r="AM410" s="21">
        <f t="shared" si="256"/>
        <v>227647.99117059269</v>
      </c>
    </row>
    <row r="411" spans="1:39" x14ac:dyDescent="0.25">
      <c r="A411" s="499" t="str">
        <f t="shared" si="245"/>
        <v xml:space="preserve"> </v>
      </c>
      <c r="B411" s="288">
        <f t="shared" si="222"/>
        <v>0</v>
      </c>
      <c r="C411" s="14">
        <f t="shared" si="236"/>
        <v>0</v>
      </c>
      <c r="D411" s="14">
        <f t="shared" si="257"/>
        <v>0</v>
      </c>
      <c r="E411" s="14">
        <f t="shared" si="237"/>
        <v>0</v>
      </c>
      <c r="F411" s="288">
        <f t="shared" si="246"/>
        <v>83147.320000000007</v>
      </c>
      <c r="G411" s="288">
        <f t="shared" si="247"/>
        <v>55052.229999999989</v>
      </c>
      <c r="H411" s="288">
        <f t="shared" si="238"/>
        <v>0</v>
      </c>
      <c r="I411" s="410">
        <f t="shared" si="239"/>
        <v>29</v>
      </c>
      <c r="J411" s="288">
        <f t="shared" si="248"/>
        <v>20115.58999999992</v>
      </c>
      <c r="K411" s="288">
        <f t="shared" si="228"/>
        <v>2298.4699999999998</v>
      </c>
      <c r="L411" s="288">
        <f t="shared" si="258"/>
        <v>2185.3199999999997</v>
      </c>
      <c r="M411" s="288">
        <f t="shared" si="229"/>
        <v>113.15</v>
      </c>
      <c r="N411" s="288">
        <f t="shared" si="249"/>
        <v>336444.72999999992</v>
      </c>
      <c r="O411" s="288">
        <f t="shared" si="250"/>
        <v>472616.7099999999</v>
      </c>
      <c r="P411" s="288">
        <f t="shared" si="240"/>
        <v>17930.26999999992</v>
      </c>
      <c r="Q411" s="499" t="str">
        <f t="shared" si="241"/>
        <v xml:space="preserve"> </v>
      </c>
      <c r="R411" s="288">
        <f t="shared" si="227"/>
        <v>0</v>
      </c>
      <c r="S411" s="492">
        <f t="shared" si="251"/>
        <v>6.7500000000000004E-2</v>
      </c>
      <c r="T411" s="288">
        <f t="shared" si="242"/>
        <v>0</v>
      </c>
      <c r="U411" s="288">
        <f t="shared" si="230"/>
        <v>0</v>
      </c>
      <c r="V411" s="288">
        <f t="shared" si="243"/>
        <v>0</v>
      </c>
      <c r="W411" s="288">
        <f t="shared" si="223"/>
        <v>0</v>
      </c>
      <c r="X411" s="288">
        <f t="shared" si="224"/>
        <v>0</v>
      </c>
      <c r="Y411" s="288">
        <f t="shared" si="231"/>
        <v>0</v>
      </c>
      <c r="Z411" s="288">
        <f t="shared" si="232"/>
        <v>357260.75999999995</v>
      </c>
      <c r="AA411" s="288">
        <f t="shared" si="233"/>
        <v>179976.28000000012</v>
      </c>
      <c r="AB411" s="288">
        <f t="shared" si="244"/>
        <v>0</v>
      </c>
      <c r="AC411" s="410">
        <f t="shared" si="252"/>
        <v>351</v>
      </c>
      <c r="AD411" s="510">
        <f t="shared" si="253"/>
        <v>271824.40000000002</v>
      </c>
      <c r="AE411" s="510">
        <f t="shared" si="225"/>
        <v>0</v>
      </c>
      <c r="AF411" s="510">
        <f t="shared" si="226"/>
        <v>271824.40000000002</v>
      </c>
      <c r="AG411" s="510">
        <f t="shared" si="254"/>
        <v>0</v>
      </c>
      <c r="AH411" s="510">
        <f t="shared" si="255"/>
        <v>86045.460000000079</v>
      </c>
      <c r="AI411" s="510"/>
      <c r="AJ411" s="14">
        <f t="shared" si="234"/>
        <v>0</v>
      </c>
      <c r="AK411" s="14">
        <f t="shared" si="235"/>
        <v>411904.96000000008</v>
      </c>
      <c r="AL411" s="510">
        <f>IF(R411&lt;=0,0,+(Profit!$B$4+AM410)*$AL$1/12)</f>
        <v>0</v>
      </c>
      <c r="AM411" s="14">
        <f t="shared" si="256"/>
        <v>227647.99117059269</v>
      </c>
    </row>
    <row r="412" spans="1:39" x14ac:dyDescent="0.25">
      <c r="A412" s="499" t="str">
        <f t="shared" si="245"/>
        <v xml:space="preserve"> </v>
      </c>
      <c r="B412" s="288">
        <f t="shared" si="222"/>
        <v>0</v>
      </c>
      <c r="C412" s="14">
        <f t="shared" si="236"/>
        <v>0</v>
      </c>
      <c r="D412" s="14">
        <f t="shared" si="257"/>
        <v>0</v>
      </c>
      <c r="E412" s="14">
        <f t="shared" si="237"/>
        <v>0</v>
      </c>
      <c r="F412" s="288">
        <f t="shared" si="246"/>
        <v>83147.320000000007</v>
      </c>
      <c r="G412" s="288">
        <f t="shared" si="247"/>
        <v>55052.229999999989</v>
      </c>
      <c r="H412" s="288">
        <f t="shared" si="238"/>
        <v>0</v>
      </c>
      <c r="I412" s="410">
        <f t="shared" si="239"/>
        <v>29</v>
      </c>
      <c r="J412" s="288">
        <f t="shared" si="248"/>
        <v>17930.26999999992</v>
      </c>
      <c r="K412" s="288">
        <f t="shared" si="228"/>
        <v>2298.4699999999998</v>
      </c>
      <c r="L412" s="288">
        <f t="shared" si="258"/>
        <v>2197.6099999999997</v>
      </c>
      <c r="M412" s="288">
        <f t="shared" si="229"/>
        <v>100.86</v>
      </c>
      <c r="N412" s="288">
        <f t="shared" si="249"/>
        <v>338642.33999999991</v>
      </c>
      <c r="O412" s="288">
        <f t="shared" si="250"/>
        <v>472717.56999999989</v>
      </c>
      <c r="P412" s="288">
        <f t="shared" si="240"/>
        <v>15732.65999999992</v>
      </c>
      <c r="Q412" s="499" t="str">
        <f t="shared" si="241"/>
        <v xml:space="preserve"> </v>
      </c>
      <c r="R412" s="288">
        <f t="shared" si="227"/>
        <v>0</v>
      </c>
      <c r="S412" s="492">
        <f t="shared" si="251"/>
        <v>6.7500000000000004E-2</v>
      </c>
      <c r="T412" s="288">
        <f t="shared" si="242"/>
        <v>0</v>
      </c>
      <c r="U412" s="288">
        <f t="shared" si="230"/>
        <v>0</v>
      </c>
      <c r="V412" s="288">
        <f t="shared" si="243"/>
        <v>0</v>
      </c>
      <c r="W412" s="288">
        <f t="shared" si="223"/>
        <v>0</v>
      </c>
      <c r="X412" s="288">
        <f t="shared" si="224"/>
        <v>0</v>
      </c>
      <c r="Y412" s="288">
        <f t="shared" si="231"/>
        <v>0</v>
      </c>
      <c r="Z412" s="288">
        <f t="shared" si="232"/>
        <v>357260.75999999995</v>
      </c>
      <c r="AA412" s="288">
        <f t="shared" si="233"/>
        <v>179976.28000000012</v>
      </c>
      <c r="AB412" s="288">
        <f t="shared" si="244"/>
        <v>0</v>
      </c>
      <c r="AC412" s="410">
        <f t="shared" si="252"/>
        <v>352</v>
      </c>
      <c r="AD412" s="510">
        <f t="shared" si="253"/>
        <v>274122.87</v>
      </c>
      <c r="AE412" s="510">
        <f t="shared" si="225"/>
        <v>0</v>
      </c>
      <c r="AF412" s="510">
        <f t="shared" si="226"/>
        <v>274122.87</v>
      </c>
      <c r="AG412" s="510">
        <f t="shared" si="254"/>
        <v>0</v>
      </c>
      <c r="AH412" s="510">
        <f t="shared" si="255"/>
        <v>86045.460000000079</v>
      </c>
      <c r="AI412" s="510"/>
      <c r="AJ412" s="14">
        <f t="shared" si="234"/>
        <v>0</v>
      </c>
      <c r="AK412" s="14">
        <f t="shared" si="235"/>
        <v>411904.96000000008</v>
      </c>
      <c r="AL412" s="510">
        <f>IF(R412&lt;=0,0,+(Profit!$B$4+AM411)*$AL$1/12)</f>
        <v>0</v>
      </c>
      <c r="AM412" s="14">
        <f t="shared" si="256"/>
        <v>227647.99117059269</v>
      </c>
    </row>
    <row r="413" spans="1:39" x14ac:dyDescent="0.25">
      <c r="A413" s="499" t="str">
        <f t="shared" si="245"/>
        <v xml:space="preserve"> </v>
      </c>
      <c r="B413" s="288">
        <f t="shared" si="222"/>
        <v>0</v>
      </c>
      <c r="C413" s="14">
        <f t="shared" si="236"/>
        <v>0</v>
      </c>
      <c r="D413" s="14">
        <f t="shared" si="257"/>
        <v>0</v>
      </c>
      <c r="E413" s="14">
        <f t="shared" si="237"/>
        <v>0</v>
      </c>
      <c r="F413" s="288">
        <f t="shared" si="246"/>
        <v>83147.320000000007</v>
      </c>
      <c r="G413" s="288">
        <f t="shared" si="247"/>
        <v>55052.229999999989</v>
      </c>
      <c r="H413" s="288">
        <f t="shared" si="238"/>
        <v>0</v>
      </c>
      <c r="I413" s="410">
        <f t="shared" si="239"/>
        <v>29</v>
      </c>
      <c r="J413" s="288">
        <f t="shared" si="248"/>
        <v>15732.65999999992</v>
      </c>
      <c r="K413" s="288">
        <f t="shared" si="228"/>
        <v>2298.4699999999998</v>
      </c>
      <c r="L413" s="288">
        <f t="shared" si="258"/>
        <v>2209.9699999999998</v>
      </c>
      <c r="M413" s="288">
        <f t="shared" si="229"/>
        <v>88.5</v>
      </c>
      <c r="N413" s="288">
        <f t="shared" si="249"/>
        <v>340852.30999999988</v>
      </c>
      <c r="O413" s="288">
        <f t="shared" si="250"/>
        <v>472806.06999999989</v>
      </c>
      <c r="P413" s="288">
        <f t="shared" si="240"/>
        <v>13522.68999999992</v>
      </c>
      <c r="Q413" s="499" t="str">
        <f t="shared" si="241"/>
        <v xml:space="preserve"> </v>
      </c>
      <c r="R413" s="288">
        <f t="shared" si="227"/>
        <v>0</v>
      </c>
      <c r="S413" s="492">
        <f t="shared" si="251"/>
        <v>6.7500000000000004E-2</v>
      </c>
      <c r="T413" s="288">
        <f t="shared" si="242"/>
        <v>0</v>
      </c>
      <c r="U413" s="288">
        <f t="shared" si="230"/>
        <v>0</v>
      </c>
      <c r="V413" s="288">
        <f t="shared" si="243"/>
        <v>0</v>
      </c>
      <c r="W413" s="288">
        <f t="shared" si="223"/>
        <v>0</v>
      </c>
      <c r="X413" s="288">
        <f t="shared" si="224"/>
        <v>0</v>
      </c>
      <c r="Y413" s="288">
        <f t="shared" si="231"/>
        <v>0</v>
      </c>
      <c r="Z413" s="288">
        <f t="shared" si="232"/>
        <v>357260.75999999995</v>
      </c>
      <c r="AA413" s="288">
        <f t="shared" si="233"/>
        <v>179976.28000000012</v>
      </c>
      <c r="AB413" s="288">
        <f t="shared" si="244"/>
        <v>0</v>
      </c>
      <c r="AC413" s="410">
        <f t="shared" si="252"/>
        <v>353</v>
      </c>
      <c r="AD413" s="510">
        <f t="shared" si="253"/>
        <v>276421.33999999997</v>
      </c>
      <c r="AE413" s="510">
        <f t="shared" si="225"/>
        <v>0</v>
      </c>
      <c r="AF413" s="510">
        <f t="shared" si="226"/>
        <v>276421.33999999997</v>
      </c>
      <c r="AG413" s="510">
        <f t="shared" si="254"/>
        <v>0</v>
      </c>
      <c r="AH413" s="510">
        <f t="shared" si="255"/>
        <v>86045.460000000079</v>
      </c>
      <c r="AI413" s="510"/>
      <c r="AJ413" s="14">
        <f t="shared" si="234"/>
        <v>0</v>
      </c>
      <c r="AK413" s="14">
        <f t="shared" si="235"/>
        <v>411904.96000000008</v>
      </c>
      <c r="AL413" s="510">
        <f>IF(R413&lt;=0,0,+(Profit!$B$4+AM412)*$AL$1/12)</f>
        <v>0</v>
      </c>
      <c r="AM413" s="14">
        <f t="shared" si="256"/>
        <v>227647.99117059269</v>
      </c>
    </row>
    <row r="414" spans="1:39" x14ac:dyDescent="0.25">
      <c r="A414" s="499" t="str">
        <f t="shared" si="245"/>
        <v xml:space="preserve"> </v>
      </c>
      <c r="B414" s="288">
        <f t="shared" si="222"/>
        <v>0</v>
      </c>
      <c r="C414" s="14">
        <f t="shared" si="236"/>
        <v>0</v>
      </c>
      <c r="D414" s="14">
        <f t="shared" si="257"/>
        <v>0</v>
      </c>
      <c r="E414" s="14">
        <f t="shared" si="237"/>
        <v>0</v>
      </c>
      <c r="F414" s="288">
        <f t="shared" si="246"/>
        <v>83147.320000000007</v>
      </c>
      <c r="G414" s="288">
        <f t="shared" si="247"/>
        <v>55052.229999999989</v>
      </c>
      <c r="H414" s="288">
        <f t="shared" si="238"/>
        <v>0</v>
      </c>
      <c r="I414" s="410">
        <f t="shared" si="239"/>
        <v>29</v>
      </c>
      <c r="J414" s="288">
        <f t="shared" si="248"/>
        <v>13522.68999999992</v>
      </c>
      <c r="K414" s="288">
        <f t="shared" si="228"/>
        <v>2298.4699999999998</v>
      </c>
      <c r="L414" s="288">
        <f t="shared" si="258"/>
        <v>2222.3999999999996</v>
      </c>
      <c r="M414" s="288">
        <f t="shared" si="229"/>
        <v>76.069999999999993</v>
      </c>
      <c r="N414" s="288">
        <f t="shared" si="249"/>
        <v>343074.7099999999</v>
      </c>
      <c r="O414" s="288">
        <f t="shared" si="250"/>
        <v>472882.1399999999</v>
      </c>
      <c r="P414" s="288">
        <f t="shared" si="240"/>
        <v>11300.289999999921</v>
      </c>
      <c r="Q414" s="499" t="str">
        <f t="shared" si="241"/>
        <v xml:space="preserve"> </v>
      </c>
      <c r="R414" s="288">
        <f t="shared" si="227"/>
        <v>0</v>
      </c>
      <c r="S414" s="492">
        <f t="shared" si="251"/>
        <v>6.7500000000000004E-2</v>
      </c>
      <c r="T414" s="288">
        <f t="shared" si="242"/>
        <v>0</v>
      </c>
      <c r="U414" s="288">
        <f t="shared" si="230"/>
        <v>0</v>
      </c>
      <c r="V414" s="288">
        <f t="shared" si="243"/>
        <v>0</v>
      </c>
      <c r="W414" s="288">
        <f t="shared" si="223"/>
        <v>0</v>
      </c>
      <c r="X414" s="288">
        <f t="shared" si="224"/>
        <v>0</v>
      </c>
      <c r="Y414" s="288">
        <f t="shared" si="231"/>
        <v>0</v>
      </c>
      <c r="Z414" s="288">
        <f t="shared" si="232"/>
        <v>357260.75999999995</v>
      </c>
      <c r="AA414" s="288">
        <f t="shared" si="233"/>
        <v>179976.28000000012</v>
      </c>
      <c r="AB414" s="288">
        <f t="shared" si="244"/>
        <v>0</v>
      </c>
      <c r="AC414" s="410">
        <f t="shared" si="252"/>
        <v>354</v>
      </c>
      <c r="AD414" s="510">
        <f t="shared" si="253"/>
        <v>278719.80999999994</v>
      </c>
      <c r="AE414" s="510">
        <f t="shared" si="225"/>
        <v>0</v>
      </c>
      <c r="AF414" s="510">
        <f t="shared" si="226"/>
        <v>278719.80999999994</v>
      </c>
      <c r="AG414" s="510">
        <f t="shared" si="254"/>
        <v>0</v>
      </c>
      <c r="AH414" s="510">
        <f t="shared" si="255"/>
        <v>86045.460000000079</v>
      </c>
      <c r="AI414" s="510"/>
      <c r="AJ414" s="14">
        <f t="shared" si="234"/>
        <v>0</v>
      </c>
      <c r="AK414" s="14">
        <f t="shared" si="235"/>
        <v>411904.96000000008</v>
      </c>
      <c r="AL414" s="510">
        <f>IF(R414&lt;=0,0,+(Profit!$B$4+AM413)*$AL$1/12)</f>
        <v>0</v>
      </c>
      <c r="AM414" s="14">
        <f t="shared" si="256"/>
        <v>227647.99117059269</v>
      </c>
    </row>
    <row r="415" spans="1:39" x14ac:dyDescent="0.25">
      <c r="A415" s="499" t="str">
        <f t="shared" si="245"/>
        <v xml:space="preserve"> </v>
      </c>
      <c r="B415" s="288">
        <f t="shared" si="222"/>
        <v>0</v>
      </c>
      <c r="C415" s="14">
        <f t="shared" si="236"/>
        <v>0</v>
      </c>
      <c r="D415" s="14">
        <f t="shared" si="257"/>
        <v>0</v>
      </c>
      <c r="E415" s="14">
        <f t="shared" si="237"/>
        <v>0</v>
      </c>
      <c r="F415" s="288">
        <f t="shared" si="246"/>
        <v>83147.320000000007</v>
      </c>
      <c r="G415" s="288">
        <f t="shared" si="247"/>
        <v>55052.229999999989</v>
      </c>
      <c r="H415" s="288">
        <f t="shared" si="238"/>
        <v>0</v>
      </c>
      <c r="I415" s="410">
        <f t="shared" si="239"/>
        <v>29</v>
      </c>
      <c r="J415" s="288">
        <f t="shared" si="248"/>
        <v>11300.289999999921</v>
      </c>
      <c r="K415" s="288">
        <f t="shared" si="228"/>
        <v>2298.4699999999998</v>
      </c>
      <c r="L415" s="288">
        <f t="shared" si="258"/>
        <v>2234.91</v>
      </c>
      <c r="M415" s="288">
        <f t="shared" si="229"/>
        <v>63.56</v>
      </c>
      <c r="N415" s="288">
        <f t="shared" si="249"/>
        <v>345309.61999999988</v>
      </c>
      <c r="O415" s="288">
        <f t="shared" si="250"/>
        <v>472945.6999999999</v>
      </c>
      <c r="P415" s="288">
        <f t="shared" si="240"/>
        <v>9065.379999999921</v>
      </c>
      <c r="Q415" s="499" t="str">
        <f t="shared" si="241"/>
        <v xml:space="preserve"> </v>
      </c>
      <c r="R415" s="288">
        <f t="shared" si="227"/>
        <v>0</v>
      </c>
      <c r="S415" s="492">
        <f t="shared" si="251"/>
        <v>6.7500000000000004E-2</v>
      </c>
      <c r="T415" s="288">
        <f t="shared" si="242"/>
        <v>0</v>
      </c>
      <c r="U415" s="288">
        <f t="shared" si="230"/>
        <v>0</v>
      </c>
      <c r="V415" s="288">
        <f t="shared" si="243"/>
        <v>0</v>
      </c>
      <c r="W415" s="288">
        <f t="shared" si="223"/>
        <v>0</v>
      </c>
      <c r="X415" s="288">
        <f t="shared" si="224"/>
        <v>0</v>
      </c>
      <c r="Y415" s="288">
        <f t="shared" si="231"/>
        <v>0</v>
      </c>
      <c r="Z415" s="288">
        <f t="shared" si="232"/>
        <v>357260.75999999995</v>
      </c>
      <c r="AA415" s="288">
        <f t="shared" si="233"/>
        <v>179976.28000000012</v>
      </c>
      <c r="AB415" s="288">
        <f t="shared" si="244"/>
        <v>0</v>
      </c>
      <c r="AC415" s="410">
        <f t="shared" si="252"/>
        <v>355</v>
      </c>
      <c r="AD415" s="510">
        <f t="shared" si="253"/>
        <v>281018.27999999991</v>
      </c>
      <c r="AE415" s="510">
        <f t="shared" si="225"/>
        <v>0</v>
      </c>
      <c r="AF415" s="510">
        <f t="shared" si="226"/>
        <v>281018.27999999991</v>
      </c>
      <c r="AG415" s="510">
        <f t="shared" si="254"/>
        <v>0</v>
      </c>
      <c r="AH415" s="510">
        <f t="shared" si="255"/>
        <v>86045.460000000079</v>
      </c>
      <c r="AI415" s="510"/>
      <c r="AJ415" s="14">
        <f t="shared" si="234"/>
        <v>0</v>
      </c>
      <c r="AK415" s="14">
        <f t="shared" si="235"/>
        <v>411904.96000000008</v>
      </c>
      <c r="AL415" s="510">
        <f>IF(R415&lt;=0,0,+(Profit!$B$4+AM414)*$AL$1/12)</f>
        <v>0</v>
      </c>
      <c r="AM415" s="14">
        <f t="shared" si="256"/>
        <v>227647.99117059269</v>
      </c>
    </row>
    <row r="416" spans="1:39" x14ac:dyDescent="0.25">
      <c r="A416" s="499" t="str">
        <f t="shared" si="245"/>
        <v xml:space="preserve"> </v>
      </c>
      <c r="B416" s="288">
        <f t="shared" si="222"/>
        <v>0</v>
      </c>
      <c r="C416" s="14">
        <f t="shared" si="236"/>
        <v>0</v>
      </c>
      <c r="D416" s="14">
        <f t="shared" si="257"/>
        <v>0</v>
      </c>
      <c r="E416" s="14">
        <f t="shared" si="237"/>
        <v>0</v>
      </c>
      <c r="F416" s="288">
        <f t="shared" si="246"/>
        <v>83147.320000000007</v>
      </c>
      <c r="G416" s="288">
        <f t="shared" si="247"/>
        <v>55052.229999999989</v>
      </c>
      <c r="H416" s="288">
        <f t="shared" si="238"/>
        <v>0</v>
      </c>
      <c r="I416" s="410">
        <f t="shared" si="239"/>
        <v>29</v>
      </c>
      <c r="J416" s="288">
        <f t="shared" si="248"/>
        <v>9065.379999999921</v>
      </c>
      <c r="K416" s="288">
        <f t="shared" si="228"/>
        <v>2298.4699999999998</v>
      </c>
      <c r="L416" s="288">
        <f t="shared" si="258"/>
        <v>2247.48</v>
      </c>
      <c r="M416" s="288">
        <f t="shared" si="229"/>
        <v>50.99</v>
      </c>
      <c r="N416" s="288">
        <f t="shared" si="249"/>
        <v>347557.09999999986</v>
      </c>
      <c r="O416" s="288">
        <f t="shared" si="250"/>
        <v>472996.68999999989</v>
      </c>
      <c r="P416" s="288">
        <f t="shared" si="240"/>
        <v>6817.8999999999214</v>
      </c>
      <c r="Q416" s="499" t="str">
        <f t="shared" si="241"/>
        <v xml:space="preserve"> </v>
      </c>
      <c r="R416" s="288">
        <f t="shared" si="227"/>
        <v>0</v>
      </c>
      <c r="S416" s="492">
        <f t="shared" si="251"/>
        <v>6.7500000000000004E-2</v>
      </c>
      <c r="T416" s="288">
        <f t="shared" si="242"/>
        <v>0</v>
      </c>
      <c r="U416" s="288">
        <f t="shared" si="230"/>
        <v>0</v>
      </c>
      <c r="V416" s="288">
        <f t="shared" si="243"/>
        <v>0</v>
      </c>
      <c r="W416" s="288">
        <f t="shared" si="223"/>
        <v>0</v>
      </c>
      <c r="X416" s="288">
        <f t="shared" si="224"/>
        <v>0</v>
      </c>
      <c r="Y416" s="288">
        <f t="shared" si="231"/>
        <v>0</v>
      </c>
      <c r="Z416" s="288">
        <f t="shared" si="232"/>
        <v>357260.75999999995</v>
      </c>
      <c r="AA416" s="288">
        <f t="shared" si="233"/>
        <v>179976.28000000012</v>
      </c>
      <c r="AB416" s="288">
        <f t="shared" si="244"/>
        <v>0</v>
      </c>
      <c r="AC416" s="410">
        <f t="shared" si="252"/>
        <v>356</v>
      </c>
      <c r="AD416" s="510">
        <f t="shared" si="253"/>
        <v>283316.74999999988</v>
      </c>
      <c r="AE416" s="510">
        <f t="shared" si="225"/>
        <v>0</v>
      </c>
      <c r="AF416" s="510">
        <f t="shared" si="226"/>
        <v>283316.74999999988</v>
      </c>
      <c r="AG416" s="510">
        <f t="shared" si="254"/>
        <v>0</v>
      </c>
      <c r="AH416" s="510">
        <f t="shared" si="255"/>
        <v>86045.460000000079</v>
      </c>
      <c r="AI416" s="510"/>
      <c r="AJ416" s="14">
        <f t="shared" si="234"/>
        <v>0</v>
      </c>
      <c r="AK416" s="14">
        <f t="shared" si="235"/>
        <v>411904.96000000008</v>
      </c>
      <c r="AL416" s="510">
        <f>IF(R416&lt;=0,0,+(Profit!$B$4+AM415)*$AL$1/12)</f>
        <v>0</v>
      </c>
      <c r="AM416" s="14">
        <f t="shared" si="256"/>
        <v>227647.99117059269</v>
      </c>
    </row>
    <row r="417" spans="1:39" x14ac:dyDescent="0.25">
      <c r="A417" s="499" t="str">
        <f t="shared" si="245"/>
        <v xml:space="preserve"> </v>
      </c>
      <c r="B417" s="288">
        <f t="shared" si="222"/>
        <v>0</v>
      </c>
      <c r="C417" s="14">
        <f t="shared" si="236"/>
        <v>0</v>
      </c>
      <c r="D417" s="14">
        <f t="shared" si="257"/>
        <v>0</v>
      </c>
      <c r="E417" s="14">
        <f t="shared" si="237"/>
        <v>0</v>
      </c>
      <c r="F417" s="288">
        <f t="shared" si="246"/>
        <v>83147.320000000007</v>
      </c>
      <c r="G417" s="288">
        <f t="shared" si="247"/>
        <v>55052.229999999989</v>
      </c>
      <c r="H417" s="288">
        <f t="shared" si="238"/>
        <v>0</v>
      </c>
      <c r="I417" s="410">
        <f t="shared" si="239"/>
        <v>29</v>
      </c>
      <c r="J417" s="288">
        <f t="shared" si="248"/>
        <v>6817.8999999999214</v>
      </c>
      <c r="K417" s="288">
        <f t="shared" si="228"/>
        <v>2298.4699999999998</v>
      </c>
      <c r="L417" s="288">
        <f t="shared" si="258"/>
        <v>2260.12</v>
      </c>
      <c r="M417" s="288">
        <f t="shared" si="229"/>
        <v>38.35</v>
      </c>
      <c r="N417" s="288">
        <f t="shared" si="249"/>
        <v>349817.21999999986</v>
      </c>
      <c r="O417" s="288">
        <f t="shared" si="250"/>
        <v>473035.03999999986</v>
      </c>
      <c r="P417" s="288">
        <f t="shared" si="240"/>
        <v>4557.7799999999215</v>
      </c>
      <c r="Q417" s="499" t="str">
        <f t="shared" si="241"/>
        <v xml:space="preserve"> </v>
      </c>
      <c r="R417" s="288">
        <f t="shared" si="227"/>
        <v>0</v>
      </c>
      <c r="S417" s="492">
        <f t="shared" si="251"/>
        <v>6.7500000000000004E-2</v>
      </c>
      <c r="T417" s="288">
        <f t="shared" si="242"/>
        <v>0</v>
      </c>
      <c r="U417" s="288">
        <f t="shared" si="230"/>
        <v>0</v>
      </c>
      <c r="V417" s="288">
        <f t="shared" si="243"/>
        <v>0</v>
      </c>
      <c r="W417" s="288">
        <f t="shared" si="223"/>
        <v>0</v>
      </c>
      <c r="X417" s="288">
        <f t="shared" si="224"/>
        <v>0</v>
      </c>
      <c r="Y417" s="288">
        <f t="shared" si="231"/>
        <v>0</v>
      </c>
      <c r="Z417" s="288">
        <f t="shared" si="232"/>
        <v>357260.75999999995</v>
      </c>
      <c r="AA417" s="288">
        <f t="shared" si="233"/>
        <v>179976.28000000012</v>
      </c>
      <c r="AB417" s="288">
        <f t="shared" si="244"/>
        <v>0</v>
      </c>
      <c r="AC417" s="410">
        <f t="shared" si="252"/>
        <v>357</v>
      </c>
      <c r="AD417" s="510">
        <f t="shared" si="253"/>
        <v>285615.21999999986</v>
      </c>
      <c r="AE417" s="510">
        <f t="shared" si="225"/>
        <v>0</v>
      </c>
      <c r="AF417" s="510">
        <f t="shared" si="226"/>
        <v>285615.21999999986</v>
      </c>
      <c r="AG417" s="510">
        <f t="shared" si="254"/>
        <v>0</v>
      </c>
      <c r="AH417" s="510">
        <f t="shared" si="255"/>
        <v>86045.460000000079</v>
      </c>
      <c r="AI417" s="510"/>
      <c r="AJ417" s="14">
        <f t="shared" si="234"/>
        <v>0</v>
      </c>
      <c r="AK417" s="14">
        <f t="shared" si="235"/>
        <v>411904.96000000008</v>
      </c>
      <c r="AL417" s="510">
        <f>IF(R417&lt;=0,0,+(Profit!$B$4+AM416)*$AL$1/12)</f>
        <v>0</v>
      </c>
      <c r="AM417" s="14">
        <f t="shared" si="256"/>
        <v>227647.99117059269</v>
      </c>
    </row>
    <row r="418" spans="1:39" x14ac:dyDescent="0.25">
      <c r="A418" s="499" t="str">
        <f t="shared" si="245"/>
        <v xml:space="preserve"> </v>
      </c>
      <c r="B418" s="288">
        <f t="shared" si="222"/>
        <v>0</v>
      </c>
      <c r="C418" s="14">
        <f t="shared" si="236"/>
        <v>0</v>
      </c>
      <c r="D418" s="14">
        <f t="shared" si="257"/>
        <v>0</v>
      </c>
      <c r="E418" s="14">
        <f t="shared" si="237"/>
        <v>0</v>
      </c>
      <c r="F418" s="288">
        <f t="shared" si="246"/>
        <v>83147.320000000007</v>
      </c>
      <c r="G418" s="288">
        <f t="shared" si="247"/>
        <v>55052.229999999989</v>
      </c>
      <c r="H418" s="288">
        <f t="shared" si="238"/>
        <v>0</v>
      </c>
      <c r="I418" s="410">
        <f t="shared" si="239"/>
        <v>29</v>
      </c>
      <c r="J418" s="288">
        <f t="shared" ref="J418:J481" si="259">IF(+P417&lt;0,0,+P417)</f>
        <v>4557.7799999999215</v>
      </c>
      <c r="K418" s="288">
        <f t="shared" si="228"/>
        <v>2298.4699999999998</v>
      </c>
      <c r="L418" s="288">
        <f t="shared" si="258"/>
        <v>2272.83</v>
      </c>
      <c r="M418" s="288">
        <f t="shared" si="229"/>
        <v>25.64</v>
      </c>
      <c r="N418" s="288">
        <f t="shared" si="249"/>
        <v>352090.04999999987</v>
      </c>
      <c r="O418" s="288">
        <f t="shared" si="250"/>
        <v>473060.67999999988</v>
      </c>
      <c r="P418" s="288">
        <f t="shared" si="240"/>
        <v>2284.9499999999216</v>
      </c>
      <c r="Q418" s="499" t="str">
        <f t="shared" si="241"/>
        <v xml:space="preserve"> </v>
      </c>
      <c r="R418" s="288">
        <f t="shared" si="227"/>
        <v>0</v>
      </c>
      <c r="S418" s="492">
        <f t="shared" si="251"/>
        <v>6.7500000000000004E-2</v>
      </c>
      <c r="T418" s="288">
        <f t="shared" si="242"/>
        <v>0</v>
      </c>
      <c r="U418" s="288">
        <f t="shared" si="230"/>
        <v>0</v>
      </c>
      <c r="V418" s="288">
        <f t="shared" si="243"/>
        <v>0</v>
      </c>
      <c r="W418" s="288">
        <f t="shared" si="223"/>
        <v>0</v>
      </c>
      <c r="X418" s="288">
        <f t="shared" si="224"/>
        <v>0</v>
      </c>
      <c r="Y418" s="288">
        <f t="shared" si="231"/>
        <v>0</v>
      </c>
      <c r="Z418" s="288">
        <f t="shared" si="232"/>
        <v>357260.75999999995</v>
      </c>
      <c r="AA418" s="288">
        <f t="shared" si="233"/>
        <v>179976.28000000012</v>
      </c>
      <c r="AB418" s="288">
        <f t="shared" si="244"/>
        <v>0</v>
      </c>
      <c r="AC418" s="410">
        <f t="shared" si="252"/>
        <v>358</v>
      </c>
      <c r="AD418" s="510">
        <f t="shared" si="253"/>
        <v>287913.68999999983</v>
      </c>
      <c r="AE418" s="510">
        <f t="shared" si="225"/>
        <v>0</v>
      </c>
      <c r="AF418" s="510">
        <f t="shared" si="226"/>
        <v>287913.68999999983</v>
      </c>
      <c r="AG418" s="510">
        <f t="shared" si="254"/>
        <v>0</v>
      </c>
      <c r="AH418" s="510">
        <f t="shared" si="255"/>
        <v>86045.460000000079</v>
      </c>
      <c r="AI418" s="510"/>
      <c r="AJ418" s="14">
        <f t="shared" si="234"/>
        <v>0</v>
      </c>
      <c r="AK418" s="14">
        <f t="shared" si="235"/>
        <v>411904.96000000008</v>
      </c>
      <c r="AL418" s="510">
        <f>IF(R418&lt;=0,0,+(Profit!$B$4+AM417)*$AL$1/12)</f>
        <v>0</v>
      </c>
      <c r="AM418" s="14">
        <f t="shared" si="256"/>
        <v>227647.99117059269</v>
      </c>
    </row>
    <row r="419" spans="1:39" x14ac:dyDescent="0.25">
      <c r="A419" s="499" t="str">
        <f t="shared" si="245"/>
        <v xml:space="preserve"> </v>
      </c>
      <c r="B419" s="288">
        <f t="shared" si="222"/>
        <v>0</v>
      </c>
      <c r="C419" s="14">
        <f t="shared" si="236"/>
        <v>0</v>
      </c>
      <c r="D419" s="14">
        <f t="shared" si="257"/>
        <v>0</v>
      </c>
      <c r="E419" s="14">
        <f t="shared" si="237"/>
        <v>0</v>
      </c>
      <c r="F419" s="288">
        <f t="shared" si="246"/>
        <v>83147.320000000007</v>
      </c>
      <c r="G419" s="288">
        <f t="shared" si="247"/>
        <v>55052.229999999989</v>
      </c>
      <c r="H419" s="288">
        <f t="shared" si="238"/>
        <v>0</v>
      </c>
      <c r="I419" s="410">
        <f t="shared" si="239"/>
        <v>29</v>
      </c>
      <c r="J419" s="288">
        <f t="shared" si="259"/>
        <v>2284.9499999999216</v>
      </c>
      <c r="K419" s="288">
        <f t="shared" si="228"/>
        <v>2298.4699999999998</v>
      </c>
      <c r="L419" s="288">
        <f t="shared" si="258"/>
        <v>2285.62</v>
      </c>
      <c r="M419" s="288">
        <f t="shared" si="229"/>
        <v>12.85</v>
      </c>
      <c r="N419" s="288">
        <f t="shared" si="249"/>
        <v>354375.66999999987</v>
      </c>
      <c r="O419" s="288">
        <f t="shared" si="250"/>
        <v>473073.52999999985</v>
      </c>
      <c r="P419" s="288">
        <f t="shared" si="240"/>
        <v>-0.6700000000782893</v>
      </c>
      <c r="Q419" s="499" t="str">
        <f t="shared" si="241"/>
        <v xml:space="preserve"> </v>
      </c>
      <c r="R419" s="288">
        <f t="shared" si="227"/>
        <v>0</v>
      </c>
      <c r="S419" s="492">
        <f t="shared" si="251"/>
        <v>6.7500000000000004E-2</v>
      </c>
      <c r="T419" s="288">
        <f t="shared" si="242"/>
        <v>0</v>
      </c>
      <c r="U419" s="288">
        <f t="shared" si="230"/>
        <v>0</v>
      </c>
      <c r="V419" s="288">
        <f t="shared" si="243"/>
        <v>0</v>
      </c>
      <c r="W419" s="288">
        <f t="shared" si="223"/>
        <v>0</v>
      </c>
      <c r="X419" s="288">
        <f t="shared" si="224"/>
        <v>0</v>
      </c>
      <c r="Y419" s="288">
        <f t="shared" si="231"/>
        <v>0</v>
      </c>
      <c r="Z419" s="288">
        <f t="shared" si="232"/>
        <v>357260.75999999995</v>
      </c>
      <c r="AA419" s="288">
        <f t="shared" si="233"/>
        <v>179976.28000000012</v>
      </c>
      <c r="AB419" s="288">
        <f t="shared" si="244"/>
        <v>0</v>
      </c>
      <c r="AC419" s="410">
        <f t="shared" si="252"/>
        <v>359</v>
      </c>
      <c r="AD419" s="510">
        <f t="shared" si="253"/>
        <v>290212.1599999998</v>
      </c>
      <c r="AE419" s="510">
        <f t="shared" si="225"/>
        <v>0</v>
      </c>
      <c r="AF419" s="510">
        <f t="shared" si="226"/>
        <v>290212.1599999998</v>
      </c>
      <c r="AG419" s="510">
        <f t="shared" si="254"/>
        <v>0</v>
      </c>
      <c r="AH419" s="510">
        <f t="shared" si="255"/>
        <v>0</v>
      </c>
      <c r="AI419" s="510"/>
      <c r="AJ419" s="14">
        <f t="shared" si="234"/>
        <v>0</v>
      </c>
      <c r="AK419" s="14">
        <f t="shared" si="235"/>
        <v>0</v>
      </c>
      <c r="AL419" s="510">
        <f>IF(R419&lt;=0,0,+(Profit!$B$4+AM418)*$AL$1/12)</f>
        <v>0</v>
      </c>
      <c r="AM419" s="14">
        <f t="shared" si="256"/>
        <v>0</v>
      </c>
    </row>
    <row r="420" spans="1:39" x14ac:dyDescent="0.25">
      <c r="A420" s="499" t="str">
        <f t="shared" si="245"/>
        <v xml:space="preserve"> </v>
      </c>
      <c r="B420" s="288">
        <f t="shared" si="222"/>
        <v>0</v>
      </c>
      <c r="C420" s="14">
        <f t="shared" si="236"/>
        <v>0</v>
      </c>
      <c r="D420" s="14">
        <f t="shared" si="257"/>
        <v>0</v>
      </c>
      <c r="E420" s="14">
        <f t="shared" si="237"/>
        <v>0</v>
      </c>
      <c r="F420" s="288">
        <f t="shared" si="246"/>
        <v>83147.320000000007</v>
      </c>
      <c r="G420" s="288">
        <f t="shared" si="247"/>
        <v>55052.229999999989</v>
      </c>
      <c r="H420" s="288">
        <f t="shared" si="238"/>
        <v>0</v>
      </c>
      <c r="I420" s="410">
        <f t="shared" si="239"/>
        <v>30</v>
      </c>
      <c r="J420" s="288">
        <f t="shared" si="259"/>
        <v>0</v>
      </c>
      <c r="K420" s="288">
        <f t="shared" si="228"/>
        <v>0</v>
      </c>
      <c r="L420" s="288">
        <f t="shared" si="258"/>
        <v>0</v>
      </c>
      <c r="M420" s="288">
        <f t="shared" si="229"/>
        <v>0</v>
      </c>
      <c r="N420" s="288">
        <f t="shared" si="249"/>
        <v>354375.66999999987</v>
      </c>
      <c r="O420" s="288">
        <f t="shared" si="250"/>
        <v>473073.52999999985</v>
      </c>
      <c r="P420" s="288">
        <f t="shared" si="240"/>
        <v>0</v>
      </c>
      <c r="Q420" s="499" t="str">
        <f t="shared" si="241"/>
        <v xml:space="preserve"> </v>
      </c>
      <c r="R420" s="288">
        <f t="shared" si="227"/>
        <v>0</v>
      </c>
      <c r="S420" s="492">
        <f t="shared" si="251"/>
        <v>6.7500000000000004E-2</v>
      </c>
      <c r="T420" s="288">
        <f t="shared" si="242"/>
        <v>0</v>
      </c>
      <c r="U420" s="288">
        <f t="shared" si="230"/>
        <v>0</v>
      </c>
      <c r="V420" s="288">
        <f t="shared" si="243"/>
        <v>0</v>
      </c>
      <c r="W420" s="288">
        <f t="shared" si="223"/>
        <v>0</v>
      </c>
      <c r="X420" s="288">
        <f t="shared" si="224"/>
        <v>0</v>
      </c>
      <c r="Y420" s="288">
        <f t="shared" si="231"/>
        <v>0</v>
      </c>
      <c r="Z420" s="288">
        <f t="shared" si="232"/>
        <v>357260.75999999995</v>
      </c>
      <c r="AA420" s="288">
        <f t="shared" si="233"/>
        <v>179976.28000000012</v>
      </c>
      <c r="AB420" s="288">
        <f t="shared" si="244"/>
        <v>0</v>
      </c>
      <c r="AC420" s="410">
        <f t="shared" si="252"/>
        <v>360</v>
      </c>
      <c r="AD420" s="510">
        <f t="shared" si="253"/>
        <v>290212.1599999998</v>
      </c>
      <c r="AE420" s="510">
        <f t="shared" si="225"/>
        <v>0</v>
      </c>
      <c r="AF420" s="510">
        <f t="shared" si="226"/>
        <v>290212.1599999998</v>
      </c>
      <c r="AG420" s="510">
        <f t="shared" si="254"/>
        <v>0</v>
      </c>
      <c r="AH420" s="510">
        <f t="shared" si="255"/>
        <v>0</v>
      </c>
      <c r="AI420" s="510"/>
      <c r="AJ420" s="14">
        <f t="shared" si="234"/>
        <v>0</v>
      </c>
      <c r="AK420" s="14">
        <f t="shared" si="235"/>
        <v>0</v>
      </c>
      <c r="AL420" s="510">
        <f>IF(R420&lt;=0,0,+(Profit!$B$4+AM419)*$AL$1/12)</f>
        <v>0</v>
      </c>
      <c r="AM420" s="14">
        <f t="shared" si="256"/>
        <v>0</v>
      </c>
    </row>
    <row r="421" spans="1:39" x14ac:dyDescent="0.25">
      <c r="A421" s="499" t="str">
        <f t="shared" si="245"/>
        <v xml:space="preserve"> </v>
      </c>
      <c r="B421" s="288">
        <f t="shared" si="222"/>
        <v>0</v>
      </c>
      <c r="C421" s="14">
        <f t="shared" si="236"/>
        <v>0</v>
      </c>
      <c r="D421" s="14">
        <f t="shared" si="257"/>
        <v>0</v>
      </c>
      <c r="E421" s="14">
        <f t="shared" si="237"/>
        <v>0</v>
      </c>
      <c r="F421" s="288">
        <f t="shared" si="246"/>
        <v>83147.320000000007</v>
      </c>
      <c r="G421" s="288">
        <f t="shared" si="247"/>
        <v>55052.229999999989</v>
      </c>
      <c r="H421" s="288">
        <f t="shared" si="238"/>
        <v>0</v>
      </c>
      <c r="I421" s="410">
        <f t="shared" si="239"/>
        <v>30</v>
      </c>
      <c r="J421" s="288">
        <f t="shared" si="259"/>
        <v>0</v>
      </c>
      <c r="K421" s="288">
        <f t="shared" si="228"/>
        <v>0</v>
      </c>
      <c r="L421" s="288">
        <f t="shared" si="258"/>
        <v>0</v>
      </c>
      <c r="M421" s="288">
        <f t="shared" si="229"/>
        <v>0</v>
      </c>
      <c r="N421" s="288">
        <f t="shared" si="249"/>
        <v>354375.66999999987</v>
      </c>
      <c r="O421" s="288">
        <f t="shared" si="250"/>
        <v>473073.52999999985</v>
      </c>
      <c r="P421" s="288">
        <f t="shared" si="240"/>
        <v>0</v>
      </c>
      <c r="Q421" s="499" t="str">
        <f t="shared" si="241"/>
        <v xml:space="preserve"> </v>
      </c>
      <c r="R421" s="288">
        <f t="shared" si="227"/>
        <v>0</v>
      </c>
      <c r="S421" s="492">
        <f t="shared" si="251"/>
        <v>6.7500000000000004E-2</v>
      </c>
      <c r="T421" s="288">
        <f t="shared" si="242"/>
        <v>0</v>
      </c>
      <c r="U421" s="288">
        <f t="shared" si="230"/>
        <v>0</v>
      </c>
      <c r="V421" s="288">
        <f t="shared" si="243"/>
        <v>0</v>
      </c>
      <c r="W421" s="288">
        <f t="shared" si="223"/>
        <v>0</v>
      </c>
      <c r="X421" s="288">
        <f t="shared" si="224"/>
        <v>0</v>
      </c>
      <c r="Y421" s="288">
        <f t="shared" si="231"/>
        <v>0</v>
      </c>
      <c r="Z421" s="288">
        <f t="shared" si="232"/>
        <v>357260.75999999995</v>
      </c>
      <c r="AA421" s="288">
        <f t="shared" si="233"/>
        <v>179976.28000000012</v>
      </c>
      <c r="AB421" s="288">
        <f t="shared" si="244"/>
        <v>0</v>
      </c>
      <c r="AC421" s="410">
        <f t="shared" si="252"/>
        <v>361</v>
      </c>
      <c r="AD421" s="510">
        <f t="shared" si="253"/>
        <v>290212.1599999998</v>
      </c>
      <c r="AE421" s="510">
        <f t="shared" si="225"/>
        <v>0</v>
      </c>
      <c r="AF421" s="510">
        <f t="shared" si="226"/>
        <v>290212.1599999998</v>
      </c>
      <c r="AG421" s="510">
        <f t="shared" si="254"/>
        <v>0</v>
      </c>
      <c r="AH421" s="510">
        <f t="shared" si="255"/>
        <v>0</v>
      </c>
      <c r="AI421" s="510"/>
      <c r="AJ421" s="14">
        <f t="shared" si="234"/>
        <v>0</v>
      </c>
      <c r="AK421" s="14">
        <f t="shared" si="235"/>
        <v>0</v>
      </c>
      <c r="AL421" s="510">
        <f>IF(R421&lt;=0,0,+(Profit!$B$4+AM420)*$AL$1/12)</f>
        <v>0</v>
      </c>
      <c r="AM421" s="14">
        <f t="shared" si="256"/>
        <v>0</v>
      </c>
    </row>
    <row r="422" spans="1:39" ht="15.75" thickBot="1" x14ac:dyDescent="0.3">
      <c r="A422" s="502" t="str">
        <f t="shared" si="245"/>
        <v xml:space="preserve"> </v>
      </c>
      <c r="B422" s="343">
        <f t="shared" si="222"/>
        <v>0</v>
      </c>
      <c r="C422" s="21">
        <f t="shared" si="236"/>
        <v>0</v>
      </c>
      <c r="D422" s="21">
        <f t="shared" si="257"/>
        <v>0</v>
      </c>
      <c r="E422" s="21">
        <f t="shared" si="237"/>
        <v>0</v>
      </c>
      <c r="F422" s="343">
        <f t="shared" si="246"/>
        <v>83147.320000000007</v>
      </c>
      <c r="G422" s="343">
        <f t="shared" si="247"/>
        <v>55052.229999999989</v>
      </c>
      <c r="H422" s="343">
        <f t="shared" si="238"/>
        <v>0</v>
      </c>
      <c r="I422" s="411">
        <f t="shared" si="239"/>
        <v>30</v>
      </c>
      <c r="J422" s="343">
        <f t="shared" si="259"/>
        <v>0</v>
      </c>
      <c r="K422" s="343">
        <f t="shared" si="228"/>
        <v>0</v>
      </c>
      <c r="L422" s="343">
        <f t="shared" si="258"/>
        <v>0</v>
      </c>
      <c r="M422" s="343">
        <f t="shared" si="229"/>
        <v>0</v>
      </c>
      <c r="N422" s="343">
        <f t="shared" si="249"/>
        <v>354375.66999999987</v>
      </c>
      <c r="O422" s="343">
        <f t="shared" si="250"/>
        <v>473073.52999999985</v>
      </c>
      <c r="P422" s="343">
        <f t="shared" si="240"/>
        <v>0</v>
      </c>
      <c r="Q422" s="502" t="str">
        <f t="shared" si="241"/>
        <v xml:space="preserve"> </v>
      </c>
      <c r="R422" s="343">
        <f t="shared" si="227"/>
        <v>0</v>
      </c>
      <c r="S422" s="493">
        <f t="shared" si="251"/>
        <v>6.7500000000000004E-2</v>
      </c>
      <c r="T422" s="343">
        <f t="shared" si="242"/>
        <v>0</v>
      </c>
      <c r="U422" s="343">
        <f t="shared" si="230"/>
        <v>0</v>
      </c>
      <c r="V422" s="343">
        <f t="shared" si="243"/>
        <v>0</v>
      </c>
      <c r="W422" s="343">
        <f t="shared" si="223"/>
        <v>0</v>
      </c>
      <c r="X422" s="343">
        <f t="shared" si="224"/>
        <v>0</v>
      </c>
      <c r="Y422" s="343">
        <f t="shared" si="231"/>
        <v>0</v>
      </c>
      <c r="Z422" s="343">
        <f t="shared" si="232"/>
        <v>357260.75999999995</v>
      </c>
      <c r="AA422" s="343">
        <f t="shared" si="233"/>
        <v>179976.28000000012</v>
      </c>
      <c r="AB422" s="343">
        <f t="shared" si="244"/>
        <v>0</v>
      </c>
      <c r="AC422" s="411">
        <f t="shared" si="252"/>
        <v>362</v>
      </c>
      <c r="AD422" s="511">
        <f t="shared" si="253"/>
        <v>290212.1599999998</v>
      </c>
      <c r="AE422" s="511">
        <f t="shared" si="225"/>
        <v>0</v>
      </c>
      <c r="AF422" s="511">
        <f t="shared" si="226"/>
        <v>290212.1599999998</v>
      </c>
      <c r="AG422" s="511">
        <f t="shared" si="254"/>
        <v>0</v>
      </c>
      <c r="AH422" s="511">
        <f t="shared" si="255"/>
        <v>0</v>
      </c>
      <c r="AI422" s="511"/>
      <c r="AJ422" s="21">
        <f t="shared" si="234"/>
        <v>0</v>
      </c>
      <c r="AK422" s="21">
        <f t="shared" si="235"/>
        <v>0</v>
      </c>
      <c r="AL422" s="511">
        <f>IF(R422&lt;=0,0,+(Profit!$B$4+AM421)*$AL$1/12)</f>
        <v>0</v>
      </c>
      <c r="AM422" s="21">
        <f t="shared" si="256"/>
        <v>0</v>
      </c>
    </row>
    <row r="423" spans="1:39" x14ac:dyDescent="0.25">
      <c r="A423" s="499" t="str">
        <f t="shared" si="245"/>
        <v xml:space="preserve"> </v>
      </c>
      <c r="B423" s="288">
        <f t="shared" si="222"/>
        <v>0</v>
      </c>
      <c r="C423" s="14">
        <f t="shared" si="236"/>
        <v>0</v>
      </c>
      <c r="D423" s="14">
        <f t="shared" si="257"/>
        <v>0</v>
      </c>
      <c r="E423" s="14">
        <f t="shared" si="237"/>
        <v>0</v>
      </c>
      <c r="F423" s="288">
        <f t="shared" si="246"/>
        <v>83147.320000000007</v>
      </c>
      <c r="G423" s="288">
        <f t="shared" si="247"/>
        <v>55052.229999999989</v>
      </c>
      <c r="H423" s="288">
        <f t="shared" si="238"/>
        <v>0</v>
      </c>
      <c r="I423" s="410">
        <f t="shared" si="239"/>
        <v>30</v>
      </c>
      <c r="J423" s="288">
        <f t="shared" si="259"/>
        <v>0</v>
      </c>
      <c r="K423" s="288">
        <f t="shared" si="228"/>
        <v>0</v>
      </c>
      <c r="L423" s="288">
        <f t="shared" si="258"/>
        <v>0</v>
      </c>
      <c r="M423" s="288">
        <f t="shared" si="229"/>
        <v>0</v>
      </c>
      <c r="N423" s="288">
        <f t="shared" si="249"/>
        <v>354375.66999999987</v>
      </c>
      <c r="O423" s="288">
        <f t="shared" si="250"/>
        <v>473073.52999999985</v>
      </c>
      <c r="P423" s="288">
        <f t="shared" si="240"/>
        <v>0</v>
      </c>
      <c r="Q423" s="499" t="str">
        <f t="shared" si="241"/>
        <v xml:space="preserve"> </v>
      </c>
      <c r="R423" s="288">
        <f t="shared" si="227"/>
        <v>0</v>
      </c>
      <c r="S423" s="492">
        <f t="shared" si="251"/>
        <v>6.7500000000000004E-2</v>
      </c>
      <c r="T423" s="288">
        <f t="shared" si="242"/>
        <v>0</v>
      </c>
      <c r="U423" s="288">
        <f t="shared" si="230"/>
        <v>0</v>
      </c>
      <c r="V423" s="288">
        <f t="shared" si="243"/>
        <v>0</v>
      </c>
      <c r="W423" s="288">
        <f t="shared" si="223"/>
        <v>0</v>
      </c>
      <c r="X423" s="288">
        <f t="shared" si="224"/>
        <v>0</v>
      </c>
      <c r="Y423" s="288">
        <f t="shared" si="231"/>
        <v>0</v>
      </c>
      <c r="Z423" s="288">
        <f t="shared" si="232"/>
        <v>357260.75999999995</v>
      </c>
      <c r="AA423" s="288">
        <f t="shared" si="233"/>
        <v>179976.28000000012</v>
      </c>
      <c r="AB423" s="288">
        <f t="shared" si="244"/>
        <v>0</v>
      </c>
      <c r="AC423" s="410">
        <f t="shared" si="252"/>
        <v>363</v>
      </c>
      <c r="AD423" s="510">
        <f t="shared" si="253"/>
        <v>290212.1599999998</v>
      </c>
      <c r="AE423" s="510">
        <f t="shared" si="225"/>
        <v>0</v>
      </c>
      <c r="AF423" s="510">
        <f t="shared" si="226"/>
        <v>290212.1599999998</v>
      </c>
      <c r="AG423" s="510">
        <f t="shared" si="254"/>
        <v>0</v>
      </c>
      <c r="AH423" s="510">
        <f t="shared" si="255"/>
        <v>0</v>
      </c>
      <c r="AI423" s="510"/>
      <c r="AJ423" s="14">
        <f t="shared" si="234"/>
        <v>0</v>
      </c>
      <c r="AK423" s="14">
        <f t="shared" si="235"/>
        <v>0</v>
      </c>
      <c r="AL423" s="510">
        <f>IF(R423&lt;=0,0,+(Profit!$B$4+AM422)*$AL$1/12)</f>
        <v>0</v>
      </c>
      <c r="AM423" s="14">
        <f t="shared" si="256"/>
        <v>0</v>
      </c>
    </row>
    <row r="424" spans="1:39" x14ac:dyDescent="0.25">
      <c r="A424" s="499" t="str">
        <f t="shared" si="245"/>
        <v xml:space="preserve"> </v>
      </c>
      <c r="B424" s="288">
        <f t="shared" si="222"/>
        <v>0</v>
      </c>
      <c r="C424" s="14">
        <f t="shared" si="236"/>
        <v>0</v>
      </c>
      <c r="D424" s="14">
        <f t="shared" si="257"/>
        <v>0</v>
      </c>
      <c r="E424" s="14">
        <f t="shared" si="237"/>
        <v>0</v>
      </c>
      <c r="F424" s="288">
        <f t="shared" si="246"/>
        <v>83147.320000000007</v>
      </c>
      <c r="G424" s="288">
        <f t="shared" si="247"/>
        <v>55052.229999999989</v>
      </c>
      <c r="H424" s="288">
        <f t="shared" si="238"/>
        <v>0</v>
      </c>
      <c r="I424" s="410">
        <f t="shared" si="239"/>
        <v>30</v>
      </c>
      <c r="J424" s="288">
        <f t="shared" si="259"/>
        <v>0</v>
      </c>
      <c r="K424" s="288">
        <f t="shared" si="228"/>
        <v>0</v>
      </c>
      <c r="L424" s="288">
        <f t="shared" si="258"/>
        <v>0</v>
      </c>
      <c r="M424" s="288">
        <f t="shared" si="229"/>
        <v>0</v>
      </c>
      <c r="N424" s="288">
        <f t="shared" si="249"/>
        <v>354375.66999999987</v>
      </c>
      <c r="O424" s="288">
        <f t="shared" si="250"/>
        <v>473073.52999999985</v>
      </c>
      <c r="P424" s="288">
        <f t="shared" si="240"/>
        <v>0</v>
      </c>
      <c r="Q424" s="499" t="str">
        <f t="shared" si="241"/>
        <v xml:space="preserve"> </v>
      </c>
      <c r="R424" s="288">
        <f t="shared" si="227"/>
        <v>0</v>
      </c>
      <c r="S424" s="492">
        <f t="shared" si="251"/>
        <v>6.7500000000000004E-2</v>
      </c>
      <c r="T424" s="288">
        <f t="shared" si="242"/>
        <v>0</v>
      </c>
      <c r="U424" s="288">
        <f t="shared" si="230"/>
        <v>0</v>
      </c>
      <c r="V424" s="288">
        <f t="shared" si="243"/>
        <v>0</v>
      </c>
      <c r="W424" s="288">
        <f t="shared" si="223"/>
        <v>0</v>
      </c>
      <c r="X424" s="288">
        <f t="shared" si="224"/>
        <v>0</v>
      </c>
      <c r="Y424" s="288">
        <f t="shared" si="231"/>
        <v>0</v>
      </c>
      <c r="Z424" s="288">
        <f t="shared" si="232"/>
        <v>357260.75999999995</v>
      </c>
      <c r="AA424" s="288">
        <f t="shared" si="233"/>
        <v>179976.28000000012</v>
      </c>
      <c r="AB424" s="288">
        <f t="shared" si="244"/>
        <v>0</v>
      </c>
      <c r="AC424" s="410">
        <f t="shared" si="252"/>
        <v>364</v>
      </c>
      <c r="AD424" s="510">
        <f t="shared" si="253"/>
        <v>290212.1599999998</v>
      </c>
      <c r="AE424" s="510">
        <f t="shared" si="225"/>
        <v>0</v>
      </c>
      <c r="AF424" s="510">
        <f t="shared" si="226"/>
        <v>290212.1599999998</v>
      </c>
      <c r="AG424" s="510">
        <f t="shared" si="254"/>
        <v>0</v>
      </c>
      <c r="AH424" s="510">
        <f t="shared" si="255"/>
        <v>0</v>
      </c>
      <c r="AI424" s="510"/>
      <c r="AJ424" s="14">
        <f t="shared" si="234"/>
        <v>0</v>
      </c>
      <c r="AK424" s="14">
        <f t="shared" si="235"/>
        <v>0</v>
      </c>
      <c r="AL424" s="510">
        <f>IF(R424&lt;=0,0,+(Profit!$B$4+AM423)*$AL$1/12)</f>
        <v>0</v>
      </c>
      <c r="AM424" s="14">
        <f t="shared" si="256"/>
        <v>0</v>
      </c>
    </row>
    <row r="425" spans="1:39" x14ac:dyDescent="0.25">
      <c r="A425" s="499" t="str">
        <f t="shared" si="245"/>
        <v xml:space="preserve"> </v>
      </c>
      <c r="B425" s="288">
        <f t="shared" si="222"/>
        <v>0</v>
      </c>
      <c r="C425" s="14">
        <f t="shared" si="236"/>
        <v>0</v>
      </c>
      <c r="D425" s="14">
        <f t="shared" si="257"/>
        <v>0</v>
      </c>
      <c r="E425" s="14">
        <f t="shared" si="237"/>
        <v>0</v>
      </c>
      <c r="F425" s="288">
        <f t="shared" si="246"/>
        <v>83147.320000000007</v>
      </c>
      <c r="G425" s="288">
        <f t="shared" si="247"/>
        <v>55052.229999999989</v>
      </c>
      <c r="H425" s="288">
        <f t="shared" si="238"/>
        <v>0</v>
      </c>
      <c r="I425" s="410">
        <f t="shared" si="239"/>
        <v>30</v>
      </c>
      <c r="J425" s="288">
        <f t="shared" si="259"/>
        <v>0</v>
      </c>
      <c r="K425" s="288">
        <f t="shared" si="228"/>
        <v>0</v>
      </c>
      <c r="L425" s="288">
        <f t="shared" si="258"/>
        <v>0</v>
      </c>
      <c r="M425" s="288">
        <f t="shared" si="229"/>
        <v>0</v>
      </c>
      <c r="N425" s="288">
        <f t="shared" si="249"/>
        <v>354375.66999999987</v>
      </c>
      <c r="O425" s="288">
        <f t="shared" si="250"/>
        <v>473073.52999999985</v>
      </c>
      <c r="P425" s="288">
        <f t="shared" si="240"/>
        <v>0</v>
      </c>
      <c r="Q425" s="499" t="str">
        <f t="shared" si="241"/>
        <v xml:space="preserve"> </v>
      </c>
      <c r="R425" s="288">
        <f t="shared" si="227"/>
        <v>0</v>
      </c>
      <c r="S425" s="492">
        <f t="shared" si="251"/>
        <v>6.7500000000000004E-2</v>
      </c>
      <c r="T425" s="288">
        <f t="shared" si="242"/>
        <v>0</v>
      </c>
      <c r="U425" s="288">
        <f t="shared" si="230"/>
        <v>0</v>
      </c>
      <c r="V425" s="288">
        <f t="shared" si="243"/>
        <v>0</v>
      </c>
      <c r="W425" s="288">
        <f t="shared" si="223"/>
        <v>0</v>
      </c>
      <c r="X425" s="288">
        <f t="shared" si="224"/>
        <v>0</v>
      </c>
      <c r="Y425" s="288">
        <f t="shared" si="231"/>
        <v>0</v>
      </c>
      <c r="Z425" s="288">
        <f t="shared" si="232"/>
        <v>357260.75999999995</v>
      </c>
      <c r="AA425" s="288">
        <f t="shared" si="233"/>
        <v>179976.28000000012</v>
      </c>
      <c r="AB425" s="288">
        <f t="shared" si="244"/>
        <v>0</v>
      </c>
      <c r="AC425" s="410">
        <f t="shared" si="252"/>
        <v>365</v>
      </c>
      <c r="AD425" s="510">
        <f t="shared" si="253"/>
        <v>290212.1599999998</v>
      </c>
      <c r="AE425" s="510">
        <f t="shared" si="225"/>
        <v>0</v>
      </c>
      <c r="AF425" s="510">
        <f t="shared" si="226"/>
        <v>290212.1599999998</v>
      </c>
      <c r="AG425" s="510">
        <f t="shared" si="254"/>
        <v>0</v>
      </c>
      <c r="AH425" s="510">
        <f t="shared" si="255"/>
        <v>0</v>
      </c>
      <c r="AI425" s="510"/>
      <c r="AJ425" s="14">
        <f t="shared" si="234"/>
        <v>0</v>
      </c>
      <c r="AK425" s="14">
        <f t="shared" si="235"/>
        <v>0</v>
      </c>
      <c r="AL425" s="510">
        <f>IF(R425&lt;=0,0,+(Profit!$B$4+AM424)*$AL$1/12)</f>
        <v>0</v>
      </c>
      <c r="AM425" s="14">
        <f t="shared" si="256"/>
        <v>0</v>
      </c>
    </row>
    <row r="426" spans="1:39" x14ac:dyDescent="0.25">
      <c r="A426" s="499" t="str">
        <f t="shared" si="245"/>
        <v xml:space="preserve"> </v>
      </c>
      <c r="B426" s="288">
        <f t="shared" si="222"/>
        <v>0</v>
      </c>
      <c r="C426" s="14">
        <f t="shared" si="236"/>
        <v>0</v>
      </c>
      <c r="D426" s="14">
        <f t="shared" si="257"/>
        <v>0</v>
      </c>
      <c r="E426" s="14">
        <f t="shared" si="237"/>
        <v>0</v>
      </c>
      <c r="F426" s="288">
        <f t="shared" si="246"/>
        <v>83147.320000000007</v>
      </c>
      <c r="G426" s="288">
        <f t="shared" si="247"/>
        <v>55052.229999999989</v>
      </c>
      <c r="H426" s="288">
        <f t="shared" si="238"/>
        <v>0</v>
      </c>
      <c r="I426" s="410">
        <f t="shared" si="239"/>
        <v>30</v>
      </c>
      <c r="J426" s="288">
        <f t="shared" si="259"/>
        <v>0</v>
      </c>
      <c r="K426" s="288">
        <f t="shared" si="228"/>
        <v>0</v>
      </c>
      <c r="L426" s="288">
        <f t="shared" si="258"/>
        <v>0</v>
      </c>
      <c r="M426" s="288">
        <f t="shared" si="229"/>
        <v>0</v>
      </c>
      <c r="N426" s="288">
        <f t="shared" si="249"/>
        <v>354375.66999999987</v>
      </c>
      <c r="O426" s="288">
        <f t="shared" si="250"/>
        <v>473073.52999999985</v>
      </c>
      <c r="P426" s="288">
        <f t="shared" si="240"/>
        <v>0</v>
      </c>
      <c r="Q426" s="499" t="str">
        <f t="shared" si="241"/>
        <v xml:space="preserve"> </v>
      </c>
      <c r="R426" s="288">
        <f t="shared" si="227"/>
        <v>0</v>
      </c>
      <c r="S426" s="492">
        <f t="shared" si="251"/>
        <v>6.7500000000000004E-2</v>
      </c>
      <c r="T426" s="288">
        <f t="shared" si="242"/>
        <v>0</v>
      </c>
      <c r="U426" s="288">
        <f t="shared" si="230"/>
        <v>0</v>
      </c>
      <c r="V426" s="288">
        <f t="shared" si="243"/>
        <v>0</v>
      </c>
      <c r="W426" s="288">
        <f t="shared" si="223"/>
        <v>0</v>
      </c>
      <c r="X426" s="288">
        <f t="shared" si="224"/>
        <v>0</v>
      </c>
      <c r="Y426" s="288">
        <f t="shared" si="231"/>
        <v>0</v>
      </c>
      <c r="Z426" s="288">
        <f t="shared" si="232"/>
        <v>357260.75999999995</v>
      </c>
      <c r="AA426" s="288">
        <f t="shared" si="233"/>
        <v>179976.28000000012</v>
      </c>
      <c r="AB426" s="288">
        <f t="shared" si="244"/>
        <v>0</v>
      </c>
      <c r="AC426" s="410">
        <f t="shared" si="252"/>
        <v>366</v>
      </c>
      <c r="AD426" s="510">
        <f t="shared" si="253"/>
        <v>290212.1599999998</v>
      </c>
      <c r="AE426" s="510">
        <f t="shared" si="225"/>
        <v>0</v>
      </c>
      <c r="AF426" s="510">
        <f t="shared" si="226"/>
        <v>290212.1599999998</v>
      </c>
      <c r="AG426" s="510">
        <f t="shared" si="254"/>
        <v>0</v>
      </c>
      <c r="AH426" s="510">
        <f t="shared" si="255"/>
        <v>0</v>
      </c>
      <c r="AI426" s="510"/>
      <c r="AJ426" s="14">
        <f t="shared" si="234"/>
        <v>0</v>
      </c>
      <c r="AK426" s="14">
        <f t="shared" si="235"/>
        <v>0</v>
      </c>
      <c r="AL426" s="510">
        <f>IF(R426&lt;=0,0,+(Profit!$B$4+AM425)*$AL$1/12)</f>
        <v>0</v>
      </c>
      <c r="AM426" s="14">
        <f t="shared" si="256"/>
        <v>0</v>
      </c>
    </row>
    <row r="427" spans="1:39" x14ac:dyDescent="0.25">
      <c r="A427" s="499" t="str">
        <f t="shared" si="245"/>
        <v xml:space="preserve"> </v>
      </c>
      <c r="B427" s="288">
        <f t="shared" si="222"/>
        <v>0</v>
      </c>
      <c r="C427" s="14">
        <f t="shared" si="236"/>
        <v>0</v>
      </c>
      <c r="D427" s="14">
        <f t="shared" si="257"/>
        <v>0</v>
      </c>
      <c r="E427" s="14">
        <f t="shared" si="237"/>
        <v>0</v>
      </c>
      <c r="F427" s="288">
        <f t="shared" si="246"/>
        <v>83147.320000000007</v>
      </c>
      <c r="G427" s="288">
        <f t="shared" si="247"/>
        <v>55052.229999999989</v>
      </c>
      <c r="H427" s="288">
        <f t="shared" si="238"/>
        <v>0</v>
      </c>
      <c r="I427" s="410">
        <f t="shared" si="239"/>
        <v>30</v>
      </c>
      <c r="J427" s="288">
        <f t="shared" si="259"/>
        <v>0</v>
      </c>
      <c r="K427" s="288">
        <f t="shared" si="228"/>
        <v>0</v>
      </c>
      <c r="L427" s="288">
        <f t="shared" si="258"/>
        <v>0</v>
      </c>
      <c r="M427" s="288">
        <f t="shared" si="229"/>
        <v>0</v>
      </c>
      <c r="N427" s="288">
        <f t="shared" si="249"/>
        <v>354375.66999999987</v>
      </c>
      <c r="O427" s="288">
        <f t="shared" si="250"/>
        <v>473073.52999999985</v>
      </c>
      <c r="P427" s="288">
        <f t="shared" si="240"/>
        <v>0</v>
      </c>
      <c r="Q427" s="499" t="str">
        <f t="shared" si="241"/>
        <v xml:space="preserve"> </v>
      </c>
      <c r="R427" s="288">
        <f t="shared" si="227"/>
        <v>0</v>
      </c>
      <c r="S427" s="492">
        <f t="shared" si="251"/>
        <v>6.7500000000000004E-2</v>
      </c>
      <c r="T427" s="288">
        <f t="shared" si="242"/>
        <v>0</v>
      </c>
      <c r="U427" s="288">
        <f t="shared" si="230"/>
        <v>0</v>
      </c>
      <c r="V427" s="288">
        <f t="shared" si="243"/>
        <v>0</v>
      </c>
      <c r="W427" s="288">
        <f t="shared" si="223"/>
        <v>0</v>
      </c>
      <c r="X427" s="288">
        <f t="shared" si="224"/>
        <v>0</v>
      </c>
      <c r="Y427" s="288">
        <f t="shared" si="231"/>
        <v>0</v>
      </c>
      <c r="Z427" s="288">
        <f t="shared" si="232"/>
        <v>357260.75999999995</v>
      </c>
      <c r="AA427" s="288">
        <f t="shared" si="233"/>
        <v>179976.28000000012</v>
      </c>
      <c r="AB427" s="288">
        <f t="shared" si="244"/>
        <v>0</v>
      </c>
      <c r="AC427" s="410">
        <f t="shared" si="252"/>
        <v>367</v>
      </c>
      <c r="AD427" s="510">
        <f t="shared" si="253"/>
        <v>290212.1599999998</v>
      </c>
      <c r="AE427" s="510">
        <f t="shared" si="225"/>
        <v>0</v>
      </c>
      <c r="AF427" s="510">
        <f t="shared" si="226"/>
        <v>290212.1599999998</v>
      </c>
      <c r="AG427" s="510">
        <f t="shared" si="254"/>
        <v>0</v>
      </c>
      <c r="AH427" s="510">
        <f t="shared" si="255"/>
        <v>0</v>
      </c>
      <c r="AI427" s="510"/>
      <c r="AJ427" s="14">
        <f t="shared" si="234"/>
        <v>0</v>
      </c>
      <c r="AK427" s="14">
        <f t="shared" si="235"/>
        <v>0</v>
      </c>
      <c r="AL427" s="510">
        <f>IF(R427&lt;=0,0,+(Profit!$B$4+AM426)*$AL$1/12)</f>
        <v>0</v>
      </c>
      <c r="AM427" s="14">
        <f t="shared" si="256"/>
        <v>0</v>
      </c>
    </row>
    <row r="428" spans="1:39" x14ac:dyDescent="0.25">
      <c r="A428" s="499" t="str">
        <f t="shared" si="245"/>
        <v xml:space="preserve"> </v>
      </c>
      <c r="B428" s="288">
        <f t="shared" si="222"/>
        <v>0</v>
      </c>
      <c r="C428" s="14">
        <f t="shared" si="236"/>
        <v>0</v>
      </c>
      <c r="D428" s="14">
        <f t="shared" si="257"/>
        <v>0</v>
      </c>
      <c r="E428" s="14">
        <f t="shared" si="237"/>
        <v>0</v>
      </c>
      <c r="F428" s="288">
        <f t="shared" si="246"/>
        <v>83147.320000000007</v>
      </c>
      <c r="G428" s="288">
        <f t="shared" si="247"/>
        <v>55052.229999999989</v>
      </c>
      <c r="H428" s="288">
        <f t="shared" si="238"/>
        <v>0</v>
      </c>
      <c r="I428" s="410">
        <f t="shared" si="239"/>
        <v>30</v>
      </c>
      <c r="J428" s="288">
        <f t="shared" si="259"/>
        <v>0</v>
      </c>
      <c r="K428" s="288">
        <f t="shared" si="228"/>
        <v>0</v>
      </c>
      <c r="L428" s="288">
        <f t="shared" si="258"/>
        <v>0</v>
      </c>
      <c r="M428" s="288">
        <f t="shared" si="229"/>
        <v>0</v>
      </c>
      <c r="N428" s="288">
        <f t="shared" si="249"/>
        <v>354375.66999999987</v>
      </c>
      <c r="O428" s="288">
        <f t="shared" si="250"/>
        <v>473073.52999999985</v>
      </c>
      <c r="P428" s="288">
        <f t="shared" si="240"/>
        <v>0</v>
      </c>
      <c r="Q428" s="499" t="str">
        <f t="shared" si="241"/>
        <v xml:space="preserve"> </v>
      </c>
      <c r="R428" s="288">
        <f t="shared" si="227"/>
        <v>0</v>
      </c>
      <c r="S428" s="492">
        <f t="shared" si="251"/>
        <v>6.7500000000000004E-2</v>
      </c>
      <c r="T428" s="288">
        <f t="shared" si="242"/>
        <v>0</v>
      </c>
      <c r="U428" s="288">
        <f t="shared" si="230"/>
        <v>0</v>
      </c>
      <c r="V428" s="288">
        <f t="shared" si="243"/>
        <v>0</v>
      </c>
      <c r="W428" s="288">
        <f t="shared" si="223"/>
        <v>0</v>
      </c>
      <c r="X428" s="288">
        <f t="shared" si="224"/>
        <v>0</v>
      </c>
      <c r="Y428" s="288">
        <f t="shared" si="231"/>
        <v>0</v>
      </c>
      <c r="Z428" s="288">
        <f t="shared" si="232"/>
        <v>357260.75999999995</v>
      </c>
      <c r="AA428" s="288">
        <f t="shared" si="233"/>
        <v>179976.28000000012</v>
      </c>
      <c r="AB428" s="288">
        <f t="shared" si="244"/>
        <v>0</v>
      </c>
      <c r="AC428" s="410">
        <f t="shared" si="252"/>
        <v>368</v>
      </c>
      <c r="AD428" s="510">
        <f t="shared" si="253"/>
        <v>290212.1599999998</v>
      </c>
      <c r="AE428" s="510">
        <f t="shared" si="225"/>
        <v>0</v>
      </c>
      <c r="AF428" s="510">
        <f t="shared" si="226"/>
        <v>290212.1599999998</v>
      </c>
      <c r="AG428" s="510">
        <f t="shared" si="254"/>
        <v>0</v>
      </c>
      <c r="AH428" s="510">
        <f t="shared" si="255"/>
        <v>0</v>
      </c>
      <c r="AI428" s="510"/>
      <c r="AJ428" s="14">
        <f t="shared" si="234"/>
        <v>0</v>
      </c>
      <c r="AK428" s="14">
        <f t="shared" si="235"/>
        <v>0</v>
      </c>
      <c r="AL428" s="510">
        <f>IF(R428&lt;=0,0,+(Profit!$B$4+AM427)*$AL$1/12)</f>
        <v>0</v>
      </c>
      <c r="AM428" s="14">
        <f t="shared" si="256"/>
        <v>0</v>
      </c>
    </row>
    <row r="429" spans="1:39" x14ac:dyDescent="0.25">
      <c r="A429" s="499" t="str">
        <f t="shared" si="245"/>
        <v xml:space="preserve"> </v>
      </c>
      <c r="B429" s="288">
        <f t="shared" si="222"/>
        <v>0</v>
      </c>
      <c r="C429" s="14">
        <f t="shared" si="236"/>
        <v>0</v>
      </c>
      <c r="D429" s="14">
        <f t="shared" si="257"/>
        <v>0</v>
      </c>
      <c r="E429" s="14">
        <f t="shared" si="237"/>
        <v>0</v>
      </c>
      <c r="F429" s="288">
        <f t="shared" si="246"/>
        <v>83147.320000000007</v>
      </c>
      <c r="G429" s="288">
        <f t="shared" si="247"/>
        <v>55052.229999999989</v>
      </c>
      <c r="H429" s="288">
        <f t="shared" si="238"/>
        <v>0</v>
      </c>
      <c r="I429" s="410">
        <f t="shared" si="239"/>
        <v>30</v>
      </c>
      <c r="J429" s="288">
        <f t="shared" si="259"/>
        <v>0</v>
      </c>
      <c r="K429" s="288">
        <f t="shared" si="228"/>
        <v>0</v>
      </c>
      <c r="L429" s="288">
        <f t="shared" si="258"/>
        <v>0</v>
      </c>
      <c r="M429" s="288">
        <f t="shared" si="229"/>
        <v>0</v>
      </c>
      <c r="N429" s="288">
        <f t="shared" si="249"/>
        <v>354375.66999999987</v>
      </c>
      <c r="O429" s="288">
        <f t="shared" si="250"/>
        <v>473073.52999999985</v>
      </c>
      <c r="P429" s="288">
        <f t="shared" si="240"/>
        <v>0</v>
      </c>
      <c r="Q429" s="499" t="str">
        <f t="shared" si="241"/>
        <v xml:space="preserve"> </v>
      </c>
      <c r="R429" s="288">
        <f t="shared" si="227"/>
        <v>0</v>
      </c>
      <c r="S429" s="492">
        <f t="shared" si="251"/>
        <v>6.7500000000000004E-2</v>
      </c>
      <c r="T429" s="288">
        <f t="shared" si="242"/>
        <v>0</v>
      </c>
      <c r="U429" s="288">
        <f t="shared" si="230"/>
        <v>0</v>
      </c>
      <c r="V429" s="288">
        <f t="shared" si="243"/>
        <v>0</v>
      </c>
      <c r="W429" s="288">
        <f t="shared" si="223"/>
        <v>0</v>
      </c>
      <c r="X429" s="288">
        <f t="shared" si="224"/>
        <v>0</v>
      </c>
      <c r="Y429" s="288">
        <f t="shared" si="231"/>
        <v>0</v>
      </c>
      <c r="Z429" s="288">
        <f t="shared" si="232"/>
        <v>357260.75999999995</v>
      </c>
      <c r="AA429" s="288">
        <f t="shared" si="233"/>
        <v>179976.28000000012</v>
      </c>
      <c r="AB429" s="288">
        <f t="shared" si="244"/>
        <v>0</v>
      </c>
      <c r="AC429" s="410">
        <f t="shared" si="252"/>
        <v>369</v>
      </c>
      <c r="AD429" s="510">
        <f t="shared" si="253"/>
        <v>290212.1599999998</v>
      </c>
      <c r="AE429" s="510">
        <f t="shared" si="225"/>
        <v>0</v>
      </c>
      <c r="AF429" s="510">
        <f t="shared" si="226"/>
        <v>290212.1599999998</v>
      </c>
      <c r="AG429" s="510">
        <f t="shared" si="254"/>
        <v>0</v>
      </c>
      <c r="AH429" s="510">
        <f t="shared" si="255"/>
        <v>0</v>
      </c>
      <c r="AI429" s="510"/>
      <c r="AJ429" s="14">
        <f t="shared" si="234"/>
        <v>0</v>
      </c>
      <c r="AK429" s="14">
        <f t="shared" si="235"/>
        <v>0</v>
      </c>
      <c r="AL429" s="510">
        <f>IF(R429&lt;=0,0,+(Profit!$B$4+AM428)*$AL$1/12)</f>
        <v>0</v>
      </c>
      <c r="AM429" s="14">
        <f t="shared" si="256"/>
        <v>0</v>
      </c>
    </row>
    <row r="430" spans="1:39" x14ac:dyDescent="0.25">
      <c r="A430" s="499" t="str">
        <f t="shared" si="245"/>
        <v xml:space="preserve"> </v>
      </c>
      <c r="B430" s="288">
        <f t="shared" si="222"/>
        <v>0</v>
      </c>
      <c r="C430" s="14">
        <f t="shared" si="236"/>
        <v>0</v>
      </c>
      <c r="D430" s="14">
        <f t="shared" si="257"/>
        <v>0</v>
      </c>
      <c r="E430" s="14">
        <f t="shared" si="237"/>
        <v>0</v>
      </c>
      <c r="F430" s="288">
        <f t="shared" si="246"/>
        <v>83147.320000000007</v>
      </c>
      <c r="G430" s="288">
        <f t="shared" si="247"/>
        <v>55052.229999999989</v>
      </c>
      <c r="H430" s="288">
        <f t="shared" si="238"/>
        <v>0</v>
      </c>
      <c r="I430" s="410">
        <f t="shared" si="239"/>
        <v>30</v>
      </c>
      <c r="J430" s="288">
        <f t="shared" si="259"/>
        <v>0</v>
      </c>
      <c r="K430" s="288">
        <f t="shared" si="228"/>
        <v>0</v>
      </c>
      <c r="L430" s="288">
        <f t="shared" si="258"/>
        <v>0</v>
      </c>
      <c r="M430" s="288">
        <f t="shared" si="229"/>
        <v>0</v>
      </c>
      <c r="N430" s="288">
        <f t="shared" si="249"/>
        <v>354375.66999999987</v>
      </c>
      <c r="O430" s="288">
        <f t="shared" si="250"/>
        <v>473073.52999999985</v>
      </c>
      <c r="P430" s="288">
        <f t="shared" si="240"/>
        <v>0</v>
      </c>
      <c r="Q430" s="499" t="str">
        <f t="shared" si="241"/>
        <v xml:space="preserve"> </v>
      </c>
      <c r="R430" s="288">
        <f t="shared" si="227"/>
        <v>0</v>
      </c>
      <c r="S430" s="492">
        <f t="shared" si="251"/>
        <v>6.7500000000000004E-2</v>
      </c>
      <c r="T430" s="288">
        <f t="shared" si="242"/>
        <v>0</v>
      </c>
      <c r="U430" s="288">
        <f t="shared" si="230"/>
        <v>0</v>
      </c>
      <c r="V430" s="288">
        <f t="shared" si="243"/>
        <v>0</v>
      </c>
      <c r="W430" s="288">
        <f t="shared" si="223"/>
        <v>0</v>
      </c>
      <c r="X430" s="288">
        <f t="shared" si="224"/>
        <v>0</v>
      </c>
      <c r="Y430" s="288">
        <f t="shared" si="231"/>
        <v>0</v>
      </c>
      <c r="Z430" s="288">
        <f t="shared" si="232"/>
        <v>357260.75999999995</v>
      </c>
      <c r="AA430" s="288">
        <f t="shared" si="233"/>
        <v>179976.28000000012</v>
      </c>
      <c r="AB430" s="288">
        <f t="shared" si="244"/>
        <v>0</v>
      </c>
      <c r="AC430" s="410">
        <f t="shared" si="252"/>
        <v>370</v>
      </c>
      <c r="AD430" s="510">
        <f t="shared" si="253"/>
        <v>290212.1599999998</v>
      </c>
      <c r="AE430" s="510">
        <f t="shared" si="225"/>
        <v>0</v>
      </c>
      <c r="AF430" s="510">
        <f t="shared" si="226"/>
        <v>290212.1599999998</v>
      </c>
      <c r="AG430" s="510">
        <f t="shared" si="254"/>
        <v>0</v>
      </c>
      <c r="AH430" s="510">
        <f t="shared" si="255"/>
        <v>0</v>
      </c>
      <c r="AI430" s="510"/>
      <c r="AJ430" s="14">
        <f t="shared" si="234"/>
        <v>0</v>
      </c>
      <c r="AK430" s="14">
        <f t="shared" si="235"/>
        <v>0</v>
      </c>
      <c r="AL430" s="510">
        <f>IF(R430&lt;=0,0,+(Profit!$B$4+AM429)*$AL$1/12)</f>
        <v>0</v>
      </c>
      <c r="AM430" s="14">
        <f t="shared" si="256"/>
        <v>0</v>
      </c>
    </row>
    <row r="431" spans="1:39" x14ac:dyDescent="0.25">
      <c r="A431" s="499" t="str">
        <f t="shared" si="245"/>
        <v xml:space="preserve"> </v>
      </c>
      <c r="B431" s="288">
        <f t="shared" si="222"/>
        <v>0</v>
      </c>
      <c r="C431" s="14">
        <f t="shared" si="236"/>
        <v>0</v>
      </c>
      <c r="D431" s="14">
        <f t="shared" si="257"/>
        <v>0</v>
      </c>
      <c r="E431" s="14">
        <f t="shared" si="237"/>
        <v>0</v>
      </c>
      <c r="F431" s="288">
        <f t="shared" si="246"/>
        <v>83147.320000000007</v>
      </c>
      <c r="G431" s="288">
        <f t="shared" si="247"/>
        <v>55052.229999999989</v>
      </c>
      <c r="H431" s="288">
        <f t="shared" si="238"/>
        <v>0</v>
      </c>
      <c r="I431" s="410">
        <f t="shared" si="239"/>
        <v>30</v>
      </c>
      <c r="J431" s="288">
        <f t="shared" si="259"/>
        <v>0</v>
      </c>
      <c r="K431" s="288">
        <f t="shared" si="228"/>
        <v>0</v>
      </c>
      <c r="L431" s="288">
        <f t="shared" si="258"/>
        <v>0</v>
      </c>
      <c r="M431" s="288">
        <f t="shared" si="229"/>
        <v>0</v>
      </c>
      <c r="N431" s="288">
        <f t="shared" si="249"/>
        <v>354375.66999999987</v>
      </c>
      <c r="O431" s="288">
        <f t="shared" si="250"/>
        <v>473073.52999999985</v>
      </c>
      <c r="P431" s="288">
        <f t="shared" si="240"/>
        <v>0</v>
      </c>
      <c r="Q431" s="499" t="str">
        <f t="shared" si="241"/>
        <v xml:space="preserve"> </v>
      </c>
      <c r="R431" s="288">
        <f t="shared" si="227"/>
        <v>0</v>
      </c>
      <c r="S431" s="492">
        <f t="shared" si="251"/>
        <v>6.7500000000000004E-2</v>
      </c>
      <c r="T431" s="288">
        <f t="shared" si="242"/>
        <v>0</v>
      </c>
      <c r="U431" s="288">
        <f t="shared" si="230"/>
        <v>0</v>
      </c>
      <c r="V431" s="288">
        <f t="shared" si="243"/>
        <v>0</v>
      </c>
      <c r="W431" s="288">
        <f t="shared" si="223"/>
        <v>0</v>
      </c>
      <c r="X431" s="288">
        <f t="shared" si="224"/>
        <v>0</v>
      </c>
      <c r="Y431" s="288">
        <f t="shared" si="231"/>
        <v>0</v>
      </c>
      <c r="Z431" s="288">
        <f t="shared" si="232"/>
        <v>357260.75999999995</v>
      </c>
      <c r="AA431" s="288">
        <f t="shared" si="233"/>
        <v>179976.28000000012</v>
      </c>
      <c r="AB431" s="288">
        <f t="shared" si="244"/>
        <v>0</v>
      </c>
      <c r="AC431" s="410">
        <f t="shared" si="252"/>
        <v>371</v>
      </c>
      <c r="AD431" s="510">
        <f t="shared" si="253"/>
        <v>290212.1599999998</v>
      </c>
      <c r="AE431" s="510">
        <f t="shared" si="225"/>
        <v>0</v>
      </c>
      <c r="AF431" s="510">
        <f t="shared" si="226"/>
        <v>290212.1599999998</v>
      </c>
      <c r="AG431" s="510">
        <f t="shared" si="254"/>
        <v>0</v>
      </c>
      <c r="AH431" s="510">
        <f t="shared" si="255"/>
        <v>0</v>
      </c>
      <c r="AI431" s="510"/>
      <c r="AJ431" s="14">
        <f t="shared" si="234"/>
        <v>0</v>
      </c>
      <c r="AK431" s="14">
        <f t="shared" si="235"/>
        <v>0</v>
      </c>
      <c r="AL431" s="510">
        <f>IF(R431&lt;=0,0,+(Profit!$B$4+AM430)*$AL$1/12)</f>
        <v>0</v>
      </c>
      <c r="AM431" s="14">
        <f t="shared" si="256"/>
        <v>0</v>
      </c>
    </row>
    <row r="432" spans="1:39" x14ac:dyDescent="0.25">
      <c r="A432" s="499" t="str">
        <f t="shared" si="245"/>
        <v xml:space="preserve"> </v>
      </c>
      <c r="B432" s="288">
        <f t="shared" si="222"/>
        <v>0</v>
      </c>
      <c r="C432" s="14">
        <f t="shared" si="236"/>
        <v>0</v>
      </c>
      <c r="D432" s="14">
        <f t="shared" si="257"/>
        <v>0</v>
      </c>
      <c r="E432" s="14">
        <f t="shared" si="237"/>
        <v>0</v>
      </c>
      <c r="F432" s="288">
        <f t="shared" si="246"/>
        <v>83147.320000000007</v>
      </c>
      <c r="G432" s="288">
        <f t="shared" si="247"/>
        <v>55052.229999999989</v>
      </c>
      <c r="H432" s="288">
        <f t="shared" si="238"/>
        <v>0</v>
      </c>
      <c r="I432" s="410">
        <f t="shared" si="239"/>
        <v>31</v>
      </c>
      <c r="J432" s="288">
        <f t="shared" si="259"/>
        <v>0</v>
      </c>
      <c r="K432" s="288">
        <f t="shared" si="228"/>
        <v>0</v>
      </c>
      <c r="L432" s="288">
        <f t="shared" si="258"/>
        <v>0</v>
      </c>
      <c r="M432" s="288">
        <f t="shared" si="229"/>
        <v>0</v>
      </c>
      <c r="N432" s="288">
        <f t="shared" si="249"/>
        <v>354375.66999999987</v>
      </c>
      <c r="O432" s="288">
        <f t="shared" si="250"/>
        <v>473073.52999999985</v>
      </c>
      <c r="P432" s="288">
        <f t="shared" si="240"/>
        <v>0</v>
      </c>
      <c r="Q432" s="499" t="str">
        <f t="shared" si="241"/>
        <v xml:space="preserve"> </v>
      </c>
      <c r="R432" s="288">
        <f t="shared" si="227"/>
        <v>0</v>
      </c>
      <c r="S432" s="492">
        <f t="shared" si="251"/>
        <v>6.7500000000000004E-2</v>
      </c>
      <c r="T432" s="288">
        <f t="shared" si="242"/>
        <v>0</v>
      </c>
      <c r="U432" s="288">
        <f t="shared" si="230"/>
        <v>0</v>
      </c>
      <c r="V432" s="288">
        <f t="shared" si="243"/>
        <v>0</v>
      </c>
      <c r="W432" s="288">
        <f t="shared" si="223"/>
        <v>0</v>
      </c>
      <c r="X432" s="288">
        <f t="shared" si="224"/>
        <v>0</v>
      </c>
      <c r="Y432" s="288">
        <f t="shared" si="231"/>
        <v>0</v>
      </c>
      <c r="Z432" s="288">
        <f t="shared" si="232"/>
        <v>357260.75999999995</v>
      </c>
      <c r="AA432" s="288">
        <f t="shared" si="233"/>
        <v>179976.28000000012</v>
      </c>
      <c r="AB432" s="288">
        <f t="shared" si="244"/>
        <v>0</v>
      </c>
      <c r="AC432" s="410">
        <f t="shared" si="252"/>
        <v>372</v>
      </c>
      <c r="AD432" s="510">
        <f t="shared" si="253"/>
        <v>290212.1599999998</v>
      </c>
      <c r="AE432" s="510">
        <f t="shared" si="225"/>
        <v>0</v>
      </c>
      <c r="AF432" s="510">
        <f t="shared" si="226"/>
        <v>290212.1599999998</v>
      </c>
      <c r="AG432" s="510">
        <f t="shared" si="254"/>
        <v>0</v>
      </c>
      <c r="AH432" s="510">
        <f t="shared" si="255"/>
        <v>0</v>
      </c>
      <c r="AI432" s="510"/>
      <c r="AJ432" s="14">
        <f t="shared" si="234"/>
        <v>0</v>
      </c>
      <c r="AK432" s="14">
        <f t="shared" si="235"/>
        <v>0</v>
      </c>
      <c r="AL432" s="510">
        <f>IF(R432&lt;=0,0,+(Profit!$B$4+AM431)*$AL$1/12)</f>
        <v>0</v>
      </c>
      <c r="AM432" s="14">
        <f t="shared" si="256"/>
        <v>0</v>
      </c>
    </row>
    <row r="433" spans="1:39" x14ac:dyDescent="0.25">
      <c r="A433" s="499" t="str">
        <f t="shared" si="245"/>
        <v xml:space="preserve"> </v>
      </c>
      <c r="B433" s="288">
        <f t="shared" si="222"/>
        <v>0</v>
      </c>
      <c r="C433" s="14">
        <f t="shared" si="236"/>
        <v>0</v>
      </c>
      <c r="D433" s="14">
        <f t="shared" si="257"/>
        <v>0</v>
      </c>
      <c r="E433" s="14">
        <f t="shared" si="237"/>
        <v>0</v>
      </c>
      <c r="F433" s="288">
        <f t="shared" si="246"/>
        <v>83147.320000000007</v>
      </c>
      <c r="G433" s="288">
        <f t="shared" si="247"/>
        <v>55052.229999999989</v>
      </c>
      <c r="H433" s="288">
        <f t="shared" si="238"/>
        <v>0</v>
      </c>
      <c r="I433" s="410">
        <f t="shared" si="239"/>
        <v>31</v>
      </c>
      <c r="J433" s="288">
        <f t="shared" si="259"/>
        <v>0</v>
      </c>
      <c r="K433" s="288">
        <f t="shared" si="228"/>
        <v>0</v>
      </c>
      <c r="L433" s="288">
        <f t="shared" si="258"/>
        <v>0</v>
      </c>
      <c r="M433" s="288">
        <f t="shared" si="229"/>
        <v>0</v>
      </c>
      <c r="N433" s="288">
        <f t="shared" si="249"/>
        <v>354375.66999999987</v>
      </c>
      <c r="O433" s="288">
        <f t="shared" si="250"/>
        <v>473073.52999999985</v>
      </c>
      <c r="P433" s="288">
        <f t="shared" si="240"/>
        <v>0</v>
      </c>
      <c r="Q433" s="499" t="str">
        <f t="shared" si="241"/>
        <v xml:space="preserve"> </v>
      </c>
      <c r="R433" s="288">
        <f t="shared" si="227"/>
        <v>0</v>
      </c>
      <c r="S433" s="492">
        <f t="shared" si="251"/>
        <v>6.7500000000000004E-2</v>
      </c>
      <c r="T433" s="288">
        <f t="shared" si="242"/>
        <v>0</v>
      </c>
      <c r="U433" s="288">
        <f t="shared" si="230"/>
        <v>0</v>
      </c>
      <c r="V433" s="288">
        <f t="shared" si="243"/>
        <v>0</v>
      </c>
      <c r="W433" s="288">
        <f t="shared" si="223"/>
        <v>0</v>
      </c>
      <c r="X433" s="288">
        <f t="shared" si="224"/>
        <v>0</v>
      </c>
      <c r="Y433" s="288">
        <f t="shared" si="231"/>
        <v>0</v>
      </c>
      <c r="Z433" s="288">
        <f t="shared" si="232"/>
        <v>357260.75999999995</v>
      </c>
      <c r="AA433" s="288">
        <f t="shared" si="233"/>
        <v>179976.28000000012</v>
      </c>
      <c r="AB433" s="288">
        <f t="shared" si="244"/>
        <v>0</v>
      </c>
      <c r="AC433" s="410">
        <f t="shared" si="252"/>
        <v>373</v>
      </c>
      <c r="AD433" s="510">
        <f t="shared" si="253"/>
        <v>290212.1599999998</v>
      </c>
      <c r="AE433" s="510">
        <f t="shared" si="225"/>
        <v>0</v>
      </c>
      <c r="AF433" s="510">
        <f t="shared" si="226"/>
        <v>290212.1599999998</v>
      </c>
      <c r="AG433" s="510">
        <f t="shared" si="254"/>
        <v>0</v>
      </c>
      <c r="AH433" s="510">
        <f t="shared" si="255"/>
        <v>0</v>
      </c>
      <c r="AI433" s="510"/>
      <c r="AJ433" s="14">
        <f t="shared" si="234"/>
        <v>0</v>
      </c>
      <c r="AK433" s="14">
        <f t="shared" si="235"/>
        <v>0</v>
      </c>
      <c r="AL433" s="510">
        <f>IF(R433&lt;=0,0,+(Profit!$B$4+AM432)*$AL$1/12)</f>
        <v>0</v>
      </c>
      <c r="AM433" s="14">
        <f t="shared" si="256"/>
        <v>0</v>
      </c>
    </row>
    <row r="434" spans="1:39" ht="15.75" thickBot="1" x14ac:dyDescent="0.3">
      <c r="A434" s="502" t="str">
        <f t="shared" si="245"/>
        <v xml:space="preserve"> </v>
      </c>
      <c r="B434" s="343">
        <f t="shared" si="222"/>
        <v>0</v>
      </c>
      <c r="C434" s="21">
        <f t="shared" si="236"/>
        <v>0</v>
      </c>
      <c r="D434" s="21">
        <f t="shared" si="257"/>
        <v>0</v>
      </c>
      <c r="E434" s="21">
        <f t="shared" si="237"/>
        <v>0</v>
      </c>
      <c r="F434" s="343">
        <f t="shared" si="246"/>
        <v>83147.320000000007</v>
      </c>
      <c r="G434" s="343">
        <f t="shared" si="247"/>
        <v>55052.229999999989</v>
      </c>
      <c r="H434" s="343">
        <f t="shared" si="238"/>
        <v>0</v>
      </c>
      <c r="I434" s="411">
        <f t="shared" si="239"/>
        <v>31</v>
      </c>
      <c r="J434" s="343">
        <f t="shared" si="259"/>
        <v>0</v>
      </c>
      <c r="K434" s="343">
        <f t="shared" si="228"/>
        <v>0</v>
      </c>
      <c r="L434" s="343">
        <f t="shared" si="258"/>
        <v>0</v>
      </c>
      <c r="M434" s="343">
        <f t="shared" si="229"/>
        <v>0</v>
      </c>
      <c r="N434" s="343">
        <f t="shared" si="249"/>
        <v>354375.66999999987</v>
      </c>
      <c r="O434" s="343">
        <f t="shared" si="250"/>
        <v>473073.52999999985</v>
      </c>
      <c r="P434" s="343">
        <f t="shared" si="240"/>
        <v>0</v>
      </c>
      <c r="Q434" s="502" t="str">
        <f t="shared" si="241"/>
        <v xml:space="preserve"> </v>
      </c>
      <c r="R434" s="343">
        <f t="shared" si="227"/>
        <v>0</v>
      </c>
      <c r="S434" s="493">
        <f t="shared" si="251"/>
        <v>6.7500000000000004E-2</v>
      </c>
      <c r="T434" s="343">
        <f t="shared" si="242"/>
        <v>0</v>
      </c>
      <c r="U434" s="343">
        <f t="shared" si="230"/>
        <v>0</v>
      </c>
      <c r="V434" s="343">
        <f t="shared" si="243"/>
        <v>0</v>
      </c>
      <c r="W434" s="343">
        <f t="shared" si="223"/>
        <v>0</v>
      </c>
      <c r="X434" s="343">
        <f t="shared" si="224"/>
        <v>0</v>
      </c>
      <c r="Y434" s="343">
        <f t="shared" si="231"/>
        <v>0</v>
      </c>
      <c r="Z434" s="343">
        <f t="shared" si="232"/>
        <v>357260.75999999995</v>
      </c>
      <c r="AA434" s="343">
        <f t="shared" si="233"/>
        <v>179976.28000000012</v>
      </c>
      <c r="AB434" s="343">
        <f t="shared" si="244"/>
        <v>0</v>
      </c>
      <c r="AC434" s="411">
        <f t="shared" si="252"/>
        <v>374</v>
      </c>
      <c r="AD434" s="511">
        <f t="shared" si="253"/>
        <v>290212.1599999998</v>
      </c>
      <c r="AE434" s="511">
        <f t="shared" si="225"/>
        <v>0</v>
      </c>
      <c r="AF434" s="511">
        <f t="shared" si="226"/>
        <v>290212.1599999998</v>
      </c>
      <c r="AG434" s="511">
        <f t="shared" si="254"/>
        <v>0</v>
      </c>
      <c r="AH434" s="511">
        <f t="shared" si="255"/>
        <v>0</v>
      </c>
      <c r="AI434" s="511"/>
      <c r="AJ434" s="21">
        <f t="shared" si="234"/>
        <v>0</v>
      </c>
      <c r="AK434" s="21">
        <f t="shared" si="235"/>
        <v>0</v>
      </c>
      <c r="AL434" s="511">
        <f>IF(R434&lt;=0,0,+(Profit!$B$4+AM433)*$AL$1/12)</f>
        <v>0</v>
      </c>
      <c r="AM434" s="21">
        <f t="shared" si="256"/>
        <v>0</v>
      </c>
    </row>
    <row r="435" spans="1:39" x14ac:dyDescent="0.25">
      <c r="A435" s="499" t="str">
        <f t="shared" si="245"/>
        <v xml:space="preserve"> </v>
      </c>
      <c r="B435" s="288">
        <f t="shared" si="222"/>
        <v>0</v>
      </c>
      <c r="C435" s="14">
        <f t="shared" si="236"/>
        <v>0</v>
      </c>
      <c r="D435" s="14">
        <f t="shared" si="257"/>
        <v>0</v>
      </c>
      <c r="E435" s="14">
        <f t="shared" si="237"/>
        <v>0</v>
      </c>
      <c r="F435" s="288">
        <f t="shared" si="246"/>
        <v>83147.320000000007</v>
      </c>
      <c r="G435" s="288">
        <f t="shared" si="247"/>
        <v>55052.229999999989</v>
      </c>
      <c r="H435" s="288">
        <f t="shared" si="238"/>
        <v>0</v>
      </c>
      <c r="I435" s="410">
        <f t="shared" si="239"/>
        <v>31</v>
      </c>
      <c r="J435" s="288">
        <f t="shared" si="259"/>
        <v>0</v>
      </c>
      <c r="K435" s="288">
        <f t="shared" si="228"/>
        <v>0</v>
      </c>
      <c r="L435" s="288">
        <f t="shared" si="258"/>
        <v>0</v>
      </c>
      <c r="M435" s="288">
        <f t="shared" si="229"/>
        <v>0</v>
      </c>
      <c r="N435" s="288">
        <f t="shared" si="249"/>
        <v>354375.66999999987</v>
      </c>
      <c r="O435" s="288">
        <f t="shared" si="250"/>
        <v>473073.52999999985</v>
      </c>
      <c r="P435" s="288">
        <f t="shared" si="240"/>
        <v>0</v>
      </c>
      <c r="Q435" s="499" t="str">
        <f t="shared" si="241"/>
        <v xml:space="preserve"> </v>
      </c>
      <c r="R435" s="288">
        <f t="shared" si="227"/>
        <v>0</v>
      </c>
      <c r="S435" s="492">
        <f t="shared" si="251"/>
        <v>6.7500000000000004E-2</v>
      </c>
      <c r="T435" s="288">
        <f t="shared" si="242"/>
        <v>0</v>
      </c>
      <c r="U435" s="288">
        <f t="shared" si="230"/>
        <v>0</v>
      </c>
      <c r="V435" s="288">
        <f t="shared" si="243"/>
        <v>0</v>
      </c>
      <c r="W435" s="288">
        <f t="shared" si="223"/>
        <v>0</v>
      </c>
      <c r="X435" s="288">
        <f t="shared" si="224"/>
        <v>0</v>
      </c>
      <c r="Y435" s="288">
        <f t="shared" si="231"/>
        <v>0</v>
      </c>
      <c r="Z435" s="288">
        <f t="shared" si="232"/>
        <v>357260.75999999995</v>
      </c>
      <c r="AA435" s="288">
        <f t="shared" si="233"/>
        <v>179976.28000000012</v>
      </c>
      <c r="AB435" s="288">
        <f t="shared" si="244"/>
        <v>0</v>
      </c>
      <c r="AC435" s="410">
        <f t="shared" si="252"/>
        <v>375</v>
      </c>
      <c r="AD435" s="510">
        <f t="shared" si="253"/>
        <v>290212.1599999998</v>
      </c>
      <c r="AE435" s="510">
        <f t="shared" si="225"/>
        <v>0</v>
      </c>
      <c r="AF435" s="510">
        <f t="shared" si="226"/>
        <v>290212.1599999998</v>
      </c>
      <c r="AG435" s="510">
        <f t="shared" si="254"/>
        <v>0</v>
      </c>
      <c r="AH435" s="510">
        <f t="shared" si="255"/>
        <v>0</v>
      </c>
      <c r="AI435" s="510"/>
      <c r="AJ435" s="14">
        <f t="shared" si="234"/>
        <v>0</v>
      </c>
      <c r="AK435" s="14">
        <f t="shared" si="235"/>
        <v>0</v>
      </c>
      <c r="AL435" s="510">
        <f>IF(R435&lt;=0,0,+(Profit!$B$4+AM434)*$AL$1/12)</f>
        <v>0</v>
      </c>
      <c r="AM435" s="14">
        <f t="shared" si="256"/>
        <v>0</v>
      </c>
    </row>
    <row r="436" spans="1:39" x14ac:dyDescent="0.25">
      <c r="A436" s="499" t="str">
        <f t="shared" si="245"/>
        <v xml:space="preserve"> </v>
      </c>
      <c r="B436" s="288">
        <f t="shared" si="222"/>
        <v>0</v>
      </c>
      <c r="C436" s="14">
        <f t="shared" si="236"/>
        <v>0</v>
      </c>
      <c r="D436" s="14">
        <f t="shared" si="257"/>
        <v>0</v>
      </c>
      <c r="E436" s="14">
        <f t="shared" si="237"/>
        <v>0</v>
      </c>
      <c r="F436" s="288">
        <f t="shared" si="246"/>
        <v>83147.320000000007</v>
      </c>
      <c r="G436" s="288">
        <f t="shared" si="247"/>
        <v>55052.229999999989</v>
      </c>
      <c r="H436" s="288">
        <f t="shared" si="238"/>
        <v>0</v>
      </c>
      <c r="I436" s="410">
        <f t="shared" si="239"/>
        <v>31</v>
      </c>
      <c r="J436" s="288">
        <f t="shared" si="259"/>
        <v>0</v>
      </c>
      <c r="K436" s="288">
        <f t="shared" si="228"/>
        <v>0</v>
      </c>
      <c r="L436" s="288">
        <f t="shared" si="258"/>
        <v>0</v>
      </c>
      <c r="M436" s="288">
        <f t="shared" si="229"/>
        <v>0</v>
      </c>
      <c r="N436" s="288">
        <f t="shared" si="249"/>
        <v>354375.66999999987</v>
      </c>
      <c r="O436" s="288">
        <f t="shared" si="250"/>
        <v>473073.52999999985</v>
      </c>
      <c r="P436" s="288">
        <f t="shared" si="240"/>
        <v>0</v>
      </c>
      <c r="Q436" s="499" t="str">
        <f t="shared" si="241"/>
        <v xml:space="preserve"> </v>
      </c>
      <c r="R436" s="288">
        <f t="shared" si="227"/>
        <v>0</v>
      </c>
      <c r="S436" s="492">
        <f t="shared" si="251"/>
        <v>6.7500000000000004E-2</v>
      </c>
      <c r="T436" s="288">
        <f t="shared" si="242"/>
        <v>0</v>
      </c>
      <c r="U436" s="288">
        <f t="shared" si="230"/>
        <v>0</v>
      </c>
      <c r="V436" s="288">
        <f t="shared" si="243"/>
        <v>0</v>
      </c>
      <c r="W436" s="288">
        <f t="shared" si="223"/>
        <v>0</v>
      </c>
      <c r="X436" s="288">
        <f t="shared" si="224"/>
        <v>0</v>
      </c>
      <c r="Y436" s="288">
        <f t="shared" si="231"/>
        <v>0</v>
      </c>
      <c r="Z436" s="288">
        <f t="shared" si="232"/>
        <v>357260.75999999995</v>
      </c>
      <c r="AA436" s="288">
        <f t="shared" si="233"/>
        <v>179976.28000000012</v>
      </c>
      <c r="AB436" s="288">
        <f t="shared" si="244"/>
        <v>0</v>
      </c>
      <c r="AC436" s="410">
        <f t="shared" si="252"/>
        <v>376</v>
      </c>
      <c r="AD436" s="510">
        <f t="shared" si="253"/>
        <v>290212.1599999998</v>
      </c>
      <c r="AE436" s="510">
        <f t="shared" si="225"/>
        <v>0</v>
      </c>
      <c r="AF436" s="510">
        <f t="shared" si="226"/>
        <v>290212.1599999998</v>
      </c>
      <c r="AG436" s="510">
        <f t="shared" si="254"/>
        <v>0</v>
      </c>
      <c r="AH436" s="510">
        <f t="shared" si="255"/>
        <v>0</v>
      </c>
      <c r="AI436" s="510"/>
      <c r="AJ436" s="14">
        <f t="shared" si="234"/>
        <v>0</v>
      </c>
      <c r="AK436" s="14">
        <f t="shared" si="235"/>
        <v>0</v>
      </c>
      <c r="AL436" s="510">
        <f>IF(R436&lt;=0,0,+(Profit!$B$4+AM435)*$AL$1/12)</f>
        <v>0</v>
      </c>
      <c r="AM436" s="14">
        <f t="shared" si="256"/>
        <v>0</v>
      </c>
    </row>
    <row r="437" spans="1:39" x14ac:dyDescent="0.25">
      <c r="A437" s="499" t="str">
        <f t="shared" si="245"/>
        <v xml:space="preserve"> </v>
      </c>
      <c r="B437" s="288">
        <f t="shared" si="222"/>
        <v>0</v>
      </c>
      <c r="C437" s="14">
        <f t="shared" si="236"/>
        <v>0</v>
      </c>
      <c r="D437" s="14">
        <f t="shared" si="257"/>
        <v>0</v>
      </c>
      <c r="E437" s="14">
        <f t="shared" si="237"/>
        <v>0</v>
      </c>
      <c r="F437" s="288">
        <f t="shared" si="246"/>
        <v>83147.320000000007</v>
      </c>
      <c r="G437" s="288">
        <f t="shared" si="247"/>
        <v>55052.229999999989</v>
      </c>
      <c r="H437" s="288">
        <f t="shared" si="238"/>
        <v>0</v>
      </c>
      <c r="I437" s="410">
        <f t="shared" si="239"/>
        <v>31</v>
      </c>
      <c r="J437" s="288">
        <f t="shared" si="259"/>
        <v>0</v>
      </c>
      <c r="K437" s="288">
        <f t="shared" si="228"/>
        <v>0</v>
      </c>
      <c r="L437" s="288">
        <f t="shared" si="258"/>
        <v>0</v>
      </c>
      <c r="M437" s="288">
        <f t="shared" si="229"/>
        <v>0</v>
      </c>
      <c r="N437" s="288">
        <f t="shared" si="249"/>
        <v>354375.66999999987</v>
      </c>
      <c r="O437" s="288">
        <f t="shared" si="250"/>
        <v>473073.52999999985</v>
      </c>
      <c r="P437" s="288">
        <f t="shared" si="240"/>
        <v>0</v>
      </c>
      <c r="Q437" s="499" t="str">
        <f t="shared" si="241"/>
        <v xml:space="preserve"> </v>
      </c>
      <c r="R437" s="288">
        <f t="shared" si="227"/>
        <v>0</v>
      </c>
      <c r="S437" s="492">
        <f t="shared" si="251"/>
        <v>6.7500000000000004E-2</v>
      </c>
      <c r="T437" s="288">
        <f t="shared" si="242"/>
        <v>0</v>
      </c>
      <c r="U437" s="288">
        <f t="shared" si="230"/>
        <v>0</v>
      </c>
      <c r="V437" s="288">
        <f t="shared" si="243"/>
        <v>0</v>
      </c>
      <c r="W437" s="288">
        <f t="shared" si="223"/>
        <v>0</v>
      </c>
      <c r="X437" s="288">
        <f t="shared" si="224"/>
        <v>0</v>
      </c>
      <c r="Y437" s="288">
        <f t="shared" si="231"/>
        <v>0</v>
      </c>
      <c r="Z437" s="288">
        <f t="shared" si="232"/>
        <v>357260.75999999995</v>
      </c>
      <c r="AA437" s="288">
        <f t="shared" si="233"/>
        <v>179976.28000000012</v>
      </c>
      <c r="AB437" s="288">
        <f t="shared" si="244"/>
        <v>0</v>
      </c>
      <c r="AC437" s="410">
        <f t="shared" si="252"/>
        <v>377</v>
      </c>
      <c r="AD437" s="510">
        <f t="shared" si="253"/>
        <v>290212.1599999998</v>
      </c>
      <c r="AE437" s="510">
        <f t="shared" si="225"/>
        <v>0</v>
      </c>
      <c r="AF437" s="510">
        <f t="shared" si="226"/>
        <v>290212.1599999998</v>
      </c>
      <c r="AG437" s="510">
        <f t="shared" si="254"/>
        <v>0</v>
      </c>
      <c r="AH437" s="510">
        <f t="shared" si="255"/>
        <v>0</v>
      </c>
      <c r="AI437" s="510"/>
      <c r="AJ437" s="14">
        <f t="shared" si="234"/>
        <v>0</v>
      </c>
      <c r="AK437" s="14">
        <f t="shared" si="235"/>
        <v>0</v>
      </c>
      <c r="AL437" s="510">
        <f>IF(R437&lt;=0,0,+(Profit!$B$4+AM436)*$AL$1/12)</f>
        <v>0</v>
      </c>
      <c r="AM437" s="14">
        <f t="shared" si="256"/>
        <v>0</v>
      </c>
    </row>
    <row r="438" spans="1:39" x14ac:dyDescent="0.25">
      <c r="A438" s="499" t="str">
        <f t="shared" si="245"/>
        <v xml:space="preserve"> </v>
      </c>
      <c r="B438" s="288">
        <f t="shared" si="222"/>
        <v>0</v>
      </c>
      <c r="C438" s="14">
        <f t="shared" si="236"/>
        <v>0</v>
      </c>
      <c r="D438" s="14">
        <f t="shared" si="257"/>
        <v>0</v>
      </c>
      <c r="E438" s="14">
        <f t="shared" si="237"/>
        <v>0</v>
      </c>
      <c r="F438" s="288">
        <f t="shared" si="246"/>
        <v>83147.320000000007</v>
      </c>
      <c r="G438" s="288">
        <f t="shared" si="247"/>
        <v>55052.229999999989</v>
      </c>
      <c r="H438" s="288">
        <f t="shared" si="238"/>
        <v>0</v>
      </c>
      <c r="I438" s="410">
        <f t="shared" si="239"/>
        <v>31</v>
      </c>
      <c r="J438" s="288">
        <f t="shared" si="259"/>
        <v>0</v>
      </c>
      <c r="K438" s="288">
        <f t="shared" si="228"/>
        <v>0</v>
      </c>
      <c r="L438" s="288">
        <f t="shared" si="258"/>
        <v>0</v>
      </c>
      <c r="M438" s="288">
        <f t="shared" si="229"/>
        <v>0</v>
      </c>
      <c r="N438" s="288">
        <f t="shared" si="249"/>
        <v>354375.66999999987</v>
      </c>
      <c r="O438" s="288">
        <f t="shared" si="250"/>
        <v>473073.52999999985</v>
      </c>
      <c r="P438" s="288">
        <f t="shared" si="240"/>
        <v>0</v>
      </c>
      <c r="Q438" s="499" t="str">
        <f t="shared" si="241"/>
        <v xml:space="preserve"> </v>
      </c>
      <c r="R438" s="288">
        <f t="shared" si="227"/>
        <v>0</v>
      </c>
      <c r="S438" s="492">
        <f t="shared" si="251"/>
        <v>6.7500000000000004E-2</v>
      </c>
      <c r="T438" s="288">
        <f t="shared" si="242"/>
        <v>0</v>
      </c>
      <c r="U438" s="288">
        <f t="shared" si="230"/>
        <v>0</v>
      </c>
      <c r="V438" s="288">
        <f t="shared" si="243"/>
        <v>0</v>
      </c>
      <c r="W438" s="288">
        <f t="shared" si="223"/>
        <v>0</v>
      </c>
      <c r="X438" s="288">
        <f t="shared" si="224"/>
        <v>0</v>
      </c>
      <c r="Y438" s="288">
        <f t="shared" si="231"/>
        <v>0</v>
      </c>
      <c r="Z438" s="288">
        <f t="shared" si="232"/>
        <v>357260.75999999995</v>
      </c>
      <c r="AA438" s="288">
        <f t="shared" si="233"/>
        <v>179976.28000000012</v>
      </c>
      <c r="AB438" s="288">
        <f t="shared" si="244"/>
        <v>0</v>
      </c>
      <c r="AC438" s="410">
        <f t="shared" si="252"/>
        <v>378</v>
      </c>
      <c r="AD438" s="510">
        <f t="shared" si="253"/>
        <v>290212.1599999998</v>
      </c>
      <c r="AE438" s="510">
        <f t="shared" si="225"/>
        <v>0</v>
      </c>
      <c r="AF438" s="510">
        <f t="shared" si="226"/>
        <v>290212.1599999998</v>
      </c>
      <c r="AG438" s="510">
        <f t="shared" si="254"/>
        <v>0</v>
      </c>
      <c r="AH438" s="510">
        <f t="shared" si="255"/>
        <v>0</v>
      </c>
      <c r="AI438" s="510"/>
      <c r="AJ438" s="14">
        <f t="shared" si="234"/>
        <v>0</v>
      </c>
      <c r="AK438" s="14">
        <f t="shared" si="235"/>
        <v>0</v>
      </c>
      <c r="AL438" s="510">
        <f>IF(R438&lt;=0,0,+(Profit!$B$4+AM437)*$AL$1/12)</f>
        <v>0</v>
      </c>
      <c r="AM438" s="14">
        <f t="shared" si="256"/>
        <v>0</v>
      </c>
    </row>
    <row r="439" spans="1:39" x14ac:dyDescent="0.25">
      <c r="A439" s="499" t="str">
        <f t="shared" si="245"/>
        <v xml:space="preserve"> </v>
      </c>
      <c r="B439" s="288">
        <f t="shared" si="222"/>
        <v>0</v>
      </c>
      <c r="C439" s="14">
        <f t="shared" si="236"/>
        <v>0</v>
      </c>
      <c r="D439" s="14">
        <f t="shared" si="257"/>
        <v>0</v>
      </c>
      <c r="E439" s="14">
        <f t="shared" si="237"/>
        <v>0</v>
      </c>
      <c r="F439" s="288">
        <f t="shared" si="246"/>
        <v>83147.320000000007</v>
      </c>
      <c r="G439" s="288">
        <f t="shared" si="247"/>
        <v>55052.229999999989</v>
      </c>
      <c r="H439" s="288">
        <f t="shared" si="238"/>
        <v>0</v>
      </c>
      <c r="I439" s="410">
        <f t="shared" si="239"/>
        <v>31</v>
      </c>
      <c r="J439" s="288">
        <f t="shared" si="259"/>
        <v>0</v>
      </c>
      <c r="K439" s="288">
        <f t="shared" si="228"/>
        <v>0</v>
      </c>
      <c r="L439" s="288">
        <f t="shared" si="258"/>
        <v>0</v>
      </c>
      <c r="M439" s="288">
        <f t="shared" si="229"/>
        <v>0</v>
      </c>
      <c r="N439" s="288">
        <f t="shared" si="249"/>
        <v>354375.66999999987</v>
      </c>
      <c r="O439" s="288">
        <f t="shared" si="250"/>
        <v>473073.52999999985</v>
      </c>
      <c r="P439" s="288">
        <f t="shared" si="240"/>
        <v>0</v>
      </c>
      <c r="Q439" s="499" t="str">
        <f t="shared" si="241"/>
        <v xml:space="preserve"> </v>
      </c>
      <c r="R439" s="288">
        <f t="shared" si="227"/>
        <v>0</v>
      </c>
      <c r="S439" s="492">
        <f t="shared" si="251"/>
        <v>6.7500000000000004E-2</v>
      </c>
      <c r="T439" s="288">
        <f t="shared" si="242"/>
        <v>0</v>
      </c>
      <c r="U439" s="288">
        <f t="shared" si="230"/>
        <v>0</v>
      </c>
      <c r="V439" s="288">
        <f t="shared" si="243"/>
        <v>0</v>
      </c>
      <c r="W439" s="288">
        <f t="shared" si="223"/>
        <v>0</v>
      </c>
      <c r="X439" s="288">
        <f t="shared" si="224"/>
        <v>0</v>
      </c>
      <c r="Y439" s="288">
        <f t="shared" si="231"/>
        <v>0</v>
      </c>
      <c r="Z439" s="288">
        <f t="shared" si="232"/>
        <v>357260.75999999995</v>
      </c>
      <c r="AA439" s="288">
        <f t="shared" si="233"/>
        <v>179976.28000000012</v>
      </c>
      <c r="AB439" s="288">
        <f t="shared" si="244"/>
        <v>0</v>
      </c>
      <c r="AC439" s="410">
        <f t="shared" si="252"/>
        <v>379</v>
      </c>
      <c r="AD439" s="510">
        <f t="shared" si="253"/>
        <v>290212.1599999998</v>
      </c>
      <c r="AE439" s="510">
        <f t="shared" si="225"/>
        <v>0</v>
      </c>
      <c r="AF439" s="510">
        <f t="shared" si="226"/>
        <v>290212.1599999998</v>
      </c>
      <c r="AG439" s="510">
        <f t="shared" si="254"/>
        <v>0</v>
      </c>
      <c r="AH439" s="510">
        <f t="shared" si="255"/>
        <v>0</v>
      </c>
      <c r="AI439" s="510"/>
      <c r="AJ439" s="14">
        <f t="shared" si="234"/>
        <v>0</v>
      </c>
      <c r="AK439" s="14">
        <f t="shared" si="235"/>
        <v>0</v>
      </c>
      <c r="AL439" s="510">
        <f>IF(R439&lt;=0,0,+(Profit!$B$4+AM438)*$AL$1/12)</f>
        <v>0</v>
      </c>
      <c r="AM439" s="14">
        <f t="shared" si="256"/>
        <v>0</v>
      </c>
    </row>
    <row r="440" spans="1:39" x14ac:dyDescent="0.25">
      <c r="A440" s="499" t="str">
        <f t="shared" si="245"/>
        <v xml:space="preserve"> </v>
      </c>
      <c r="B440" s="288">
        <f t="shared" ref="B440:B490" si="260">IF(+H439&lt;0,0,+H439)</f>
        <v>0</v>
      </c>
      <c r="C440" s="14">
        <f t="shared" si="236"/>
        <v>0</v>
      </c>
      <c r="D440" s="14">
        <f t="shared" si="257"/>
        <v>0</v>
      </c>
      <c r="E440" s="14">
        <f t="shared" si="237"/>
        <v>0</v>
      </c>
      <c r="F440" s="288">
        <f t="shared" si="246"/>
        <v>83147.320000000007</v>
      </c>
      <c r="G440" s="288">
        <f t="shared" si="247"/>
        <v>55052.229999999989</v>
      </c>
      <c r="H440" s="288">
        <f t="shared" si="238"/>
        <v>0</v>
      </c>
      <c r="I440" s="410">
        <f t="shared" si="239"/>
        <v>31</v>
      </c>
      <c r="J440" s="288">
        <f t="shared" si="259"/>
        <v>0</v>
      </c>
      <c r="K440" s="288">
        <f t="shared" si="228"/>
        <v>0</v>
      </c>
      <c r="L440" s="288">
        <f t="shared" si="258"/>
        <v>0</v>
      </c>
      <c r="M440" s="288">
        <f t="shared" si="229"/>
        <v>0</v>
      </c>
      <c r="N440" s="288">
        <f t="shared" si="249"/>
        <v>354375.66999999987</v>
      </c>
      <c r="O440" s="288">
        <f t="shared" si="250"/>
        <v>473073.52999999985</v>
      </c>
      <c r="P440" s="288">
        <f t="shared" si="240"/>
        <v>0</v>
      </c>
      <c r="Q440" s="499" t="str">
        <f t="shared" si="241"/>
        <v xml:space="preserve"> </v>
      </c>
      <c r="R440" s="288">
        <f t="shared" si="227"/>
        <v>0</v>
      </c>
      <c r="S440" s="492">
        <f t="shared" si="251"/>
        <v>6.7500000000000004E-2</v>
      </c>
      <c r="T440" s="288">
        <f t="shared" si="242"/>
        <v>0</v>
      </c>
      <c r="U440" s="288">
        <f t="shared" si="230"/>
        <v>0</v>
      </c>
      <c r="V440" s="288">
        <f t="shared" si="243"/>
        <v>0</v>
      </c>
      <c r="W440" s="288">
        <f t="shared" si="223"/>
        <v>0</v>
      </c>
      <c r="X440" s="288">
        <f t="shared" si="224"/>
        <v>0</v>
      </c>
      <c r="Y440" s="288">
        <f t="shared" si="231"/>
        <v>0</v>
      </c>
      <c r="Z440" s="288">
        <f t="shared" si="232"/>
        <v>357260.75999999995</v>
      </c>
      <c r="AA440" s="288">
        <f t="shared" si="233"/>
        <v>179976.28000000012</v>
      </c>
      <c r="AB440" s="288">
        <f t="shared" si="244"/>
        <v>0</v>
      </c>
      <c r="AC440" s="410">
        <f t="shared" si="252"/>
        <v>380</v>
      </c>
      <c r="AD440" s="510">
        <f t="shared" si="253"/>
        <v>290212.1599999998</v>
      </c>
      <c r="AE440" s="510">
        <f t="shared" si="225"/>
        <v>0</v>
      </c>
      <c r="AF440" s="510">
        <f t="shared" si="226"/>
        <v>290212.1599999998</v>
      </c>
      <c r="AG440" s="510">
        <f t="shared" si="254"/>
        <v>0</v>
      </c>
      <c r="AH440" s="510">
        <f t="shared" si="255"/>
        <v>0</v>
      </c>
      <c r="AI440" s="510"/>
      <c r="AJ440" s="14">
        <f t="shared" si="234"/>
        <v>0</v>
      </c>
      <c r="AK440" s="14">
        <f t="shared" si="235"/>
        <v>0</v>
      </c>
      <c r="AL440" s="510">
        <f>IF(R440&lt;=0,0,+(Profit!$B$4+AM439)*$AL$1/12)</f>
        <v>0</v>
      </c>
      <c r="AM440" s="14">
        <f t="shared" si="256"/>
        <v>0</v>
      </c>
    </row>
    <row r="441" spans="1:39" x14ac:dyDescent="0.25">
      <c r="A441" s="499" t="str">
        <f t="shared" si="245"/>
        <v xml:space="preserve"> </v>
      </c>
      <c r="B441" s="288">
        <f t="shared" si="260"/>
        <v>0</v>
      </c>
      <c r="C441" s="14">
        <f t="shared" si="236"/>
        <v>0</v>
      </c>
      <c r="D441" s="14">
        <f t="shared" si="257"/>
        <v>0</v>
      </c>
      <c r="E441" s="14">
        <f t="shared" si="237"/>
        <v>0</v>
      </c>
      <c r="F441" s="288">
        <f t="shared" si="246"/>
        <v>83147.320000000007</v>
      </c>
      <c r="G441" s="288">
        <f t="shared" si="247"/>
        <v>55052.229999999989</v>
      </c>
      <c r="H441" s="288">
        <f t="shared" si="238"/>
        <v>0</v>
      </c>
      <c r="I441" s="410">
        <f t="shared" si="239"/>
        <v>31</v>
      </c>
      <c r="J441" s="288">
        <f t="shared" si="259"/>
        <v>0</v>
      </c>
      <c r="K441" s="288">
        <f t="shared" si="228"/>
        <v>0</v>
      </c>
      <c r="L441" s="288">
        <f t="shared" si="258"/>
        <v>0</v>
      </c>
      <c r="M441" s="288">
        <f t="shared" si="229"/>
        <v>0</v>
      </c>
      <c r="N441" s="288">
        <f t="shared" si="249"/>
        <v>354375.66999999987</v>
      </c>
      <c r="O441" s="288">
        <f t="shared" si="250"/>
        <v>473073.52999999985</v>
      </c>
      <c r="P441" s="288">
        <f t="shared" si="240"/>
        <v>0</v>
      </c>
      <c r="Q441" s="499" t="str">
        <f t="shared" si="241"/>
        <v xml:space="preserve"> </v>
      </c>
      <c r="R441" s="288">
        <f t="shared" si="227"/>
        <v>0</v>
      </c>
      <c r="S441" s="492">
        <f t="shared" si="251"/>
        <v>6.7500000000000004E-2</v>
      </c>
      <c r="T441" s="288">
        <f t="shared" si="242"/>
        <v>0</v>
      </c>
      <c r="U441" s="288">
        <f t="shared" si="230"/>
        <v>0</v>
      </c>
      <c r="V441" s="288">
        <f t="shared" si="243"/>
        <v>0</v>
      </c>
      <c r="W441" s="288">
        <f t="shared" si="223"/>
        <v>0</v>
      </c>
      <c r="X441" s="288">
        <f t="shared" si="224"/>
        <v>0</v>
      </c>
      <c r="Y441" s="288">
        <f t="shared" si="231"/>
        <v>0</v>
      </c>
      <c r="Z441" s="288">
        <f t="shared" si="232"/>
        <v>357260.75999999995</v>
      </c>
      <c r="AA441" s="288">
        <f t="shared" si="233"/>
        <v>179976.28000000012</v>
      </c>
      <c r="AB441" s="288">
        <f t="shared" si="244"/>
        <v>0</v>
      </c>
      <c r="AC441" s="410">
        <f t="shared" si="252"/>
        <v>381</v>
      </c>
      <c r="AD441" s="510">
        <f t="shared" si="253"/>
        <v>290212.1599999998</v>
      </c>
      <c r="AE441" s="510">
        <f t="shared" si="225"/>
        <v>0</v>
      </c>
      <c r="AF441" s="510">
        <f t="shared" si="226"/>
        <v>290212.1599999998</v>
      </c>
      <c r="AG441" s="510">
        <f t="shared" si="254"/>
        <v>0</v>
      </c>
      <c r="AH441" s="510">
        <f t="shared" si="255"/>
        <v>0</v>
      </c>
      <c r="AI441" s="510"/>
      <c r="AJ441" s="14">
        <f t="shared" si="234"/>
        <v>0</v>
      </c>
      <c r="AK441" s="14">
        <f t="shared" si="235"/>
        <v>0</v>
      </c>
      <c r="AL441" s="510">
        <f>IF(R441&lt;=0,0,+(Profit!$B$4+AM440)*$AL$1/12)</f>
        <v>0</v>
      </c>
      <c r="AM441" s="14">
        <f t="shared" si="256"/>
        <v>0</v>
      </c>
    </row>
    <row r="442" spans="1:39" x14ac:dyDescent="0.25">
      <c r="A442" s="499" t="str">
        <f t="shared" si="245"/>
        <v xml:space="preserve"> </v>
      </c>
      <c r="B442" s="288">
        <f t="shared" si="260"/>
        <v>0</v>
      </c>
      <c r="C442" s="14">
        <f t="shared" si="236"/>
        <v>0</v>
      </c>
      <c r="D442" s="14">
        <f t="shared" si="257"/>
        <v>0</v>
      </c>
      <c r="E442" s="14">
        <f t="shared" si="237"/>
        <v>0</v>
      </c>
      <c r="F442" s="288">
        <f t="shared" si="246"/>
        <v>83147.320000000007</v>
      </c>
      <c r="G442" s="288">
        <f t="shared" si="247"/>
        <v>55052.229999999989</v>
      </c>
      <c r="H442" s="288">
        <f t="shared" si="238"/>
        <v>0</v>
      </c>
      <c r="I442" s="410">
        <f t="shared" si="239"/>
        <v>31</v>
      </c>
      <c r="J442" s="288">
        <f t="shared" si="259"/>
        <v>0</v>
      </c>
      <c r="K442" s="288">
        <f t="shared" si="228"/>
        <v>0</v>
      </c>
      <c r="L442" s="288">
        <f t="shared" si="258"/>
        <v>0</v>
      </c>
      <c r="M442" s="288">
        <f t="shared" si="229"/>
        <v>0</v>
      </c>
      <c r="N442" s="288">
        <f t="shared" si="249"/>
        <v>354375.66999999987</v>
      </c>
      <c r="O442" s="288">
        <f t="shared" si="250"/>
        <v>473073.52999999985</v>
      </c>
      <c r="P442" s="288">
        <f t="shared" si="240"/>
        <v>0</v>
      </c>
      <c r="Q442" s="499" t="str">
        <f t="shared" si="241"/>
        <v xml:space="preserve"> </v>
      </c>
      <c r="R442" s="288">
        <f t="shared" si="227"/>
        <v>0</v>
      </c>
      <c r="S442" s="492">
        <f t="shared" si="251"/>
        <v>6.7500000000000004E-2</v>
      </c>
      <c r="T442" s="288">
        <f t="shared" si="242"/>
        <v>0</v>
      </c>
      <c r="U442" s="288">
        <f t="shared" si="230"/>
        <v>0</v>
      </c>
      <c r="V442" s="288">
        <f t="shared" si="243"/>
        <v>0</v>
      </c>
      <c r="W442" s="288">
        <f t="shared" si="223"/>
        <v>0</v>
      </c>
      <c r="X442" s="288">
        <f t="shared" si="224"/>
        <v>0</v>
      </c>
      <c r="Y442" s="288">
        <f t="shared" si="231"/>
        <v>0</v>
      </c>
      <c r="Z442" s="288">
        <f t="shared" si="232"/>
        <v>357260.75999999995</v>
      </c>
      <c r="AA442" s="288">
        <f t="shared" si="233"/>
        <v>179976.28000000012</v>
      </c>
      <c r="AB442" s="288">
        <f t="shared" si="244"/>
        <v>0</v>
      </c>
      <c r="AC442" s="410">
        <f t="shared" si="252"/>
        <v>382</v>
      </c>
      <c r="AD442" s="510">
        <f t="shared" si="253"/>
        <v>290212.1599999998</v>
      </c>
      <c r="AE442" s="510">
        <f t="shared" si="225"/>
        <v>0</v>
      </c>
      <c r="AF442" s="510">
        <f t="shared" si="226"/>
        <v>290212.1599999998</v>
      </c>
      <c r="AG442" s="510">
        <f t="shared" si="254"/>
        <v>0</v>
      </c>
      <c r="AH442" s="510">
        <f t="shared" si="255"/>
        <v>0</v>
      </c>
      <c r="AI442" s="510"/>
      <c r="AJ442" s="14">
        <f t="shared" si="234"/>
        <v>0</v>
      </c>
      <c r="AK442" s="14">
        <f t="shared" si="235"/>
        <v>0</v>
      </c>
      <c r="AL442" s="510">
        <f>IF(R442&lt;=0,0,+(Profit!$B$4+AM441)*$AL$1/12)</f>
        <v>0</v>
      </c>
      <c r="AM442" s="14">
        <f t="shared" si="256"/>
        <v>0</v>
      </c>
    </row>
    <row r="443" spans="1:39" x14ac:dyDescent="0.25">
      <c r="A443" s="499" t="str">
        <f t="shared" si="245"/>
        <v xml:space="preserve"> </v>
      </c>
      <c r="B443" s="288">
        <f t="shared" si="260"/>
        <v>0</v>
      </c>
      <c r="C443" s="14">
        <f t="shared" si="236"/>
        <v>0</v>
      </c>
      <c r="D443" s="14">
        <f t="shared" si="257"/>
        <v>0</v>
      </c>
      <c r="E443" s="14">
        <f t="shared" si="237"/>
        <v>0</v>
      </c>
      <c r="F443" s="288">
        <f t="shared" si="246"/>
        <v>83147.320000000007</v>
      </c>
      <c r="G443" s="288">
        <f t="shared" si="247"/>
        <v>55052.229999999989</v>
      </c>
      <c r="H443" s="288">
        <f t="shared" si="238"/>
        <v>0</v>
      </c>
      <c r="I443" s="410">
        <f t="shared" si="239"/>
        <v>31</v>
      </c>
      <c r="J443" s="288">
        <f t="shared" si="259"/>
        <v>0</v>
      </c>
      <c r="K443" s="288">
        <f t="shared" si="228"/>
        <v>0</v>
      </c>
      <c r="L443" s="288">
        <f t="shared" si="258"/>
        <v>0</v>
      </c>
      <c r="M443" s="288">
        <f t="shared" si="229"/>
        <v>0</v>
      </c>
      <c r="N443" s="288">
        <f t="shared" si="249"/>
        <v>354375.66999999987</v>
      </c>
      <c r="O443" s="288">
        <f t="shared" si="250"/>
        <v>473073.52999999985</v>
      </c>
      <c r="P443" s="288">
        <f t="shared" si="240"/>
        <v>0</v>
      </c>
      <c r="Q443" s="499" t="str">
        <f t="shared" si="241"/>
        <v xml:space="preserve"> </v>
      </c>
      <c r="R443" s="288">
        <f t="shared" si="227"/>
        <v>0</v>
      </c>
      <c r="S443" s="492">
        <f t="shared" si="251"/>
        <v>6.7500000000000004E-2</v>
      </c>
      <c r="T443" s="288">
        <f t="shared" si="242"/>
        <v>0</v>
      </c>
      <c r="U443" s="288">
        <f t="shared" si="230"/>
        <v>0</v>
      </c>
      <c r="V443" s="288">
        <f t="shared" si="243"/>
        <v>0</v>
      </c>
      <c r="W443" s="288">
        <f t="shared" si="223"/>
        <v>0</v>
      </c>
      <c r="X443" s="288">
        <f t="shared" si="224"/>
        <v>0</v>
      </c>
      <c r="Y443" s="288">
        <f t="shared" si="231"/>
        <v>0</v>
      </c>
      <c r="Z443" s="288">
        <f t="shared" si="232"/>
        <v>357260.75999999995</v>
      </c>
      <c r="AA443" s="288">
        <f t="shared" si="233"/>
        <v>179976.28000000012</v>
      </c>
      <c r="AB443" s="288">
        <f t="shared" si="244"/>
        <v>0</v>
      </c>
      <c r="AC443" s="410">
        <f t="shared" si="252"/>
        <v>383</v>
      </c>
      <c r="AD443" s="510">
        <f t="shared" si="253"/>
        <v>290212.1599999998</v>
      </c>
      <c r="AE443" s="510">
        <f t="shared" si="225"/>
        <v>0</v>
      </c>
      <c r="AF443" s="510">
        <f t="shared" si="226"/>
        <v>290212.1599999998</v>
      </c>
      <c r="AG443" s="510">
        <f t="shared" si="254"/>
        <v>0</v>
      </c>
      <c r="AH443" s="510">
        <f t="shared" si="255"/>
        <v>0</v>
      </c>
      <c r="AI443" s="510"/>
      <c r="AJ443" s="14">
        <f t="shared" si="234"/>
        <v>0</v>
      </c>
      <c r="AK443" s="14">
        <f t="shared" si="235"/>
        <v>0</v>
      </c>
      <c r="AL443" s="510">
        <f>IF(R443&lt;=0,0,+(Profit!$B$4+AM442)*$AL$1/12)</f>
        <v>0</v>
      </c>
      <c r="AM443" s="14">
        <f t="shared" si="256"/>
        <v>0</v>
      </c>
    </row>
    <row r="444" spans="1:39" x14ac:dyDescent="0.25">
      <c r="A444" s="499" t="str">
        <f t="shared" si="245"/>
        <v xml:space="preserve"> </v>
      </c>
      <c r="B444" s="288">
        <f t="shared" si="260"/>
        <v>0</v>
      </c>
      <c r="C444" s="14">
        <f t="shared" si="236"/>
        <v>0</v>
      </c>
      <c r="D444" s="14">
        <f t="shared" si="257"/>
        <v>0</v>
      </c>
      <c r="E444" s="14">
        <f t="shared" si="237"/>
        <v>0</v>
      </c>
      <c r="F444" s="288">
        <f t="shared" si="246"/>
        <v>83147.320000000007</v>
      </c>
      <c r="G444" s="288">
        <f t="shared" si="247"/>
        <v>55052.229999999989</v>
      </c>
      <c r="H444" s="288">
        <f t="shared" si="238"/>
        <v>0</v>
      </c>
      <c r="I444" s="410">
        <f t="shared" si="239"/>
        <v>32</v>
      </c>
      <c r="J444" s="288">
        <f t="shared" si="259"/>
        <v>0</v>
      </c>
      <c r="K444" s="288">
        <f t="shared" si="228"/>
        <v>0</v>
      </c>
      <c r="L444" s="288">
        <f t="shared" si="258"/>
        <v>0</v>
      </c>
      <c r="M444" s="288">
        <f t="shared" si="229"/>
        <v>0</v>
      </c>
      <c r="N444" s="288">
        <f t="shared" si="249"/>
        <v>354375.66999999987</v>
      </c>
      <c r="O444" s="288">
        <f t="shared" si="250"/>
        <v>473073.52999999985</v>
      </c>
      <c r="P444" s="288">
        <f t="shared" si="240"/>
        <v>0</v>
      </c>
      <c r="Q444" s="499" t="str">
        <f t="shared" si="241"/>
        <v xml:space="preserve"> </v>
      </c>
      <c r="R444" s="288">
        <f t="shared" si="227"/>
        <v>0</v>
      </c>
      <c r="S444" s="492">
        <f t="shared" si="251"/>
        <v>6.7500000000000004E-2</v>
      </c>
      <c r="T444" s="288">
        <f t="shared" si="242"/>
        <v>0</v>
      </c>
      <c r="U444" s="288">
        <f t="shared" si="230"/>
        <v>0</v>
      </c>
      <c r="V444" s="288">
        <f t="shared" si="243"/>
        <v>0</v>
      </c>
      <c r="W444" s="288">
        <f t="shared" ref="W444:W507" si="261">+W443</f>
        <v>0</v>
      </c>
      <c r="X444" s="288">
        <f t="shared" ref="X444:X507" si="262">+X443</f>
        <v>0</v>
      </c>
      <c r="Y444" s="288">
        <f t="shared" si="231"/>
        <v>0</v>
      </c>
      <c r="Z444" s="288">
        <f t="shared" si="232"/>
        <v>357260.75999999995</v>
      </c>
      <c r="AA444" s="288">
        <f t="shared" si="233"/>
        <v>179976.28000000012</v>
      </c>
      <c r="AB444" s="288">
        <f t="shared" si="244"/>
        <v>0</v>
      </c>
      <c r="AC444" s="410">
        <f t="shared" si="252"/>
        <v>384</v>
      </c>
      <c r="AD444" s="510">
        <f t="shared" si="253"/>
        <v>290212.1599999998</v>
      </c>
      <c r="AE444" s="510">
        <f t="shared" ref="AE444:AE507" si="263">AB444-H444</f>
        <v>0</v>
      </c>
      <c r="AF444" s="510">
        <f t="shared" ref="AF444:AF507" si="264">SUM(AD444:AE444)</f>
        <v>290212.1599999998</v>
      </c>
      <c r="AG444" s="510">
        <f t="shared" si="254"/>
        <v>0</v>
      </c>
      <c r="AH444" s="510">
        <f t="shared" si="255"/>
        <v>0</v>
      </c>
      <c r="AI444" s="510"/>
      <c r="AJ444" s="14">
        <f t="shared" si="234"/>
        <v>0</v>
      </c>
      <c r="AK444" s="14">
        <f t="shared" si="235"/>
        <v>0</v>
      </c>
      <c r="AL444" s="510">
        <f>IF(R444&lt;=0,0,+(Profit!$B$4+AM443)*$AL$1/12)</f>
        <v>0</v>
      </c>
      <c r="AM444" s="14">
        <f t="shared" si="256"/>
        <v>0</v>
      </c>
    </row>
    <row r="445" spans="1:39" x14ac:dyDescent="0.25">
      <c r="A445" s="499" t="str">
        <f t="shared" si="245"/>
        <v xml:space="preserve"> </v>
      </c>
      <c r="B445" s="288">
        <f t="shared" si="260"/>
        <v>0</v>
      </c>
      <c r="C445" s="14">
        <f t="shared" si="236"/>
        <v>0</v>
      </c>
      <c r="D445" s="14">
        <f t="shared" si="257"/>
        <v>0</v>
      </c>
      <c r="E445" s="14">
        <f t="shared" si="237"/>
        <v>0</v>
      </c>
      <c r="F445" s="288">
        <f t="shared" si="246"/>
        <v>83147.320000000007</v>
      </c>
      <c r="G445" s="288">
        <f t="shared" si="247"/>
        <v>55052.229999999989</v>
      </c>
      <c r="H445" s="288">
        <f t="shared" si="238"/>
        <v>0</v>
      </c>
      <c r="I445" s="410">
        <f t="shared" si="239"/>
        <v>32</v>
      </c>
      <c r="J445" s="288">
        <f t="shared" si="259"/>
        <v>0</v>
      </c>
      <c r="K445" s="288">
        <f t="shared" si="228"/>
        <v>0</v>
      </c>
      <c r="L445" s="288">
        <f t="shared" si="258"/>
        <v>0</v>
      </c>
      <c r="M445" s="288">
        <f t="shared" si="229"/>
        <v>0</v>
      </c>
      <c r="N445" s="288">
        <f t="shared" si="249"/>
        <v>354375.66999999987</v>
      </c>
      <c r="O445" s="288">
        <f t="shared" si="250"/>
        <v>473073.52999999985</v>
      </c>
      <c r="P445" s="288">
        <f t="shared" si="240"/>
        <v>0</v>
      </c>
      <c r="Q445" s="499" t="str">
        <f t="shared" si="241"/>
        <v xml:space="preserve"> </v>
      </c>
      <c r="R445" s="288">
        <f t="shared" ref="R445:R508" si="265">IF(Q445&gt;$J$10,IF(+AB444&lt;0,0,+AB444),0)</f>
        <v>0</v>
      </c>
      <c r="S445" s="492">
        <f t="shared" si="251"/>
        <v>6.7500000000000004E-2</v>
      </c>
      <c r="T445" s="288">
        <f t="shared" si="242"/>
        <v>0</v>
      </c>
      <c r="U445" s="288">
        <f t="shared" si="230"/>
        <v>0</v>
      </c>
      <c r="V445" s="288">
        <f t="shared" si="243"/>
        <v>0</v>
      </c>
      <c r="W445" s="288">
        <f t="shared" si="261"/>
        <v>0</v>
      </c>
      <c r="X445" s="288">
        <f t="shared" si="262"/>
        <v>0</v>
      </c>
      <c r="Y445" s="288">
        <f t="shared" si="231"/>
        <v>0</v>
      </c>
      <c r="Z445" s="288">
        <f t="shared" si="232"/>
        <v>357260.75999999995</v>
      </c>
      <c r="AA445" s="288">
        <f t="shared" si="233"/>
        <v>179976.28000000012</v>
      </c>
      <c r="AB445" s="288">
        <f t="shared" si="244"/>
        <v>0</v>
      </c>
      <c r="AC445" s="410">
        <f t="shared" si="252"/>
        <v>385</v>
      </c>
      <c r="AD445" s="510">
        <f t="shared" si="253"/>
        <v>290212.1599999998</v>
      </c>
      <c r="AE445" s="510">
        <f t="shared" si="263"/>
        <v>0</v>
      </c>
      <c r="AF445" s="510">
        <f t="shared" si="264"/>
        <v>290212.1599999998</v>
      </c>
      <c r="AG445" s="510">
        <f t="shared" si="254"/>
        <v>0</v>
      </c>
      <c r="AH445" s="510">
        <f t="shared" si="255"/>
        <v>0</v>
      </c>
      <c r="AI445" s="510"/>
      <c r="AJ445" s="14">
        <f t="shared" si="234"/>
        <v>0</v>
      </c>
      <c r="AK445" s="14">
        <f t="shared" si="235"/>
        <v>0</v>
      </c>
      <c r="AL445" s="510">
        <f>IF(R445&lt;=0,0,+(Profit!$B$4+AM444)*$AL$1/12)</f>
        <v>0</v>
      </c>
      <c r="AM445" s="14">
        <f t="shared" si="256"/>
        <v>0</v>
      </c>
    </row>
    <row r="446" spans="1:39" ht="15.75" thickBot="1" x14ac:dyDescent="0.3">
      <c r="A446" s="502" t="str">
        <f t="shared" si="245"/>
        <v xml:space="preserve"> </v>
      </c>
      <c r="B446" s="343">
        <f t="shared" si="260"/>
        <v>0</v>
      </c>
      <c r="C446" s="21">
        <f t="shared" si="236"/>
        <v>0</v>
      </c>
      <c r="D446" s="21">
        <f t="shared" si="257"/>
        <v>0</v>
      </c>
      <c r="E446" s="21">
        <f t="shared" si="237"/>
        <v>0</v>
      </c>
      <c r="F446" s="343">
        <f t="shared" si="246"/>
        <v>83147.320000000007</v>
      </c>
      <c r="G446" s="343">
        <f t="shared" si="247"/>
        <v>55052.229999999989</v>
      </c>
      <c r="H446" s="343">
        <f t="shared" si="238"/>
        <v>0</v>
      </c>
      <c r="I446" s="411">
        <f t="shared" si="239"/>
        <v>32</v>
      </c>
      <c r="J446" s="343">
        <f t="shared" si="259"/>
        <v>0</v>
      </c>
      <c r="K446" s="343">
        <f t="shared" ref="K446:K490" si="266">IF($J$10&lt;=A446,IF(+$P445&lt;=0,0,$J$9),0)</f>
        <v>0</v>
      </c>
      <c r="L446" s="343">
        <f t="shared" si="258"/>
        <v>0</v>
      </c>
      <c r="M446" s="343">
        <f t="shared" ref="M446:M490" si="267">IF($J$10&lt;=A446,ROUND(J446*($J$7/12),2),0)</f>
        <v>0</v>
      </c>
      <c r="N446" s="343">
        <f t="shared" si="249"/>
        <v>354375.66999999987</v>
      </c>
      <c r="O446" s="343">
        <f t="shared" si="250"/>
        <v>473073.52999999985</v>
      </c>
      <c r="P446" s="343">
        <f t="shared" si="240"/>
        <v>0</v>
      </c>
      <c r="Q446" s="502" t="str">
        <f t="shared" si="241"/>
        <v xml:space="preserve"> </v>
      </c>
      <c r="R446" s="343">
        <f t="shared" si="265"/>
        <v>0</v>
      </c>
      <c r="S446" s="493">
        <f t="shared" si="251"/>
        <v>6.7500000000000004E-2</v>
      </c>
      <c r="T446" s="343">
        <f t="shared" si="242"/>
        <v>0</v>
      </c>
      <c r="U446" s="343">
        <f t="shared" ref="U446:U509" si="268">+T446-V446</f>
        <v>0</v>
      </c>
      <c r="V446" s="343">
        <f t="shared" si="243"/>
        <v>0</v>
      </c>
      <c r="W446" s="343">
        <f t="shared" si="261"/>
        <v>0</v>
      </c>
      <c r="X446" s="343">
        <f t="shared" si="262"/>
        <v>0</v>
      </c>
      <c r="Y446" s="343">
        <f t="shared" ref="Y446:Y509" si="269">SUM(U446:X446)</f>
        <v>0</v>
      </c>
      <c r="Z446" s="343">
        <f t="shared" ref="Z446:Z509" si="270">+U446+Z445</f>
        <v>357260.75999999995</v>
      </c>
      <c r="AA446" s="343">
        <f t="shared" ref="AA446:AA509" si="271">+AA445+V446</f>
        <v>179976.28000000012</v>
      </c>
      <c r="AB446" s="343">
        <f t="shared" si="244"/>
        <v>0</v>
      </c>
      <c r="AC446" s="411">
        <f t="shared" si="252"/>
        <v>386</v>
      </c>
      <c r="AD446" s="511">
        <f t="shared" si="253"/>
        <v>290212.1599999998</v>
      </c>
      <c r="AE446" s="511">
        <f t="shared" si="263"/>
        <v>0</v>
      </c>
      <c r="AF446" s="511">
        <f t="shared" si="264"/>
        <v>290212.1599999998</v>
      </c>
      <c r="AG446" s="511">
        <f t="shared" si="254"/>
        <v>0</v>
      </c>
      <c r="AH446" s="511">
        <f t="shared" si="255"/>
        <v>0</v>
      </c>
      <c r="AI446" s="511"/>
      <c r="AJ446" s="21">
        <f t="shared" ref="AJ446:AJ490" si="272">+AG446-AI446</f>
        <v>0</v>
      </c>
      <c r="AK446" s="21">
        <f t="shared" si="235"/>
        <v>0</v>
      </c>
      <c r="AL446" s="511">
        <f>IF(R446&lt;=0,0,+(Profit!$B$4+AM445)*$AL$1/12)</f>
        <v>0</v>
      </c>
      <c r="AM446" s="21">
        <f t="shared" si="256"/>
        <v>0</v>
      </c>
    </row>
    <row r="447" spans="1:39" x14ac:dyDescent="0.25">
      <c r="A447" s="499" t="str">
        <f t="shared" si="245"/>
        <v xml:space="preserve"> </v>
      </c>
      <c r="B447" s="288">
        <f t="shared" si="260"/>
        <v>0</v>
      </c>
      <c r="C447" s="14">
        <f t="shared" si="236"/>
        <v>0</v>
      </c>
      <c r="D447" s="14">
        <f t="shared" si="257"/>
        <v>0</v>
      </c>
      <c r="E447" s="14">
        <f t="shared" si="237"/>
        <v>0</v>
      </c>
      <c r="F447" s="288">
        <f t="shared" si="246"/>
        <v>83147.320000000007</v>
      </c>
      <c r="G447" s="288">
        <f t="shared" si="247"/>
        <v>55052.229999999989</v>
      </c>
      <c r="H447" s="288">
        <f t="shared" si="238"/>
        <v>0</v>
      </c>
      <c r="I447" s="410">
        <f t="shared" si="239"/>
        <v>32</v>
      </c>
      <c r="J447" s="288">
        <f t="shared" si="259"/>
        <v>0</v>
      </c>
      <c r="K447" s="288">
        <f t="shared" si="266"/>
        <v>0</v>
      </c>
      <c r="L447" s="288">
        <f t="shared" si="258"/>
        <v>0</v>
      </c>
      <c r="M447" s="288">
        <f t="shared" si="267"/>
        <v>0</v>
      </c>
      <c r="N447" s="288">
        <f t="shared" si="249"/>
        <v>354375.66999999987</v>
      </c>
      <c r="O447" s="288">
        <f t="shared" si="250"/>
        <v>473073.52999999985</v>
      </c>
      <c r="P447" s="288">
        <f t="shared" si="240"/>
        <v>0</v>
      </c>
      <c r="Q447" s="499" t="str">
        <f t="shared" si="241"/>
        <v xml:space="preserve"> </v>
      </c>
      <c r="R447" s="288">
        <f t="shared" si="265"/>
        <v>0</v>
      </c>
      <c r="S447" s="492">
        <f t="shared" si="251"/>
        <v>6.7500000000000004E-2</v>
      </c>
      <c r="T447" s="288">
        <f t="shared" si="242"/>
        <v>0</v>
      </c>
      <c r="U447" s="288">
        <f t="shared" si="268"/>
        <v>0</v>
      </c>
      <c r="V447" s="288">
        <f t="shared" si="243"/>
        <v>0</v>
      </c>
      <c r="W447" s="288">
        <f t="shared" si="261"/>
        <v>0</v>
      </c>
      <c r="X447" s="288">
        <f t="shared" si="262"/>
        <v>0</v>
      </c>
      <c r="Y447" s="288">
        <f t="shared" si="269"/>
        <v>0</v>
      </c>
      <c r="Z447" s="288">
        <f t="shared" si="270"/>
        <v>357260.75999999995</v>
      </c>
      <c r="AA447" s="288">
        <f t="shared" si="271"/>
        <v>179976.28000000012</v>
      </c>
      <c r="AB447" s="288">
        <f t="shared" si="244"/>
        <v>0</v>
      </c>
      <c r="AC447" s="410">
        <f t="shared" si="252"/>
        <v>387</v>
      </c>
      <c r="AD447" s="510">
        <f t="shared" si="253"/>
        <v>290212.1599999998</v>
      </c>
      <c r="AE447" s="510">
        <f t="shared" si="263"/>
        <v>0</v>
      </c>
      <c r="AF447" s="510">
        <f t="shared" si="264"/>
        <v>290212.1599999998</v>
      </c>
      <c r="AG447" s="510">
        <f t="shared" si="254"/>
        <v>0</v>
      </c>
      <c r="AH447" s="510">
        <f t="shared" si="255"/>
        <v>0</v>
      </c>
      <c r="AI447" s="510"/>
      <c r="AJ447" s="14">
        <f t="shared" si="272"/>
        <v>0</v>
      </c>
      <c r="AK447" s="14">
        <f t="shared" si="235"/>
        <v>0</v>
      </c>
      <c r="AL447" s="510">
        <f>IF(R447&lt;=0,0,+(Profit!$B$4+AM446)*$AL$1/12)</f>
        <v>0</v>
      </c>
      <c r="AM447" s="14">
        <f t="shared" si="256"/>
        <v>0</v>
      </c>
    </row>
    <row r="448" spans="1:39" x14ac:dyDescent="0.25">
      <c r="A448" s="499" t="str">
        <f t="shared" si="245"/>
        <v xml:space="preserve"> </v>
      </c>
      <c r="B448" s="288">
        <f t="shared" si="260"/>
        <v>0</v>
      </c>
      <c r="C448" s="14">
        <f t="shared" si="236"/>
        <v>0</v>
      </c>
      <c r="D448" s="14">
        <f t="shared" si="257"/>
        <v>0</v>
      </c>
      <c r="E448" s="14">
        <f t="shared" si="237"/>
        <v>0</v>
      </c>
      <c r="F448" s="288">
        <f t="shared" si="246"/>
        <v>83147.320000000007</v>
      </c>
      <c r="G448" s="288">
        <f t="shared" si="247"/>
        <v>55052.229999999989</v>
      </c>
      <c r="H448" s="288">
        <f t="shared" si="238"/>
        <v>0</v>
      </c>
      <c r="I448" s="410">
        <f t="shared" si="239"/>
        <v>32</v>
      </c>
      <c r="J448" s="288">
        <f t="shared" si="259"/>
        <v>0</v>
      </c>
      <c r="K448" s="288">
        <f t="shared" si="266"/>
        <v>0</v>
      </c>
      <c r="L448" s="288">
        <f t="shared" si="258"/>
        <v>0</v>
      </c>
      <c r="M448" s="288">
        <f t="shared" si="267"/>
        <v>0</v>
      </c>
      <c r="N448" s="288">
        <f t="shared" si="249"/>
        <v>354375.66999999987</v>
      </c>
      <c r="O448" s="288">
        <f t="shared" si="250"/>
        <v>473073.52999999985</v>
      </c>
      <c r="P448" s="288">
        <f t="shared" si="240"/>
        <v>0</v>
      </c>
      <c r="Q448" s="499" t="str">
        <f t="shared" si="241"/>
        <v xml:space="preserve"> </v>
      </c>
      <c r="R448" s="288">
        <f t="shared" si="265"/>
        <v>0</v>
      </c>
      <c r="S448" s="492">
        <f t="shared" si="251"/>
        <v>6.7500000000000004E-2</v>
      </c>
      <c r="T448" s="288">
        <f t="shared" si="242"/>
        <v>0</v>
      </c>
      <c r="U448" s="288">
        <f t="shared" si="268"/>
        <v>0</v>
      </c>
      <c r="V448" s="288">
        <f t="shared" si="243"/>
        <v>0</v>
      </c>
      <c r="W448" s="288">
        <f t="shared" si="261"/>
        <v>0</v>
      </c>
      <c r="X448" s="288">
        <f t="shared" si="262"/>
        <v>0</v>
      </c>
      <c r="Y448" s="288">
        <f t="shared" si="269"/>
        <v>0</v>
      </c>
      <c r="Z448" s="288">
        <f t="shared" si="270"/>
        <v>357260.75999999995</v>
      </c>
      <c r="AA448" s="288">
        <f t="shared" si="271"/>
        <v>179976.28000000012</v>
      </c>
      <c r="AB448" s="288">
        <f t="shared" si="244"/>
        <v>0</v>
      </c>
      <c r="AC448" s="410">
        <f t="shared" si="252"/>
        <v>388</v>
      </c>
      <c r="AD448" s="510">
        <f t="shared" si="253"/>
        <v>290212.1599999998</v>
      </c>
      <c r="AE448" s="510">
        <f t="shared" si="263"/>
        <v>0</v>
      </c>
      <c r="AF448" s="510">
        <f t="shared" si="264"/>
        <v>290212.1599999998</v>
      </c>
      <c r="AG448" s="510">
        <f t="shared" si="254"/>
        <v>0</v>
      </c>
      <c r="AH448" s="510">
        <f t="shared" si="255"/>
        <v>0</v>
      </c>
      <c r="AI448" s="510"/>
      <c r="AJ448" s="14">
        <f t="shared" si="272"/>
        <v>0</v>
      </c>
      <c r="AK448" s="14">
        <f t="shared" si="235"/>
        <v>0</v>
      </c>
      <c r="AL448" s="510">
        <f>IF(R448&lt;=0,0,+(Profit!$B$4+AM447)*$AL$1/12)</f>
        <v>0</v>
      </c>
      <c r="AM448" s="14">
        <f t="shared" si="256"/>
        <v>0</v>
      </c>
    </row>
    <row r="449" spans="1:39" x14ac:dyDescent="0.25">
      <c r="A449" s="499" t="str">
        <f t="shared" si="245"/>
        <v xml:space="preserve"> </v>
      </c>
      <c r="B449" s="288">
        <f t="shared" si="260"/>
        <v>0</v>
      </c>
      <c r="C449" s="14">
        <f t="shared" si="236"/>
        <v>0</v>
      </c>
      <c r="D449" s="14">
        <f t="shared" si="257"/>
        <v>0</v>
      </c>
      <c r="E449" s="14">
        <f t="shared" si="237"/>
        <v>0</v>
      </c>
      <c r="F449" s="288">
        <f t="shared" si="246"/>
        <v>83147.320000000007</v>
      </c>
      <c r="G449" s="288">
        <f t="shared" si="247"/>
        <v>55052.229999999989</v>
      </c>
      <c r="H449" s="288">
        <f t="shared" si="238"/>
        <v>0</v>
      </c>
      <c r="I449" s="410">
        <f t="shared" si="239"/>
        <v>32</v>
      </c>
      <c r="J449" s="288">
        <f t="shared" si="259"/>
        <v>0</v>
      </c>
      <c r="K449" s="288">
        <f t="shared" si="266"/>
        <v>0</v>
      </c>
      <c r="L449" s="288">
        <f t="shared" si="258"/>
        <v>0</v>
      </c>
      <c r="M449" s="288">
        <f t="shared" si="267"/>
        <v>0</v>
      </c>
      <c r="N449" s="288">
        <f t="shared" si="249"/>
        <v>354375.66999999987</v>
      </c>
      <c r="O449" s="288">
        <f t="shared" si="250"/>
        <v>473073.52999999985</v>
      </c>
      <c r="P449" s="288">
        <f t="shared" si="240"/>
        <v>0</v>
      </c>
      <c r="Q449" s="499" t="str">
        <f t="shared" si="241"/>
        <v xml:space="preserve"> </v>
      </c>
      <c r="R449" s="288">
        <f t="shared" si="265"/>
        <v>0</v>
      </c>
      <c r="S449" s="492">
        <f t="shared" si="251"/>
        <v>6.7500000000000004E-2</v>
      </c>
      <c r="T449" s="288">
        <f t="shared" si="242"/>
        <v>0</v>
      </c>
      <c r="U449" s="288">
        <f t="shared" si="268"/>
        <v>0</v>
      </c>
      <c r="V449" s="288">
        <f t="shared" si="243"/>
        <v>0</v>
      </c>
      <c r="W449" s="288">
        <f t="shared" si="261"/>
        <v>0</v>
      </c>
      <c r="X449" s="288">
        <f t="shared" si="262"/>
        <v>0</v>
      </c>
      <c r="Y449" s="288">
        <f t="shared" si="269"/>
        <v>0</v>
      </c>
      <c r="Z449" s="288">
        <f t="shared" si="270"/>
        <v>357260.75999999995</v>
      </c>
      <c r="AA449" s="288">
        <f t="shared" si="271"/>
        <v>179976.28000000012</v>
      </c>
      <c r="AB449" s="288">
        <f t="shared" si="244"/>
        <v>0</v>
      </c>
      <c r="AC449" s="410">
        <f t="shared" si="252"/>
        <v>389</v>
      </c>
      <c r="AD449" s="510">
        <f t="shared" si="253"/>
        <v>290212.1599999998</v>
      </c>
      <c r="AE449" s="510">
        <f t="shared" si="263"/>
        <v>0</v>
      </c>
      <c r="AF449" s="510">
        <f t="shared" si="264"/>
        <v>290212.1599999998</v>
      </c>
      <c r="AG449" s="510">
        <f t="shared" si="254"/>
        <v>0</v>
      </c>
      <c r="AH449" s="510">
        <f t="shared" si="255"/>
        <v>0</v>
      </c>
      <c r="AI449" s="510"/>
      <c r="AJ449" s="14">
        <f t="shared" si="272"/>
        <v>0</v>
      </c>
      <c r="AK449" s="14">
        <f t="shared" si="235"/>
        <v>0</v>
      </c>
      <c r="AL449" s="510">
        <f>IF(R449&lt;=0,0,+(Profit!$B$4+AM448)*$AL$1/12)</f>
        <v>0</v>
      </c>
      <c r="AM449" s="14">
        <f t="shared" si="256"/>
        <v>0</v>
      </c>
    </row>
    <row r="450" spans="1:39" x14ac:dyDescent="0.25">
      <c r="A450" s="499" t="str">
        <f t="shared" si="245"/>
        <v xml:space="preserve"> </v>
      </c>
      <c r="B450" s="288">
        <f t="shared" si="260"/>
        <v>0</v>
      </c>
      <c r="C450" s="14">
        <f t="shared" si="236"/>
        <v>0</v>
      </c>
      <c r="D450" s="14">
        <f t="shared" si="257"/>
        <v>0</v>
      </c>
      <c r="E450" s="14">
        <f t="shared" si="237"/>
        <v>0</v>
      </c>
      <c r="F450" s="288">
        <f t="shared" si="246"/>
        <v>83147.320000000007</v>
      </c>
      <c r="G450" s="288">
        <f t="shared" si="247"/>
        <v>55052.229999999989</v>
      </c>
      <c r="H450" s="288">
        <f t="shared" si="238"/>
        <v>0</v>
      </c>
      <c r="I450" s="410">
        <f t="shared" si="239"/>
        <v>32</v>
      </c>
      <c r="J450" s="288">
        <f t="shared" si="259"/>
        <v>0</v>
      </c>
      <c r="K450" s="288">
        <f t="shared" si="266"/>
        <v>0</v>
      </c>
      <c r="L450" s="288">
        <f t="shared" si="258"/>
        <v>0</v>
      </c>
      <c r="M450" s="288">
        <f t="shared" si="267"/>
        <v>0</v>
      </c>
      <c r="N450" s="288">
        <f t="shared" si="249"/>
        <v>354375.66999999987</v>
      </c>
      <c r="O450" s="288">
        <f t="shared" si="250"/>
        <v>473073.52999999985</v>
      </c>
      <c r="P450" s="288">
        <f t="shared" si="240"/>
        <v>0</v>
      </c>
      <c r="Q450" s="499" t="str">
        <f t="shared" si="241"/>
        <v xml:space="preserve"> </v>
      </c>
      <c r="R450" s="288">
        <f t="shared" si="265"/>
        <v>0</v>
      </c>
      <c r="S450" s="492">
        <f t="shared" si="251"/>
        <v>6.7500000000000004E-2</v>
      </c>
      <c r="T450" s="288">
        <f t="shared" si="242"/>
        <v>0</v>
      </c>
      <c r="U450" s="288">
        <f t="shared" si="268"/>
        <v>0</v>
      </c>
      <c r="V450" s="288">
        <f t="shared" si="243"/>
        <v>0</v>
      </c>
      <c r="W450" s="288">
        <f t="shared" si="261"/>
        <v>0</v>
      </c>
      <c r="X450" s="288">
        <f t="shared" si="262"/>
        <v>0</v>
      </c>
      <c r="Y450" s="288">
        <f t="shared" si="269"/>
        <v>0</v>
      </c>
      <c r="Z450" s="288">
        <f t="shared" si="270"/>
        <v>357260.75999999995</v>
      </c>
      <c r="AA450" s="288">
        <f t="shared" si="271"/>
        <v>179976.28000000012</v>
      </c>
      <c r="AB450" s="288">
        <f t="shared" si="244"/>
        <v>0</v>
      </c>
      <c r="AC450" s="410">
        <f t="shared" si="252"/>
        <v>390</v>
      </c>
      <c r="AD450" s="510">
        <f t="shared" si="253"/>
        <v>290212.1599999998</v>
      </c>
      <c r="AE450" s="510">
        <f t="shared" si="263"/>
        <v>0</v>
      </c>
      <c r="AF450" s="510">
        <f t="shared" si="264"/>
        <v>290212.1599999998</v>
      </c>
      <c r="AG450" s="510">
        <f t="shared" si="254"/>
        <v>0</v>
      </c>
      <c r="AH450" s="510">
        <f t="shared" si="255"/>
        <v>0</v>
      </c>
      <c r="AI450" s="510"/>
      <c r="AJ450" s="14">
        <f t="shared" si="272"/>
        <v>0</v>
      </c>
      <c r="AK450" s="14">
        <f t="shared" ref="AK450:AK490" si="273">IF(P450&lt;=0,0,+AJ450+AK449)</f>
        <v>0</v>
      </c>
      <c r="AL450" s="510">
        <f>IF(R450&lt;=0,0,+(Profit!$B$4+AM449)*$AL$1/12)</f>
        <v>0</v>
      </c>
      <c r="AM450" s="14">
        <f t="shared" si="256"/>
        <v>0</v>
      </c>
    </row>
    <row r="451" spans="1:39" x14ac:dyDescent="0.25">
      <c r="A451" s="499" t="str">
        <f t="shared" si="245"/>
        <v xml:space="preserve"> </v>
      </c>
      <c r="B451" s="288">
        <f t="shared" si="260"/>
        <v>0</v>
      </c>
      <c r="C451" s="14">
        <f t="shared" si="236"/>
        <v>0</v>
      </c>
      <c r="D451" s="14">
        <f t="shared" si="257"/>
        <v>0</v>
      </c>
      <c r="E451" s="14">
        <f t="shared" si="237"/>
        <v>0</v>
      </c>
      <c r="F451" s="288">
        <f t="shared" si="246"/>
        <v>83147.320000000007</v>
      </c>
      <c r="G451" s="288">
        <f t="shared" si="247"/>
        <v>55052.229999999989</v>
      </c>
      <c r="H451" s="288">
        <f t="shared" si="238"/>
        <v>0</v>
      </c>
      <c r="I451" s="410">
        <f t="shared" si="239"/>
        <v>32</v>
      </c>
      <c r="J451" s="288">
        <f t="shared" si="259"/>
        <v>0</v>
      </c>
      <c r="K451" s="288">
        <f t="shared" si="266"/>
        <v>0</v>
      </c>
      <c r="L451" s="288">
        <f t="shared" si="258"/>
        <v>0</v>
      </c>
      <c r="M451" s="288">
        <f t="shared" si="267"/>
        <v>0</v>
      </c>
      <c r="N451" s="288">
        <f t="shared" si="249"/>
        <v>354375.66999999987</v>
      </c>
      <c r="O451" s="288">
        <f t="shared" si="250"/>
        <v>473073.52999999985</v>
      </c>
      <c r="P451" s="288">
        <f t="shared" si="240"/>
        <v>0</v>
      </c>
      <c r="Q451" s="499" t="str">
        <f t="shared" si="241"/>
        <v xml:space="preserve"> </v>
      </c>
      <c r="R451" s="288">
        <f t="shared" si="265"/>
        <v>0</v>
      </c>
      <c r="S451" s="492">
        <f t="shared" si="251"/>
        <v>6.7500000000000004E-2</v>
      </c>
      <c r="T451" s="288">
        <f t="shared" si="242"/>
        <v>0</v>
      </c>
      <c r="U451" s="288">
        <f t="shared" si="268"/>
        <v>0</v>
      </c>
      <c r="V451" s="288">
        <f t="shared" si="243"/>
        <v>0</v>
      </c>
      <c r="W451" s="288">
        <f t="shared" si="261"/>
        <v>0</v>
      </c>
      <c r="X451" s="288">
        <f t="shared" si="262"/>
        <v>0</v>
      </c>
      <c r="Y451" s="288">
        <f t="shared" si="269"/>
        <v>0</v>
      </c>
      <c r="Z451" s="288">
        <f t="shared" si="270"/>
        <v>357260.75999999995</v>
      </c>
      <c r="AA451" s="288">
        <f t="shared" si="271"/>
        <v>179976.28000000012</v>
      </c>
      <c r="AB451" s="288">
        <f t="shared" si="244"/>
        <v>0</v>
      </c>
      <c r="AC451" s="410">
        <f t="shared" si="252"/>
        <v>391</v>
      </c>
      <c r="AD451" s="510">
        <f t="shared" si="253"/>
        <v>290212.1599999998</v>
      </c>
      <c r="AE451" s="510">
        <f t="shared" si="263"/>
        <v>0</v>
      </c>
      <c r="AF451" s="510">
        <f t="shared" si="264"/>
        <v>290212.1599999998</v>
      </c>
      <c r="AG451" s="510">
        <f t="shared" si="254"/>
        <v>0</v>
      </c>
      <c r="AH451" s="510">
        <f t="shared" si="255"/>
        <v>0</v>
      </c>
      <c r="AI451" s="510"/>
      <c r="AJ451" s="14">
        <f t="shared" si="272"/>
        <v>0</v>
      </c>
      <c r="AK451" s="14">
        <f t="shared" si="273"/>
        <v>0</v>
      </c>
      <c r="AL451" s="510">
        <f>IF(R451&lt;=0,0,+(Profit!$B$4+AM450)*$AL$1/12)</f>
        <v>0</v>
      </c>
      <c r="AM451" s="14">
        <f t="shared" si="256"/>
        <v>0</v>
      </c>
    </row>
    <row r="452" spans="1:39" x14ac:dyDescent="0.25">
      <c r="A452" s="499" t="str">
        <f t="shared" si="245"/>
        <v xml:space="preserve"> </v>
      </c>
      <c r="B452" s="288">
        <f t="shared" si="260"/>
        <v>0</v>
      </c>
      <c r="C452" s="14">
        <f t="shared" si="236"/>
        <v>0</v>
      </c>
      <c r="D452" s="14">
        <f t="shared" si="257"/>
        <v>0</v>
      </c>
      <c r="E452" s="14">
        <f t="shared" si="237"/>
        <v>0</v>
      </c>
      <c r="F452" s="288">
        <f t="shared" si="246"/>
        <v>83147.320000000007</v>
      </c>
      <c r="G452" s="288">
        <f t="shared" si="247"/>
        <v>55052.229999999989</v>
      </c>
      <c r="H452" s="288">
        <f t="shared" si="238"/>
        <v>0</v>
      </c>
      <c r="I452" s="410">
        <f t="shared" si="239"/>
        <v>32</v>
      </c>
      <c r="J452" s="288">
        <f t="shared" si="259"/>
        <v>0</v>
      </c>
      <c r="K452" s="288">
        <f t="shared" si="266"/>
        <v>0</v>
      </c>
      <c r="L452" s="288">
        <f t="shared" si="258"/>
        <v>0</v>
      </c>
      <c r="M452" s="288">
        <f t="shared" si="267"/>
        <v>0</v>
      </c>
      <c r="N452" s="288">
        <f t="shared" si="249"/>
        <v>354375.66999999987</v>
      </c>
      <c r="O452" s="288">
        <f t="shared" si="250"/>
        <v>473073.52999999985</v>
      </c>
      <c r="P452" s="288">
        <f t="shared" si="240"/>
        <v>0</v>
      </c>
      <c r="Q452" s="499" t="str">
        <f t="shared" si="241"/>
        <v xml:space="preserve"> </v>
      </c>
      <c r="R452" s="288">
        <f t="shared" si="265"/>
        <v>0</v>
      </c>
      <c r="S452" s="492">
        <f t="shared" si="251"/>
        <v>6.7500000000000004E-2</v>
      </c>
      <c r="T452" s="288">
        <f t="shared" si="242"/>
        <v>0</v>
      </c>
      <c r="U452" s="288">
        <f t="shared" si="268"/>
        <v>0</v>
      </c>
      <c r="V452" s="288">
        <f t="shared" si="243"/>
        <v>0</v>
      </c>
      <c r="W452" s="288">
        <f t="shared" si="261"/>
        <v>0</v>
      </c>
      <c r="X452" s="288">
        <f t="shared" si="262"/>
        <v>0</v>
      </c>
      <c r="Y452" s="288">
        <f t="shared" si="269"/>
        <v>0</v>
      </c>
      <c r="Z452" s="288">
        <f t="shared" si="270"/>
        <v>357260.75999999995</v>
      </c>
      <c r="AA452" s="288">
        <f t="shared" si="271"/>
        <v>179976.28000000012</v>
      </c>
      <c r="AB452" s="288">
        <f t="shared" si="244"/>
        <v>0</v>
      </c>
      <c r="AC452" s="410">
        <f t="shared" si="252"/>
        <v>392</v>
      </c>
      <c r="AD452" s="510">
        <f t="shared" si="253"/>
        <v>290212.1599999998</v>
      </c>
      <c r="AE452" s="510">
        <f t="shared" si="263"/>
        <v>0</v>
      </c>
      <c r="AF452" s="510">
        <f t="shared" si="264"/>
        <v>290212.1599999998</v>
      </c>
      <c r="AG452" s="510">
        <f t="shared" si="254"/>
        <v>0</v>
      </c>
      <c r="AH452" s="510">
        <f t="shared" si="255"/>
        <v>0</v>
      </c>
      <c r="AI452" s="510"/>
      <c r="AJ452" s="14">
        <f t="shared" si="272"/>
        <v>0</v>
      </c>
      <c r="AK452" s="14">
        <f t="shared" si="273"/>
        <v>0</v>
      </c>
      <c r="AL452" s="510">
        <f>IF(R452&lt;=0,0,+(Profit!$B$4+AM451)*$AL$1/12)</f>
        <v>0</v>
      </c>
      <c r="AM452" s="14">
        <f t="shared" si="256"/>
        <v>0</v>
      </c>
    </row>
    <row r="453" spans="1:39" x14ac:dyDescent="0.25">
      <c r="A453" s="499" t="str">
        <f t="shared" si="245"/>
        <v xml:space="preserve"> </v>
      </c>
      <c r="B453" s="288">
        <f t="shared" si="260"/>
        <v>0</v>
      </c>
      <c r="C453" s="14">
        <f t="shared" si="236"/>
        <v>0</v>
      </c>
      <c r="D453" s="14">
        <f t="shared" si="257"/>
        <v>0</v>
      </c>
      <c r="E453" s="14">
        <f t="shared" si="237"/>
        <v>0</v>
      </c>
      <c r="F453" s="288">
        <f t="shared" si="246"/>
        <v>83147.320000000007</v>
      </c>
      <c r="G453" s="288">
        <f t="shared" si="247"/>
        <v>55052.229999999989</v>
      </c>
      <c r="H453" s="288">
        <f t="shared" si="238"/>
        <v>0</v>
      </c>
      <c r="I453" s="410">
        <f t="shared" si="239"/>
        <v>32</v>
      </c>
      <c r="J453" s="288">
        <f t="shared" si="259"/>
        <v>0</v>
      </c>
      <c r="K453" s="288">
        <f t="shared" si="266"/>
        <v>0</v>
      </c>
      <c r="L453" s="288">
        <f t="shared" si="258"/>
        <v>0</v>
      </c>
      <c r="M453" s="288">
        <f t="shared" si="267"/>
        <v>0</v>
      </c>
      <c r="N453" s="288">
        <f t="shared" si="249"/>
        <v>354375.66999999987</v>
      </c>
      <c r="O453" s="288">
        <f t="shared" si="250"/>
        <v>473073.52999999985</v>
      </c>
      <c r="P453" s="288">
        <f t="shared" si="240"/>
        <v>0</v>
      </c>
      <c r="Q453" s="499" t="str">
        <f t="shared" si="241"/>
        <v xml:space="preserve"> </v>
      </c>
      <c r="R453" s="288">
        <f t="shared" si="265"/>
        <v>0</v>
      </c>
      <c r="S453" s="492">
        <f t="shared" si="251"/>
        <v>6.7500000000000004E-2</v>
      </c>
      <c r="T453" s="288">
        <f t="shared" si="242"/>
        <v>0</v>
      </c>
      <c r="U453" s="288">
        <f t="shared" si="268"/>
        <v>0</v>
      </c>
      <c r="V453" s="288">
        <f t="shared" si="243"/>
        <v>0</v>
      </c>
      <c r="W453" s="288">
        <f t="shared" si="261"/>
        <v>0</v>
      </c>
      <c r="X453" s="288">
        <f t="shared" si="262"/>
        <v>0</v>
      </c>
      <c r="Y453" s="288">
        <f t="shared" si="269"/>
        <v>0</v>
      </c>
      <c r="Z453" s="288">
        <f t="shared" si="270"/>
        <v>357260.75999999995</v>
      </c>
      <c r="AA453" s="288">
        <f t="shared" si="271"/>
        <v>179976.28000000012</v>
      </c>
      <c r="AB453" s="288">
        <f t="shared" si="244"/>
        <v>0</v>
      </c>
      <c r="AC453" s="410">
        <f t="shared" si="252"/>
        <v>393</v>
      </c>
      <c r="AD453" s="510">
        <f t="shared" si="253"/>
        <v>290212.1599999998</v>
      </c>
      <c r="AE453" s="510">
        <f t="shared" si="263"/>
        <v>0</v>
      </c>
      <c r="AF453" s="510">
        <f t="shared" si="264"/>
        <v>290212.1599999998</v>
      </c>
      <c r="AG453" s="510">
        <f t="shared" si="254"/>
        <v>0</v>
      </c>
      <c r="AH453" s="510">
        <f t="shared" si="255"/>
        <v>0</v>
      </c>
      <c r="AI453" s="510"/>
      <c r="AJ453" s="14">
        <f t="shared" si="272"/>
        <v>0</v>
      </c>
      <c r="AK453" s="14">
        <f t="shared" si="273"/>
        <v>0</v>
      </c>
      <c r="AL453" s="510">
        <f>IF(R453&lt;=0,0,+(Profit!$B$4+AM452)*$AL$1/12)</f>
        <v>0</v>
      </c>
      <c r="AM453" s="14">
        <f t="shared" si="256"/>
        <v>0</v>
      </c>
    </row>
    <row r="454" spans="1:39" x14ac:dyDescent="0.25">
      <c r="A454" s="499" t="str">
        <f t="shared" si="245"/>
        <v xml:space="preserve"> </v>
      </c>
      <c r="B454" s="288">
        <f t="shared" si="260"/>
        <v>0</v>
      </c>
      <c r="C454" s="14">
        <f t="shared" si="236"/>
        <v>0</v>
      </c>
      <c r="D454" s="14">
        <f t="shared" si="257"/>
        <v>0</v>
      </c>
      <c r="E454" s="14">
        <f t="shared" si="237"/>
        <v>0</v>
      </c>
      <c r="F454" s="288">
        <f t="shared" si="246"/>
        <v>83147.320000000007</v>
      </c>
      <c r="G454" s="288">
        <f t="shared" si="247"/>
        <v>55052.229999999989</v>
      </c>
      <c r="H454" s="288">
        <f t="shared" si="238"/>
        <v>0</v>
      </c>
      <c r="I454" s="410">
        <f t="shared" si="239"/>
        <v>32</v>
      </c>
      <c r="J454" s="288">
        <f t="shared" si="259"/>
        <v>0</v>
      </c>
      <c r="K454" s="288">
        <f t="shared" si="266"/>
        <v>0</v>
      </c>
      <c r="L454" s="288">
        <f t="shared" si="258"/>
        <v>0</v>
      </c>
      <c r="M454" s="288">
        <f t="shared" si="267"/>
        <v>0</v>
      </c>
      <c r="N454" s="288">
        <f t="shared" si="249"/>
        <v>354375.66999999987</v>
      </c>
      <c r="O454" s="288">
        <f t="shared" si="250"/>
        <v>473073.52999999985</v>
      </c>
      <c r="P454" s="288">
        <f t="shared" si="240"/>
        <v>0</v>
      </c>
      <c r="Q454" s="499" t="str">
        <f t="shared" si="241"/>
        <v xml:space="preserve"> </v>
      </c>
      <c r="R454" s="288">
        <f t="shared" si="265"/>
        <v>0</v>
      </c>
      <c r="S454" s="492">
        <f t="shared" si="251"/>
        <v>6.7500000000000004E-2</v>
      </c>
      <c r="T454" s="288">
        <f t="shared" si="242"/>
        <v>0</v>
      </c>
      <c r="U454" s="288">
        <f t="shared" si="268"/>
        <v>0</v>
      </c>
      <c r="V454" s="288">
        <f t="shared" si="243"/>
        <v>0</v>
      </c>
      <c r="W454" s="288">
        <f t="shared" si="261"/>
        <v>0</v>
      </c>
      <c r="X454" s="288">
        <f t="shared" si="262"/>
        <v>0</v>
      </c>
      <c r="Y454" s="288">
        <f t="shared" si="269"/>
        <v>0</v>
      </c>
      <c r="Z454" s="288">
        <f t="shared" si="270"/>
        <v>357260.75999999995</v>
      </c>
      <c r="AA454" s="288">
        <f t="shared" si="271"/>
        <v>179976.28000000012</v>
      </c>
      <c r="AB454" s="288">
        <f t="shared" si="244"/>
        <v>0</v>
      </c>
      <c r="AC454" s="410">
        <f t="shared" si="252"/>
        <v>394</v>
      </c>
      <c r="AD454" s="510">
        <f t="shared" si="253"/>
        <v>290212.1599999998</v>
      </c>
      <c r="AE454" s="510">
        <f t="shared" si="263"/>
        <v>0</v>
      </c>
      <c r="AF454" s="510">
        <f t="shared" si="264"/>
        <v>290212.1599999998</v>
      </c>
      <c r="AG454" s="510">
        <f t="shared" si="254"/>
        <v>0</v>
      </c>
      <c r="AH454" s="510">
        <f t="shared" si="255"/>
        <v>0</v>
      </c>
      <c r="AI454" s="510"/>
      <c r="AJ454" s="14">
        <f t="shared" si="272"/>
        <v>0</v>
      </c>
      <c r="AK454" s="14">
        <f t="shared" si="273"/>
        <v>0</v>
      </c>
      <c r="AL454" s="510">
        <f>IF(R454&lt;=0,0,+(Profit!$B$4+AM453)*$AL$1/12)</f>
        <v>0</v>
      </c>
      <c r="AM454" s="14">
        <f t="shared" si="256"/>
        <v>0</v>
      </c>
    </row>
    <row r="455" spans="1:39" x14ac:dyDescent="0.25">
      <c r="A455" s="499" t="str">
        <f t="shared" si="245"/>
        <v xml:space="preserve"> </v>
      </c>
      <c r="B455" s="288">
        <f t="shared" si="260"/>
        <v>0</v>
      </c>
      <c r="C455" s="14">
        <f t="shared" si="236"/>
        <v>0</v>
      </c>
      <c r="D455" s="14">
        <f t="shared" si="257"/>
        <v>0</v>
      </c>
      <c r="E455" s="14">
        <f t="shared" si="237"/>
        <v>0</v>
      </c>
      <c r="F455" s="288">
        <f t="shared" si="246"/>
        <v>83147.320000000007</v>
      </c>
      <c r="G455" s="288">
        <f t="shared" si="247"/>
        <v>55052.229999999989</v>
      </c>
      <c r="H455" s="288">
        <f t="shared" si="238"/>
        <v>0</v>
      </c>
      <c r="I455" s="410">
        <f t="shared" si="239"/>
        <v>32</v>
      </c>
      <c r="J455" s="288">
        <f t="shared" si="259"/>
        <v>0</v>
      </c>
      <c r="K455" s="288">
        <f t="shared" si="266"/>
        <v>0</v>
      </c>
      <c r="L455" s="288">
        <f t="shared" si="258"/>
        <v>0</v>
      </c>
      <c r="M455" s="288">
        <f t="shared" si="267"/>
        <v>0</v>
      </c>
      <c r="N455" s="288">
        <f t="shared" si="249"/>
        <v>354375.66999999987</v>
      </c>
      <c r="O455" s="288">
        <f t="shared" si="250"/>
        <v>473073.52999999985</v>
      </c>
      <c r="P455" s="288">
        <f t="shared" si="240"/>
        <v>0</v>
      </c>
      <c r="Q455" s="499" t="str">
        <f t="shared" si="241"/>
        <v xml:space="preserve"> </v>
      </c>
      <c r="R455" s="288">
        <f t="shared" si="265"/>
        <v>0</v>
      </c>
      <c r="S455" s="492">
        <f t="shared" si="251"/>
        <v>6.7500000000000004E-2</v>
      </c>
      <c r="T455" s="288">
        <f t="shared" si="242"/>
        <v>0</v>
      </c>
      <c r="U455" s="288">
        <f t="shared" si="268"/>
        <v>0</v>
      </c>
      <c r="V455" s="288">
        <f t="shared" si="243"/>
        <v>0</v>
      </c>
      <c r="W455" s="288">
        <f t="shared" si="261"/>
        <v>0</v>
      </c>
      <c r="X455" s="288">
        <f t="shared" si="262"/>
        <v>0</v>
      </c>
      <c r="Y455" s="288">
        <f t="shared" si="269"/>
        <v>0</v>
      </c>
      <c r="Z455" s="288">
        <f t="shared" si="270"/>
        <v>357260.75999999995</v>
      </c>
      <c r="AA455" s="288">
        <f t="shared" si="271"/>
        <v>179976.28000000012</v>
      </c>
      <c r="AB455" s="288">
        <f t="shared" si="244"/>
        <v>0</v>
      </c>
      <c r="AC455" s="410">
        <f t="shared" si="252"/>
        <v>395</v>
      </c>
      <c r="AD455" s="510">
        <f t="shared" si="253"/>
        <v>290212.1599999998</v>
      </c>
      <c r="AE455" s="510">
        <f t="shared" si="263"/>
        <v>0</v>
      </c>
      <c r="AF455" s="510">
        <f t="shared" si="264"/>
        <v>290212.1599999998</v>
      </c>
      <c r="AG455" s="510">
        <f t="shared" si="254"/>
        <v>0</v>
      </c>
      <c r="AH455" s="510">
        <f t="shared" si="255"/>
        <v>0</v>
      </c>
      <c r="AI455" s="510"/>
      <c r="AJ455" s="14">
        <f t="shared" si="272"/>
        <v>0</v>
      </c>
      <c r="AK455" s="14">
        <f t="shared" si="273"/>
        <v>0</v>
      </c>
      <c r="AL455" s="510">
        <f>IF(R455&lt;=0,0,+(Profit!$B$4+AM454)*$AL$1/12)</f>
        <v>0</v>
      </c>
      <c r="AM455" s="14">
        <f t="shared" si="256"/>
        <v>0</v>
      </c>
    </row>
    <row r="456" spans="1:39" x14ac:dyDescent="0.25">
      <c r="A456" s="499" t="str">
        <f t="shared" si="245"/>
        <v xml:space="preserve"> </v>
      </c>
      <c r="B456" s="288">
        <f t="shared" si="260"/>
        <v>0</v>
      </c>
      <c r="C456" s="14">
        <f t="shared" si="236"/>
        <v>0</v>
      </c>
      <c r="D456" s="14">
        <f t="shared" si="257"/>
        <v>0</v>
      </c>
      <c r="E456" s="14">
        <f t="shared" si="237"/>
        <v>0</v>
      </c>
      <c r="F456" s="288">
        <f t="shared" si="246"/>
        <v>83147.320000000007</v>
      </c>
      <c r="G456" s="288">
        <f t="shared" si="247"/>
        <v>55052.229999999989</v>
      </c>
      <c r="H456" s="288">
        <f t="shared" si="238"/>
        <v>0</v>
      </c>
      <c r="I456" s="410">
        <f t="shared" si="239"/>
        <v>33</v>
      </c>
      <c r="J456" s="288">
        <f t="shared" si="259"/>
        <v>0</v>
      </c>
      <c r="K456" s="288">
        <f t="shared" si="266"/>
        <v>0</v>
      </c>
      <c r="L456" s="288">
        <f t="shared" si="258"/>
        <v>0</v>
      </c>
      <c r="M456" s="288">
        <f t="shared" si="267"/>
        <v>0</v>
      </c>
      <c r="N456" s="288">
        <f t="shared" si="249"/>
        <v>354375.66999999987</v>
      </c>
      <c r="O456" s="288">
        <f t="shared" si="250"/>
        <v>473073.52999999985</v>
      </c>
      <c r="P456" s="288">
        <f t="shared" si="240"/>
        <v>0</v>
      </c>
      <c r="Q456" s="499" t="str">
        <f t="shared" si="241"/>
        <v xml:space="preserve"> </v>
      </c>
      <c r="R456" s="288">
        <f t="shared" si="265"/>
        <v>0</v>
      </c>
      <c r="S456" s="492">
        <f t="shared" si="251"/>
        <v>6.7500000000000004E-2</v>
      </c>
      <c r="T456" s="288">
        <f t="shared" si="242"/>
        <v>0</v>
      </c>
      <c r="U456" s="288">
        <f t="shared" si="268"/>
        <v>0</v>
      </c>
      <c r="V456" s="288">
        <f t="shared" si="243"/>
        <v>0</v>
      </c>
      <c r="W456" s="288">
        <f t="shared" si="261"/>
        <v>0</v>
      </c>
      <c r="X456" s="288">
        <f t="shared" si="262"/>
        <v>0</v>
      </c>
      <c r="Y456" s="288">
        <f t="shared" si="269"/>
        <v>0</v>
      </c>
      <c r="Z456" s="288">
        <f t="shared" si="270"/>
        <v>357260.75999999995</v>
      </c>
      <c r="AA456" s="288">
        <f t="shared" si="271"/>
        <v>179976.28000000012</v>
      </c>
      <c r="AB456" s="288">
        <f t="shared" si="244"/>
        <v>0</v>
      </c>
      <c r="AC456" s="410">
        <f t="shared" si="252"/>
        <v>396</v>
      </c>
      <c r="AD456" s="510">
        <f t="shared" si="253"/>
        <v>290212.1599999998</v>
      </c>
      <c r="AE456" s="510">
        <f t="shared" si="263"/>
        <v>0</v>
      </c>
      <c r="AF456" s="510">
        <f t="shared" si="264"/>
        <v>290212.1599999998</v>
      </c>
      <c r="AG456" s="510">
        <f t="shared" si="254"/>
        <v>0</v>
      </c>
      <c r="AH456" s="510">
        <f t="shared" si="255"/>
        <v>0</v>
      </c>
      <c r="AI456" s="510"/>
      <c r="AJ456" s="14">
        <f t="shared" si="272"/>
        <v>0</v>
      </c>
      <c r="AK456" s="14">
        <f t="shared" si="273"/>
        <v>0</v>
      </c>
      <c r="AL456" s="510">
        <f>IF(R456&lt;=0,0,+(Profit!$B$4+AM455)*$AL$1/12)</f>
        <v>0</v>
      </c>
      <c r="AM456" s="14">
        <f t="shared" si="256"/>
        <v>0</v>
      </c>
    </row>
    <row r="457" spans="1:39" x14ac:dyDescent="0.25">
      <c r="A457" s="499" t="str">
        <f t="shared" si="245"/>
        <v xml:space="preserve"> </v>
      </c>
      <c r="B457" s="288">
        <f t="shared" si="260"/>
        <v>0</v>
      </c>
      <c r="C457" s="14">
        <f t="shared" si="236"/>
        <v>0</v>
      </c>
      <c r="D457" s="14">
        <f t="shared" si="257"/>
        <v>0</v>
      </c>
      <c r="E457" s="14">
        <f t="shared" si="237"/>
        <v>0</v>
      </c>
      <c r="F457" s="288">
        <f t="shared" si="246"/>
        <v>83147.320000000007</v>
      </c>
      <c r="G457" s="288">
        <f t="shared" si="247"/>
        <v>55052.229999999989</v>
      </c>
      <c r="H457" s="288">
        <f t="shared" si="238"/>
        <v>0</v>
      </c>
      <c r="I457" s="410">
        <f t="shared" si="239"/>
        <v>33</v>
      </c>
      <c r="J457" s="288">
        <f t="shared" si="259"/>
        <v>0</v>
      </c>
      <c r="K457" s="288">
        <f t="shared" si="266"/>
        <v>0</v>
      </c>
      <c r="L457" s="288">
        <f t="shared" si="258"/>
        <v>0</v>
      </c>
      <c r="M457" s="288">
        <f t="shared" si="267"/>
        <v>0</v>
      </c>
      <c r="N457" s="288">
        <f t="shared" si="249"/>
        <v>354375.66999999987</v>
      </c>
      <c r="O457" s="288">
        <f t="shared" si="250"/>
        <v>473073.52999999985</v>
      </c>
      <c r="P457" s="288">
        <f t="shared" si="240"/>
        <v>0</v>
      </c>
      <c r="Q457" s="499" t="str">
        <f t="shared" si="241"/>
        <v xml:space="preserve"> </v>
      </c>
      <c r="R457" s="288">
        <f t="shared" si="265"/>
        <v>0</v>
      </c>
      <c r="S457" s="492">
        <f t="shared" si="251"/>
        <v>6.7500000000000004E-2</v>
      </c>
      <c r="T457" s="288">
        <f t="shared" si="242"/>
        <v>0</v>
      </c>
      <c r="U457" s="288">
        <f t="shared" si="268"/>
        <v>0</v>
      </c>
      <c r="V457" s="288">
        <f t="shared" si="243"/>
        <v>0</v>
      </c>
      <c r="W457" s="288">
        <f t="shared" si="261"/>
        <v>0</v>
      </c>
      <c r="X457" s="288">
        <f t="shared" si="262"/>
        <v>0</v>
      </c>
      <c r="Y457" s="288">
        <f t="shared" si="269"/>
        <v>0</v>
      </c>
      <c r="Z457" s="288">
        <f t="shared" si="270"/>
        <v>357260.75999999995</v>
      </c>
      <c r="AA457" s="288">
        <f t="shared" si="271"/>
        <v>179976.28000000012</v>
      </c>
      <c r="AB457" s="288">
        <f t="shared" si="244"/>
        <v>0</v>
      </c>
      <c r="AC457" s="410">
        <f t="shared" si="252"/>
        <v>397</v>
      </c>
      <c r="AD457" s="510">
        <f t="shared" si="253"/>
        <v>290212.1599999998</v>
      </c>
      <c r="AE457" s="510">
        <f t="shared" si="263"/>
        <v>0</v>
      </c>
      <c r="AF457" s="510">
        <f t="shared" si="264"/>
        <v>290212.1599999998</v>
      </c>
      <c r="AG457" s="510">
        <f t="shared" si="254"/>
        <v>0</v>
      </c>
      <c r="AH457" s="510">
        <f t="shared" si="255"/>
        <v>0</v>
      </c>
      <c r="AI457" s="510"/>
      <c r="AJ457" s="14">
        <f t="shared" si="272"/>
        <v>0</v>
      </c>
      <c r="AK457" s="14">
        <f t="shared" si="273"/>
        <v>0</v>
      </c>
      <c r="AL457" s="510">
        <f>IF(R457&lt;=0,0,+(Profit!$B$4+AM456)*$AL$1/12)</f>
        <v>0</v>
      </c>
      <c r="AM457" s="14">
        <f t="shared" si="256"/>
        <v>0</v>
      </c>
    </row>
    <row r="458" spans="1:39" ht="15.75" thickBot="1" x14ac:dyDescent="0.3">
      <c r="A458" s="502" t="str">
        <f t="shared" si="245"/>
        <v xml:space="preserve"> </v>
      </c>
      <c r="B458" s="343">
        <f t="shared" si="260"/>
        <v>0</v>
      </c>
      <c r="C458" s="21">
        <f t="shared" si="236"/>
        <v>0</v>
      </c>
      <c r="D458" s="21">
        <f t="shared" si="257"/>
        <v>0</v>
      </c>
      <c r="E458" s="21">
        <f t="shared" si="237"/>
        <v>0</v>
      </c>
      <c r="F458" s="343">
        <f t="shared" si="246"/>
        <v>83147.320000000007</v>
      </c>
      <c r="G458" s="343">
        <f t="shared" si="247"/>
        <v>55052.229999999989</v>
      </c>
      <c r="H458" s="343">
        <f t="shared" si="238"/>
        <v>0</v>
      </c>
      <c r="I458" s="411">
        <f t="shared" si="239"/>
        <v>33</v>
      </c>
      <c r="J458" s="343">
        <f t="shared" si="259"/>
        <v>0</v>
      </c>
      <c r="K458" s="343">
        <f t="shared" si="266"/>
        <v>0</v>
      </c>
      <c r="L458" s="343">
        <f t="shared" si="258"/>
        <v>0</v>
      </c>
      <c r="M458" s="343">
        <f t="shared" si="267"/>
        <v>0</v>
      </c>
      <c r="N458" s="343">
        <f t="shared" si="249"/>
        <v>354375.66999999987</v>
      </c>
      <c r="O458" s="343">
        <f t="shared" si="250"/>
        <v>473073.52999999985</v>
      </c>
      <c r="P458" s="343">
        <f t="shared" si="240"/>
        <v>0</v>
      </c>
      <c r="Q458" s="502" t="str">
        <f t="shared" si="241"/>
        <v xml:space="preserve"> </v>
      </c>
      <c r="R458" s="343">
        <f t="shared" si="265"/>
        <v>0</v>
      </c>
      <c r="S458" s="493">
        <f t="shared" si="251"/>
        <v>6.7500000000000004E-2</v>
      </c>
      <c r="T458" s="343">
        <f t="shared" si="242"/>
        <v>0</v>
      </c>
      <c r="U458" s="343">
        <f t="shared" si="268"/>
        <v>0</v>
      </c>
      <c r="V458" s="343">
        <f t="shared" si="243"/>
        <v>0</v>
      </c>
      <c r="W458" s="343">
        <f t="shared" si="261"/>
        <v>0</v>
      </c>
      <c r="X458" s="343">
        <f t="shared" si="262"/>
        <v>0</v>
      </c>
      <c r="Y458" s="343">
        <f t="shared" si="269"/>
        <v>0</v>
      </c>
      <c r="Z458" s="343">
        <f t="shared" si="270"/>
        <v>357260.75999999995</v>
      </c>
      <c r="AA458" s="343">
        <f t="shared" si="271"/>
        <v>179976.28000000012</v>
      </c>
      <c r="AB458" s="343">
        <f t="shared" si="244"/>
        <v>0</v>
      </c>
      <c r="AC458" s="411">
        <f t="shared" si="252"/>
        <v>398</v>
      </c>
      <c r="AD458" s="511">
        <f t="shared" si="253"/>
        <v>290212.1599999998</v>
      </c>
      <c r="AE458" s="511">
        <f t="shared" si="263"/>
        <v>0</v>
      </c>
      <c r="AF458" s="511">
        <f t="shared" si="264"/>
        <v>290212.1599999998</v>
      </c>
      <c r="AG458" s="511">
        <f t="shared" si="254"/>
        <v>0</v>
      </c>
      <c r="AH458" s="511">
        <f t="shared" si="255"/>
        <v>0</v>
      </c>
      <c r="AI458" s="511"/>
      <c r="AJ458" s="21">
        <f t="shared" si="272"/>
        <v>0</v>
      </c>
      <c r="AK458" s="21">
        <f t="shared" si="273"/>
        <v>0</v>
      </c>
      <c r="AL458" s="511">
        <f>IF(R458&lt;=0,0,+(Profit!$B$4+AM457)*$AL$1/12)</f>
        <v>0</v>
      </c>
      <c r="AM458" s="21">
        <f t="shared" si="256"/>
        <v>0</v>
      </c>
    </row>
    <row r="459" spans="1:39" x14ac:dyDescent="0.25">
      <c r="A459" s="499" t="str">
        <f t="shared" si="245"/>
        <v xml:space="preserve"> </v>
      </c>
      <c r="B459" s="288">
        <f t="shared" si="260"/>
        <v>0</v>
      </c>
      <c r="C459" s="14">
        <f t="shared" si="236"/>
        <v>0</v>
      </c>
      <c r="D459" s="14">
        <f t="shared" si="257"/>
        <v>0</v>
      </c>
      <c r="E459" s="14">
        <f t="shared" si="237"/>
        <v>0</v>
      </c>
      <c r="F459" s="288">
        <f t="shared" si="246"/>
        <v>83147.320000000007</v>
      </c>
      <c r="G459" s="288">
        <f t="shared" si="247"/>
        <v>55052.229999999989</v>
      </c>
      <c r="H459" s="288">
        <f t="shared" si="238"/>
        <v>0</v>
      </c>
      <c r="I459" s="410">
        <f t="shared" si="239"/>
        <v>33</v>
      </c>
      <c r="J459" s="288">
        <f t="shared" si="259"/>
        <v>0</v>
      </c>
      <c r="K459" s="288">
        <f t="shared" si="266"/>
        <v>0</v>
      </c>
      <c r="L459" s="288">
        <f t="shared" si="258"/>
        <v>0</v>
      </c>
      <c r="M459" s="288">
        <f t="shared" si="267"/>
        <v>0</v>
      </c>
      <c r="N459" s="288">
        <f t="shared" si="249"/>
        <v>354375.66999999987</v>
      </c>
      <c r="O459" s="288">
        <f t="shared" si="250"/>
        <v>473073.52999999985</v>
      </c>
      <c r="P459" s="288">
        <f t="shared" si="240"/>
        <v>0</v>
      </c>
      <c r="Q459" s="499" t="str">
        <f t="shared" si="241"/>
        <v xml:space="preserve"> </v>
      </c>
      <c r="R459" s="288">
        <f t="shared" si="265"/>
        <v>0</v>
      </c>
      <c r="S459" s="492">
        <f t="shared" si="251"/>
        <v>6.7500000000000004E-2</v>
      </c>
      <c r="T459" s="288">
        <f t="shared" si="242"/>
        <v>0</v>
      </c>
      <c r="U459" s="288">
        <f t="shared" si="268"/>
        <v>0</v>
      </c>
      <c r="V459" s="288">
        <f t="shared" si="243"/>
        <v>0</v>
      </c>
      <c r="W459" s="288">
        <f t="shared" si="261"/>
        <v>0</v>
      </c>
      <c r="X459" s="288">
        <f t="shared" si="262"/>
        <v>0</v>
      </c>
      <c r="Y459" s="288">
        <f t="shared" si="269"/>
        <v>0</v>
      </c>
      <c r="Z459" s="288">
        <f t="shared" si="270"/>
        <v>357260.75999999995</v>
      </c>
      <c r="AA459" s="288">
        <f t="shared" si="271"/>
        <v>179976.28000000012</v>
      </c>
      <c r="AB459" s="288">
        <f t="shared" si="244"/>
        <v>0</v>
      </c>
      <c r="AC459" s="410">
        <f t="shared" si="252"/>
        <v>399</v>
      </c>
      <c r="AD459" s="510">
        <f t="shared" si="253"/>
        <v>290212.1599999998</v>
      </c>
      <c r="AE459" s="510">
        <f t="shared" si="263"/>
        <v>0</v>
      </c>
      <c r="AF459" s="510">
        <f t="shared" si="264"/>
        <v>290212.1599999998</v>
      </c>
      <c r="AG459" s="510">
        <f t="shared" si="254"/>
        <v>0</v>
      </c>
      <c r="AH459" s="510">
        <f t="shared" si="255"/>
        <v>0</v>
      </c>
      <c r="AI459" s="510"/>
      <c r="AJ459" s="14">
        <f t="shared" si="272"/>
        <v>0</v>
      </c>
      <c r="AK459" s="14">
        <f t="shared" si="273"/>
        <v>0</v>
      </c>
      <c r="AL459" s="510">
        <f>IF(R459&lt;=0,0,+(Profit!$B$4+AM458)*$AL$1/12)</f>
        <v>0</v>
      </c>
      <c r="AM459" s="14">
        <f t="shared" si="256"/>
        <v>0</v>
      </c>
    </row>
    <row r="460" spans="1:39" x14ac:dyDescent="0.25">
      <c r="A460" s="499" t="str">
        <f t="shared" si="245"/>
        <v xml:space="preserve"> </v>
      </c>
      <c r="B460" s="288">
        <f t="shared" si="260"/>
        <v>0</v>
      </c>
      <c r="C460" s="14">
        <f t="shared" si="236"/>
        <v>0</v>
      </c>
      <c r="D460" s="14">
        <f t="shared" si="257"/>
        <v>0</v>
      </c>
      <c r="E460" s="14">
        <f t="shared" si="237"/>
        <v>0</v>
      </c>
      <c r="F460" s="288">
        <f t="shared" si="246"/>
        <v>83147.320000000007</v>
      </c>
      <c r="G460" s="288">
        <f t="shared" si="247"/>
        <v>55052.229999999989</v>
      </c>
      <c r="H460" s="288">
        <f t="shared" si="238"/>
        <v>0</v>
      </c>
      <c r="I460" s="410">
        <f t="shared" si="239"/>
        <v>33</v>
      </c>
      <c r="J460" s="288">
        <f t="shared" si="259"/>
        <v>0</v>
      </c>
      <c r="K460" s="288">
        <f t="shared" si="266"/>
        <v>0</v>
      </c>
      <c r="L460" s="288">
        <f t="shared" si="258"/>
        <v>0</v>
      </c>
      <c r="M460" s="288">
        <f t="shared" si="267"/>
        <v>0</v>
      </c>
      <c r="N460" s="288">
        <f t="shared" si="249"/>
        <v>354375.66999999987</v>
      </c>
      <c r="O460" s="288">
        <f t="shared" si="250"/>
        <v>473073.52999999985</v>
      </c>
      <c r="P460" s="288">
        <f t="shared" si="240"/>
        <v>0</v>
      </c>
      <c r="Q460" s="499" t="str">
        <f t="shared" si="241"/>
        <v xml:space="preserve"> </v>
      </c>
      <c r="R460" s="288">
        <f t="shared" si="265"/>
        <v>0</v>
      </c>
      <c r="S460" s="492">
        <f t="shared" si="251"/>
        <v>6.7500000000000004E-2</v>
      </c>
      <c r="T460" s="288">
        <f t="shared" si="242"/>
        <v>0</v>
      </c>
      <c r="U460" s="288">
        <f t="shared" si="268"/>
        <v>0</v>
      </c>
      <c r="V460" s="288">
        <f t="shared" si="243"/>
        <v>0</v>
      </c>
      <c r="W460" s="288">
        <f t="shared" si="261"/>
        <v>0</v>
      </c>
      <c r="X460" s="288">
        <f t="shared" si="262"/>
        <v>0</v>
      </c>
      <c r="Y460" s="288">
        <f t="shared" si="269"/>
        <v>0</v>
      </c>
      <c r="Z460" s="288">
        <f t="shared" si="270"/>
        <v>357260.75999999995</v>
      </c>
      <c r="AA460" s="288">
        <f t="shared" si="271"/>
        <v>179976.28000000012</v>
      </c>
      <c r="AB460" s="288">
        <f t="shared" si="244"/>
        <v>0</v>
      </c>
      <c r="AC460" s="410">
        <f t="shared" si="252"/>
        <v>400</v>
      </c>
      <c r="AD460" s="510">
        <f t="shared" si="253"/>
        <v>290212.1599999998</v>
      </c>
      <c r="AE460" s="510">
        <f t="shared" si="263"/>
        <v>0</v>
      </c>
      <c r="AF460" s="510">
        <f t="shared" si="264"/>
        <v>290212.1599999998</v>
      </c>
      <c r="AG460" s="510">
        <f t="shared" si="254"/>
        <v>0</v>
      </c>
      <c r="AH460" s="510">
        <f t="shared" si="255"/>
        <v>0</v>
      </c>
      <c r="AI460" s="510"/>
      <c r="AJ460" s="14">
        <f t="shared" si="272"/>
        <v>0</v>
      </c>
      <c r="AK460" s="14">
        <f t="shared" si="273"/>
        <v>0</v>
      </c>
      <c r="AL460" s="510">
        <f>IF(R460&lt;=0,0,+(Profit!$B$4+AM459)*$AL$1/12)</f>
        <v>0</v>
      </c>
      <c r="AM460" s="14">
        <f t="shared" si="256"/>
        <v>0</v>
      </c>
    </row>
    <row r="461" spans="1:39" x14ac:dyDescent="0.25">
      <c r="A461" s="499" t="str">
        <f t="shared" si="245"/>
        <v xml:space="preserve"> </v>
      </c>
      <c r="B461" s="288">
        <f t="shared" si="260"/>
        <v>0</v>
      </c>
      <c r="C461" s="14">
        <f t="shared" si="236"/>
        <v>0</v>
      </c>
      <c r="D461" s="14">
        <f t="shared" si="257"/>
        <v>0</v>
      </c>
      <c r="E461" s="14">
        <f t="shared" si="237"/>
        <v>0</v>
      </c>
      <c r="F461" s="288">
        <f t="shared" si="246"/>
        <v>83147.320000000007</v>
      </c>
      <c r="G461" s="288">
        <f t="shared" si="247"/>
        <v>55052.229999999989</v>
      </c>
      <c r="H461" s="288">
        <f t="shared" si="238"/>
        <v>0</v>
      </c>
      <c r="I461" s="410">
        <f t="shared" si="239"/>
        <v>33</v>
      </c>
      <c r="J461" s="288">
        <f t="shared" si="259"/>
        <v>0</v>
      </c>
      <c r="K461" s="288">
        <f t="shared" si="266"/>
        <v>0</v>
      </c>
      <c r="L461" s="288">
        <f t="shared" si="258"/>
        <v>0</v>
      </c>
      <c r="M461" s="288">
        <f t="shared" si="267"/>
        <v>0</v>
      </c>
      <c r="N461" s="288">
        <f t="shared" si="249"/>
        <v>354375.66999999987</v>
      </c>
      <c r="O461" s="288">
        <f t="shared" si="250"/>
        <v>473073.52999999985</v>
      </c>
      <c r="P461" s="288">
        <f t="shared" si="240"/>
        <v>0</v>
      </c>
      <c r="Q461" s="499" t="str">
        <f t="shared" si="241"/>
        <v xml:space="preserve"> </v>
      </c>
      <c r="R461" s="288">
        <f t="shared" si="265"/>
        <v>0</v>
      </c>
      <c r="S461" s="492">
        <f t="shared" si="251"/>
        <v>6.7500000000000004E-2</v>
      </c>
      <c r="T461" s="288">
        <f t="shared" si="242"/>
        <v>0</v>
      </c>
      <c r="U461" s="288">
        <f t="shared" si="268"/>
        <v>0</v>
      </c>
      <c r="V461" s="288">
        <f t="shared" si="243"/>
        <v>0</v>
      </c>
      <c r="W461" s="288">
        <f t="shared" si="261"/>
        <v>0</v>
      </c>
      <c r="X461" s="288">
        <f t="shared" si="262"/>
        <v>0</v>
      </c>
      <c r="Y461" s="288">
        <f t="shared" si="269"/>
        <v>0</v>
      </c>
      <c r="Z461" s="288">
        <f t="shared" si="270"/>
        <v>357260.75999999995</v>
      </c>
      <c r="AA461" s="288">
        <f t="shared" si="271"/>
        <v>179976.28000000012</v>
      </c>
      <c r="AB461" s="288">
        <f t="shared" si="244"/>
        <v>0</v>
      </c>
      <c r="AC461" s="410">
        <f t="shared" si="252"/>
        <v>401</v>
      </c>
      <c r="AD461" s="510">
        <f t="shared" si="253"/>
        <v>290212.1599999998</v>
      </c>
      <c r="AE461" s="510">
        <f t="shared" si="263"/>
        <v>0</v>
      </c>
      <c r="AF461" s="510">
        <f t="shared" si="264"/>
        <v>290212.1599999998</v>
      </c>
      <c r="AG461" s="510">
        <f t="shared" si="254"/>
        <v>0</v>
      </c>
      <c r="AH461" s="510">
        <f t="shared" si="255"/>
        <v>0</v>
      </c>
      <c r="AI461" s="510"/>
      <c r="AJ461" s="14">
        <f t="shared" si="272"/>
        <v>0</v>
      </c>
      <c r="AK461" s="14">
        <f t="shared" si="273"/>
        <v>0</v>
      </c>
      <c r="AL461" s="510">
        <f>IF(R461&lt;=0,0,+(Profit!$B$4+AM460)*$AL$1/12)</f>
        <v>0</v>
      </c>
      <c r="AM461" s="14">
        <f t="shared" si="256"/>
        <v>0</v>
      </c>
    </row>
    <row r="462" spans="1:39" x14ac:dyDescent="0.25">
      <c r="A462" s="499" t="str">
        <f t="shared" si="245"/>
        <v xml:space="preserve"> </v>
      </c>
      <c r="B462" s="288">
        <f t="shared" si="260"/>
        <v>0</v>
      </c>
      <c r="C462" s="14">
        <f t="shared" si="236"/>
        <v>0</v>
      </c>
      <c r="D462" s="14">
        <f t="shared" si="257"/>
        <v>0</v>
      </c>
      <c r="E462" s="14">
        <f t="shared" si="237"/>
        <v>0</v>
      </c>
      <c r="F462" s="288">
        <f t="shared" si="246"/>
        <v>83147.320000000007</v>
      </c>
      <c r="G462" s="288">
        <f t="shared" si="247"/>
        <v>55052.229999999989</v>
      </c>
      <c r="H462" s="288">
        <f t="shared" si="238"/>
        <v>0</v>
      </c>
      <c r="I462" s="410">
        <f t="shared" si="239"/>
        <v>33</v>
      </c>
      <c r="J462" s="288">
        <f t="shared" si="259"/>
        <v>0</v>
      </c>
      <c r="K462" s="288">
        <f t="shared" si="266"/>
        <v>0</v>
      </c>
      <c r="L462" s="288">
        <f t="shared" si="258"/>
        <v>0</v>
      </c>
      <c r="M462" s="288">
        <f t="shared" si="267"/>
        <v>0</v>
      </c>
      <c r="N462" s="288">
        <f t="shared" si="249"/>
        <v>354375.66999999987</v>
      </c>
      <c r="O462" s="288">
        <f t="shared" si="250"/>
        <v>473073.52999999985</v>
      </c>
      <c r="P462" s="288">
        <f t="shared" si="240"/>
        <v>0</v>
      </c>
      <c r="Q462" s="499" t="str">
        <f t="shared" si="241"/>
        <v xml:space="preserve"> </v>
      </c>
      <c r="R462" s="288">
        <f t="shared" si="265"/>
        <v>0</v>
      </c>
      <c r="S462" s="492">
        <f t="shared" si="251"/>
        <v>6.7500000000000004E-2</v>
      </c>
      <c r="T462" s="288">
        <f t="shared" si="242"/>
        <v>0</v>
      </c>
      <c r="U462" s="288">
        <f t="shared" si="268"/>
        <v>0</v>
      </c>
      <c r="V462" s="288">
        <f t="shared" si="243"/>
        <v>0</v>
      </c>
      <c r="W462" s="288">
        <f t="shared" si="261"/>
        <v>0</v>
      </c>
      <c r="X462" s="288">
        <f t="shared" si="262"/>
        <v>0</v>
      </c>
      <c r="Y462" s="288">
        <f t="shared" si="269"/>
        <v>0</v>
      </c>
      <c r="Z462" s="288">
        <f t="shared" si="270"/>
        <v>357260.75999999995</v>
      </c>
      <c r="AA462" s="288">
        <f t="shared" si="271"/>
        <v>179976.28000000012</v>
      </c>
      <c r="AB462" s="288">
        <f t="shared" si="244"/>
        <v>0</v>
      </c>
      <c r="AC462" s="410">
        <f t="shared" si="252"/>
        <v>402</v>
      </c>
      <c r="AD462" s="510">
        <f t="shared" si="253"/>
        <v>290212.1599999998</v>
      </c>
      <c r="AE462" s="510">
        <f t="shared" si="263"/>
        <v>0</v>
      </c>
      <c r="AF462" s="510">
        <f t="shared" si="264"/>
        <v>290212.1599999998</v>
      </c>
      <c r="AG462" s="510">
        <f t="shared" si="254"/>
        <v>0</v>
      </c>
      <c r="AH462" s="510">
        <f t="shared" si="255"/>
        <v>0</v>
      </c>
      <c r="AI462" s="510"/>
      <c r="AJ462" s="14">
        <f t="shared" si="272"/>
        <v>0</v>
      </c>
      <c r="AK462" s="14">
        <f t="shared" si="273"/>
        <v>0</v>
      </c>
      <c r="AL462" s="510">
        <f>IF(R462&lt;=0,0,+(Profit!$B$4+AM461)*$AL$1/12)</f>
        <v>0</v>
      </c>
      <c r="AM462" s="14">
        <f t="shared" si="256"/>
        <v>0</v>
      </c>
    </row>
    <row r="463" spans="1:39" x14ac:dyDescent="0.25">
      <c r="A463" s="499" t="str">
        <f t="shared" si="245"/>
        <v xml:space="preserve"> </v>
      </c>
      <c r="B463" s="288">
        <f t="shared" si="260"/>
        <v>0</v>
      </c>
      <c r="C463" s="14">
        <f t="shared" ref="C463:C490" si="274">IF(+$H462&lt;=0,0,$C$5)</f>
        <v>0</v>
      </c>
      <c r="D463" s="14">
        <f t="shared" si="257"/>
        <v>0</v>
      </c>
      <c r="E463" s="14">
        <f t="shared" ref="E463:E490" si="275">ROUND($B463*($C$3/12), 2)</f>
        <v>0</v>
      </c>
      <c r="F463" s="288">
        <f t="shared" si="246"/>
        <v>83147.320000000007</v>
      </c>
      <c r="G463" s="288">
        <f t="shared" si="247"/>
        <v>55052.229999999989</v>
      </c>
      <c r="H463" s="288">
        <f t="shared" ref="H463:H490" si="276">+B463-D463</f>
        <v>0</v>
      </c>
      <c r="I463" s="410">
        <f t="shared" ref="I463:I490" si="277">IF(MOD(AC463,12)=0,AC463/12,I462)</f>
        <v>33</v>
      </c>
      <c r="J463" s="288">
        <f t="shared" si="259"/>
        <v>0</v>
      </c>
      <c r="K463" s="288">
        <f t="shared" si="266"/>
        <v>0</v>
      </c>
      <c r="L463" s="288">
        <f t="shared" si="258"/>
        <v>0</v>
      </c>
      <c r="M463" s="288">
        <f t="shared" si="267"/>
        <v>0</v>
      </c>
      <c r="N463" s="288">
        <f t="shared" si="249"/>
        <v>354375.66999999987</v>
      </c>
      <c r="O463" s="288">
        <f t="shared" si="250"/>
        <v>473073.52999999985</v>
      </c>
      <c r="P463" s="288">
        <f t="shared" ref="P463:P490" si="278">+J463-L463</f>
        <v>0</v>
      </c>
      <c r="Q463" s="499" t="str">
        <f t="shared" ref="Q463:Q526" si="279">+A463</f>
        <v xml:space="preserve"> </v>
      </c>
      <c r="R463" s="288">
        <f t="shared" si="265"/>
        <v>0</v>
      </c>
      <c r="S463" s="492">
        <f t="shared" si="251"/>
        <v>6.7500000000000004E-2</v>
      </c>
      <c r="T463" s="288">
        <f t="shared" ref="T463:T526" si="280">IF($J$10&lt;=$A463,IF(+AB462&lt;=0,0,IF(S463=$T$9,$S$9,$S$10)),0)</f>
        <v>0</v>
      </c>
      <c r="U463" s="288">
        <f t="shared" si="268"/>
        <v>0</v>
      </c>
      <c r="V463" s="288">
        <f t="shared" ref="V463:V526" si="281">IF($J$10&lt;=$A463,ROUND(R463*(S463/12),2),0)</f>
        <v>0</v>
      </c>
      <c r="W463" s="288">
        <f t="shared" si="261"/>
        <v>0</v>
      </c>
      <c r="X463" s="288">
        <f t="shared" si="262"/>
        <v>0</v>
      </c>
      <c r="Y463" s="288">
        <f t="shared" si="269"/>
        <v>0</v>
      </c>
      <c r="Z463" s="288">
        <f t="shared" si="270"/>
        <v>357260.75999999995</v>
      </c>
      <c r="AA463" s="288">
        <f t="shared" si="271"/>
        <v>179976.28000000012</v>
      </c>
      <c r="AB463" s="288">
        <f t="shared" ref="AB463:AB526" si="282">IF(Q463&lt;$J$10,$J$6,+R463-U463)</f>
        <v>0</v>
      </c>
      <c r="AC463" s="410">
        <f t="shared" si="252"/>
        <v>403</v>
      </c>
      <c r="AD463" s="510">
        <f t="shared" si="253"/>
        <v>290212.1599999998</v>
      </c>
      <c r="AE463" s="510">
        <f t="shared" si="263"/>
        <v>0</v>
      </c>
      <c r="AF463" s="510">
        <f t="shared" si="264"/>
        <v>290212.1599999998</v>
      </c>
      <c r="AG463" s="510">
        <f t="shared" si="254"/>
        <v>0</v>
      </c>
      <c r="AH463" s="510">
        <f t="shared" si="255"/>
        <v>0</v>
      </c>
      <c r="AI463" s="510"/>
      <c r="AJ463" s="14">
        <f t="shared" si="272"/>
        <v>0</v>
      </c>
      <c r="AK463" s="14">
        <f t="shared" si="273"/>
        <v>0</v>
      </c>
      <c r="AL463" s="510">
        <f>IF(R463&lt;=0,0,+(Profit!$B$4+AM462)*$AL$1/12)</f>
        <v>0</v>
      </c>
      <c r="AM463" s="14">
        <f t="shared" si="256"/>
        <v>0</v>
      </c>
    </row>
    <row r="464" spans="1:39" x14ac:dyDescent="0.25">
      <c r="A464" s="499" t="str">
        <f t="shared" ref="A464:A490" si="283">IF(H464&lt;=0," ",+A463+30)</f>
        <v xml:space="preserve"> </v>
      </c>
      <c r="B464" s="288">
        <f t="shared" si="260"/>
        <v>0</v>
      </c>
      <c r="C464" s="14">
        <f t="shared" si="274"/>
        <v>0</v>
      </c>
      <c r="D464" s="14">
        <f t="shared" si="257"/>
        <v>0</v>
      </c>
      <c r="E464" s="14">
        <f t="shared" si="275"/>
        <v>0</v>
      </c>
      <c r="F464" s="288">
        <f t="shared" ref="F464:F490" si="284">$D464+$F463</f>
        <v>83147.320000000007</v>
      </c>
      <c r="G464" s="288">
        <f t="shared" ref="G464:G490" si="285">$E464+$G463</f>
        <v>55052.229999999989</v>
      </c>
      <c r="H464" s="288">
        <f t="shared" si="276"/>
        <v>0</v>
      </c>
      <c r="I464" s="410">
        <f t="shared" si="277"/>
        <v>33</v>
      </c>
      <c r="J464" s="288">
        <f t="shared" si="259"/>
        <v>0</v>
      </c>
      <c r="K464" s="288">
        <f t="shared" si="266"/>
        <v>0</v>
      </c>
      <c r="L464" s="288">
        <f t="shared" si="258"/>
        <v>0</v>
      </c>
      <c r="M464" s="288">
        <f t="shared" si="267"/>
        <v>0</v>
      </c>
      <c r="N464" s="288">
        <f t="shared" ref="N464:N490" si="286">+L464+N463</f>
        <v>354375.66999999987</v>
      </c>
      <c r="O464" s="288">
        <f t="shared" ref="O464:O490" si="287">+O463+M464</f>
        <v>473073.52999999985</v>
      </c>
      <c r="P464" s="288">
        <f t="shared" si="278"/>
        <v>0</v>
      </c>
      <c r="Q464" s="499" t="str">
        <f t="shared" si="279"/>
        <v xml:space="preserve"> </v>
      </c>
      <c r="R464" s="288">
        <f t="shared" si="265"/>
        <v>0</v>
      </c>
      <c r="S464" s="492">
        <f t="shared" ref="S464:S527" si="288">IF(AC464&gt;60,$T$10,$T$9)</f>
        <v>6.7500000000000004E-2</v>
      </c>
      <c r="T464" s="288">
        <f t="shared" si="280"/>
        <v>0</v>
      </c>
      <c r="U464" s="288">
        <f t="shared" si="268"/>
        <v>0</v>
      </c>
      <c r="V464" s="288">
        <f t="shared" si="281"/>
        <v>0</v>
      </c>
      <c r="W464" s="288">
        <f t="shared" si="261"/>
        <v>0</v>
      </c>
      <c r="X464" s="288">
        <f t="shared" si="262"/>
        <v>0</v>
      </c>
      <c r="Y464" s="288">
        <f t="shared" si="269"/>
        <v>0</v>
      </c>
      <c r="Z464" s="288">
        <f t="shared" si="270"/>
        <v>357260.75999999995</v>
      </c>
      <c r="AA464" s="288">
        <f t="shared" si="271"/>
        <v>179976.28000000012</v>
      </c>
      <c r="AB464" s="288">
        <f t="shared" si="282"/>
        <v>0</v>
      </c>
      <c r="AC464" s="410">
        <f t="shared" ref="AC464:AC490" si="289">IF(J464&lt;&gt;"",IF(J464=$J$6,0,+AC463+1),0)</f>
        <v>404</v>
      </c>
      <c r="AD464" s="510">
        <f t="shared" ref="AD464:AD527" si="290">K464-T464+AD463</f>
        <v>290212.1599999998</v>
      </c>
      <c r="AE464" s="510">
        <f t="shared" si="263"/>
        <v>0</v>
      </c>
      <c r="AF464" s="510">
        <f t="shared" si="264"/>
        <v>290212.1599999998</v>
      </c>
      <c r="AG464" s="510">
        <f t="shared" ref="AG464:AG490" si="291">IF(Q464&lt;=$C$10,0,+T464-$C464)</f>
        <v>0</v>
      </c>
      <c r="AH464" s="510">
        <f t="shared" ref="AH464:AH490" si="292">IF(P464&lt;=0,0,+$T$5-$C$2+F464-Z464)</f>
        <v>0</v>
      </c>
      <c r="AI464" s="510"/>
      <c r="AJ464" s="14">
        <f t="shared" si="272"/>
        <v>0</v>
      </c>
      <c r="AK464" s="14">
        <f t="shared" si="273"/>
        <v>0</v>
      </c>
      <c r="AL464" s="510">
        <f>IF(R464&lt;=0,0,+(Profit!$B$4+AM463)*$AL$1/12)</f>
        <v>0</v>
      </c>
      <c r="AM464" s="14">
        <f t="shared" ref="AM464:AM490" si="293">IF(P464&lt;=0,0,+AM463+AL464)</f>
        <v>0</v>
      </c>
    </row>
    <row r="465" spans="1:39" x14ac:dyDescent="0.25">
      <c r="A465" s="499" t="str">
        <f t="shared" si="283"/>
        <v xml:space="preserve"> </v>
      </c>
      <c r="B465" s="288">
        <f t="shared" si="260"/>
        <v>0</v>
      </c>
      <c r="C465" s="14">
        <f t="shared" si="274"/>
        <v>0</v>
      </c>
      <c r="D465" s="14">
        <f t="shared" ref="D465:D490" si="294">+C465-E465</f>
        <v>0</v>
      </c>
      <c r="E465" s="14">
        <f t="shared" si="275"/>
        <v>0</v>
      </c>
      <c r="F465" s="288">
        <f t="shared" si="284"/>
        <v>83147.320000000007</v>
      </c>
      <c r="G465" s="288">
        <f t="shared" si="285"/>
        <v>55052.229999999989</v>
      </c>
      <c r="H465" s="288">
        <f t="shared" si="276"/>
        <v>0</v>
      </c>
      <c r="I465" s="410">
        <f t="shared" si="277"/>
        <v>33</v>
      </c>
      <c r="J465" s="288">
        <f t="shared" si="259"/>
        <v>0</v>
      </c>
      <c r="K465" s="288">
        <f t="shared" si="266"/>
        <v>0</v>
      </c>
      <c r="L465" s="288">
        <f t="shared" ref="L465:L490" si="295">+K465-M465</f>
        <v>0</v>
      </c>
      <c r="M465" s="288">
        <f t="shared" si="267"/>
        <v>0</v>
      </c>
      <c r="N465" s="288">
        <f t="shared" si="286"/>
        <v>354375.66999999987</v>
      </c>
      <c r="O465" s="288">
        <f t="shared" si="287"/>
        <v>473073.52999999985</v>
      </c>
      <c r="P465" s="288">
        <f t="shared" si="278"/>
        <v>0</v>
      </c>
      <c r="Q465" s="499" t="str">
        <f t="shared" si="279"/>
        <v xml:space="preserve"> </v>
      </c>
      <c r="R465" s="288">
        <f t="shared" si="265"/>
        <v>0</v>
      </c>
      <c r="S465" s="492">
        <f t="shared" si="288"/>
        <v>6.7500000000000004E-2</v>
      </c>
      <c r="T465" s="288">
        <f t="shared" si="280"/>
        <v>0</v>
      </c>
      <c r="U465" s="288">
        <f t="shared" si="268"/>
        <v>0</v>
      </c>
      <c r="V465" s="288">
        <f t="shared" si="281"/>
        <v>0</v>
      </c>
      <c r="W465" s="288">
        <f t="shared" si="261"/>
        <v>0</v>
      </c>
      <c r="X465" s="288">
        <f t="shared" si="262"/>
        <v>0</v>
      </c>
      <c r="Y465" s="288">
        <f t="shared" si="269"/>
        <v>0</v>
      </c>
      <c r="Z465" s="288">
        <f t="shared" si="270"/>
        <v>357260.75999999995</v>
      </c>
      <c r="AA465" s="288">
        <f t="shared" si="271"/>
        <v>179976.28000000012</v>
      </c>
      <c r="AB465" s="288">
        <f t="shared" si="282"/>
        <v>0</v>
      </c>
      <c r="AC465" s="410">
        <f t="shared" si="289"/>
        <v>405</v>
      </c>
      <c r="AD465" s="510">
        <f t="shared" si="290"/>
        <v>290212.1599999998</v>
      </c>
      <c r="AE465" s="510">
        <f t="shared" si="263"/>
        <v>0</v>
      </c>
      <c r="AF465" s="510">
        <f t="shared" si="264"/>
        <v>290212.1599999998</v>
      </c>
      <c r="AG465" s="510">
        <f t="shared" si="291"/>
        <v>0</v>
      </c>
      <c r="AH465" s="510">
        <f t="shared" si="292"/>
        <v>0</v>
      </c>
      <c r="AI465" s="510"/>
      <c r="AJ465" s="14">
        <f t="shared" si="272"/>
        <v>0</v>
      </c>
      <c r="AK465" s="14">
        <f t="shared" si="273"/>
        <v>0</v>
      </c>
      <c r="AL465" s="510">
        <f>IF(R465&lt;=0,0,+(Profit!$B$4+AM464)*$AL$1/12)</f>
        <v>0</v>
      </c>
      <c r="AM465" s="14">
        <f t="shared" si="293"/>
        <v>0</v>
      </c>
    </row>
    <row r="466" spans="1:39" x14ac:dyDescent="0.25">
      <c r="A466" s="499" t="str">
        <f t="shared" si="283"/>
        <v xml:space="preserve"> </v>
      </c>
      <c r="B466" s="288">
        <f t="shared" si="260"/>
        <v>0</v>
      </c>
      <c r="C466" s="14">
        <f t="shared" si="274"/>
        <v>0</v>
      </c>
      <c r="D466" s="14">
        <f t="shared" si="294"/>
        <v>0</v>
      </c>
      <c r="E466" s="14">
        <f t="shared" si="275"/>
        <v>0</v>
      </c>
      <c r="F466" s="288">
        <f t="shared" si="284"/>
        <v>83147.320000000007</v>
      </c>
      <c r="G466" s="288">
        <f t="shared" si="285"/>
        <v>55052.229999999989</v>
      </c>
      <c r="H466" s="288">
        <f t="shared" si="276"/>
        <v>0</v>
      </c>
      <c r="I466" s="410">
        <f t="shared" si="277"/>
        <v>33</v>
      </c>
      <c r="J466" s="288">
        <f t="shared" si="259"/>
        <v>0</v>
      </c>
      <c r="K466" s="288">
        <f t="shared" si="266"/>
        <v>0</v>
      </c>
      <c r="L466" s="288">
        <f t="shared" si="295"/>
        <v>0</v>
      </c>
      <c r="M466" s="288">
        <f t="shared" si="267"/>
        <v>0</v>
      </c>
      <c r="N466" s="288">
        <f t="shared" si="286"/>
        <v>354375.66999999987</v>
      </c>
      <c r="O466" s="288">
        <f t="shared" si="287"/>
        <v>473073.52999999985</v>
      </c>
      <c r="P466" s="288">
        <f t="shared" si="278"/>
        <v>0</v>
      </c>
      <c r="Q466" s="499" t="str">
        <f t="shared" si="279"/>
        <v xml:space="preserve"> </v>
      </c>
      <c r="R466" s="288">
        <f t="shared" si="265"/>
        <v>0</v>
      </c>
      <c r="S466" s="492">
        <f t="shared" si="288"/>
        <v>6.7500000000000004E-2</v>
      </c>
      <c r="T466" s="288">
        <f t="shared" si="280"/>
        <v>0</v>
      </c>
      <c r="U466" s="288">
        <f t="shared" si="268"/>
        <v>0</v>
      </c>
      <c r="V466" s="288">
        <f t="shared" si="281"/>
        <v>0</v>
      </c>
      <c r="W466" s="288">
        <f t="shared" si="261"/>
        <v>0</v>
      </c>
      <c r="X466" s="288">
        <f t="shared" si="262"/>
        <v>0</v>
      </c>
      <c r="Y466" s="288">
        <f t="shared" si="269"/>
        <v>0</v>
      </c>
      <c r="Z466" s="288">
        <f t="shared" si="270"/>
        <v>357260.75999999995</v>
      </c>
      <c r="AA466" s="288">
        <f t="shared" si="271"/>
        <v>179976.28000000012</v>
      </c>
      <c r="AB466" s="288">
        <f t="shared" si="282"/>
        <v>0</v>
      </c>
      <c r="AC466" s="410">
        <f t="shared" si="289"/>
        <v>406</v>
      </c>
      <c r="AD466" s="510">
        <f t="shared" si="290"/>
        <v>290212.1599999998</v>
      </c>
      <c r="AE466" s="510">
        <f t="shared" si="263"/>
        <v>0</v>
      </c>
      <c r="AF466" s="510">
        <f t="shared" si="264"/>
        <v>290212.1599999998</v>
      </c>
      <c r="AG466" s="510">
        <f t="shared" si="291"/>
        <v>0</v>
      </c>
      <c r="AH466" s="510">
        <f t="shared" si="292"/>
        <v>0</v>
      </c>
      <c r="AI466" s="510"/>
      <c r="AJ466" s="14">
        <f t="shared" si="272"/>
        <v>0</v>
      </c>
      <c r="AK466" s="14">
        <f t="shared" si="273"/>
        <v>0</v>
      </c>
      <c r="AL466" s="510">
        <f>IF(R466&lt;=0,0,+(Profit!$B$4+AM465)*$AL$1/12)</f>
        <v>0</v>
      </c>
      <c r="AM466" s="14">
        <f t="shared" si="293"/>
        <v>0</v>
      </c>
    </row>
    <row r="467" spans="1:39" x14ac:dyDescent="0.25">
      <c r="A467" s="499" t="str">
        <f t="shared" si="283"/>
        <v xml:space="preserve"> </v>
      </c>
      <c r="B467" s="288">
        <f t="shared" si="260"/>
        <v>0</v>
      </c>
      <c r="C467" s="14">
        <f t="shared" si="274"/>
        <v>0</v>
      </c>
      <c r="D467" s="14">
        <f t="shared" si="294"/>
        <v>0</v>
      </c>
      <c r="E467" s="14">
        <f t="shared" si="275"/>
        <v>0</v>
      </c>
      <c r="F467" s="288">
        <f t="shared" si="284"/>
        <v>83147.320000000007</v>
      </c>
      <c r="G467" s="288">
        <f t="shared" si="285"/>
        <v>55052.229999999989</v>
      </c>
      <c r="H467" s="288">
        <f t="shared" si="276"/>
        <v>0</v>
      </c>
      <c r="I467" s="410">
        <f t="shared" si="277"/>
        <v>33</v>
      </c>
      <c r="J467" s="288">
        <f t="shared" si="259"/>
        <v>0</v>
      </c>
      <c r="K467" s="288">
        <f t="shared" si="266"/>
        <v>0</v>
      </c>
      <c r="L467" s="288">
        <f t="shared" si="295"/>
        <v>0</v>
      </c>
      <c r="M467" s="288">
        <f t="shared" si="267"/>
        <v>0</v>
      </c>
      <c r="N467" s="288">
        <f t="shared" si="286"/>
        <v>354375.66999999987</v>
      </c>
      <c r="O467" s="288">
        <f t="shared" si="287"/>
        <v>473073.52999999985</v>
      </c>
      <c r="P467" s="288">
        <f t="shared" si="278"/>
        <v>0</v>
      </c>
      <c r="Q467" s="499" t="str">
        <f t="shared" si="279"/>
        <v xml:space="preserve"> </v>
      </c>
      <c r="R467" s="288">
        <f t="shared" si="265"/>
        <v>0</v>
      </c>
      <c r="S467" s="492">
        <f t="shared" si="288"/>
        <v>6.7500000000000004E-2</v>
      </c>
      <c r="T467" s="288">
        <f t="shared" si="280"/>
        <v>0</v>
      </c>
      <c r="U467" s="288">
        <f t="shared" si="268"/>
        <v>0</v>
      </c>
      <c r="V467" s="288">
        <f t="shared" si="281"/>
        <v>0</v>
      </c>
      <c r="W467" s="288">
        <f t="shared" si="261"/>
        <v>0</v>
      </c>
      <c r="X467" s="288">
        <f t="shared" si="262"/>
        <v>0</v>
      </c>
      <c r="Y467" s="288">
        <f t="shared" si="269"/>
        <v>0</v>
      </c>
      <c r="Z467" s="288">
        <f t="shared" si="270"/>
        <v>357260.75999999995</v>
      </c>
      <c r="AA467" s="288">
        <f t="shared" si="271"/>
        <v>179976.28000000012</v>
      </c>
      <c r="AB467" s="288">
        <f t="shared" si="282"/>
        <v>0</v>
      </c>
      <c r="AC467" s="410">
        <f t="shared" si="289"/>
        <v>407</v>
      </c>
      <c r="AD467" s="510">
        <f t="shared" si="290"/>
        <v>290212.1599999998</v>
      </c>
      <c r="AE467" s="510">
        <f t="shared" si="263"/>
        <v>0</v>
      </c>
      <c r="AF467" s="510">
        <f t="shared" si="264"/>
        <v>290212.1599999998</v>
      </c>
      <c r="AG467" s="510">
        <f t="shared" si="291"/>
        <v>0</v>
      </c>
      <c r="AH467" s="510">
        <f t="shared" si="292"/>
        <v>0</v>
      </c>
      <c r="AI467" s="510"/>
      <c r="AJ467" s="14">
        <f t="shared" si="272"/>
        <v>0</v>
      </c>
      <c r="AK467" s="14">
        <f t="shared" si="273"/>
        <v>0</v>
      </c>
      <c r="AL467" s="510">
        <f>IF(R467&lt;=0,0,+(Profit!$B$4+AM466)*$AL$1/12)</f>
        <v>0</v>
      </c>
      <c r="AM467" s="14">
        <f t="shared" si="293"/>
        <v>0</v>
      </c>
    </row>
    <row r="468" spans="1:39" x14ac:dyDescent="0.25">
      <c r="A468" s="499" t="str">
        <f t="shared" si="283"/>
        <v xml:space="preserve"> </v>
      </c>
      <c r="B468" s="288">
        <f t="shared" si="260"/>
        <v>0</v>
      </c>
      <c r="C468" s="14">
        <f t="shared" si="274"/>
        <v>0</v>
      </c>
      <c r="D468" s="14">
        <f t="shared" si="294"/>
        <v>0</v>
      </c>
      <c r="E468" s="14">
        <f t="shared" si="275"/>
        <v>0</v>
      </c>
      <c r="F468" s="288">
        <f t="shared" si="284"/>
        <v>83147.320000000007</v>
      </c>
      <c r="G468" s="288">
        <f t="shared" si="285"/>
        <v>55052.229999999989</v>
      </c>
      <c r="H468" s="288">
        <f t="shared" si="276"/>
        <v>0</v>
      </c>
      <c r="I468" s="410">
        <f t="shared" si="277"/>
        <v>34</v>
      </c>
      <c r="J468" s="288">
        <f t="shared" si="259"/>
        <v>0</v>
      </c>
      <c r="K468" s="288">
        <f t="shared" si="266"/>
        <v>0</v>
      </c>
      <c r="L468" s="288">
        <f t="shared" si="295"/>
        <v>0</v>
      </c>
      <c r="M468" s="288">
        <f t="shared" si="267"/>
        <v>0</v>
      </c>
      <c r="N468" s="288">
        <f t="shared" si="286"/>
        <v>354375.66999999987</v>
      </c>
      <c r="O468" s="288">
        <f t="shared" si="287"/>
        <v>473073.52999999985</v>
      </c>
      <c r="P468" s="288">
        <f t="shared" si="278"/>
        <v>0</v>
      </c>
      <c r="Q468" s="499" t="str">
        <f t="shared" si="279"/>
        <v xml:space="preserve"> </v>
      </c>
      <c r="R468" s="288">
        <f t="shared" si="265"/>
        <v>0</v>
      </c>
      <c r="S468" s="492">
        <f t="shared" si="288"/>
        <v>6.7500000000000004E-2</v>
      </c>
      <c r="T468" s="288">
        <f t="shared" si="280"/>
        <v>0</v>
      </c>
      <c r="U468" s="288">
        <f t="shared" si="268"/>
        <v>0</v>
      </c>
      <c r="V468" s="288">
        <f t="shared" si="281"/>
        <v>0</v>
      </c>
      <c r="W468" s="288">
        <f t="shared" si="261"/>
        <v>0</v>
      </c>
      <c r="X468" s="288">
        <f t="shared" si="262"/>
        <v>0</v>
      </c>
      <c r="Y468" s="288">
        <f t="shared" si="269"/>
        <v>0</v>
      </c>
      <c r="Z468" s="288">
        <f t="shared" si="270"/>
        <v>357260.75999999995</v>
      </c>
      <c r="AA468" s="288">
        <f t="shared" si="271"/>
        <v>179976.28000000012</v>
      </c>
      <c r="AB468" s="288">
        <f t="shared" si="282"/>
        <v>0</v>
      </c>
      <c r="AC468" s="410">
        <f t="shared" si="289"/>
        <v>408</v>
      </c>
      <c r="AD468" s="510">
        <f t="shared" si="290"/>
        <v>290212.1599999998</v>
      </c>
      <c r="AE468" s="510">
        <f t="shared" si="263"/>
        <v>0</v>
      </c>
      <c r="AF468" s="510">
        <f t="shared" si="264"/>
        <v>290212.1599999998</v>
      </c>
      <c r="AG468" s="510">
        <f t="shared" si="291"/>
        <v>0</v>
      </c>
      <c r="AH468" s="510">
        <f t="shared" si="292"/>
        <v>0</v>
      </c>
      <c r="AI468" s="510"/>
      <c r="AJ468" s="14">
        <f t="shared" si="272"/>
        <v>0</v>
      </c>
      <c r="AK468" s="14">
        <f t="shared" si="273"/>
        <v>0</v>
      </c>
      <c r="AL468" s="510">
        <f>IF(R468&lt;=0,0,+(Profit!$B$4+AM467)*$AL$1/12)</f>
        <v>0</v>
      </c>
      <c r="AM468" s="14">
        <f t="shared" si="293"/>
        <v>0</v>
      </c>
    </row>
    <row r="469" spans="1:39" x14ac:dyDescent="0.25">
      <c r="A469" s="499" t="str">
        <f t="shared" si="283"/>
        <v xml:space="preserve"> </v>
      </c>
      <c r="B469" s="288">
        <f t="shared" si="260"/>
        <v>0</v>
      </c>
      <c r="C469" s="14">
        <f t="shared" si="274"/>
        <v>0</v>
      </c>
      <c r="D469" s="14">
        <f t="shared" si="294"/>
        <v>0</v>
      </c>
      <c r="E469" s="14">
        <f t="shared" si="275"/>
        <v>0</v>
      </c>
      <c r="F469" s="288">
        <f t="shared" si="284"/>
        <v>83147.320000000007</v>
      </c>
      <c r="G469" s="288">
        <f t="shared" si="285"/>
        <v>55052.229999999989</v>
      </c>
      <c r="H469" s="288">
        <f t="shared" si="276"/>
        <v>0</v>
      </c>
      <c r="I469" s="410">
        <f t="shared" si="277"/>
        <v>34</v>
      </c>
      <c r="J469" s="288">
        <f t="shared" si="259"/>
        <v>0</v>
      </c>
      <c r="K469" s="288">
        <f t="shared" si="266"/>
        <v>0</v>
      </c>
      <c r="L469" s="288">
        <f t="shared" si="295"/>
        <v>0</v>
      </c>
      <c r="M469" s="288">
        <f t="shared" si="267"/>
        <v>0</v>
      </c>
      <c r="N469" s="288">
        <f t="shared" si="286"/>
        <v>354375.66999999987</v>
      </c>
      <c r="O469" s="288">
        <f t="shared" si="287"/>
        <v>473073.52999999985</v>
      </c>
      <c r="P469" s="288">
        <f t="shared" si="278"/>
        <v>0</v>
      </c>
      <c r="Q469" s="499" t="str">
        <f t="shared" si="279"/>
        <v xml:space="preserve"> </v>
      </c>
      <c r="R469" s="288">
        <f t="shared" si="265"/>
        <v>0</v>
      </c>
      <c r="S469" s="492">
        <f t="shared" si="288"/>
        <v>6.7500000000000004E-2</v>
      </c>
      <c r="T469" s="288">
        <f t="shared" si="280"/>
        <v>0</v>
      </c>
      <c r="U469" s="288">
        <f t="shared" si="268"/>
        <v>0</v>
      </c>
      <c r="V469" s="288">
        <f t="shared" si="281"/>
        <v>0</v>
      </c>
      <c r="W469" s="288">
        <f t="shared" si="261"/>
        <v>0</v>
      </c>
      <c r="X469" s="288">
        <f t="shared" si="262"/>
        <v>0</v>
      </c>
      <c r="Y469" s="288">
        <f t="shared" si="269"/>
        <v>0</v>
      </c>
      <c r="Z469" s="288">
        <f t="shared" si="270"/>
        <v>357260.75999999995</v>
      </c>
      <c r="AA469" s="288">
        <f t="shared" si="271"/>
        <v>179976.28000000012</v>
      </c>
      <c r="AB469" s="288">
        <f t="shared" si="282"/>
        <v>0</v>
      </c>
      <c r="AC469" s="410">
        <f t="shared" si="289"/>
        <v>409</v>
      </c>
      <c r="AD469" s="510">
        <f t="shared" si="290"/>
        <v>290212.1599999998</v>
      </c>
      <c r="AE469" s="510">
        <f t="shared" si="263"/>
        <v>0</v>
      </c>
      <c r="AF469" s="510">
        <f t="shared" si="264"/>
        <v>290212.1599999998</v>
      </c>
      <c r="AG469" s="510">
        <f t="shared" si="291"/>
        <v>0</v>
      </c>
      <c r="AH469" s="510">
        <f t="shared" si="292"/>
        <v>0</v>
      </c>
      <c r="AI469" s="510"/>
      <c r="AJ469" s="14">
        <f t="shared" si="272"/>
        <v>0</v>
      </c>
      <c r="AK469" s="14">
        <f t="shared" si="273"/>
        <v>0</v>
      </c>
      <c r="AL469" s="510">
        <f>IF(R469&lt;=0,0,+(Profit!$B$4+AM468)*$AL$1/12)</f>
        <v>0</v>
      </c>
      <c r="AM469" s="14">
        <f t="shared" si="293"/>
        <v>0</v>
      </c>
    </row>
    <row r="470" spans="1:39" ht="15.75" thickBot="1" x14ac:dyDescent="0.3">
      <c r="A470" s="502" t="str">
        <f t="shared" si="283"/>
        <v xml:space="preserve"> </v>
      </c>
      <c r="B470" s="343">
        <f t="shared" si="260"/>
        <v>0</v>
      </c>
      <c r="C470" s="21">
        <f t="shared" si="274"/>
        <v>0</v>
      </c>
      <c r="D470" s="21">
        <f t="shared" si="294"/>
        <v>0</v>
      </c>
      <c r="E470" s="21">
        <f t="shared" si="275"/>
        <v>0</v>
      </c>
      <c r="F470" s="343">
        <f t="shared" si="284"/>
        <v>83147.320000000007</v>
      </c>
      <c r="G470" s="343">
        <f t="shared" si="285"/>
        <v>55052.229999999989</v>
      </c>
      <c r="H470" s="343">
        <f t="shared" si="276"/>
        <v>0</v>
      </c>
      <c r="I470" s="411">
        <f t="shared" si="277"/>
        <v>34</v>
      </c>
      <c r="J470" s="343">
        <f t="shared" si="259"/>
        <v>0</v>
      </c>
      <c r="K470" s="343">
        <f t="shared" si="266"/>
        <v>0</v>
      </c>
      <c r="L470" s="343">
        <f t="shared" si="295"/>
        <v>0</v>
      </c>
      <c r="M470" s="343">
        <f t="shared" si="267"/>
        <v>0</v>
      </c>
      <c r="N470" s="343">
        <f t="shared" si="286"/>
        <v>354375.66999999987</v>
      </c>
      <c r="O470" s="343">
        <f t="shared" si="287"/>
        <v>473073.52999999985</v>
      </c>
      <c r="P470" s="343">
        <f t="shared" si="278"/>
        <v>0</v>
      </c>
      <c r="Q470" s="502" t="str">
        <f t="shared" si="279"/>
        <v xml:space="preserve"> </v>
      </c>
      <c r="R470" s="343">
        <f t="shared" si="265"/>
        <v>0</v>
      </c>
      <c r="S470" s="493">
        <f t="shared" si="288"/>
        <v>6.7500000000000004E-2</v>
      </c>
      <c r="T470" s="343">
        <f t="shared" si="280"/>
        <v>0</v>
      </c>
      <c r="U470" s="343">
        <f t="shared" si="268"/>
        <v>0</v>
      </c>
      <c r="V470" s="343">
        <f t="shared" si="281"/>
        <v>0</v>
      </c>
      <c r="W470" s="343">
        <f t="shared" si="261"/>
        <v>0</v>
      </c>
      <c r="X470" s="343">
        <f t="shared" si="262"/>
        <v>0</v>
      </c>
      <c r="Y470" s="343">
        <f t="shared" si="269"/>
        <v>0</v>
      </c>
      <c r="Z470" s="343">
        <f t="shared" si="270"/>
        <v>357260.75999999995</v>
      </c>
      <c r="AA470" s="343">
        <f t="shared" si="271"/>
        <v>179976.28000000012</v>
      </c>
      <c r="AB470" s="343">
        <f t="shared" si="282"/>
        <v>0</v>
      </c>
      <c r="AC470" s="411">
        <f t="shared" si="289"/>
        <v>410</v>
      </c>
      <c r="AD470" s="511">
        <f t="shared" si="290"/>
        <v>290212.1599999998</v>
      </c>
      <c r="AE470" s="511">
        <f t="shared" si="263"/>
        <v>0</v>
      </c>
      <c r="AF470" s="511">
        <f t="shared" si="264"/>
        <v>290212.1599999998</v>
      </c>
      <c r="AG470" s="511">
        <f t="shared" si="291"/>
        <v>0</v>
      </c>
      <c r="AH470" s="511">
        <f t="shared" si="292"/>
        <v>0</v>
      </c>
      <c r="AI470" s="511"/>
      <c r="AJ470" s="21">
        <f t="shared" si="272"/>
        <v>0</v>
      </c>
      <c r="AK470" s="21">
        <f t="shared" si="273"/>
        <v>0</v>
      </c>
      <c r="AL470" s="511">
        <f>IF(R470&lt;=0,0,+(Profit!$B$4+AM469)*$AL$1/12)</f>
        <v>0</v>
      </c>
      <c r="AM470" s="21">
        <f t="shared" si="293"/>
        <v>0</v>
      </c>
    </row>
    <row r="471" spans="1:39" x14ac:dyDescent="0.25">
      <c r="A471" s="499" t="str">
        <f t="shared" si="283"/>
        <v xml:space="preserve"> </v>
      </c>
      <c r="B471" s="288">
        <f t="shared" si="260"/>
        <v>0</v>
      </c>
      <c r="C471" s="14">
        <f t="shared" si="274"/>
        <v>0</v>
      </c>
      <c r="D471" s="14">
        <f t="shared" si="294"/>
        <v>0</v>
      </c>
      <c r="E471" s="14">
        <f t="shared" si="275"/>
        <v>0</v>
      </c>
      <c r="F471" s="288">
        <f t="shared" si="284"/>
        <v>83147.320000000007</v>
      </c>
      <c r="G471" s="288">
        <f t="shared" si="285"/>
        <v>55052.229999999989</v>
      </c>
      <c r="H471" s="288">
        <f t="shared" si="276"/>
        <v>0</v>
      </c>
      <c r="I471" s="410">
        <f t="shared" si="277"/>
        <v>34</v>
      </c>
      <c r="J471" s="288">
        <f t="shared" si="259"/>
        <v>0</v>
      </c>
      <c r="K471" s="288">
        <f t="shared" si="266"/>
        <v>0</v>
      </c>
      <c r="L471" s="288">
        <f t="shared" si="295"/>
        <v>0</v>
      </c>
      <c r="M471" s="288">
        <f t="shared" si="267"/>
        <v>0</v>
      </c>
      <c r="N471" s="288">
        <f t="shared" si="286"/>
        <v>354375.66999999987</v>
      </c>
      <c r="O471" s="288">
        <f t="shared" si="287"/>
        <v>473073.52999999985</v>
      </c>
      <c r="P471" s="288">
        <f t="shared" si="278"/>
        <v>0</v>
      </c>
      <c r="Q471" s="499" t="str">
        <f t="shared" si="279"/>
        <v xml:space="preserve"> </v>
      </c>
      <c r="R471" s="288">
        <f t="shared" si="265"/>
        <v>0</v>
      </c>
      <c r="S471" s="492">
        <f t="shared" si="288"/>
        <v>6.7500000000000004E-2</v>
      </c>
      <c r="T471" s="288">
        <f t="shared" si="280"/>
        <v>0</v>
      </c>
      <c r="U471" s="288">
        <f t="shared" si="268"/>
        <v>0</v>
      </c>
      <c r="V471" s="288">
        <f t="shared" si="281"/>
        <v>0</v>
      </c>
      <c r="W471" s="288">
        <f t="shared" si="261"/>
        <v>0</v>
      </c>
      <c r="X471" s="288">
        <f t="shared" si="262"/>
        <v>0</v>
      </c>
      <c r="Y471" s="288">
        <f t="shared" si="269"/>
        <v>0</v>
      </c>
      <c r="Z471" s="288">
        <f t="shared" si="270"/>
        <v>357260.75999999995</v>
      </c>
      <c r="AA471" s="288">
        <f t="shared" si="271"/>
        <v>179976.28000000012</v>
      </c>
      <c r="AB471" s="288">
        <f t="shared" si="282"/>
        <v>0</v>
      </c>
      <c r="AC471" s="410">
        <f t="shared" si="289"/>
        <v>411</v>
      </c>
      <c r="AD471" s="510">
        <f t="shared" si="290"/>
        <v>290212.1599999998</v>
      </c>
      <c r="AE471" s="510">
        <f t="shared" si="263"/>
        <v>0</v>
      </c>
      <c r="AF471" s="510">
        <f t="shared" si="264"/>
        <v>290212.1599999998</v>
      </c>
      <c r="AG471" s="510">
        <f t="shared" si="291"/>
        <v>0</v>
      </c>
      <c r="AH471" s="510">
        <f t="shared" si="292"/>
        <v>0</v>
      </c>
      <c r="AI471" s="510"/>
      <c r="AJ471" s="14">
        <f t="shared" si="272"/>
        <v>0</v>
      </c>
      <c r="AK471" s="14">
        <f t="shared" si="273"/>
        <v>0</v>
      </c>
      <c r="AL471" s="510">
        <f>IF(R471&lt;=0,0,+(Profit!$B$4+AM470)*$AL$1/12)</f>
        <v>0</v>
      </c>
      <c r="AM471" s="14">
        <f t="shared" si="293"/>
        <v>0</v>
      </c>
    </row>
    <row r="472" spans="1:39" x14ac:dyDescent="0.25">
      <c r="A472" s="499" t="str">
        <f t="shared" si="283"/>
        <v xml:space="preserve"> </v>
      </c>
      <c r="B472" s="288">
        <f t="shared" si="260"/>
        <v>0</v>
      </c>
      <c r="C472" s="14">
        <f t="shared" si="274"/>
        <v>0</v>
      </c>
      <c r="D472" s="14">
        <f t="shared" si="294"/>
        <v>0</v>
      </c>
      <c r="E472" s="14">
        <f t="shared" si="275"/>
        <v>0</v>
      </c>
      <c r="F472" s="288">
        <f t="shared" si="284"/>
        <v>83147.320000000007</v>
      </c>
      <c r="G472" s="288">
        <f t="shared" si="285"/>
        <v>55052.229999999989</v>
      </c>
      <c r="H472" s="288">
        <f t="shared" si="276"/>
        <v>0</v>
      </c>
      <c r="I472" s="410">
        <f t="shared" si="277"/>
        <v>34</v>
      </c>
      <c r="J472" s="288">
        <f t="shared" si="259"/>
        <v>0</v>
      </c>
      <c r="K472" s="288">
        <f t="shared" si="266"/>
        <v>0</v>
      </c>
      <c r="L472" s="288">
        <f t="shared" si="295"/>
        <v>0</v>
      </c>
      <c r="M472" s="288">
        <f t="shared" si="267"/>
        <v>0</v>
      </c>
      <c r="N472" s="288">
        <f t="shared" si="286"/>
        <v>354375.66999999987</v>
      </c>
      <c r="O472" s="288">
        <f t="shared" si="287"/>
        <v>473073.52999999985</v>
      </c>
      <c r="P472" s="288">
        <f t="shared" si="278"/>
        <v>0</v>
      </c>
      <c r="Q472" s="499" t="str">
        <f t="shared" si="279"/>
        <v xml:space="preserve"> </v>
      </c>
      <c r="R472" s="288">
        <f t="shared" si="265"/>
        <v>0</v>
      </c>
      <c r="S472" s="492">
        <f t="shared" si="288"/>
        <v>6.7500000000000004E-2</v>
      </c>
      <c r="T472" s="288">
        <f t="shared" si="280"/>
        <v>0</v>
      </c>
      <c r="U472" s="288">
        <f t="shared" si="268"/>
        <v>0</v>
      </c>
      <c r="V472" s="288">
        <f t="shared" si="281"/>
        <v>0</v>
      </c>
      <c r="W472" s="288">
        <f t="shared" si="261"/>
        <v>0</v>
      </c>
      <c r="X472" s="288">
        <f t="shared" si="262"/>
        <v>0</v>
      </c>
      <c r="Y472" s="288">
        <f t="shared" si="269"/>
        <v>0</v>
      </c>
      <c r="Z472" s="288">
        <f t="shared" si="270"/>
        <v>357260.75999999995</v>
      </c>
      <c r="AA472" s="288">
        <f t="shared" si="271"/>
        <v>179976.28000000012</v>
      </c>
      <c r="AB472" s="288">
        <f t="shared" si="282"/>
        <v>0</v>
      </c>
      <c r="AC472" s="410">
        <f t="shared" si="289"/>
        <v>412</v>
      </c>
      <c r="AD472" s="510">
        <f t="shared" si="290"/>
        <v>290212.1599999998</v>
      </c>
      <c r="AE472" s="510">
        <f t="shared" si="263"/>
        <v>0</v>
      </c>
      <c r="AF472" s="510">
        <f t="shared" si="264"/>
        <v>290212.1599999998</v>
      </c>
      <c r="AG472" s="510">
        <f t="shared" si="291"/>
        <v>0</v>
      </c>
      <c r="AH472" s="510">
        <f t="shared" si="292"/>
        <v>0</v>
      </c>
      <c r="AI472" s="510"/>
      <c r="AJ472" s="14">
        <f t="shared" si="272"/>
        <v>0</v>
      </c>
      <c r="AK472" s="14">
        <f t="shared" si="273"/>
        <v>0</v>
      </c>
      <c r="AL472" s="510">
        <f>IF(R472&lt;=0,0,+(Profit!$B$4+AM471)*$AL$1/12)</f>
        <v>0</v>
      </c>
      <c r="AM472" s="14">
        <f t="shared" si="293"/>
        <v>0</v>
      </c>
    </row>
    <row r="473" spans="1:39" x14ac:dyDescent="0.25">
      <c r="A473" s="499" t="str">
        <f t="shared" si="283"/>
        <v xml:space="preserve"> </v>
      </c>
      <c r="B473" s="288">
        <f t="shared" si="260"/>
        <v>0</v>
      </c>
      <c r="C473" s="14">
        <f t="shared" si="274"/>
        <v>0</v>
      </c>
      <c r="D473" s="14">
        <f t="shared" si="294"/>
        <v>0</v>
      </c>
      <c r="E473" s="14">
        <f t="shared" si="275"/>
        <v>0</v>
      </c>
      <c r="F473" s="288">
        <f t="shared" si="284"/>
        <v>83147.320000000007</v>
      </c>
      <c r="G473" s="288">
        <f t="shared" si="285"/>
        <v>55052.229999999989</v>
      </c>
      <c r="H473" s="288">
        <f t="shared" si="276"/>
        <v>0</v>
      </c>
      <c r="I473" s="410">
        <f t="shared" si="277"/>
        <v>34</v>
      </c>
      <c r="J473" s="288">
        <f t="shared" si="259"/>
        <v>0</v>
      </c>
      <c r="K473" s="288">
        <f t="shared" si="266"/>
        <v>0</v>
      </c>
      <c r="L473" s="288">
        <f t="shared" si="295"/>
        <v>0</v>
      </c>
      <c r="M473" s="288">
        <f t="shared" si="267"/>
        <v>0</v>
      </c>
      <c r="N473" s="288">
        <f t="shared" si="286"/>
        <v>354375.66999999987</v>
      </c>
      <c r="O473" s="288">
        <f t="shared" si="287"/>
        <v>473073.52999999985</v>
      </c>
      <c r="P473" s="288">
        <f t="shared" si="278"/>
        <v>0</v>
      </c>
      <c r="Q473" s="499" t="str">
        <f t="shared" si="279"/>
        <v xml:space="preserve"> </v>
      </c>
      <c r="R473" s="288">
        <f t="shared" si="265"/>
        <v>0</v>
      </c>
      <c r="S473" s="492">
        <f t="shared" si="288"/>
        <v>6.7500000000000004E-2</v>
      </c>
      <c r="T473" s="288">
        <f t="shared" si="280"/>
        <v>0</v>
      </c>
      <c r="U473" s="288">
        <f t="shared" si="268"/>
        <v>0</v>
      </c>
      <c r="V473" s="288">
        <f t="shared" si="281"/>
        <v>0</v>
      </c>
      <c r="W473" s="288">
        <f t="shared" si="261"/>
        <v>0</v>
      </c>
      <c r="X473" s="288">
        <f t="shared" si="262"/>
        <v>0</v>
      </c>
      <c r="Y473" s="288">
        <f t="shared" si="269"/>
        <v>0</v>
      </c>
      <c r="Z473" s="288">
        <f t="shared" si="270"/>
        <v>357260.75999999995</v>
      </c>
      <c r="AA473" s="288">
        <f t="shared" si="271"/>
        <v>179976.28000000012</v>
      </c>
      <c r="AB473" s="288">
        <f t="shared" si="282"/>
        <v>0</v>
      </c>
      <c r="AC473" s="410">
        <f t="shared" si="289"/>
        <v>413</v>
      </c>
      <c r="AD473" s="510">
        <f t="shared" si="290"/>
        <v>290212.1599999998</v>
      </c>
      <c r="AE473" s="510">
        <f t="shared" si="263"/>
        <v>0</v>
      </c>
      <c r="AF473" s="510">
        <f t="shared" si="264"/>
        <v>290212.1599999998</v>
      </c>
      <c r="AG473" s="510">
        <f t="shared" si="291"/>
        <v>0</v>
      </c>
      <c r="AH473" s="510">
        <f t="shared" si="292"/>
        <v>0</v>
      </c>
      <c r="AI473" s="510"/>
      <c r="AJ473" s="14">
        <f t="shared" si="272"/>
        <v>0</v>
      </c>
      <c r="AK473" s="14">
        <f t="shared" si="273"/>
        <v>0</v>
      </c>
      <c r="AL473" s="510">
        <f>IF(R473&lt;=0,0,+(Profit!$B$4+AM472)*$AL$1/12)</f>
        <v>0</v>
      </c>
      <c r="AM473" s="14">
        <f t="shared" si="293"/>
        <v>0</v>
      </c>
    </row>
    <row r="474" spans="1:39" x14ac:dyDescent="0.25">
      <c r="A474" s="499" t="str">
        <f t="shared" si="283"/>
        <v xml:space="preserve"> </v>
      </c>
      <c r="B474" s="288">
        <f t="shared" si="260"/>
        <v>0</v>
      </c>
      <c r="C474" s="14">
        <f t="shared" si="274"/>
        <v>0</v>
      </c>
      <c r="D474" s="14">
        <f t="shared" si="294"/>
        <v>0</v>
      </c>
      <c r="E474" s="14">
        <f t="shared" si="275"/>
        <v>0</v>
      </c>
      <c r="F474" s="288">
        <f t="shared" si="284"/>
        <v>83147.320000000007</v>
      </c>
      <c r="G474" s="288">
        <f t="shared" si="285"/>
        <v>55052.229999999989</v>
      </c>
      <c r="H474" s="288">
        <f t="shared" si="276"/>
        <v>0</v>
      </c>
      <c r="I474" s="410">
        <f t="shared" si="277"/>
        <v>34</v>
      </c>
      <c r="J474" s="288">
        <f t="shared" si="259"/>
        <v>0</v>
      </c>
      <c r="K474" s="288">
        <f t="shared" si="266"/>
        <v>0</v>
      </c>
      <c r="L474" s="288">
        <f t="shared" si="295"/>
        <v>0</v>
      </c>
      <c r="M474" s="288">
        <f t="shared" si="267"/>
        <v>0</v>
      </c>
      <c r="N474" s="288">
        <f t="shared" si="286"/>
        <v>354375.66999999987</v>
      </c>
      <c r="O474" s="288">
        <f t="shared" si="287"/>
        <v>473073.52999999985</v>
      </c>
      <c r="P474" s="288">
        <f t="shared" si="278"/>
        <v>0</v>
      </c>
      <c r="Q474" s="499" t="str">
        <f t="shared" si="279"/>
        <v xml:space="preserve"> </v>
      </c>
      <c r="R474" s="288">
        <f t="shared" si="265"/>
        <v>0</v>
      </c>
      <c r="S474" s="492">
        <f t="shared" si="288"/>
        <v>6.7500000000000004E-2</v>
      </c>
      <c r="T474" s="288">
        <f t="shared" si="280"/>
        <v>0</v>
      </c>
      <c r="U474" s="288">
        <f t="shared" si="268"/>
        <v>0</v>
      </c>
      <c r="V474" s="288">
        <f t="shared" si="281"/>
        <v>0</v>
      </c>
      <c r="W474" s="288">
        <f t="shared" si="261"/>
        <v>0</v>
      </c>
      <c r="X474" s="288">
        <f t="shared" si="262"/>
        <v>0</v>
      </c>
      <c r="Y474" s="288">
        <f t="shared" si="269"/>
        <v>0</v>
      </c>
      <c r="Z474" s="288">
        <f t="shared" si="270"/>
        <v>357260.75999999995</v>
      </c>
      <c r="AA474" s="288">
        <f t="shared" si="271"/>
        <v>179976.28000000012</v>
      </c>
      <c r="AB474" s="288">
        <f t="shared" si="282"/>
        <v>0</v>
      </c>
      <c r="AC474" s="410">
        <f t="shared" si="289"/>
        <v>414</v>
      </c>
      <c r="AD474" s="510">
        <f t="shared" si="290"/>
        <v>290212.1599999998</v>
      </c>
      <c r="AE474" s="510">
        <f t="shared" si="263"/>
        <v>0</v>
      </c>
      <c r="AF474" s="510">
        <f t="shared" si="264"/>
        <v>290212.1599999998</v>
      </c>
      <c r="AG474" s="510">
        <f t="shared" si="291"/>
        <v>0</v>
      </c>
      <c r="AH474" s="510">
        <f t="shared" si="292"/>
        <v>0</v>
      </c>
      <c r="AI474" s="510"/>
      <c r="AJ474" s="14">
        <f t="shared" si="272"/>
        <v>0</v>
      </c>
      <c r="AK474" s="14">
        <f t="shared" si="273"/>
        <v>0</v>
      </c>
      <c r="AL474" s="510">
        <f>IF(R474&lt;=0,0,+(Profit!$B$4+AM473)*$AL$1/12)</f>
        <v>0</v>
      </c>
      <c r="AM474" s="14">
        <f t="shared" si="293"/>
        <v>0</v>
      </c>
    </row>
    <row r="475" spans="1:39" x14ac:dyDescent="0.25">
      <c r="A475" s="499" t="str">
        <f t="shared" si="283"/>
        <v xml:space="preserve"> </v>
      </c>
      <c r="B475" s="288">
        <f t="shared" si="260"/>
        <v>0</v>
      </c>
      <c r="C475" s="14">
        <f t="shared" si="274"/>
        <v>0</v>
      </c>
      <c r="D475" s="14">
        <f t="shared" si="294"/>
        <v>0</v>
      </c>
      <c r="E475" s="14">
        <f t="shared" si="275"/>
        <v>0</v>
      </c>
      <c r="F475" s="288">
        <f t="shared" si="284"/>
        <v>83147.320000000007</v>
      </c>
      <c r="G475" s="288">
        <f t="shared" si="285"/>
        <v>55052.229999999989</v>
      </c>
      <c r="H475" s="288">
        <f t="shared" si="276"/>
        <v>0</v>
      </c>
      <c r="I475" s="410">
        <f t="shared" si="277"/>
        <v>34</v>
      </c>
      <c r="J475" s="288">
        <f t="shared" si="259"/>
        <v>0</v>
      </c>
      <c r="K475" s="288">
        <f t="shared" si="266"/>
        <v>0</v>
      </c>
      <c r="L475" s="288">
        <f t="shared" si="295"/>
        <v>0</v>
      </c>
      <c r="M475" s="288">
        <f t="shared" si="267"/>
        <v>0</v>
      </c>
      <c r="N475" s="288">
        <f t="shared" si="286"/>
        <v>354375.66999999987</v>
      </c>
      <c r="O475" s="288">
        <f t="shared" si="287"/>
        <v>473073.52999999985</v>
      </c>
      <c r="P475" s="288">
        <f t="shared" si="278"/>
        <v>0</v>
      </c>
      <c r="Q475" s="499" t="str">
        <f t="shared" si="279"/>
        <v xml:space="preserve"> </v>
      </c>
      <c r="R475" s="288">
        <f t="shared" si="265"/>
        <v>0</v>
      </c>
      <c r="S475" s="492">
        <f t="shared" si="288"/>
        <v>6.7500000000000004E-2</v>
      </c>
      <c r="T475" s="288">
        <f t="shared" si="280"/>
        <v>0</v>
      </c>
      <c r="U475" s="288">
        <f t="shared" si="268"/>
        <v>0</v>
      </c>
      <c r="V475" s="288">
        <f t="shared" si="281"/>
        <v>0</v>
      </c>
      <c r="W475" s="288">
        <f t="shared" si="261"/>
        <v>0</v>
      </c>
      <c r="X475" s="288">
        <f t="shared" si="262"/>
        <v>0</v>
      </c>
      <c r="Y475" s="288">
        <f t="shared" si="269"/>
        <v>0</v>
      </c>
      <c r="Z475" s="288">
        <f t="shared" si="270"/>
        <v>357260.75999999995</v>
      </c>
      <c r="AA475" s="288">
        <f t="shared" si="271"/>
        <v>179976.28000000012</v>
      </c>
      <c r="AB475" s="288">
        <f t="shared" si="282"/>
        <v>0</v>
      </c>
      <c r="AC475" s="410">
        <f t="shared" si="289"/>
        <v>415</v>
      </c>
      <c r="AD475" s="510">
        <f t="shared" si="290"/>
        <v>290212.1599999998</v>
      </c>
      <c r="AE475" s="510">
        <f t="shared" si="263"/>
        <v>0</v>
      </c>
      <c r="AF475" s="510">
        <f t="shared" si="264"/>
        <v>290212.1599999998</v>
      </c>
      <c r="AG475" s="510">
        <f t="shared" si="291"/>
        <v>0</v>
      </c>
      <c r="AH475" s="510">
        <f t="shared" si="292"/>
        <v>0</v>
      </c>
      <c r="AI475" s="510"/>
      <c r="AJ475" s="14">
        <f t="shared" si="272"/>
        <v>0</v>
      </c>
      <c r="AK475" s="14">
        <f t="shared" si="273"/>
        <v>0</v>
      </c>
      <c r="AL475" s="510">
        <f>IF(R475&lt;=0,0,+(Profit!$B$4+AM474)*$AL$1/12)</f>
        <v>0</v>
      </c>
      <c r="AM475" s="14">
        <f t="shared" si="293"/>
        <v>0</v>
      </c>
    </row>
    <row r="476" spans="1:39" x14ac:dyDescent="0.25">
      <c r="A476" s="499" t="str">
        <f t="shared" si="283"/>
        <v xml:space="preserve"> </v>
      </c>
      <c r="B476" s="288">
        <f t="shared" si="260"/>
        <v>0</v>
      </c>
      <c r="C476" s="14">
        <f t="shared" si="274"/>
        <v>0</v>
      </c>
      <c r="D476" s="14">
        <f t="shared" si="294"/>
        <v>0</v>
      </c>
      <c r="E476" s="14">
        <f t="shared" si="275"/>
        <v>0</v>
      </c>
      <c r="F476" s="288">
        <f t="shared" si="284"/>
        <v>83147.320000000007</v>
      </c>
      <c r="G476" s="288">
        <f t="shared" si="285"/>
        <v>55052.229999999989</v>
      </c>
      <c r="H476" s="288">
        <f t="shared" si="276"/>
        <v>0</v>
      </c>
      <c r="I476" s="410">
        <f t="shared" si="277"/>
        <v>34</v>
      </c>
      <c r="J476" s="288">
        <f t="shared" si="259"/>
        <v>0</v>
      </c>
      <c r="K476" s="288">
        <f t="shared" si="266"/>
        <v>0</v>
      </c>
      <c r="L476" s="288">
        <f t="shared" si="295"/>
        <v>0</v>
      </c>
      <c r="M476" s="288">
        <f t="shared" si="267"/>
        <v>0</v>
      </c>
      <c r="N476" s="288">
        <f t="shared" si="286"/>
        <v>354375.66999999987</v>
      </c>
      <c r="O476" s="288">
        <f t="shared" si="287"/>
        <v>473073.52999999985</v>
      </c>
      <c r="P476" s="288">
        <f t="shared" si="278"/>
        <v>0</v>
      </c>
      <c r="Q476" s="499" t="str">
        <f t="shared" si="279"/>
        <v xml:space="preserve"> </v>
      </c>
      <c r="R476" s="288">
        <f t="shared" si="265"/>
        <v>0</v>
      </c>
      <c r="S476" s="492">
        <f t="shared" si="288"/>
        <v>6.7500000000000004E-2</v>
      </c>
      <c r="T476" s="288">
        <f t="shared" si="280"/>
        <v>0</v>
      </c>
      <c r="U476" s="288">
        <f t="shared" si="268"/>
        <v>0</v>
      </c>
      <c r="V476" s="288">
        <f t="shared" si="281"/>
        <v>0</v>
      </c>
      <c r="W476" s="288">
        <f t="shared" si="261"/>
        <v>0</v>
      </c>
      <c r="X476" s="288">
        <f t="shared" si="262"/>
        <v>0</v>
      </c>
      <c r="Y476" s="288">
        <f t="shared" si="269"/>
        <v>0</v>
      </c>
      <c r="Z476" s="288">
        <f t="shared" si="270"/>
        <v>357260.75999999995</v>
      </c>
      <c r="AA476" s="288">
        <f t="shared" si="271"/>
        <v>179976.28000000012</v>
      </c>
      <c r="AB476" s="288">
        <f t="shared" si="282"/>
        <v>0</v>
      </c>
      <c r="AC476" s="410">
        <f t="shared" si="289"/>
        <v>416</v>
      </c>
      <c r="AD476" s="510">
        <f t="shared" si="290"/>
        <v>290212.1599999998</v>
      </c>
      <c r="AE476" s="510">
        <f t="shared" si="263"/>
        <v>0</v>
      </c>
      <c r="AF476" s="510">
        <f t="shared" si="264"/>
        <v>290212.1599999998</v>
      </c>
      <c r="AG476" s="510">
        <f t="shared" si="291"/>
        <v>0</v>
      </c>
      <c r="AH476" s="510">
        <f t="shared" si="292"/>
        <v>0</v>
      </c>
      <c r="AI476" s="510"/>
      <c r="AJ476" s="14">
        <f t="shared" si="272"/>
        <v>0</v>
      </c>
      <c r="AK476" s="14">
        <f t="shared" si="273"/>
        <v>0</v>
      </c>
      <c r="AL476" s="510">
        <f>IF(R476&lt;=0,0,+(Profit!$B$4+AM475)*$AL$1/12)</f>
        <v>0</v>
      </c>
      <c r="AM476" s="14">
        <f t="shared" si="293"/>
        <v>0</v>
      </c>
    </row>
    <row r="477" spans="1:39" x14ac:dyDescent="0.25">
      <c r="A477" s="499" t="str">
        <f t="shared" si="283"/>
        <v xml:space="preserve"> </v>
      </c>
      <c r="B477" s="288">
        <f t="shared" si="260"/>
        <v>0</v>
      </c>
      <c r="C477" s="14">
        <f t="shared" si="274"/>
        <v>0</v>
      </c>
      <c r="D477" s="14">
        <f t="shared" si="294"/>
        <v>0</v>
      </c>
      <c r="E477" s="14">
        <f t="shared" si="275"/>
        <v>0</v>
      </c>
      <c r="F477" s="288">
        <f t="shared" si="284"/>
        <v>83147.320000000007</v>
      </c>
      <c r="G477" s="288">
        <f t="shared" si="285"/>
        <v>55052.229999999989</v>
      </c>
      <c r="H477" s="288">
        <f t="shared" si="276"/>
        <v>0</v>
      </c>
      <c r="I477" s="410">
        <f t="shared" si="277"/>
        <v>34</v>
      </c>
      <c r="J477" s="288">
        <f t="shared" si="259"/>
        <v>0</v>
      </c>
      <c r="K477" s="288">
        <f t="shared" si="266"/>
        <v>0</v>
      </c>
      <c r="L477" s="288">
        <f t="shared" si="295"/>
        <v>0</v>
      </c>
      <c r="M477" s="288">
        <f t="shared" si="267"/>
        <v>0</v>
      </c>
      <c r="N477" s="288">
        <f t="shared" si="286"/>
        <v>354375.66999999987</v>
      </c>
      <c r="O477" s="288">
        <f t="shared" si="287"/>
        <v>473073.52999999985</v>
      </c>
      <c r="P477" s="288">
        <f t="shared" si="278"/>
        <v>0</v>
      </c>
      <c r="Q477" s="499" t="str">
        <f t="shared" si="279"/>
        <v xml:space="preserve"> </v>
      </c>
      <c r="R477" s="288">
        <f t="shared" si="265"/>
        <v>0</v>
      </c>
      <c r="S477" s="492">
        <f t="shared" si="288"/>
        <v>6.7500000000000004E-2</v>
      </c>
      <c r="T477" s="288">
        <f t="shared" si="280"/>
        <v>0</v>
      </c>
      <c r="U477" s="288">
        <f t="shared" si="268"/>
        <v>0</v>
      </c>
      <c r="V477" s="288">
        <f t="shared" si="281"/>
        <v>0</v>
      </c>
      <c r="W477" s="288">
        <f t="shared" si="261"/>
        <v>0</v>
      </c>
      <c r="X477" s="288">
        <f t="shared" si="262"/>
        <v>0</v>
      </c>
      <c r="Y477" s="288">
        <f t="shared" si="269"/>
        <v>0</v>
      </c>
      <c r="Z477" s="288">
        <f t="shared" si="270"/>
        <v>357260.75999999995</v>
      </c>
      <c r="AA477" s="288">
        <f t="shared" si="271"/>
        <v>179976.28000000012</v>
      </c>
      <c r="AB477" s="288">
        <f t="shared" si="282"/>
        <v>0</v>
      </c>
      <c r="AC477" s="410">
        <f t="shared" si="289"/>
        <v>417</v>
      </c>
      <c r="AD477" s="510">
        <f t="shared" si="290"/>
        <v>290212.1599999998</v>
      </c>
      <c r="AE477" s="510">
        <f t="shared" si="263"/>
        <v>0</v>
      </c>
      <c r="AF477" s="510">
        <f t="shared" si="264"/>
        <v>290212.1599999998</v>
      </c>
      <c r="AG477" s="510">
        <f t="shared" si="291"/>
        <v>0</v>
      </c>
      <c r="AH477" s="510">
        <f t="shared" si="292"/>
        <v>0</v>
      </c>
      <c r="AI477" s="510"/>
      <c r="AJ477" s="14">
        <f t="shared" si="272"/>
        <v>0</v>
      </c>
      <c r="AK477" s="14">
        <f t="shared" si="273"/>
        <v>0</v>
      </c>
      <c r="AL477" s="510">
        <f>IF(R477&lt;=0,0,+(Profit!$B$4+AM476)*$AL$1/12)</f>
        <v>0</v>
      </c>
      <c r="AM477" s="14">
        <f t="shared" si="293"/>
        <v>0</v>
      </c>
    </row>
    <row r="478" spans="1:39" x14ac:dyDescent="0.25">
      <c r="A478" s="499" t="str">
        <f t="shared" si="283"/>
        <v xml:space="preserve"> </v>
      </c>
      <c r="B478" s="288">
        <f t="shared" si="260"/>
        <v>0</v>
      </c>
      <c r="C478" s="14">
        <f t="shared" si="274"/>
        <v>0</v>
      </c>
      <c r="D478" s="14">
        <f t="shared" si="294"/>
        <v>0</v>
      </c>
      <c r="E478" s="14">
        <f t="shared" si="275"/>
        <v>0</v>
      </c>
      <c r="F478" s="288">
        <f t="shared" si="284"/>
        <v>83147.320000000007</v>
      </c>
      <c r="G478" s="288">
        <f t="shared" si="285"/>
        <v>55052.229999999989</v>
      </c>
      <c r="H478" s="288">
        <f t="shared" si="276"/>
        <v>0</v>
      </c>
      <c r="I478" s="410">
        <f t="shared" si="277"/>
        <v>34</v>
      </c>
      <c r="J478" s="288">
        <f t="shared" si="259"/>
        <v>0</v>
      </c>
      <c r="K478" s="288">
        <f t="shared" si="266"/>
        <v>0</v>
      </c>
      <c r="L478" s="288">
        <f t="shared" si="295"/>
        <v>0</v>
      </c>
      <c r="M478" s="288">
        <f t="shared" si="267"/>
        <v>0</v>
      </c>
      <c r="N478" s="288">
        <f t="shared" si="286"/>
        <v>354375.66999999987</v>
      </c>
      <c r="O478" s="288">
        <f t="shared" si="287"/>
        <v>473073.52999999985</v>
      </c>
      <c r="P478" s="288">
        <f t="shared" si="278"/>
        <v>0</v>
      </c>
      <c r="Q478" s="499" t="str">
        <f t="shared" si="279"/>
        <v xml:space="preserve"> </v>
      </c>
      <c r="R478" s="288">
        <f t="shared" si="265"/>
        <v>0</v>
      </c>
      <c r="S478" s="492">
        <f t="shared" si="288"/>
        <v>6.7500000000000004E-2</v>
      </c>
      <c r="T478" s="288">
        <f t="shared" si="280"/>
        <v>0</v>
      </c>
      <c r="U478" s="288">
        <f t="shared" si="268"/>
        <v>0</v>
      </c>
      <c r="V478" s="288">
        <f t="shared" si="281"/>
        <v>0</v>
      </c>
      <c r="W478" s="288">
        <f t="shared" si="261"/>
        <v>0</v>
      </c>
      <c r="X478" s="288">
        <f t="shared" si="262"/>
        <v>0</v>
      </c>
      <c r="Y478" s="288">
        <f t="shared" si="269"/>
        <v>0</v>
      </c>
      <c r="Z478" s="288">
        <f t="shared" si="270"/>
        <v>357260.75999999995</v>
      </c>
      <c r="AA478" s="288">
        <f t="shared" si="271"/>
        <v>179976.28000000012</v>
      </c>
      <c r="AB478" s="288">
        <f t="shared" si="282"/>
        <v>0</v>
      </c>
      <c r="AC478" s="410">
        <f t="shared" si="289"/>
        <v>418</v>
      </c>
      <c r="AD478" s="510">
        <f t="shared" si="290"/>
        <v>290212.1599999998</v>
      </c>
      <c r="AE478" s="510">
        <f t="shared" si="263"/>
        <v>0</v>
      </c>
      <c r="AF478" s="510">
        <f t="shared" si="264"/>
        <v>290212.1599999998</v>
      </c>
      <c r="AG478" s="510">
        <f t="shared" si="291"/>
        <v>0</v>
      </c>
      <c r="AH478" s="510">
        <f t="shared" si="292"/>
        <v>0</v>
      </c>
      <c r="AI478" s="510"/>
      <c r="AJ478" s="14">
        <f t="shared" si="272"/>
        <v>0</v>
      </c>
      <c r="AK478" s="14">
        <f t="shared" si="273"/>
        <v>0</v>
      </c>
      <c r="AL478" s="510">
        <f>IF(R478&lt;=0,0,+(Profit!$B$4+AM477)*$AL$1/12)</f>
        <v>0</v>
      </c>
      <c r="AM478" s="14">
        <f t="shared" si="293"/>
        <v>0</v>
      </c>
    </row>
    <row r="479" spans="1:39" x14ac:dyDescent="0.25">
      <c r="A479" s="499" t="str">
        <f t="shared" si="283"/>
        <v xml:space="preserve"> </v>
      </c>
      <c r="B479" s="288">
        <f t="shared" si="260"/>
        <v>0</v>
      </c>
      <c r="C479" s="14">
        <f t="shared" si="274"/>
        <v>0</v>
      </c>
      <c r="D479" s="14">
        <f t="shared" si="294"/>
        <v>0</v>
      </c>
      <c r="E479" s="14">
        <f t="shared" si="275"/>
        <v>0</v>
      </c>
      <c r="F479" s="288">
        <f t="shared" si="284"/>
        <v>83147.320000000007</v>
      </c>
      <c r="G479" s="288">
        <f t="shared" si="285"/>
        <v>55052.229999999989</v>
      </c>
      <c r="H479" s="288">
        <f t="shared" si="276"/>
        <v>0</v>
      </c>
      <c r="I479" s="410">
        <f t="shared" si="277"/>
        <v>34</v>
      </c>
      <c r="J479" s="288">
        <f t="shared" si="259"/>
        <v>0</v>
      </c>
      <c r="K479" s="288">
        <f t="shared" si="266"/>
        <v>0</v>
      </c>
      <c r="L479" s="288">
        <f t="shared" si="295"/>
        <v>0</v>
      </c>
      <c r="M479" s="288">
        <f t="shared" si="267"/>
        <v>0</v>
      </c>
      <c r="N479" s="288">
        <f t="shared" si="286"/>
        <v>354375.66999999987</v>
      </c>
      <c r="O479" s="288">
        <f t="shared" si="287"/>
        <v>473073.52999999985</v>
      </c>
      <c r="P479" s="288">
        <f t="shared" si="278"/>
        <v>0</v>
      </c>
      <c r="Q479" s="499" t="str">
        <f t="shared" si="279"/>
        <v xml:space="preserve"> </v>
      </c>
      <c r="R479" s="288">
        <f t="shared" si="265"/>
        <v>0</v>
      </c>
      <c r="S479" s="492">
        <f t="shared" si="288"/>
        <v>6.7500000000000004E-2</v>
      </c>
      <c r="T479" s="288">
        <f t="shared" si="280"/>
        <v>0</v>
      </c>
      <c r="U479" s="288">
        <f t="shared" si="268"/>
        <v>0</v>
      </c>
      <c r="V479" s="288">
        <f t="shared" si="281"/>
        <v>0</v>
      </c>
      <c r="W479" s="288">
        <f t="shared" si="261"/>
        <v>0</v>
      </c>
      <c r="X479" s="288">
        <f t="shared" si="262"/>
        <v>0</v>
      </c>
      <c r="Y479" s="288">
        <f t="shared" si="269"/>
        <v>0</v>
      </c>
      <c r="Z479" s="288">
        <f t="shared" si="270"/>
        <v>357260.75999999995</v>
      </c>
      <c r="AA479" s="288">
        <f t="shared" si="271"/>
        <v>179976.28000000012</v>
      </c>
      <c r="AB479" s="288">
        <f t="shared" si="282"/>
        <v>0</v>
      </c>
      <c r="AC479" s="410">
        <f t="shared" si="289"/>
        <v>419</v>
      </c>
      <c r="AD479" s="510">
        <f t="shared" si="290"/>
        <v>290212.1599999998</v>
      </c>
      <c r="AE479" s="510">
        <f t="shared" si="263"/>
        <v>0</v>
      </c>
      <c r="AF479" s="510">
        <f t="shared" si="264"/>
        <v>290212.1599999998</v>
      </c>
      <c r="AG479" s="510">
        <f t="shared" si="291"/>
        <v>0</v>
      </c>
      <c r="AH479" s="510">
        <f t="shared" si="292"/>
        <v>0</v>
      </c>
      <c r="AI479" s="510"/>
      <c r="AJ479" s="14">
        <f t="shared" si="272"/>
        <v>0</v>
      </c>
      <c r="AK479" s="14">
        <f t="shared" si="273"/>
        <v>0</v>
      </c>
      <c r="AL479" s="510">
        <f>IF(R479&lt;=0,0,+(Profit!$B$4+AM478)*$AL$1/12)</f>
        <v>0</v>
      </c>
      <c r="AM479" s="14">
        <f t="shared" si="293"/>
        <v>0</v>
      </c>
    </row>
    <row r="480" spans="1:39" x14ac:dyDescent="0.25">
      <c r="A480" s="499" t="str">
        <f t="shared" si="283"/>
        <v xml:space="preserve"> </v>
      </c>
      <c r="B480" s="288">
        <f t="shared" si="260"/>
        <v>0</v>
      </c>
      <c r="C480" s="14">
        <f t="shared" si="274"/>
        <v>0</v>
      </c>
      <c r="D480" s="14">
        <f t="shared" si="294"/>
        <v>0</v>
      </c>
      <c r="E480" s="14">
        <f t="shared" si="275"/>
        <v>0</v>
      </c>
      <c r="F480" s="288">
        <f t="shared" si="284"/>
        <v>83147.320000000007</v>
      </c>
      <c r="G480" s="288">
        <f t="shared" si="285"/>
        <v>55052.229999999989</v>
      </c>
      <c r="H480" s="288">
        <f t="shared" si="276"/>
        <v>0</v>
      </c>
      <c r="I480" s="410">
        <f t="shared" si="277"/>
        <v>35</v>
      </c>
      <c r="J480" s="288">
        <f t="shared" si="259"/>
        <v>0</v>
      </c>
      <c r="K480" s="288">
        <f t="shared" si="266"/>
        <v>0</v>
      </c>
      <c r="L480" s="288">
        <f t="shared" si="295"/>
        <v>0</v>
      </c>
      <c r="M480" s="288">
        <f t="shared" si="267"/>
        <v>0</v>
      </c>
      <c r="N480" s="288">
        <f t="shared" si="286"/>
        <v>354375.66999999987</v>
      </c>
      <c r="O480" s="288">
        <f t="shared" si="287"/>
        <v>473073.52999999985</v>
      </c>
      <c r="P480" s="288">
        <f t="shared" si="278"/>
        <v>0</v>
      </c>
      <c r="Q480" s="499" t="str">
        <f t="shared" si="279"/>
        <v xml:space="preserve"> </v>
      </c>
      <c r="R480" s="288">
        <f t="shared" si="265"/>
        <v>0</v>
      </c>
      <c r="S480" s="492">
        <f t="shared" si="288"/>
        <v>6.7500000000000004E-2</v>
      </c>
      <c r="T480" s="288">
        <f t="shared" si="280"/>
        <v>0</v>
      </c>
      <c r="U480" s="288">
        <f t="shared" si="268"/>
        <v>0</v>
      </c>
      <c r="V480" s="288">
        <f t="shared" si="281"/>
        <v>0</v>
      </c>
      <c r="W480" s="288">
        <f t="shared" si="261"/>
        <v>0</v>
      </c>
      <c r="X480" s="288">
        <f t="shared" si="262"/>
        <v>0</v>
      </c>
      <c r="Y480" s="288">
        <f t="shared" si="269"/>
        <v>0</v>
      </c>
      <c r="Z480" s="288">
        <f t="shared" si="270"/>
        <v>357260.75999999995</v>
      </c>
      <c r="AA480" s="288">
        <f t="shared" si="271"/>
        <v>179976.28000000012</v>
      </c>
      <c r="AB480" s="288">
        <f t="shared" si="282"/>
        <v>0</v>
      </c>
      <c r="AC480" s="410">
        <f t="shared" si="289"/>
        <v>420</v>
      </c>
      <c r="AD480" s="510">
        <f t="shared" si="290"/>
        <v>290212.1599999998</v>
      </c>
      <c r="AE480" s="510">
        <f t="shared" si="263"/>
        <v>0</v>
      </c>
      <c r="AF480" s="510">
        <f t="shared" si="264"/>
        <v>290212.1599999998</v>
      </c>
      <c r="AG480" s="510">
        <f t="shared" si="291"/>
        <v>0</v>
      </c>
      <c r="AH480" s="510">
        <f t="shared" si="292"/>
        <v>0</v>
      </c>
      <c r="AI480" s="510"/>
      <c r="AJ480" s="14">
        <f t="shared" si="272"/>
        <v>0</v>
      </c>
      <c r="AK480" s="14">
        <f t="shared" si="273"/>
        <v>0</v>
      </c>
      <c r="AL480" s="510">
        <f>IF(R480&lt;=0,0,+(Profit!$B$4+AM479)*$AL$1/12)</f>
        <v>0</v>
      </c>
      <c r="AM480" s="14">
        <f t="shared" si="293"/>
        <v>0</v>
      </c>
    </row>
    <row r="481" spans="1:40" x14ac:dyDescent="0.25">
      <c r="A481" s="499" t="str">
        <f t="shared" si="283"/>
        <v xml:space="preserve"> </v>
      </c>
      <c r="B481" s="288">
        <f t="shared" si="260"/>
        <v>0</v>
      </c>
      <c r="C481" s="14">
        <f t="shared" si="274"/>
        <v>0</v>
      </c>
      <c r="D481" s="14">
        <f t="shared" si="294"/>
        <v>0</v>
      </c>
      <c r="E481" s="14">
        <f t="shared" si="275"/>
        <v>0</v>
      </c>
      <c r="F481" s="288">
        <f t="shared" si="284"/>
        <v>83147.320000000007</v>
      </c>
      <c r="G481" s="288">
        <f t="shared" si="285"/>
        <v>55052.229999999989</v>
      </c>
      <c r="H481" s="288">
        <f t="shared" si="276"/>
        <v>0</v>
      </c>
      <c r="I481" s="410">
        <f t="shared" si="277"/>
        <v>35</v>
      </c>
      <c r="J481" s="288">
        <f t="shared" si="259"/>
        <v>0</v>
      </c>
      <c r="K481" s="288">
        <f t="shared" si="266"/>
        <v>0</v>
      </c>
      <c r="L481" s="288">
        <f t="shared" si="295"/>
        <v>0</v>
      </c>
      <c r="M481" s="288">
        <f t="shared" si="267"/>
        <v>0</v>
      </c>
      <c r="N481" s="288">
        <f t="shared" si="286"/>
        <v>354375.66999999987</v>
      </c>
      <c r="O481" s="288">
        <f t="shared" si="287"/>
        <v>473073.52999999985</v>
      </c>
      <c r="P481" s="288">
        <f t="shared" si="278"/>
        <v>0</v>
      </c>
      <c r="Q481" s="499" t="str">
        <f t="shared" si="279"/>
        <v xml:space="preserve"> </v>
      </c>
      <c r="R481" s="288">
        <f t="shared" si="265"/>
        <v>0</v>
      </c>
      <c r="S481" s="492">
        <f t="shared" si="288"/>
        <v>6.7500000000000004E-2</v>
      </c>
      <c r="T481" s="288">
        <f t="shared" si="280"/>
        <v>0</v>
      </c>
      <c r="U481" s="288">
        <f t="shared" si="268"/>
        <v>0</v>
      </c>
      <c r="V481" s="288">
        <f t="shared" si="281"/>
        <v>0</v>
      </c>
      <c r="W481" s="288">
        <f t="shared" si="261"/>
        <v>0</v>
      </c>
      <c r="X481" s="288">
        <f t="shared" si="262"/>
        <v>0</v>
      </c>
      <c r="Y481" s="288">
        <f t="shared" si="269"/>
        <v>0</v>
      </c>
      <c r="Z481" s="288">
        <f t="shared" si="270"/>
        <v>357260.75999999995</v>
      </c>
      <c r="AA481" s="288">
        <f t="shared" si="271"/>
        <v>179976.28000000012</v>
      </c>
      <c r="AB481" s="288">
        <f t="shared" si="282"/>
        <v>0</v>
      </c>
      <c r="AC481" s="410">
        <f t="shared" si="289"/>
        <v>421</v>
      </c>
      <c r="AD481" s="510">
        <f t="shared" si="290"/>
        <v>290212.1599999998</v>
      </c>
      <c r="AE481" s="510">
        <f t="shared" si="263"/>
        <v>0</v>
      </c>
      <c r="AF481" s="510">
        <f t="shared" si="264"/>
        <v>290212.1599999998</v>
      </c>
      <c r="AG481" s="510">
        <f t="shared" si="291"/>
        <v>0</v>
      </c>
      <c r="AH481" s="510">
        <f t="shared" si="292"/>
        <v>0</v>
      </c>
      <c r="AI481" s="510"/>
      <c r="AJ481" s="14">
        <f t="shared" si="272"/>
        <v>0</v>
      </c>
      <c r="AK481" s="14">
        <f t="shared" si="273"/>
        <v>0</v>
      </c>
      <c r="AL481" s="510">
        <f>IF(R481&lt;=0,0,+(Profit!$B$4+AM480)*$AL$1/12)</f>
        <v>0</v>
      </c>
      <c r="AM481" s="14">
        <f t="shared" si="293"/>
        <v>0</v>
      </c>
    </row>
    <row r="482" spans="1:40" ht="15.75" thickBot="1" x14ac:dyDescent="0.3">
      <c r="A482" s="502" t="str">
        <f t="shared" si="283"/>
        <v xml:space="preserve"> </v>
      </c>
      <c r="B482" s="343">
        <f t="shared" si="260"/>
        <v>0</v>
      </c>
      <c r="C482" s="21">
        <f t="shared" si="274"/>
        <v>0</v>
      </c>
      <c r="D482" s="21">
        <f t="shared" si="294"/>
        <v>0</v>
      </c>
      <c r="E482" s="21">
        <f t="shared" si="275"/>
        <v>0</v>
      </c>
      <c r="F482" s="343">
        <f t="shared" si="284"/>
        <v>83147.320000000007</v>
      </c>
      <c r="G482" s="343">
        <f t="shared" si="285"/>
        <v>55052.229999999989</v>
      </c>
      <c r="H482" s="343">
        <f t="shared" si="276"/>
        <v>0</v>
      </c>
      <c r="I482" s="411">
        <f t="shared" si="277"/>
        <v>35</v>
      </c>
      <c r="J482" s="343">
        <f t="shared" ref="J482:J490" si="296">IF(+P481&lt;0,0,+P481)</f>
        <v>0</v>
      </c>
      <c r="K482" s="343">
        <f t="shared" si="266"/>
        <v>0</v>
      </c>
      <c r="L482" s="343">
        <f t="shared" si="295"/>
        <v>0</v>
      </c>
      <c r="M482" s="343">
        <f t="shared" si="267"/>
        <v>0</v>
      </c>
      <c r="N482" s="343">
        <f t="shared" si="286"/>
        <v>354375.66999999987</v>
      </c>
      <c r="O482" s="343">
        <f t="shared" si="287"/>
        <v>473073.52999999985</v>
      </c>
      <c r="P482" s="343">
        <f t="shared" si="278"/>
        <v>0</v>
      </c>
      <c r="Q482" s="502" t="str">
        <f t="shared" si="279"/>
        <v xml:space="preserve"> </v>
      </c>
      <c r="R482" s="343">
        <f t="shared" si="265"/>
        <v>0</v>
      </c>
      <c r="S482" s="493">
        <f t="shared" si="288"/>
        <v>6.7500000000000004E-2</v>
      </c>
      <c r="T482" s="343">
        <f t="shared" si="280"/>
        <v>0</v>
      </c>
      <c r="U482" s="343">
        <f t="shared" si="268"/>
        <v>0</v>
      </c>
      <c r="V482" s="343">
        <f t="shared" si="281"/>
        <v>0</v>
      </c>
      <c r="W482" s="343">
        <f t="shared" si="261"/>
        <v>0</v>
      </c>
      <c r="X482" s="343">
        <f t="shared" si="262"/>
        <v>0</v>
      </c>
      <c r="Y482" s="343">
        <f t="shared" si="269"/>
        <v>0</v>
      </c>
      <c r="Z482" s="343">
        <f t="shared" si="270"/>
        <v>357260.75999999995</v>
      </c>
      <c r="AA482" s="343">
        <f t="shared" si="271"/>
        <v>179976.28000000012</v>
      </c>
      <c r="AB482" s="343">
        <f t="shared" si="282"/>
        <v>0</v>
      </c>
      <c r="AC482" s="411">
        <f t="shared" si="289"/>
        <v>422</v>
      </c>
      <c r="AD482" s="511">
        <f t="shared" si="290"/>
        <v>290212.1599999998</v>
      </c>
      <c r="AE482" s="511">
        <f t="shared" si="263"/>
        <v>0</v>
      </c>
      <c r="AF482" s="511">
        <f t="shared" si="264"/>
        <v>290212.1599999998</v>
      </c>
      <c r="AG482" s="511">
        <f t="shared" si="291"/>
        <v>0</v>
      </c>
      <c r="AH482" s="511">
        <f t="shared" si="292"/>
        <v>0</v>
      </c>
      <c r="AI482" s="511"/>
      <c r="AJ482" s="21">
        <f t="shared" si="272"/>
        <v>0</v>
      </c>
      <c r="AK482" s="21">
        <f t="shared" si="273"/>
        <v>0</v>
      </c>
      <c r="AL482" s="511">
        <f>IF(R482&lt;=0,0,+(Profit!$B$4+AM481)*$AL$1/12)</f>
        <v>0</v>
      </c>
      <c r="AM482" s="21">
        <f t="shared" si="293"/>
        <v>0</v>
      </c>
    </row>
    <row r="483" spans="1:40" x14ac:dyDescent="0.25">
      <c r="A483" s="499" t="str">
        <f t="shared" si="283"/>
        <v xml:space="preserve"> </v>
      </c>
      <c r="B483" s="288">
        <f t="shared" si="260"/>
        <v>0</v>
      </c>
      <c r="C483" s="14">
        <f t="shared" si="274"/>
        <v>0</v>
      </c>
      <c r="D483" s="14">
        <f t="shared" si="294"/>
        <v>0</v>
      </c>
      <c r="E483" s="14">
        <f t="shared" si="275"/>
        <v>0</v>
      </c>
      <c r="F483" s="288">
        <f t="shared" si="284"/>
        <v>83147.320000000007</v>
      </c>
      <c r="G483" s="288">
        <f t="shared" si="285"/>
        <v>55052.229999999989</v>
      </c>
      <c r="H483" s="288">
        <f t="shared" si="276"/>
        <v>0</v>
      </c>
      <c r="I483" s="410">
        <f t="shared" si="277"/>
        <v>35</v>
      </c>
      <c r="J483" s="288">
        <f t="shared" si="296"/>
        <v>0</v>
      </c>
      <c r="K483" s="14">
        <f t="shared" si="266"/>
        <v>0</v>
      </c>
      <c r="L483" s="288">
        <f t="shared" si="295"/>
        <v>0</v>
      </c>
      <c r="M483" s="288">
        <f t="shared" si="267"/>
        <v>0</v>
      </c>
      <c r="N483" s="288">
        <f t="shared" si="286"/>
        <v>354375.66999999987</v>
      </c>
      <c r="O483" s="288">
        <f t="shared" si="287"/>
        <v>473073.52999999985</v>
      </c>
      <c r="P483" s="288">
        <f t="shared" si="278"/>
        <v>0</v>
      </c>
      <c r="Q483" s="499" t="str">
        <f t="shared" si="279"/>
        <v xml:space="preserve"> </v>
      </c>
      <c r="R483" s="288">
        <f t="shared" si="265"/>
        <v>0</v>
      </c>
      <c r="S483" s="492">
        <f t="shared" si="288"/>
        <v>6.7500000000000004E-2</v>
      </c>
      <c r="T483" s="14">
        <f t="shared" si="280"/>
        <v>0</v>
      </c>
      <c r="U483" s="288">
        <f t="shared" si="268"/>
        <v>0</v>
      </c>
      <c r="V483" s="288">
        <f t="shared" si="281"/>
        <v>0</v>
      </c>
      <c r="W483" s="14">
        <f t="shared" si="261"/>
        <v>0</v>
      </c>
      <c r="X483" s="288">
        <f t="shared" si="262"/>
        <v>0</v>
      </c>
      <c r="Y483" s="288">
        <f t="shared" si="269"/>
        <v>0</v>
      </c>
      <c r="Z483" s="288">
        <f t="shared" si="270"/>
        <v>357260.75999999995</v>
      </c>
      <c r="AA483" s="288">
        <f t="shared" si="271"/>
        <v>179976.28000000012</v>
      </c>
      <c r="AB483" s="288">
        <f t="shared" si="282"/>
        <v>0</v>
      </c>
      <c r="AC483" s="410">
        <f t="shared" si="289"/>
        <v>423</v>
      </c>
      <c r="AD483" s="510">
        <f t="shared" si="290"/>
        <v>290212.1599999998</v>
      </c>
      <c r="AE483" s="510">
        <f t="shared" si="263"/>
        <v>0</v>
      </c>
      <c r="AF483" s="510">
        <f t="shared" si="264"/>
        <v>290212.1599999998</v>
      </c>
      <c r="AG483" s="510">
        <f t="shared" si="291"/>
        <v>0</v>
      </c>
      <c r="AH483" s="510">
        <f t="shared" si="292"/>
        <v>0</v>
      </c>
      <c r="AI483" s="510"/>
      <c r="AJ483" s="14">
        <f t="shared" si="272"/>
        <v>0</v>
      </c>
      <c r="AK483" s="14">
        <f t="shared" si="273"/>
        <v>0</v>
      </c>
      <c r="AL483" s="510">
        <f>IF(R483&lt;=0,0,+(Profit!$B$4+AM482)*$AL$1/12)</f>
        <v>0</v>
      </c>
      <c r="AM483" s="14">
        <f t="shared" si="293"/>
        <v>0</v>
      </c>
    </row>
    <row r="484" spans="1:40" x14ac:dyDescent="0.25">
      <c r="A484" s="499" t="str">
        <f t="shared" si="283"/>
        <v xml:space="preserve"> </v>
      </c>
      <c r="B484" s="288">
        <f t="shared" si="260"/>
        <v>0</v>
      </c>
      <c r="C484" s="14">
        <f t="shared" si="274"/>
        <v>0</v>
      </c>
      <c r="D484" s="14">
        <f t="shared" si="294"/>
        <v>0</v>
      </c>
      <c r="E484" s="14">
        <f t="shared" si="275"/>
        <v>0</v>
      </c>
      <c r="F484" s="288">
        <f t="shared" si="284"/>
        <v>83147.320000000007</v>
      </c>
      <c r="G484" s="288">
        <f t="shared" si="285"/>
        <v>55052.229999999989</v>
      </c>
      <c r="H484" s="288">
        <f t="shared" si="276"/>
        <v>0</v>
      </c>
      <c r="I484" s="410">
        <f t="shared" si="277"/>
        <v>35</v>
      </c>
      <c r="J484" s="288">
        <f t="shared" si="296"/>
        <v>0</v>
      </c>
      <c r="K484" s="14">
        <f t="shared" si="266"/>
        <v>0</v>
      </c>
      <c r="L484" s="288">
        <f t="shared" si="295"/>
        <v>0</v>
      </c>
      <c r="M484" s="288">
        <f t="shared" si="267"/>
        <v>0</v>
      </c>
      <c r="N484" s="288">
        <f t="shared" si="286"/>
        <v>354375.66999999987</v>
      </c>
      <c r="O484" s="288">
        <f t="shared" si="287"/>
        <v>473073.52999999985</v>
      </c>
      <c r="P484" s="288">
        <f t="shared" si="278"/>
        <v>0</v>
      </c>
      <c r="Q484" s="499" t="str">
        <f t="shared" si="279"/>
        <v xml:space="preserve"> </v>
      </c>
      <c r="R484" s="288">
        <f t="shared" si="265"/>
        <v>0</v>
      </c>
      <c r="S484" s="492">
        <f t="shared" si="288"/>
        <v>6.7500000000000004E-2</v>
      </c>
      <c r="T484" s="14">
        <f t="shared" si="280"/>
        <v>0</v>
      </c>
      <c r="U484" s="288">
        <f t="shared" si="268"/>
        <v>0</v>
      </c>
      <c r="V484" s="288">
        <f t="shared" si="281"/>
        <v>0</v>
      </c>
      <c r="W484" s="14">
        <f t="shared" si="261"/>
        <v>0</v>
      </c>
      <c r="X484" s="288">
        <f t="shared" si="262"/>
        <v>0</v>
      </c>
      <c r="Y484" s="288">
        <f t="shared" si="269"/>
        <v>0</v>
      </c>
      <c r="Z484" s="288">
        <f t="shared" si="270"/>
        <v>357260.75999999995</v>
      </c>
      <c r="AA484" s="288">
        <f t="shared" si="271"/>
        <v>179976.28000000012</v>
      </c>
      <c r="AB484" s="288">
        <f t="shared" si="282"/>
        <v>0</v>
      </c>
      <c r="AC484" s="410">
        <f t="shared" si="289"/>
        <v>424</v>
      </c>
      <c r="AD484" s="510">
        <f t="shared" si="290"/>
        <v>290212.1599999998</v>
      </c>
      <c r="AE484" s="510">
        <f t="shared" si="263"/>
        <v>0</v>
      </c>
      <c r="AF484" s="510">
        <f t="shared" si="264"/>
        <v>290212.1599999998</v>
      </c>
      <c r="AG484" s="510">
        <f t="shared" si="291"/>
        <v>0</v>
      </c>
      <c r="AH484" s="510">
        <f t="shared" si="292"/>
        <v>0</v>
      </c>
      <c r="AI484" s="510"/>
      <c r="AJ484" s="14">
        <f t="shared" si="272"/>
        <v>0</v>
      </c>
      <c r="AK484" s="14">
        <f t="shared" si="273"/>
        <v>0</v>
      </c>
      <c r="AL484" s="510">
        <f>IF(R484&lt;=0,0,+(Profit!$B$4+AM483)*$AL$1/12)</f>
        <v>0</v>
      </c>
      <c r="AM484" s="14">
        <f t="shared" si="293"/>
        <v>0</v>
      </c>
    </row>
    <row r="485" spans="1:40" x14ac:dyDescent="0.25">
      <c r="A485" s="499" t="str">
        <f t="shared" si="283"/>
        <v xml:space="preserve"> </v>
      </c>
      <c r="B485" s="288">
        <f t="shared" si="260"/>
        <v>0</v>
      </c>
      <c r="C485" s="14">
        <f t="shared" si="274"/>
        <v>0</v>
      </c>
      <c r="D485" s="14">
        <f t="shared" si="294"/>
        <v>0</v>
      </c>
      <c r="E485" s="14">
        <f t="shared" si="275"/>
        <v>0</v>
      </c>
      <c r="F485" s="288">
        <f t="shared" si="284"/>
        <v>83147.320000000007</v>
      </c>
      <c r="G485" s="288">
        <f t="shared" si="285"/>
        <v>55052.229999999989</v>
      </c>
      <c r="H485" s="288">
        <f t="shared" si="276"/>
        <v>0</v>
      </c>
      <c r="I485" s="410">
        <f t="shared" si="277"/>
        <v>35</v>
      </c>
      <c r="J485" s="288">
        <f t="shared" si="296"/>
        <v>0</v>
      </c>
      <c r="K485" s="14">
        <f t="shared" si="266"/>
        <v>0</v>
      </c>
      <c r="L485" s="288">
        <f t="shared" si="295"/>
        <v>0</v>
      </c>
      <c r="M485" s="288">
        <f t="shared" si="267"/>
        <v>0</v>
      </c>
      <c r="N485" s="288">
        <f t="shared" si="286"/>
        <v>354375.66999999987</v>
      </c>
      <c r="O485" s="288">
        <f t="shared" si="287"/>
        <v>473073.52999999985</v>
      </c>
      <c r="P485" s="288">
        <f t="shared" si="278"/>
        <v>0</v>
      </c>
      <c r="Q485" s="499" t="str">
        <f t="shared" si="279"/>
        <v xml:space="preserve"> </v>
      </c>
      <c r="R485" s="288">
        <f t="shared" si="265"/>
        <v>0</v>
      </c>
      <c r="S485" s="492">
        <f t="shared" si="288"/>
        <v>6.7500000000000004E-2</v>
      </c>
      <c r="T485" s="14">
        <f t="shared" si="280"/>
        <v>0</v>
      </c>
      <c r="U485" s="288">
        <f t="shared" si="268"/>
        <v>0</v>
      </c>
      <c r="V485" s="288">
        <f t="shared" si="281"/>
        <v>0</v>
      </c>
      <c r="W485" s="14">
        <f t="shared" si="261"/>
        <v>0</v>
      </c>
      <c r="X485" s="288">
        <f t="shared" si="262"/>
        <v>0</v>
      </c>
      <c r="Y485" s="288">
        <f t="shared" si="269"/>
        <v>0</v>
      </c>
      <c r="Z485" s="288">
        <f t="shared" si="270"/>
        <v>357260.75999999995</v>
      </c>
      <c r="AA485" s="288">
        <f t="shared" si="271"/>
        <v>179976.28000000012</v>
      </c>
      <c r="AB485" s="288">
        <f t="shared" si="282"/>
        <v>0</v>
      </c>
      <c r="AC485" s="410">
        <f t="shared" si="289"/>
        <v>425</v>
      </c>
      <c r="AD485" s="510">
        <f t="shared" si="290"/>
        <v>290212.1599999998</v>
      </c>
      <c r="AE485" s="510">
        <f t="shared" si="263"/>
        <v>0</v>
      </c>
      <c r="AF485" s="510">
        <f t="shared" si="264"/>
        <v>290212.1599999998</v>
      </c>
      <c r="AG485" s="510">
        <f t="shared" si="291"/>
        <v>0</v>
      </c>
      <c r="AH485" s="510">
        <f t="shared" si="292"/>
        <v>0</v>
      </c>
      <c r="AI485" s="510"/>
      <c r="AJ485" s="14">
        <f t="shared" si="272"/>
        <v>0</v>
      </c>
      <c r="AK485" s="14">
        <f t="shared" si="273"/>
        <v>0</v>
      </c>
      <c r="AL485" s="510">
        <f>IF(R485&lt;=0,0,+(Profit!$B$4+AM484)*$AL$1/12)</f>
        <v>0</v>
      </c>
      <c r="AM485" s="14">
        <f t="shared" si="293"/>
        <v>0</v>
      </c>
    </row>
    <row r="486" spans="1:40" x14ac:dyDescent="0.25">
      <c r="A486" s="499" t="str">
        <f t="shared" si="283"/>
        <v xml:space="preserve"> </v>
      </c>
      <c r="B486" s="288">
        <f t="shared" si="260"/>
        <v>0</v>
      </c>
      <c r="C486" s="14">
        <f t="shared" si="274"/>
        <v>0</v>
      </c>
      <c r="D486" s="14">
        <f t="shared" si="294"/>
        <v>0</v>
      </c>
      <c r="E486" s="14">
        <f t="shared" si="275"/>
        <v>0</v>
      </c>
      <c r="F486" s="288">
        <f t="shared" si="284"/>
        <v>83147.320000000007</v>
      </c>
      <c r="G486" s="288">
        <f t="shared" si="285"/>
        <v>55052.229999999989</v>
      </c>
      <c r="H486" s="288">
        <f t="shared" si="276"/>
        <v>0</v>
      </c>
      <c r="I486" s="410">
        <f t="shared" si="277"/>
        <v>35</v>
      </c>
      <c r="J486" s="288">
        <f t="shared" si="296"/>
        <v>0</v>
      </c>
      <c r="K486" s="14">
        <f t="shared" si="266"/>
        <v>0</v>
      </c>
      <c r="L486" s="288">
        <f t="shared" si="295"/>
        <v>0</v>
      </c>
      <c r="M486" s="288">
        <f t="shared" si="267"/>
        <v>0</v>
      </c>
      <c r="N486" s="288">
        <f t="shared" si="286"/>
        <v>354375.66999999987</v>
      </c>
      <c r="O486" s="288">
        <f t="shared" si="287"/>
        <v>473073.52999999985</v>
      </c>
      <c r="P486" s="288">
        <f t="shared" si="278"/>
        <v>0</v>
      </c>
      <c r="Q486" s="499" t="str">
        <f t="shared" si="279"/>
        <v xml:space="preserve"> </v>
      </c>
      <c r="R486" s="288">
        <f t="shared" si="265"/>
        <v>0</v>
      </c>
      <c r="S486" s="492">
        <f t="shared" si="288"/>
        <v>6.7500000000000004E-2</v>
      </c>
      <c r="T486" s="14">
        <f t="shared" si="280"/>
        <v>0</v>
      </c>
      <c r="U486" s="288">
        <f t="shared" si="268"/>
        <v>0</v>
      </c>
      <c r="V486" s="288">
        <f t="shared" si="281"/>
        <v>0</v>
      </c>
      <c r="W486" s="14">
        <f t="shared" si="261"/>
        <v>0</v>
      </c>
      <c r="X486" s="288">
        <f t="shared" si="262"/>
        <v>0</v>
      </c>
      <c r="Y486" s="288">
        <f t="shared" si="269"/>
        <v>0</v>
      </c>
      <c r="Z486" s="288">
        <f t="shared" si="270"/>
        <v>357260.75999999995</v>
      </c>
      <c r="AA486" s="288">
        <f t="shared" si="271"/>
        <v>179976.28000000012</v>
      </c>
      <c r="AB486" s="288">
        <f t="shared" si="282"/>
        <v>0</v>
      </c>
      <c r="AC486" s="410">
        <f t="shared" si="289"/>
        <v>426</v>
      </c>
      <c r="AD486" s="510">
        <f t="shared" si="290"/>
        <v>290212.1599999998</v>
      </c>
      <c r="AE486" s="510">
        <f t="shared" si="263"/>
        <v>0</v>
      </c>
      <c r="AF486" s="510">
        <f t="shared" si="264"/>
        <v>290212.1599999998</v>
      </c>
      <c r="AG486" s="510">
        <f t="shared" si="291"/>
        <v>0</v>
      </c>
      <c r="AH486" s="510">
        <f t="shared" si="292"/>
        <v>0</v>
      </c>
      <c r="AI486" s="510"/>
      <c r="AJ486" s="14">
        <f t="shared" si="272"/>
        <v>0</v>
      </c>
      <c r="AK486" s="14">
        <f t="shared" si="273"/>
        <v>0</v>
      </c>
      <c r="AL486" s="510">
        <f>IF(R486&lt;=0,0,+(Profit!$B$4+AM485)*$AL$1/12)</f>
        <v>0</v>
      </c>
      <c r="AM486" s="14">
        <f t="shared" si="293"/>
        <v>0</v>
      </c>
    </row>
    <row r="487" spans="1:40" x14ac:dyDescent="0.25">
      <c r="A487" s="499" t="str">
        <f t="shared" si="283"/>
        <v xml:space="preserve"> </v>
      </c>
      <c r="B487" s="288">
        <f t="shared" si="260"/>
        <v>0</v>
      </c>
      <c r="C487" s="14">
        <f t="shared" si="274"/>
        <v>0</v>
      </c>
      <c r="D487" s="14">
        <f t="shared" si="294"/>
        <v>0</v>
      </c>
      <c r="E487" s="14">
        <f t="shared" si="275"/>
        <v>0</v>
      </c>
      <c r="F487" s="288">
        <f t="shared" si="284"/>
        <v>83147.320000000007</v>
      </c>
      <c r="G487" s="288">
        <f t="shared" si="285"/>
        <v>55052.229999999989</v>
      </c>
      <c r="H487" s="288">
        <f t="shared" si="276"/>
        <v>0</v>
      </c>
      <c r="I487" s="410">
        <f t="shared" si="277"/>
        <v>35</v>
      </c>
      <c r="J487" s="288">
        <f t="shared" si="296"/>
        <v>0</v>
      </c>
      <c r="K487" s="14">
        <f t="shared" si="266"/>
        <v>0</v>
      </c>
      <c r="L487" s="288">
        <f t="shared" si="295"/>
        <v>0</v>
      </c>
      <c r="M487" s="288">
        <f t="shared" si="267"/>
        <v>0</v>
      </c>
      <c r="N487" s="288">
        <f t="shared" si="286"/>
        <v>354375.66999999987</v>
      </c>
      <c r="O487" s="288">
        <f t="shared" si="287"/>
        <v>473073.52999999985</v>
      </c>
      <c r="P487" s="288">
        <f t="shared" si="278"/>
        <v>0</v>
      </c>
      <c r="Q487" s="499" t="str">
        <f t="shared" si="279"/>
        <v xml:space="preserve"> </v>
      </c>
      <c r="R487" s="288">
        <f t="shared" si="265"/>
        <v>0</v>
      </c>
      <c r="S487" s="492">
        <f t="shared" si="288"/>
        <v>6.7500000000000004E-2</v>
      </c>
      <c r="T487" s="14">
        <f t="shared" si="280"/>
        <v>0</v>
      </c>
      <c r="U487" s="288">
        <f t="shared" si="268"/>
        <v>0</v>
      </c>
      <c r="V487" s="288">
        <f t="shared" si="281"/>
        <v>0</v>
      </c>
      <c r="W487" s="14">
        <f t="shared" si="261"/>
        <v>0</v>
      </c>
      <c r="X487" s="288">
        <f t="shared" si="262"/>
        <v>0</v>
      </c>
      <c r="Y487" s="288">
        <f t="shared" si="269"/>
        <v>0</v>
      </c>
      <c r="Z487" s="288">
        <f t="shared" si="270"/>
        <v>357260.75999999995</v>
      </c>
      <c r="AA487" s="288">
        <f t="shared" si="271"/>
        <v>179976.28000000012</v>
      </c>
      <c r="AB487" s="288">
        <f t="shared" si="282"/>
        <v>0</v>
      </c>
      <c r="AC487" s="410">
        <f t="shared" si="289"/>
        <v>427</v>
      </c>
      <c r="AD487" s="510">
        <f t="shared" si="290"/>
        <v>290212.1599999998</v>
      </c>
      <c r="AE487" s="510">
        <f t="shared" si="263"/>
        <v>0</v>
      </c>
      <c r="AF487" s="510">
        <f t="shared" si="264"/>
        <v>290212.1599999998</v>
      </c>
      <c r="AG487" s="510">
        <f t="shared" si="291"/>
        <v>0</v>
      </c>
      <c r="AH487" s="510">
        <f t="shared" si="292"/>
        <v>0</v>
      </c>
      <c r="AI487" s="510"/>
      <c r="AJ487" s="14">
        <f t="shared" si="272"/>
        <v>0</v>
      </c>
      <c r="AK487" s="14">
        <f t="shared" si="273"/>
        <v>0</v>
      </c>
      <c r="AL487" s="510">
        <f>IF(R487&lt;=0,0,+(Profit!$B$4+AM486)*$AL$1/12)</f>
        <v>0</v>
      </c>
      <c r="AM487" s="14">
        <f t="shared" si="293"/>
        <v>0</v>
      </c>
    </row>
    <row r="488" spans="1:40" x14ac:dyDescent="0.25">
      <c r="A488" s="499" t="str">
        <f t="shared" si="283"/>
        <v xml:space="preserve"> </v>
      </c>
      <c r="B488" s="288">
        <f t="shared" si="260"/>
        <v>0</v>
      </c>
      <c r="C488" s="14">
        <f t="shared" si="274"/>
        <v>0</v>
      </c>
      <c r="D488" s="14">
        <f t="shared" si="294"/>
        <v>0</v>
      </c>
      <c r="E488" s="14">
        <f t="shared" si="275"/>
        <v>0</v>
      </c>
      <c r="F488" s="288">
        <f t="shared" si="284"/>
        <v>83147.320000000007</v>
      </c>
      <c r="G488" s="288">
        <f t="shared" si="285"/>
        <v>55052.229999999989</v>
      </c>
      <c r="H488" s="288">
        <f t="shared" si="276"/>
        <v>0</v>
      </c>
      <c r="I488" s="410">
        <f t="shared" si="277"/>
        <v>35</v>
      </c>
      <c r="J488" s="288">
        <f t="shared" si="296"/>
        <v>0</v>
      </c>
      <c r="K488" s="14">
        <f t="shared" si="266"/>
        <v>0</v>
      </c>
      <c r="L488" s="288">
        <f t="shared" si="295"/>
        <v>0</v>
      </c>
      <c r="M488" s="288">
        <f t="shared" si="267"/>
        <v>0</v>
      </c>
      <c r="N488" s="288">
        <f t="shared" si="286"/>
        <v>354375.66999999987</v>
      </c>
      <c r="O488" s="288">
        <f t="shared" si="287"/>
        <v>473073.52999999985</v>
      </c>
      <c r="P488" s="288">
        <f t="shared" si="278"/>
        <v>0</v>
      </c>
      <c r="Q488" s="499" t="str">
        <f t="shared" si="279"/>
        <v xml:space="preserve"> </v>
      </c>
      <c r="R488" s="288">
        <f t="shared" si="265"/>
        <v>0</v>
      </c>
      <c r="S488" s="492">
        <f t="shared" si="288"/>
        <v>6.7500000000000004E-2</v>
      </c>
      <c r="T488" s="14">
        <f t="shared" si="280"/>
        <v>0</v>
      </c>
      <c r="U488" s="288">
        <f t="shared" si="268"/>
        <v>0</v>
      </c>
      <c r="V488" s="288">
        <f t="shared" si="281"/>
        <v>0</v>
      </c>
      <c r="W488" s="14">
        <f t="shared" si="261"/>
        <v>0</v>
      </c>
      <c r="X488" s="288">
        <f t="shared" si="262"/>
        <v>0</v>
      </c>
      <c r="Y488" s="288">
        <f t="shared" si="269"/>
        <v>0</v>
      </c>
      <c r="Z488" s="288">
        <f t="shared" si="270"/>
        <v>357260.75999999995</v>
      </c>
      <c r="AA488" s="288">
        <f t="shared" si="271"/>
        <v>179976.28000000012</v>
      </c>
      <c r="AB488" s="288">
        <f t="shared" si="282"/>
        <v>0</v>
      </c>
      <c r="AC488" s="410">
        <f t="shared" si="289"/>
        <v>428</v>
      </c>
      <c r="AD488" s="510">
        <f t="shared" si="290"/>
        <v>290212.1599999998</v>
      </c>
      <c r="AE488" s="510">
        <f t="shared" si="263"/>
        <v>0</v>
      </c>
      <c r="AF488" s="510">
        <f t="shared" si="264"/>
        <v>290212.1599999998</v>
      </c>
      <c r="AG488" s="510">
        <f t="shared" si="291"/>
        <v>0</v>
      </c>
      <c r="AH488" s="510">
        <f t="shared" si="292"/>
        <v>0</v>
      </c>
      <c r="AI488" s="510"/>
      <c r="AJ488" s="14">
        <f t="shared" si="272"/>
        <v>0</v>
      </c>
      <c r="AK488" s="14">
        <f t="shared" si="273"/>
        <v>0</v>
      </c>
      <c r="AL488" s="510">
        <f>IF(R488&lt;=0,0,+(Profit!$B$4+AM487)*$AL$1/12)</f>
        <v>0</v>
      </c>
      <c r="AM488" s="14">
        <f t="shared" si="293"/>
        <v>0</v>
      </c>
    </row>
    <row r="489" spans="1:40" x14ac:dyDescent="0.25">
      <c r="A489" s="499" t="str">
        <f t="shared" si="283"/>
        <v xml:space="preserve"> </v>
      </c>
      <c r="B489" s="288">
        <f t="shared" si="260"/>
        <v>0</v>
      </c>
      <c r="C489" s="14">
        <f t="shared" si="274"/>
        <v>0</v>
      </c>
      <c r="D489" s="14">
        <f t="shared" si="294"/>
        <v>0</v>
      </c>
      <c r="E489" s="14">
        <f t="shared" si="275"/>
        <v>0</v>
      </c>
      <c r="F489" s="288">
        <f t="shared" si="284"/>
        <v>83147.320000000007</v>
      </c>
      <c r="G489" s="288">
        <f t="shared" si="285"/>
        <v>55052.229999999989</v>
      </c>
      <c r="H489" s="288">
        <f t="shared" si="276"/>
        <v>0</v>
      </c>
      <c r="I489" s="410">
        <f t="shared" si="277"/>
        <v>35</v>
      </c>
      <c r="J489" s="288">
        <f t="shared" si="296"/>
        <v>0</v>
      </c>
      <c r="K489" s="14">
        <f t="shared" si="266"/>
        <v>0</v>
      </c>
      <c r="L489" s="288">
        <f t="shared" si="295"/>
        <v>0</v>
      </c>
      <c r="M489" s="288">
        <f t="shared" si="267"/>
        <v>0</v>
      </c>
      <c r="N489" s="288">
        <f t="shared" si="286"/>
        <v>354375.66999999987</v>
      </c>
      <c r="O489" s="288">
        <f t="shared" si="287"/>
        <v>473073.52999999985</v>
      </c>
      <c r="P489" s="288">
        <f t="shared" si="278"/>
        <v>0</v>
      </c>
      <c r="Q489" s="499" t="str">
        <f t="shared" si="279"/>
        <v xml:space="preserve"> </v>
      </c>
      <c r="R489" s="288">
        <f t="shared" si="265"/>
        <v>0</v>
      </c>
      <c r="S489" s="492">
        <f t="shared" si="288"/>
        <v>6.7500000000000004E-2</v>
      </c>
      <c r="T489" s="14">
        <f t="shared" si="280"/>
        <v>0</v>
      </c>
      <c r="U489" s="288">
        <f t="shared" si="268"/>
        <v>0</v>
      </c>
      <c r="V489" s="288">
        <f t="shared" si="281"/>
        <v>0</v>
      </c>
      <c r="W489" s="14">
        <f t="shared" si="261"/>
        <v>0</v>
      </c>
      <c r="X489" s="288">
        <f t="shared" si="262"/>
        <v>0</v>
      </c>
      <c r="Y489" s="288">
        <f t="shared" si="269"/>
        <v>0</v>
      </c>
      <c r="Z489" s="288">
        <f t="shared" si="270"/>
        <v>357260.75999999995</v>
      </c>
      <c r="AA489" s="288">
        <f t="shared" si="271"/>
        <v>179976.28000000012</v>
      </c>
      <c r="AB489" s="288">
        <f t="shared" si="282"/>
        <v>0</v>
      </c>
      <c r="AC489" s="410">
        <f t="shared" si="289"/>
        <v>429</v>
      </c>
      <c r="AD489" s="510">
        <f t="shared" si="290"/>
        <v>290212.1599999998</v>
      </c>
      <c r="AE489" s="510">
        <f t="shared" si="263"/>
        <v>0</v>
      </c>
      <c r="AF489" s="510">
        <f t="shared" si="264"/>
        <v>290212.1599999998</v>
      </c>
      <c r="AG489" s="510">
        <f t="shared" si="291"/>
        <v>0</v>
      </c>
      <c r="AH489" s="510">
        <f t="shared" si="292"/>
        <v>0</v>
      </c>
      <c r="AI489" s="510"/>
      <c r="AJ489" s="14">
        <f t="shared" si="272"/>
        <v>0</v>
      </c>
      <c r="AK489" s="14">
        <f t="shared" si="273"/>
        <v>0</v>
      </c>
      <c r="AL489" s="510">
        <f>IF(R489&lt;=0,0,+(Profit!$B$4+AM488)*$AL$1/12)</f>
        <v>0</v>
      </c>
      <c r="AM489" s="14">
        <f t="shared" si="293"/>
        <v>0</v>
      </c>
    </row>
    <row r="490" spans="1:40" x14ac:dyDescent="0.25">
      <c r="A490" s="499" t="str">
        <f t="shared" si="283"/>
        <v xml:space="preserve"> </v>
      </c>
      <c r="B490" s="288">
        <f t="shared" si="260"/>
        <v>0</v>
      </c>
      <c r="C490" s="14">
        <f t="shared" si="274"/>
        <v>0</v>
      </c>
      <c r="D490" s="14">
        <f t="shared" si="294"/>
        <v>0</v>
      </c>
      <c r="E490" s="14">
        <f t="shared" si="275"/>
        <v>0</v>
      </c>
      <c r="F490" s="288">
        <f t="shared" si="284"/>
        <v>83147.320000000007</v>
      </c>
      <c r="G490" s="288">
        <f t="shared" si="285"/>
        <v>55052.229999999989</v>
      </c>
      <c r="H490" s="288">
        <f t="shared" si="276"/>
        <v>0</v>
      </c>
      <c r="I490" s="410">
        <f t="shared" si="277"/>
        <v>35</v>
      </c>
      <c r="J490" s="288">
        <f t="shared" si="296"/>
        <v>0</v>
      </c>
      <c r="K490" s="14">
        <f t="shared" si="266"/>
        <v>0</v>
      </c>
      <c r="L490" s="288">
        <f t="shared" si="295"/>
        <v>0</v>
      </c>
      <c r="M490" s="288">
        <f t="shared" si="267"/>
        <v>0</v>
      </c>
      <c r="N490" s="288">
        <f t="shared" si="286"/>
        <v>354375.66999999987</v>
      </c>
      <c r="O490" s="288">
        <f t="shared" si="287"/>
        <v>473073.52999999985</v>
      </c>
      <c r="P490" s="288">
        <f t="shared" si="278"/>
        <v>0</v>
      </c>
      <c r="Q490" s="499" t="str">
        <f t="shared" si="279"/>
        <v xml:space="preserve"> </v>
      </c>
      <c r="R490" s="288">
        <f t="shared" si="265"/>
        <v>0</v>
      </c>
      <c r="S490" s="492">
        <f t="shared" si="288"/>
        <v>6.7500000000000004E-2</v>
      </c>
      <c r="T490" s="14">
        <f t="shared" si="280"/>
        <v>0</v>
      </c>
      <c r="U490" s="288">
        <f t="shared" si="268"/>
        <v>0</v>
      </c>
      <c r="V490" s="288">
        <f t="shared" si="281"/>
        <v>0</v>
      </c>
      <c r="W490" s="14">
        <f t="shared" si="261"/>
        <v>0</v>
      </c>
      <c r="X490" s="288">
        <f t="shared" si="262"/>
        <v>0</v>
      </c>
      <c r="Y490" s="288">
        <f t="shared" si="269"/>
        <v>0</v>
      </c>
      <c r="Z490" s="288">
        <f t="shared" si="270"/>
        <v>357260.75999999995</v>
      </c>
      <c r="AA490" s="288">
        <f t="shared" si="271"/>
        <v>179976.28000000012</v>
      </c>
      <c r="AB490" s="288">
        <f t="shared" si="282"/>
        <v>0</v>
      </c>
      <c r="AC490" s="410">
        <f t="shared" si="289"/>
        <v>430</v>
      </c>
      <c r="AD490" s="510">
        <f t="shared" si="290"/>
        <v>290212.1599999998</v>
      </c>
      <c r="AE490" s="510">
        <f t="shared" si="263"/>
        <v>0</v>
      </c>
      <c r="AF490" s="510">
        <f t="shared" si="264"/>
        <v>290212.1599999998</v>
      </c>
      <c r="AG490" s="510">
        <f t="shared" si="291"/>
        <v>0</v>
      </c>
      <c r="AH490" s="510">
        <f t="shared" si="292"/>
        <v>0</v>
      </c>
      <c r="AI490" s="510"/>
      <c r="AJ490" s="14">
        <f t="shared" si="272"/>
        <v>0</v>
      </c>
      <c r="AK490" s="14">
        <f t="shared" si="273"/>
        <v>0</v>
      </c>
      <c r="AL490" s="510">
        <f>IF(R490&lt;=0,0,+(Profit!$B$4+AM489)*$AL$1/12)</f>
        <v>0</v>
      </c>
      <c r="AM490" s="14">
        <f t="shared" si="293"/>
        <v>0</v>
      </c>
    </row>
    <row r="491" spans="1:40" x14ac:dyDescent="0.25">
      <c r="A491" s="499"/>
      <c r="I491" s="410">
        <f t="shared" ref="I491:I554" si="297">IF(MOD(AC491,12)=0,AC491/12,I490)</f>
        <v>0</v>
      </c>
      <c r="L491" s="288"/>
      <c r="M491" s="288"/>
      <c r="Q491" s="499">
        <f t="shared" si="279"/>
        <v>0</v>
      </c>
      <c r="R491" s="14">
        <f t="shared" si="265"/>
        <v>0</v>
      </c>
      <c r="S491" s="492">
        <f t="shared" si="288"/>
        <v>3.7499999999999999E-2</v>
      </c>
      <c r="T491" s="14">
        <f t="shared" si="280"/>
        <v>0</v>
      </c>
      <c r="U491" s="288">
        <f t="shared" si="268"/>
        <v>0</v>
      </c>
      <c r="V491" s="288">
        <f t="shared" si="281"/>
        <v>0</v>
      </c>
      <c r="W491" s="14">
        <f t="shared" si="261"/>
        <v>0</v>
      </c>
      <c r="X491" s="288">
        <f t="shared" si="262"/>
        <v>0</v>
      </c>
      <c r="Y491" s="288">
        <f t="shared" si="269"/>
        <v>0</v>
      </c>
      <c r="Z491" s="288">
        <f t="shared" si="270"/>
        <v>357260.75999999995</v>
      </c>
      <c r="AA491" s="288">
        <f t="shared" si="271"/>
        <v>179976.28000000012</v>
      </c>
      <c r="AB491" s="288">
        <f t="shared" si="282"/>
        <v>354375</v>
      </c>
      <c r="AC491" s="410">
        <f t="shared" ref="AC491:AC554" si="298">IF(J491&lt;&gt;"",IF(J491=$J$6,0,+AC490+1),0)</f>
        <v>0</v>
      </c>
      <c r="AD491" s="510">
        <f t="shared" si="290"/>
        <v>290212.1599999998</v>
      </c>
      <c r="AE491" s="510">
        <f t="shared" si="263"/>
        <v>354375</v>
      </c>
      <c r="AF491" s="510">
        <f t="shared" si="264"/>
        <v>644587.1599999998</v>
      </c>
      <c r="AG491" s="510"/>
      <c r="AH491" s="510"/>
      <c r="AI491" s="510"/>
      <c r="AL491" s="510"/>
    </row>
    <row r="492" spans="1:40" x14ac:dyDescent="0.25">
      <c r="A492" s="499"/>
      <c r="I492" s="410">
        <f t="shared" si="297"/>
        <v>0</v>
      </c>
      <c r="L492" s="288"/>
      <c r="M492" s="288"/>
      <c r="Q492" s="499">
        <f t="shared" si="279"/>
        <v>0</v>
      </c>
      <c r="R492" s="14">
        <f t="shared" si="265"/>
        <v>0</v>
      </c>
      <c r="S492" s="492">
        <f t="shared" si="288"/>
        <v>3.7499999999999999E-2</v>
      </c>
      <c r="T492" s="14">
        <f t="shared" si="280"/>
        <v>0</v>
      </c>
      <c r="U492" s="288">
        <f t="shared" si="268"/>
        <v>0</v>
      </c>
      <c r="V492" s="288">
        <f t="shared" si="281"/>
        <v>0</v>
      </c>
      <c r="W492" s="14">
        <f t="shared" si="261"/>
        <v>0</v>
      </c>
      <c r="X492" s="288">
        <f t="shared" si="262"/>
        <v>0</v>
      </c>
      <c r="Y492" s="288">
        <f t="shared" si="269"/>
        <v>0</v>
      </c>
      <c r="Z492" s="288">
        <f t="shared" si="270"/>
        <v>357260.75999999995</v>
      </c>
      <c r="AA492" s="288">
        <f t="shared" si="271"/>
        <v>179976.28000000012</v>
      </c>
      <c r="AB492" s="288">
        <f t="shared" si="282"/>
        <v>354375</v>
      </c>
      <c r="AC492" s="410">
        <f t="shared" si="298"/>
        <v>0</v>
      </c>
      <c r="AD492" s="510">
        <f t="shared" si="290"/>
        <v>290212.1599999998</v>
      </c>
      <c r="AE492" s="510">
        <f t="shared" si="263"/>
        <v>354375</v>
      </c>
      <c r="AF492" s="510">
        <f t="shared" si="264"/>
        <v>644587.1599999998</v>
      </c>
      <c r="AG492" s="510"/>
      <c r="AH492" s="510"/>
      <c r="AI492" s="510"/>
      <c r="AL492" s="510"/>
    </row>
    <row r="493" spans="1:40" x14ac:dyDescent="0.25">
      <c r="A493" s="499"/>
      <c r="I493" s="410">
        <f t="shared" si="297"/>
        <v>0</v>
      </c>
      <c r="L493" s="288"/>
      <c r="M493" s="288"/>
      <c r="Q493" s="499">
        <f t="shared" si="279"/>
        <v>0</v>
      </c>
      <c r="R493" s="14">
        <f t="shared" si="265"/>
        <v>0</v>
      </c>
      <c r="S493" s="492">
        <f t="shared" si="288"/>
        <v>3.7499999999999999E-2</v>
      </c>
      <c r="T493" s="14">
        <f t="shared" si="280"/>
        <v>0</v>
      </c>
      <c r="U493" s="288">
        <f t="shared" si="268"/>
        <v>0</v>
      </c>
      <c r="V493" s="288">
        <f t="shared" si="281"/>
        <v>0</v>
      </c>
      <c r="W493" s="14">
        <f t="shared" si="261"/>
        <v>0</v>
      </c>
      <c r="X493" s="288">
        <f t="shared" si="262"/>
        <v>0</v>
      </c>
      <c r="Y493" s="288">
        <f t="shared" si="269"/>
        <v>0</v>
      </c>
      <c r="Z493" s="288">
        <f t="shared" si="270"/>
        <v>357260.75999999995</v>
      </c>
      <c r="AA493" s="288">
        <f t="shared" si="271"/>
        <v>179976.28000000012</v>
      </c>
      <c r="AB493" s="288">
        <f t="shared" si="282"/>
        <v>354375</v>
      </c>
      <c r="AC493" s="410">
        <f t="shared" si="298"/>
        <v>0</v>
      </c>
      <c r="AD493" s="510">
        <f t="shared" si="290"/>
        <v>290212.1599999998</v>
      </c>
      <c r="AE493" s="510">
        <f t="shared" si="263"/>
        <v>354375</v>
      </c>
      <c r="AF493" s="510">
        <f t="shared" si="264"/>
        <v>644587.1599999998</v>
      </c>
      <c r="AG493" s="510"/>
      <c r="AH493" s="510"/>
      <c r="AI493" s="510"/>
      <c r="AL493" s="510"/>
    </row>
    <row r="494" spans="1:40" ht="15.75" thickBot="1" x14ac:dyDescent="0.3">
      <c r="A494" s="502"/>
      <c r="B494" s="343"/>
      <c r="C494" s="21"/>
      <c r="D494" s="21"/>
      <c r="E494" s="21"/>
      <c r="F494" s="343"/>
      <c r="G494" s="343"/>
      <c r="H494" s="343"/>
      <c r="I494" s="410">
        <f t="shared" si="297"/>
        <v>0</v>
      </c>
      <c r="J494" s="343"/>
      <c r="K494" s="21"/>
      <c r="L494" s="343"/>
      <c r="M494" s="343"/>
      <c r="N494" s="343"/>
      <c r="O494" s="343"/>
      <c r="P494" s="343"/>
      <c r="Q494" s="502">
        <f t="shared" si="279"/>
        <v>0</v>
      </c>
      <c r="R494" s="14">
        <f t="shared" si="265"/>
        <v>0</v>
      </c>
      <c r="S494" s="492">
        <f t="shared" si="288"/>
        <v>3.7499999999999999E-2</v>
      </c>
      <c r="T494" s="21">
        <f t="shared" si="280"/>
        <v>0</v>
      </c>
      <c r="U494" s="343">
        <f t="shared" si="268"/>
        <v>0</v>
      </c>
      <c r="V494" s="343">
        <f t="shared" si="281"/>
        <v>0</v>
      </c>
      <c r="W494" s="21">
        <f t="shared" si="261"/>
        <v>0</v>
      </c>
      <c r="X494" s="343">
        <f t="shared" si="262"/>
        <v>0</v>
      </c>
      <c r="Y494" s="343">
        <f t="shared" si="269"/>
        <v>0</v>
      </c>
      <c r="Z494" s="343">
        <f t="shared" si="270"/>
        <v>357260.75999999995</v>
      </c>
      <c r="AA494" s="343">
        <f t="shared" si="271"/>
        <v>179976.28000000012</v>
      </c>
      <c r="AB494" s="343">
        <f t="shared" si="282"/>
        <v>354375</v>
      </c>
      <c r="AC494" s="410">
        <f t="shared" si="298"/>
        <v>0</v>
      </c>
      <c r="AD494" s="510">
        <f t="shared" si="290"/>
        <v>290212.1599999998</v>
      </c>
      <c r="AE494" s="510">
        <f t="shared" si="263"/>
        <v>354375</v>
      </c>
      <c r="AF494" s="510">
        <f t="shared" si="264"/>
        <v>644587.1599999998</v>
      </c>
      <c r="AG494" s="510"/>
      <c r="AH494" s="510"/>
      <c r="AI494" s="510"/>
      <c r="AJ494" s="21"/>
      <c r="AK494" s="21"/>
      <c r="AL494" s="510"/>
      <c r="AM494" s="343"/>
      <c r="AN494" s="21"/>
    </row>
    <row r="495" spans="1:40" x14ac:dyDescent="0.25">
      <c r="A495" s="499"/>
      <c r="I495" s="410">
        <f t="shared" si="297"/>
        <v>0</v>
      </c>
      <c r="L495" s="288"/>
      <c r="M495" s="288"/>
      <c r="Q495" s="499">
        <f t="shared" si="279"/>
        <v>0</v>
      </c>
      <c r="R495" s="14">
        <f t="shared" si="265"/>
        <v>0</v>
      </c>
      <c r="S495" s="492">
        <f t="shared" si="288"/>
        <v>3.7499999999999999E-2</v>
      </c>
      <c r="T495" s="14">
        <f t="shared" si="280"/>
        <v>0</v>
      </c>
      <c r="U495" s="288">
        <f t="shared" si="268"/>
        <v>0</v>
      </c>
      <c r="V495" s="288">
        <f t="shared" si="281"/>
        <v>0</v>
      </c>
      <c r="W495" s="14">
        <f t="shared" si="261"/>
        <v>0</v>
      </c>
      <c r="X495" s="288">
        <f t="shared" si="262"/>
        <v>0</v>
      </c>
      <c r="Y495" s="288">
        <f t="shared" si="269"/>
        <v>0</v>
      </c>
      <c r="Z495" s="288">
        <f t="shared" si="270"/>
        <v>357260.75999999995</v>
      </c>
      <c r="AA495" s="288">
        <f t="shared" si="271"/>
        <v>179976.28000000012</v>
      </c>
      <c r="AB495" s="288">
        <f t="shared" si="282"/>
        <v>354375</v>
      </c>
      <c r="AC495" s="410">
        <f t="shared" si="298"/>
        <v>0</v>
      </c>
      <c r="AD495" s="510">
        <f t="shared" si="290"/>
        <v>290212.1599999998</v>
      </c>
      <c r="AE495" s="510">
        <f t="shared" si="263"/>
        <v>354375</v>
      </c>
      <c r="AF495" s="510">
        <f t="shared" si="264"/>
        <v>644587.1599999998</v>
      </c>
      <c r="AG495" s="510"/>
      <c r="AH495" s="510"/>
      <c r="AI495" s="510"/>
      <c r="AL495" s="510"/>
    </row>
    <row r="496" spans="1:40" x14ac:dyDescent="0.25">
      <c r="A496" s="499"/>
      <c r="I496" s="410">
        <f t="shared" si="297"/>
        <v>0</v>
      </c>
      <c r="L496" s="288"/>
      <c r="M496" s="288"/>
      <c r="Q496" s="499">
        <f t="shared" si="279"/>
        <v>0</v>
      </c>
      <c r="R496" s="14">
        <f t="shared" si="265"/>
        <v>0</v>
      </c>
      <c r="S496" s="492">
        <f t="shared" si="288"/>
        <v>3.7499999999999999E-2</v>
      </c>
      <c r="T496" s="14">
        <f t="shared" si="280"/>
        <v>0</v>
      </c>
      <c r="U496" s="288">
        <f t="shared" si="268"/>
        <v>0</v>
      </c>
      <c r="V496" s="288">
        <f t="shared" si="281"/>
        <v>0</v>
      </c>
      <c r="W496" s="14">
        <f t="shared" si="261"/>
        <v>0</v>
      </c>
      <c r="X496" s="288">
        <f t="shared" si="262"/>
        <v>0</v>
      </c>
      <c r="Y496" s="288">
        <f t="shared" si="269"/>
        <v>0</v>
      </c>
      <c r="Z496" s="288">
        <f t="shared" si="270"/>
        <v>357260.75999999995</v>
      </c>
      <c r="AA496" s="288">
        <f t="shared" si="271"/>
        <v>179976.28000000012</v>
      </c>
      <c r="AB496" s="288">
        <f t="shared" si="282"/>
        <v>354375</v>
      </c>
      <c r="AC496" s="410">
        <f t="shared" si="298"/>
        <v>0</v>
      </c>
      <c r="AD496" s="510">
        <f t="shared" si="290"/>
        <v>290212.1599999998</v>
      </c>
      <c r="AE496" s="510">
        <f t="shared" si="263"/>
        <v>354375</v>
      </c>
      <c r="AF496" s="510">
        <f t="shared" si="264"/>
        <v>644587.1599999998</v>
      </c>
      <c r="AG496" s="510"/>
      <c r="AH496" s="510"/>
      <c r="AI496" s="510"/>
      <c r="AL496" s="510"/>
    </row>
    <row r="497" spans="1:40" x14ac:dyDescent="0.25">
      <c r="A497" s="499"/>
      <c r="I497" s="410">
        <f t="shared" si="297"/>
        <v>0</v>
      </c>
      <c r="L497" s="288"/>
      <c r="M497" s="288"/>
      <c r="Q497" s="499">
        <f t="shared" si="279"/>
        <v>0</v>
      </c>
      <c r="R497" s="14">
        <f t="shared" si="265"/>
        <v>0</v>
      </c>
      <c r="S497" s="492">
        <f t="shared" si="288"/>
        <v>3.7499999999999999E-2</v>
      </c>
      <c r="T497" s="14">
        <f t="shared" si="280"/>
        <v>0</v>
      </c>
      <c r="U497" s="288">
        <f t="shared" si="268"/>
        <v>0</v>
      </c>
      <c r="V497" s="288">
        <f t="shared" si="281"/>
        <v>0</v>
      </c>
      <c r="W497" s="14">
        <f t="shared" si="261"/>
        <v>0</v>
      </c>
      <c r="X497" s="288">
        <f t="shared" si="262"/>
        <v>0</v>
      </c>
      <c r="Y497" s="288">
        <f t="shared" si="269"/>
        <v>0</v>
      </c>
      <c r="Z497" s="288">
        <f t="shared" si="270"/>
        <v>357260.75999999995</v>
      </c>
      <c r="AA497" s="288">
        <f t="shared" si="271"/>
        <v>179976.28000000012</v>
      </c>
      <c r="AB497" s="288">
        <f t="shared" si="282"/>
        <v>354375</v>
      </c>
      <c r="AC497" s="410">
        <f t="shared" si="298"/>
        <v>0</v>
      </c>
      <c r="AD497" s="510">
        <f t="shared" si="290"/>
        <v>290212.1599999998</v>
      </c>
      <c r="AE497" s="510">
        <f t="shared" si="263"/>
        <v>354375</v>
      </c>
      <c r="AF497" s="510">
        <f t="shared" si="264"/>
        <v>644587.1599999998</v>
      </c>
      <c r="AG497" s="510"/>
      <c r="AH497" s="510"/>
      <c r="AI497" s="510"/>
      <c r="AL497" s="510"/>
    </row>
    <row r="498" spans="1:40" x14ac:dyDescent="0.25">
      <c r="A498" s="499"/>
      <c r="I498" s="410">
        <f t="shared" si="297"/>
        <v>0</v>
      </c>
      <c r="L498" s="288"/>
      <c r="M498" s="288"/>
      <c r="Q498" s="499">
        <f t="shared" si="279"/>
        <v>0</v>
      </c>
      <c r="R498" s="14">
        <f t="shared" si="265"/>
        <v>0</v>
      </c>
      <c r="S498" s="492">
        <f t="shared" si="288"/>
        <v>3.7499999999999999E-2</v>
      </c>
      <c r="T498" s="14">
        <f t="shared" si="280"/>
        <v>0</v>
      </c>
      <c r="U498" s="288">
        <f t="shared" si="268"/>
        <v>0</v>
      </c>
      <c r="V498" s="288">
        <f t="shared" si="281"/>
        <v>0</v>
      </c>
      <c r="W498" s="14">
        <f t="shared" si="261"/>
        <v>0</v>
      </c>
      <c r="X498" s="288">
        <f t="shared" si="262"/>
        <v>0</v>
      </c>
      <c r="Y498" s="288">
        <f t="shared" si="269"/>
        <v>0</v>
      </c>
      <c r="Z498" s="288">
        <f t="shared" si="270"/>
        <v>357260.75999999995</v>
      </c>
      <c r="AA498" s="288">
        <f t="shared" si="271"/>
        <v>179976.28000000012</v>
      </c>
      <c r="AB498" s="288">
        <f t="shared" si="282"/>
        <v>354375</v>
      </c>
      <c r="AC498" s="410">
        <f t="shared" si="298"/>
        <v>0</v>
      </c>
      <c r="AD498" s="510">
        <f t="shared" si="290"/>
        <v>290212.1599999998</v>
      </c>
      <c r="AE498" s="510">
        <f t="shared" si="263"/>
        <v>354375</v>
      </c>
      <c r="AF498" s="510">
        <f t="shared" si="264"/>
        <v>644587.1599999998</v>
      </c>
      <c r="AG498" s="510"/>
      <c r="AH498" s="510"/>
      <c r="AI498" s="510"/>
      <c r="AL498" s="510"/>
    </row>
    <row r="499" spans="1:40" x14ac:dyDescent="0.25">
      <c r="A499" s="499"/>
      <c r="I499" s="410">
        <f t="shared" si="297"/>
        <v>0</v>
      </c>
      <c r="L499" s="288"/>
      <c r="M499" s="288"/>
      <c r="Q499" s="499">
        <f t="shared" si="279"/>
        <v>0</v>
      </c>
      <c r="R499" s="14">
        <f t="shared" si="265"/>
        <v>0</v>
      </c>
      <c r="S499" s="492">
        <f t="shared" si="288"/>
        <v>3.7499999999999999E-2</v>
      </c>
      <c r="T499" s="14">
        <f t="shared" si="280"/>
        <v>0</v>
      </c>
      <c r="U499" s="288">
        <f t="shared" si="268"/>
        <v>0</v>
      </c>
      <c r="V499" s="288">
        <f t="shared" si="281"/>
        <v>0</v>
      </c>
      <c r="W499" s="14">
        <f t="shared" si="261"/>
        <v>0</v>
      </c>
      <c r="X499" s="288">
        <f t="shared" si="262"/>
        <v>0</v>
      </c>
      <c r="Y499" s="288">
        <f t="shared" si="269"/>
        <v>0</v>
      </c>
      <c r="Z499" s="288">
        <f t="shared" si="270"/>
        <v>357260.75999999995</v>
      </c>
      <c r="AA499" s="288">
        <f t="shared" si="271"/>
        <v>179976.28000000012</v>
      </c>
      <c r="AB499" s="288">
        <f t="shared" si="282"/>
        <v>354375</v>
      </c>
      <c r="AC499" s="410">
        <f t="shared" si="298"/>
        <v>0</v>
      </c>
      <c r="AD499" s="510">
        <f t="shared" si="290"/>
        <v>290212.1599999998</v>
      </c>
      <c r="AE499" s="510">
        <f t="shared" si="263"/>
        <v>354375</v>
      </c>
      <c r="AF499" s="510">
        <f t="shared" si="264"/>
        <v>644587.1599999998</v>
      </c>
      <c r="AG499" s="510"/>
      <c r="AH499" s="510"/>
      <c r="AI499" s="510"/>
      <c r="AL499" s="510"/>
    </row>
    <row r="500" spans="1:40" x14ac:dyDescent="0.25">
      <c r="A500" s="499"/>
      <c r="I500" s="410">
        <f t="shared" si="297"/>
        <v>0</v>
      </c>
      <c r="L500" s="288"/>
      <c r="M500" s="288"/>
      <c r="Q500" s="499">
        <f t="shared" si="279"/>
        <v>0</v>
      </c>
      <c r="R500" s="14">
        <f t="shared" si="265"/>
        <v>0</v>
      </c>
      <c r="S500" s="492">
        <f t="shared" si="288"/>
        <v>3.7499999999999999E-2</v>
      </c>
      <c r="T500" s="14">
        <f t="shared" si="280"/>
        <v>0</v>
      </c>
      <c r="U500" s="288">
        <f t="shared" si="268"/>
        <v>0</v>
      </c>
      <c r="V500" s="288">
        <f t="shared" si="281"/>
        <v>0</v>
      </c>
      <c r="W500" s="14">
        <f t="shared" si="261"/>
        <v>0</v>
      </c>
      <c r="X500" s="288">
        <f t="shared" si="262"/>
        <v>0</v>
      </c>
      <c r="Y500" s="288">
        <f t="shared" si="269"/>
        <v>0</v>
      </c>
      <c r="Z500" s="288">
        <f t="shared" si="270"/>
        <v>357260.75999999995</v>
      </c>
      <c r="AA500" s="288">
        <f t="shared" si="271"/>
        <v>179976.28000000012</v>
      </c>
      <c r="AB500" s="288">
        <f t="shared" si="282"/>
        <v>354375</v>
      </c>
      <c r="AC500" s="410">
        <f t="shared" si="298"/>
        <v>0</v>
      </c>
      <c r="AD500" s="510">
        <f t="shared" si="290"/>
        <v>290212.1599999998</v>
      </c>
      <c r="AE500" s="510">
        <f t="shared" si="263"/>
        <v>354375</v>
      </c>
      <c r="AF500" s="510">
        <f t="shared" si="264"/>
        <v>644587.1599999998</v>
      </c>
      <c r="AG500" s="510"/>
      <c r="AH500" s="510"/>
      <c r="AI500" s="510"/>
      <c r="AL500" s="510"/>
    </row>
    <row r="501" spans="1:40" x14ac:dyDescent="0.25">
      <c r="A501" s="499"/>
      <c r="I501" s="410">
        <f t="shared" si="297"/>
        <v>0</v>
      </c>
      <c r="L501" s="288"/>
      <c r="M501" s="288"/>
      <c r="Q501" s="499">
        <f t="shared" si="279"/>
        <v>0</v>
      </c>
      <c r="R501" s="14">
        <f t="shared" si="265"/>
        <v>0</v>
      </c>
      <c r="S501" s="492">
        <f t="shared" si="288"/>
        <v>3.7499999999999999E-2</v>
      </c>
      <c r="T501" s="14">
        <f t="shared" si="280"/>
        <v>0</v>
      </c>
      <c r="U501" s="288">
        <f t="shared" si="268"/>
        <v>0</v>
      </c>
      <c r="V501" s="288">
        <f t="shared" si="281"/>
        <v>0</v>
      </c>
      <c r="W501" s="14">
        <f t="shared" si="261"/>
        <v>0</v>
      </c>
      <c r="X501" s="288">
        <f t="shared" si="262"/>
        <v>0</v>
      </c>
      <c r="Y501" s="288">
        <f t="shared" si="269"/>
        <v>0</v>
      </c>
      <c r="Z501" s="288">
        <f t="shared" si="270"/>
        <v>357260.75999999995</v>
      </c>
      <c r="AA501" s="288">
        <f t="shared" si="271"/>
        <v>179976.28000000012</v>
      </c>
      <c r="AB501" s="288">
        <f t="shared" si="282"/>
        <v>354375</v>
      </c>
      <c r="AC501" s="410">
        <f t="shared" si="298"/>
        <v>0</v>
      </c>
      <c r="AD501" s="510">
        <f t="shared" si="290"/>
        <v>290212.1599999998</v>
      </c>
      <c r="AE501" s="510">
        <f t="shared" si="263"/>
        <v>354375</v>
      </c>
      <c r="AF501" s="510">
        <f t="shared" si="264"/>
        <v>644587.1599999998</v>
      </c>
      <c r="AG501" s="510"/>
      <c r="AH501" s="510"/>
      <c r="AI501" s="510"/>
      <c r="AL501" s="510"/>
    </row>
    <row r="502" spans="1:40" x14ac:dyDescent="0.25">
      <c r="A502" s="499"/>
      <c r="I502" s="410">
        <f t="shared" si="297"/>
        <v>0</v>
      </c>
      <c r="L502" s="288"/>
      <c r="M502" s="288"/>
      <c r="Q502" s="499">
        <f t="shared" si="279"/>
        <v>0</v>
      </c>
      <c r="R502" s="14">
        <f t="shared" si="265"/>
        <v>0</v>
      </c>
      <c r="S502" s="492">
        <f t="shared" si="288"/>
        <v>3.7499999999999999E-2</v>
      </c>
      <c r="T502" s="14">
        <f t="shared" si="280"/>
        <v>0</v>
      </c>
      <c r="U502" s="288">
        <f t="shared" si="268"/>
        <v>0</v>
      </c>
      <c r="V502" s="288">
        <f t="shared" si="281"/>
        <v>0</v>
      </c>
      <c r="W502" s="14">
        <f t="shared" si="261"/>
        <v>0</v>
      </c>
      <c r="X502" s="288">
        <f t="shared" si="262"/>
        <v>0</v>
      </c>
      <c r="Y502" s="288">
        <f t="shared" si="269"/>
        <v>0</v>
      </c>
      <c r="Z502" s="288">
        <f t="shared" si="270"/>
        <v>357260.75999999995</v>
      </c>
      <c r="AA502" s="288">
        <f t="shared" si="271"/>
        <v>179976.28000000012</v>
      </c>
      <c r="AB502" s="288">
        <f t="shared" si="282"/>
        <v>354375</v>
      </c>
      <c r="AC502" s="410">
        <f t="shared" si="298"/>
        <v>0</v>
      </c>
      <c r="AD502" s="510">
        <f t="shared" si="290"/>
        <v>290212.1599999998</v>
      </c>
      <c r="AE502" s="510">
        <f t="shared" si="263"/>
        <v>354375</v>
      </c>
      <c r="AF502" s="510">
        <f t="shared" si="264"/>
        <v>644587.1599999998</v>
      </c>
      <c r="AG502" s="510"/>
      <c r="AH502" s="510"/>
      <c r="AI502" s="510"/>
      <c r="AL502" s="510"/>
    </row>
    <row r="503" spans="1:40" x14ac:dyDescent="0.25">
      <c r="A503" s="499"/>
      <c r="I503" s="410">
        <f t="shared" si="297"/>
        <v>0</v>
      </c>
      <c r="L503" s="288"/>
      <c r="M503" s="288"/>
      <c r="Q503" s="499">
        <f t="shared" si="279"/>
        <v>0</v>
      </c>
      <c r="R503" s="14">
        <f t="shared" si="265"/>
        <v>0</v>
      </c>
      <c r="S503" s="492">
        <f t="shared" si="288"/>
        <v>3.7499999999999999E-2</v>
      </c>
      <c r="T503" s="14">
        <f t="shared" si="280"/>
        <v>0</v>
      </c>
      <c r="U503" s="288">
        <f t="shared" si="268"/>
        <v>0</v>
      </c>
      <c r="V503" s="288">
        <f t="shared" si="281"/>
        <v>0</v>
      </c>
      <c r="W503" s="14">
        <f t="shared" si="261"/>
        <v>0</v>
      </c>
      <c r="X503" s="288">
        <f t="shared" si="262"/>
        <v>0</v>
      </c>
      <c r="Y503" s="288">
        <f t="shared" si="269"/>
        <v>0</v>
      </c>
      <c r="Z503" s="288">
        <f t="shared" si="270"/>
        <v>357260.75999999995</v>
      </c>
      <c r="AA503" s="288">
        <f t="shared" si="271"/>
        <v>179976.28000000012</v>
      </c>
      <c r="AB503" s="288">
        <f t="shared" si="282"/>
        <v>354375</v>
      </c>
      <c r="AC503" s="410">
        <f t="shared" si="298"/>
        <v>0</v>
      </c>
      <c r="AD503" s="510">
        <f t="shared" si="290"/>
        <v>290212.1599999998</v>
      </c>
      <c r="AE503" s="510">
        <f t="shared" si="263"/>
        <v>354375</v>
      </c>
      <c r="AF503" s="510">
        <f t="shared" si="264"/>
        <v>644587.1599999998</v>
      </c>
      <c r="AG503" s="510"/>
      <c r="AH503" s="510"/>
      <c r="AI503" s="510"/>
      <c r="AL503" s="510"/>
    </row>
    <row r="504" spans="1:40" x14ac:dyDescent="0.25">
      <c r="A504" s="499"/>
      <c r="I504" s="410">
        <f t="shared" si="297"/>
        <v>0</v>
      </c>
      <c r="L504" s="288"/>
      <c r="M504" s="288"/>
      <c r="Q504" s="499">
        <f t="shared" si="279"/>
        <v>0</v>
      </c>
      <c r="R504" s="14">
        <f t="shared" si="265"/>
        <v>0</v>
      </c>
      <c r="S504" s="492">
        <f t="shared" si="288"/>
        <v>3.7499999999999999E-2</v>
      </c>
      <c r="T504" s="14">
        <f t="shared" si="280"/>
        <v>0</v>
      </c>
      <c r="U504" s="288">
        <f t="shared" si="268"/>
        <v>0</v>
      </c>
      <c r="V504" s="288">
        <f t="shared" si="281"/>
        <v>0</v>
      </c>
      <c r="W504" s="14">
        <f t="shared" si="261"/>
        <v>0</v>
      </c>
      <c r="X504" s="288">
        <f t="shared" si="262"/>
        <v>0</v>
      </c>
      <c r="Y504" s="288">
        <f t="shared" si="269"/>
        <v>0</v>
      </c>
      <c r="Z504" s="288">
        <f t="shared" si="270"/>
        <v>357260.75999999995</v>
      </c>
      <c r="AA504" s="288">
        <f t="shared" si="271"/>
        <v>179976.28000000012</v>
      </c>
      <c r="AB504" s="288">
        <f t="shared" si="282"/>
        <v>354375</v>
      </c>
      <c r="AC504" s="410">
        <f t="shared" si="298"/>
        <v>0</v>
      </c>
      <c r="AD504" s="510">
        <f t="shared" si="290"/>
        <v>290212.1599999998</v>
      </c>
      <c r="AE504" s="510">
        <f t="shared" si="263"/>
        <v>354375</v>
      </c>
      <c r="AF504" s="510">
        <f t="shared" si="264"/>
        <v>644587.1599999998</v>
      </c>
      <c r="AG504" s="510"/>
      <c r="AH504" s="510"/>
      <c r="AI504" s="510"/>
      <c r="AL504" s="510"/>
    </row>
    <row r="505" spans="1:40" x14ac:dyDescent="0.25">
      <c r="A505" s="499"/>
      <c r="I505" s="410">
        <f t="shared" si="297"/>
        <v>0</v>
      </c>
      <c r="L505" s="288"/>
      <c r="M505" s="288"/>
      <c r="Q505" s="499">
        <f t="shared" si="279"/>
        <v>0</v>
      </c>
      <c r="R505" s="14">
        <f t="shared" si="265"/>
        <v>0</v>
      </c>
      <c r="S505" s="492">
        <f t="shared" si="288"/>
        <v>3.7499999999999999E-2</v>
      </c>
      <c r="T505" s="14">
        <f t="shared" si="280"/>
        <v>0</v>
      </c>
      <c r="U505" s="288">
        <f t="shared" si="268"/>
        <v>0</v>
      </c>
      <c r="V505" s="288">
        <f t="shared" si="281"/>
        <v>0</v>
      </c>
      <c r="W505" s="14">
        <f t="shared" si="261"/>
        <v>0</v>
      </c>
      <c r="X505" s="288">
        <f t="shared" si="262"/>
        <v>0</v>
      </c>
      <c r="Y505" s="288">
        <f t="shared" si="269"/>
        <v>0</v>
      </c>
      <c r="Z505" s="288">
        <f t="shared" si="270"/>
        <v>357260.75999999995</v>
      </c>
      <c r="AA505" s="288">
        <f t="shared" si="271"/>
        <v>179976.28000000012</v>
      </c>
      <c r="AB505" s="288">
        <f t="shared" si="282"/>
        <v>354375</v>
      </c>
      <c r="AC505" s="410">
        <f t="shared" si="298"/>
        <v>0</v>
      </c>
      <c r="AD505" s="510">
        <f t="shared" si="290"/>
        <v>290212.1599999998</v>
      </c>
      <c r="AE505" s="510">
        <f t="shared" si="263"/>
        <v>354375</v>
      </c>
      <c r="AF505" s="510">
        <f t="shared" si="264"/>
        <v>644587.1599999998</v>
      </c>
      <c r="AG505" s="510"/>
      <c r="AH505" s="510"/>
      <c r="AI505" s="510"/>
      <c r="AL505" s="510"/>
    </row>
    <row r="506" spans="1:40" ht="15.75" thickBot="1" x14ac:dyDescent="0.3">
      <c r="A506" s="502"/>
      <c r="B506" s="343"/>
      <c r="C506" s="21"/>
      <c r="D506" s="21"/>
      <c r="E506" s="21"/>
      <c r="F506" s="343"/>
      <c r="G506" s="343"/>
      <c r="H506" s="343"/>
      <c r="I506" s="410">
        <f t="shared" si="297"/>
        <v>0</v>
      </c>
      <c r="J506" s="343"/>
      <c r="K506" s="21"/>
      <c r="L506" s="343"/>
      <c r="M506" s="343"/>
      <c r="N506" s="343"/>
      <c r="O506" s="343"/>
      <c r="P506" s="343"/>
      <c r="Q506" s="502">
        <f t="shared" si="279"/>
        <v>0</v>
      </c>
      <c r="R506" s="14">
        <f t="shared" si="265"/>
        <v>0</v>
      </c>
      <c r="S506" s="492">
        <f t="shared" si="288"/>
        <v>3.7499999999999999E-2</v>
      </c>
      <c r="T506" s="21">
        <f t="shared" si="280"/>
        <v>0</v>
      </c>
      <c r="U506" s="343">
        <f t="shared" si="268"/>
        <v>0</v>
      </c>
      <c r="V506" s="343">
        <f t="shared" si="281"/>
        <v>0</v>
      </c>
      <c r="W506" s="21">
        <f t="shared" si="261"/>
        <v>0</v>
      </c>
      <c r="X506" s="343">
        <f t="shared" si="262"/>
        <v>0</v>
      </c>
      <c r="Y506" s="343">
        <f t="shared" si="269"/>
        <v>0</v>
      </c>
      <c r="Z506" s="343">
        <f t="shared" si="270"/>
        <v>357260.75999999995</v>
      </c>
      <c r="AA506" s="343">
        <f t="shared" si="271"/>
        <v>179976.28000000012</v>
      </c>
      <c r="AB506" s="343">
        <f t="shared" si="282"/>
        <v>354375</v>
      </c>
      <c r="AC506" s="410">
        <f t="shared" si="298"/>
        <v>0</v>
      </c>
      <c r="AD506" s="510">
        <f t="shared" si="290"/>
        <v>290212.1599999998</v>
      </c>
      <c r="AE506" s="510">
        <f t="shared" si="263"/>
        <v>354375</v>
      </c>
      <c r="AF506" s="510">
        <f t="shared" si="264"/>
        <v>644587.1599999998</v>
      </c>
      <c r="AG506" s="510"/>
      <c r="AH506" s="510"/>
      <c r="AI506" s="510"/>
      <c r="AJ506" s="21"/>
      <c r="AK506" s="21"/>
      <c r="AL506" s="510"/>
      <c r="AM506" s="343"/>
      <c r="AN506" s="21"/>
    </row>
    <row r="507" spans="1:40" x14ac:dyDescent="0.25">
      <c r="A507" s="499"/>
      <c r="I507" s="410">
        <f t="shared" si="297"/>
        <v>0</v>
      </c>
      <c r="L507" s="288"/>
      <c r="M507" s="288"/>
      <c r="Q507" s="499">
        <f t="shared" si="279"/>
        <v>0</v>
      </c>
      <c r="R507" s="14">
        <f t="shared" si="265"/>
        <v>0</v>
      </c>
      <c r="S507" s="492">
        <f t="shared" si="288"/>
        <v>3.7499999999999999E-2</v>
      </c>
      <c r="T507" s="14">
        <f t="shared" si="280"/>
        <v>0</v>
      </c>
      <c r="U507" s="288">
        <f t="shared" si="268"/>
        <v>0</v>
      </c>
      <c r="V507" s="288">
        <f t="shared" si="281"/>
        <v>0</v>
      </c>
      <c r="W507" s="14">
        <f t="shared" si="261"/>
        <v>0</v>
      </c>
      <c r="X507" s="288">
        <f t="shared" si="262"/>
        <v>0</v>
      </c>
      <c r="Y507" s="288">
        <f t="shared" si="269"/>
        <v>0</v>
      </c>
      <c r="Z507" s="288">
        <f t="shared" si="270"/>
        <v>357260.75999999995</v>
      </c>
      <c r="AA507" s="288">
        <f t="shared" si="271"/>
        <v>179976.28000000012</v>
      </c>
      <c r="AB507" s="288">
        <f t="shared" si="282"/>
        <v>354375</v>
      </c>
      <c r="AC507" s="410">
        <f t="shared" si="298"/>
        <v>0</v>
      </c>
      <c r="AD507" s="510">
        <f t="shared" si="290"/>
        <v>290212.1599999998</v>
      </c>
      <c r="AE507" s="510">
        <f t="shared" si="263"/>
        <v>354375</v>
      </c>
      <c r="AF507" s="510">
        <f t="shared" si="264"/>
        <v>644587.1599999998</v>
      </c>
      <c r="AG507" s="510"/>
      <c r="AH507" s="510"/>
      <c r="AI507" s="510"/>
      <c r="AL507" s="510"/>
    </row>
    <row r="508" spans="1:40" x14ac:dyDescent="0.25">
      <c r="A508" s="499"/>
      <c r="I508" s="410">
        <f t="shared" si="297"/>
        <v>0</v>
      </c>
      <c r="L508" s="288"/>
      <c r="M508" s="288"/>
      <c r="Q508" s="499">
        <f t="shared" si="279"/>
        <v>0</v>
      </c>
      <c r="R508" s="14">
        <f t="shared" si="265"/>
        <v>0</v>
      </c>
      <c r="S508" s="492">
        <f t="shared" si="288"/>
        <v>3.7499999999999999E-2</v>
      </c>
      <c r="T508" s="14">
        <f t="shared" si="280"/>
        <v>0</v>
      </c>
      <c r="U508" s="288">
        <f t="shared" si="268"/>
        <v>0</v>
      </c>
      <c r="V508" s="288">
        <f t="shared" si="281"/>
        <v>0</v>
      </c>
      <c r="W508" s="14">
        <f t="shared" ref="W508:W543" si="299">+W507</f>
        <v>0</v>
      </c>
      <c r="X508" s="288">
        <f t="shared" ref="X508:X543" si="300">+X507</f>
        <v>0</v>
      </c>
      <c r="Y508" s="288">
        <f t="shared" si="269"/>
        <v>0</v>
      </c>
      <c r="Z508" s="288">
        <f t="shared" si="270"/>
        <v>357260.75999999995</v>
      </c>
      <c r="AA508" s="288">
        <f t="shared" si="271"/>
        <v>179976.28000000012</v>
      </c>
      <c r="AB508" s="288">
        <f t="shared" si="282"/>
        <v>354375</v>
      </c>
      <c r="AC508" s="410">
        <f t="shared" si="298"/>
        <v>0</v>
      </c>
      <c r="AD508" s="510">
        <f t="shared" si="290"/>
        <v>290212.1599999998</v>
      </c>
      <c r="AE508" s="510">
        <f t="shared" ref="AE508:AE543" si="301">AB508-H508</f>
        <v>354375</v>
      </c>
      <c r="AF508" s="510">
        <f t="shared" ref="AF508:AF543" si="302">SUM(AD508:AE508)</f>
        <v>644587.1599999998</v>
      </c>
      <c r="AG508" s="510"/>
      <c r="AH508" s="510"/>
      <c r="AI508" s="510"/>
      <c r="AL508" s="510"/>
    </row>
    <row r="509" spans="1:40" x14ac:dyDescent="0.25">
      <c r="A509" s="499"/>
      <c r="I509" s="410">
        <f t="shared" si="297"/>
        <v>0</v>
      </c>
      <c r="L509" s="288"/>
      <c r="M509" s="288"/>
      <c r="Q509" s="499">
        <f t="shared" si="279"/>
        <v>0</v>
      </c>
      <c r="R509" s="14">
        <f t="shared" ref="R509:R543" si="303">IF(Q509&gt;$J$10,IF(+AB508&lt;0,0,+AB508),0)</f>
        <v>0</v>
      </c>
      <c r="S509" s="492">
        <f t="shared" si="288"/>
        <v>3.7499999999999999E-2</v>
      </c>
      <c r="T509" s="14">
        <f t="shared" si="280"/>
        <v>0</v>
      </c>
      <c r="U509" s="288">
        <f t="shared" si="268"/>
        <v>0</v>
      </c>
      <c r="V509" s="288">
        <f t="shared" si="281"/>
        <v>0</v>
      </c>
      <c r="W509" s="14">
        <f t="shared" si="299"/>
        <v>0</v>
      </c>
      <c r="X509" s="288">
        <f t="shared" si="300"/>
        <v>0</v>
      </c>
      <c r="Y509" s="288">
        <f t="shared" si="269"/>
        <v>0</v>
      </c>
      <c r="Z509" s="288">
        <f t="shared" si="270"/>
        <v>357260.75999999995</v>
      </c>
      <c r="AA509" s="288">
        <f t="shared" si="271"/>
        <v>179976.28000000012</v>
      </c>
      <c r="AB509" s="288">
        <f t="shared" si="282"/>
        <v>354375</v>
      </c>
      <c r="AC509" s="410">
        <f t="shared" si="298"/>
        <v>0</v>
      </c>
      <c r="AD509" s="510">
        <f t="shared" si="290"/>
        <v>290212.1599999998</v>
      </c>
      <c r="AE509" s="510">
        <f t="shared" si="301"/>
        <v>354375</v>
      </c>
      <c r="AF509" s="510">
        <f t="shared" si="302"/>
        <v>644587.1599999998</v>
      </c>
      <c r="AG509" s="510"/>
      <c r="AH509" s="510"/>
      <c r="AI509" s="510"/>
      <c r="AL509" s="510"/>
    </row>
    <row r="510" spans="1:40" x14ac:dyDescent="0.25">
      <c r="A510" s="499"/>
      <c r="I510" s="410">
        <f t="shared" si="297"/>
        <v>0</v>
      </c>
      <c r="L510" s="288"/>
      <c r="M510" s="288"/>
      <c r="Q510" s="499">
        <f t="shared" si="279"/>
        <v>0</v>
      </c>
      <c r="R510" s="14">
        <f t="shared" si="303"/>
        <v>0</v>
      </c>
      <c r="S510" s="492">
        <f t="shared" si="288"/>
        <v>3.7499999999999999E-2</v>
      </c>
      <c r="T510" s="14">
        <f t="shared" si="280"/>
        <v>0</v>
      </c>
      <c r="U510" s="288">
        <f t="shared" ref="U510:U543" si="304">+T510-V510</f>
        <v>0</v>
      </c>
      <c r="V510" s="288">
        <f t="shared" si="281"/>
        <v>0</v>
      </c>
      <c r="W510" s="14">
        <f t="shared" si="299"/>
        <v>0</v>
      </c>
      <c r="X510" s="288">
        <f t="shared" si="300"/>
        <v>0</v>
      </c>
      <c r="Y510" s="288">
        <f t="shared" ref="Y510:Y543" si="305">SUM(U510:X510)</f>
        <v>0</v>
      </c>
      <c r="Z510" s="288">
        <f t="shared" ref="Z510:Z543" si="306">+U510+Z509</f>
        <v>357260.75999999995</v>
      </c>
      <c r="AA510" s="288">
        <f t="shared" ref="AA510:AA543" si="307">+AA509+V510</f>
        <v>179976.28000000012</v>
      </c>
      <c r="AB510" s="288">
        <f t="shared" si="282"/>
        <v>354375</v>
      </c>
      <c r="AC510" s="410">
        <f t="shared" si="298"/>
        <v>0</v>
      </c>
      <c r="AD510" s="510">
        <f t="shared" si="290"/>
        <v>290212.1599999998</v>
      </c>
      <c r="AE510" s="510">
        <f t="shared" si="301"/>
        <v>354375</v>
      </c>
      <c r="AF510" s="510">
        <f t="shared" si="302"/>
        <v>644587.1599999998</v>
      </c>
      <c r="AG510" s="510"/>
      <c r="AH510" s="510"/>
      <c r="AI510" s="510"/>
      <c r="AL510" s="510"/>
    </row>
    <row r="511" spans="1:40" x14ac:dyDescent="0.25">
      <c r="A511" s="499"/>
      <c r="I511" s="410">
        <f t="shared" si="297"/>
        <v>0</v>
      </c>
      <c r="L511" s="288"/>
      <c r="M511" s="288"/>
      <c r="Q511" s="499">
        <f t="shared" si="279"/>
        <v>0</v>
      </c>
      <c r="R511" s="14">
        <f t="shared" si="303"/>
        <v>0</v>
      </c>
      <c r="S511" s="492">
        <f t="shared" si="288"/>
        <v>3.7499999999999999E-2</v>
      </c>
      <c r="T511" s="14">
        <f t="shared" si="280"/>
        <v>0</v>
      </c>
      <c r="U511" s="288">
        <f t="shared" si="304"/>
        <v>0</v>
      </c>
      <c r="V511" s="288">
        <f t="shared" si="281"/>
        <v>0</v>
      </c>
      <c r="W511" s="14">
        <f t="shared" si="299"/>
        <v>0</v>
      </c>
      <c r="X511" s="288">
        <f t="shared" si="300"/>
        <v>0</v>
      </c>
      <c r="Y511" s="288">
        <f t="shared" si="305"/>
        <v>0</v>
      </c>
      <c r="Z511" s="288">
        <f t="shared" si="306"/>
        <v>357260.75999999995</v>
      </c>
      <c r="AA511" s="288">
        <f t="shared" si="307"/>
        <v>179976.28000000012</v>
      </c>
      <c r="AB511" s="288">
        <f t="shared" si="282"/>
        <v>354375</v>
      </c>
      <c r="AC511" s="410">
        <f t="shared" si="298"/>
        <v>0</v>
      </c>
      <c r="AD511" s="510">
        <f t="shared" si="290"/>
        <v>290212.1599999998</v>
      </c>
      <c r="AE511" s="510">
        <f t="shared" si="301"/>
        <v>354375</v>
      </c>
      <c r="AF511" s="510">
        <f t="shared" si="302"/>
        <v>644587.1599999998</v>
      </c>
      <c r="AG511" s="510"/>
      <c r="AH511" s="510"/>
      <c r="AI511" s="510"/>
      <c r="AL511" s="510"/>
    </row>
    <row r="512" spans="1:40" x14ac:dyDescent="0.25">
      <c r="A512" s="499"/>
      <c r="I512" s="410">
        <f t="shared" si="297"/>
        <v>0</v>
      </c>
      <c r="L512" s="288"/>
      <c r="M512" s="288"/>
      <c r="Q512" s="499">
        <f t="shared" si="279"/>
        <v>0</v>
      </c>
      <c r="R512" s="14">
        <f t="shared" si="303"/>
        <v>0</v>
      </c>
      <c r="S512" s="492">
        <f t="shared" si="288"/>
        <v>3.7499999999999999E-2</v>
      </c>
      <c r="T512" s="14">
        <f t="shared" si="280"/>
        <v>0</v>
      </c>
      <c r="U512" s="288">
        <f t="shared" si="304"/>
        <v>0</v>
      </c>
      <c r="V512" s="288">
        <f t="shared" si="281"/>
        <v>0</v>
      </c>
      <c r="W512" s="14">
        <f t="shared" si="299"/>
        <v>0</v>
      </c>
      <c r="X512" s="288">
        <f t="shared" si="300"/>
        <v>0</v>
      </c>
      <c r="Y512" s="288">
        <f t="shared" si="305"/>
        <v>0</v>
      </c>
      <c r="Z512" s="288">
        <f t="shared" si="306"/>
        <v>357260.75999999995</v>
      </c>
      <c r="AA512" s="288">
        <f t="shared" si="307"/>
        <v>179976.28000000012</v>
      </c>
      <c r="AB512" s="288">
        <f t="shared" si="282"/>
        <v>354375</v>
      </c>
      <c r="AC512" s="410">
        <f t="shared" si="298"/>
        <v>0</v>
      </c>
      <c r="AD512" s="510">
        <f t="shared" si="290"/>
        <v>290212.1599999998</v>
      </c>
      <c r="AE512" s="510">
        <f t="shared" si="301"/>
        <v>354375</v>
      </c>
      <c r="AF512" s="510">
        <f t="shared" si="302"/>
        <v>644587.1599999998</v>
      </c>
      <c r="AG512" s="510"/>
      <c r="AH512" s="510"/>
      <c r="AI512" s="510"/>
      <c r="AL512" s="510"/>
    </row>
    <row r="513" spans="1:40" x14ac:dyDescent="0.25">
      <c r="A513" s="499"/>
      <c r="I513" s="410">
        <f t="shared" si="297"/>
        <v>0</v>
      </c>
      <c r="L513" s="288"/>
      <c r="M513" s="288"/>
      <c r="Q513" s="499">
        <f t="shared" si="279"/>
        <v>0</v>
      </c>
      <c r="R513" s="14">
        <f t="shared" si="303"/>
        <v>0</v>
      </c>
      <c r="S513" s="492">
        <f t="shared" si="288"/>
        <v>3.7499999999999999E-2</v>
      </c>
      <c r="T513" s="14">
        <f t="shared" si="280"/>
        <v>0</v>
      </c>
      <c r="U513" s="288">
        <f t="shared" si="304"/>
        <v>0</v>
      </c>
      <c r="V513" s="288">
        <f t="shared" si="281"/>
        <v>0</v>
      </c>
      <c r="W513" s="14">
        <f t="shared" si="299"/>
        <v>0</v>
      </c>
      <c r="X513" s="288">
        <f t="shared" si="300"/>
        <v>0</v>
      </c>
      <c r="Y513" s="288">
        <f t="shared" si="305"/>
        <v>0</v>
      </c>
      <c r="Z513" s="288">
        <f t="shared" si="306"/>
        <v>357260.75999999995</v>
      </c>
      <c r="AA513" s="288">
        <f t="shared" si="307"/>
        <v>179976.28000000012</v>
      </c>
      <c r="AB513" s="288">
        <f t="shared" si="282"/>
        <v>354375</v>
      </c>
      <c r="AC513" s="410">
        <f t="shared" si="298"/>
        <v>0</v>
      </c>
      <c r="AD513" s="510">
        <f t="shared" si="290"/>
        <v>290212.1599999998</v>
      </c>
      <c r="AE513" s="510">
        <f t="shared" si="301"/>
        <v>354375</v>
      </c>
      <c r="AF513" s="510">
        <f t="shared" si="302"/>
        <v>644587.1599999998</v>
      </c>
      <c r="AG513" s="510"/>
      <c r="AH513" s="510"/>
      <c r="AI513" s="510"/>
      <c r="AL513" s="510"/>
    </row>
    <row r="514" spans="1:40" x14ac:dyDescent="0.25">
      <c r="A514" s="499"/>
      <c r="I514" s="410">
        <f t="shared" si="297"/>
        <v>0</v>
      </c>
      <c r="L514" s="288"/>
      <c r="M514" s="288"/>
      <c r="Q514" s="499">
        <f t="shared" si="279"/>
        <v>0</v>
      </c>
      <c r="R514" s="14">
        <f t="shared" si="303"/>
        <v>0</v>
      </c>
      <c r="S514" s="492">
        <f t="shared" si="288"/>
        <v>3.7499999999999999E-2</v>
      </c>
      <c r="T514" s="14">
        <f t="shared" si="280"/>
        <v>0</v>
      </c>
      <c r="U514" s="288">
        <f t="shared" si="304"/>
        <v>0</v>
      </c>
      <c r="V514" s="288">
        <f t="shared" si="281"/>
        <v>0</v>
      </c>
      <c r="W514" s="14">
        <f t="shared" si="299"/>
        <v>0</v>
      </c>
      <c r="X514" s="288">
        <f t="shared" si="300"/>
        <v>0</v>
      </c>
      <c r="Y514" s="288">
        <f t="shared" si="305"/>
        <v>0</v>
      </c>
      <c r="Z514" s="288">
        <f t="shared" si="306"/>
        <v>357260.75999999995</v>
      </c>
      <c r="AA514" s="288">
        <f t="shared" si="307"/>
        <v>179976.28000000012</v>
      </c>
      <c r="AB514" s="288">
        <f t="shared" si="282"/>
        <v>354375</v>
      </c>
      <c r="AC514" s="410">
        <f t="shared" si="298"/>
        <v>0</v>
      </c>
      <c r="AD514" s="510">
        <f t="shared" si="290"/>
        <v>290212.1599999998</v>
      </c>
      <c r="AE514" s="510">
        <f t="shared" si="301"/>
        <v>354375</v>
      </c>
      <c r="AF514" s="510">
        <f t="shared" si="302"/>
        <v>644587.1599999998</v>
      </c>
      <c r="AG514" s="510"/>
      <c r="AH514" s="510"/>
      <c r="AI514" s="510"/>
      <c r="AL514" s="510"/>
    </row>
    <row r="515" spans="1:40" x14ac:dyDescent="0.25">
      <c r="A515" s="499"/>
      <c r="I515" s="410">
        <f t="shared" si="297"/>
        <v>0</v>
      </c>
      <c r="L515" s="288"/>
      <c r="M515" s="288"/>
      <c r="Q515" s="499">
        <f t="shared" si="279"/>
        <v>0</v>
      </c>
      <c r="R515" s="14">
        <f t="shared" si="303"/>
        <v>0</v>
      </c>
      <c r="S515" s="492">
        <f t="shared" si="288"/>
        <v>3.7499999999999999E-2</v>
      </c>
      <c r="T515" s="14">
        <f t="shared" si="280"/>
        <v>0</v>
      </c>
      <c r="U515" s="288">
        <f t="shared" si="304"/>
        <v>0</v>
      </c>
      <c r="V515" s="288">
        <f t="shared" si="281"/>
        <v>0</v>
      </c>
      <c r="W515" s="14">
        <f t="shared" si="299"/>
        <v>0</v>
      </c>
      <c r="X515" s="288">
        <f t="shared" si="300"/>
        <v>0</v>
      </c>
      <c r="Y515" s="288">
        <f t="shared" si="305"/>
        <v>0</v>
      </c>
      <c r="Z515" s="288">
        <f t="shared" si="306"/>
        <v>357260.75999999995</v>
      </c>
      <c r="AA515" s="288">
        <f t="shared" si="307"/>
        <v>179976.28000000012</v>
      </c>
      <c r="AB515" s="288">
        <f t="shared" si="282"/>
        <v>354375</v>
      </c>
      <c r="AC515" s="410">
        <f t="shared" si="298"/>
        <v>0</v>
      </c>
      <c r="AD515" s="510">
        <f t="shared" si="290"/>
        <v>290212.1599999998</v>
      </c>
      <c r="AE515" s="510">
        <f t="shared" si="301"/>
        <v>354375</v>
      </c>
      <c r="AF515" s="510">
        <f t="shared" si="302"/>
        <v>644587.1599999998</v>
      </c>
      <c r="AG515" s="510"/>
      <c r="AH515" s="510"/>
      <c r="AI515" s="510"/>
      <c r="AL515" s="510"/>
    </row>
    <row r="516" spans="1:40" x14ac:dyDescent="0.25">
      <c r="A516" s="499"/>
      <c r="I516" s="410">
        <f t="shared" si="297"/>
        <v>0</v>
      </c>
      <c r="L516" s="288"/>
      <c r="M516" s="288"/>
      <c r="Q516" s="499">
        <f t="shared" si="279"/>
        <v>0</v>
      </c>
      <c r="R516" s="14">
        <f t="shared" si="303"/>
        <v>0</v>
      </c>
      <c r="S516" s="492">
        <f t="shared" si="288"/>
        <v>3.7499999999999999E-2</v>
      </c>
      <c r="T516" s="14">
        <f t="shared" si="280"/>
        <v>0</v>
      </c>
      <c r="U516" s="288">
        <f t="shared" si="304"/>
        <v>0</v>
      </c>
      <c r="V516" s="288">
        <f t="shared" si="281"/>
        <v>0</v>
      </c>
      <c r="W516" s="14">
        <f t="shared" si="299"/>
        <v>0</v>
      </c>
      <c r="X516" s="288">
        <f t="shared" si="300"/>
        <v>0</v>
      </c>
      <c r="Y516" s="288">
        <f t="shared" si="305"/>
        <v>0</v>
      </c>
      <c r="Z516" s="288">
        <f t="shared" si="306"/>
        <v>357260.75999999995</v>
      </c>
      <c r="AA516" s="288">
        <f t="shared" si="307"/>
        <v>179976.28000000012</v>
      </c>
      <c r="AB516" s="288">
        <f t="shared" si="282"/>
        <v>354375</v>
      </c>
      <c r="AC516" s="410">
        <f t="shared" si="298"/>
        <v>0</v>
      </c>
      <c r="AD516" s="510">
        <f t="shared" si="290"/>
        <v>290212.1599999998</v>
      </c>
      <c r="AE516" s="510">
        <f t="shared" si="301"/>
        <v>354375</v>
      </c>
      <c r="AF516" s="510">
        <f t="shared" si="302"/>
        <v>644587.1599999998</v>
      </c>
      <c r="AG516" s="510"/>
      <c r="AH516" s="510"/>
      <c r="AI516" s="510"/>
      <c r="AL516" s="510"/>
    </row>
    <row r="517" spans="1:40" x14ac:dyDescent="0.25">
      <c r="A517" s="499"/>
      <c r="I517" s="410">
        <f t="shared" si="297"/>
        <v>0</v>
      </c>
      <c r="L517" s="288"/>
      <c r="M517" s="288"/>
      <c r="Q517" s="499">
        <f t="shared" si="279"/>
        <v>0</v>
      </c>
      <c r="R517" s="14">
        <f t="shared" si="303"/>
        <v>0</v>
      </c>
      <c r="S517" s="492">
        <f t="shared" si="288"/>
        <v>3.7499999999999999E-2</v>
      </c>
      <c r="T517" s="14">
        <f t="shared" si="280"/>
        <v>0</v>
      </c>
      <c r="U517" s="288">
        <f t="shared" si="304"/>
        <v>0</v>
      </c>
      <c r="V517" s="288">
        <f t="shared" si="281"/>
        <v>0</v>
      </c>
      <c r="W517" s="14">
        <f t="shared" si="299"/>
        <v>0</v>
      </c>
      <c r="X517" s="288">
        <f t="shared" si="300"/>
        <v>0</v>
      </c>
      <c r="Y517" s="288">
        <f t="shared" si="305"/>
        <v>0</v>
      </c>
      <c r="Z517" s="288">
        <f t="shared" si="306"/>
        <v>357260.75999999995</v>
      </c>
      <c r="AA517" s="288">
        <f t="shared" si="307"/>
        <v>179976.28000000012</v>
      </c>
      <c r="AB517" s="288">
        <f t="shared" si="282"/>
        <v>354375</v>
      </c>
      <c r="AC517" s="410">
        <f t="shared" si="298"/>
        <v>0</v>
      </c>
      <c r="AD517" s="510">
        <f t="shared" si="290"/>
        <v>290212.1599999998</v>
      </c>
      <c r="AE517" s="510">
        <f t="shared" si="301"/>
        <v>354375</v>
      </c>
      <c r="AF517" s="510">
        <f t="shared" si="302"/>
        <v>644587.1599999998</v>
      </c>
      <c r="AG517" s="510"/>
      <c r="AH517" s="510"/>
      <c r="AI517" s="510"/>
      <c r="AL517" s="510"/>
    </row>
    <row r="518" spans="1:40" ht="15.75" thickBot="1" x14ac:dyDescent="0.3">
      <c r="A518" s="502"/>
      <c r="B518" s="343"/>
      <c r="C518" s="21"/>
      <c r="D518" s="21"/>
      <c r="E518" s="21"/>
      <c r="F518" s="343"/>
      <c r="G518" s="343"/>
      <c r="H518" s="343"/>
      <c r="I518" s="410">
        <f t="shared" si="297"/>
        <v>0</v>
      </c>
      <c r="J518" s="343"/>
      <c r="K518" s="21"/>
      <c r="L518" s="343"/>
      <c r="M518" s="343"/>
      <c r="N518" s="343"/>
      <c r="O518" s="343"/>
      <c r="P518" s="343"/>
      <c r="Q518" s="502">
        <f t="shared" si="279"/>
        <v>0</v>
      </c>
      <c r="R518" s="14">
        <f t="shared" si="303"/>
        <v>0</v>
      </c>
      <c r="S518" s="492">
        <f t="shared" si="288"/>
        <v>3.7499999999999999E-2</v>
      </c>
      <c r="T518" s="21">
        <f t="shared" si="280"/>
        <v>0</v>
      </c>
      <c r="U518" s="343">
        <f t="shared" si="304"/>
        <v>0</v>
      </c>
      <c r="V518" s="343">
        <f t="shared" si="281"/>
        <v>0</v>
      </c>
      <c r="W518" s="21">
        <f t="shared" si="299"/>
        <v>0</v>
      </c>
      <c r="X518" s="343">
        <f t="shared" si="300"/>
        <v>0</v>
      </c>
      <c r="Y518" s="343">
        <f t="shared" si="305"/>
        <v>0</v>
      </c>
      <c r="Z518" s="343">
        <f t="shared" si="306"/>
        <v>357260.75999999995</v>
      </c>
      <c r="AA518" s="343">
        <f t="shared" si="307"/>
        <v>179976.28000000012</v>
      </c>
      <c r="AB518" s="343">
        <f t="shared" si="282"/>
        <v>354375</v>
      </c>
      <c r="AC518" s="410">
        <f t="shared" si="298"/>
        <v>0</v>
      </c>
      <c r="AD518" s="510">
        <f t="shared" si="290"/>
        <v>290212.1599999998</v>
      </c>
      <c r="AE518" s="510">
        <f t="shared" si="301"/>
        <v>354375</v>
      </c>
      <c r="AF518" s="510">
        <f t="shared" si="302"/>
        <v>644587.1599999998</v>
      </c>
      <c r="AG518" s="510"/>
      <c r="AH518" s="510"/>
      <c r="AI518" s="510"/>
      <c r="AJ518" s="21"/>
      <c r="AK518" s="21"/>
      <c r="AL518" s="510"/>
      <c r="AM518" s="343"/>
      <c r="AN518" s="21"/>
    </row>
    <row r="519" spans="1:40" x14ac:dyDescent="0.25">
      <c r="A519" s="499"/>
      <c r="I519" s="410">
        <f t="shared" si="297"/>
        <v>0</v>
      </c>
      <c r="L519" s="288"/>
      <c r="M519" s="288"/>
      <c r="Q519" s="499">
        <f t="shared" si="279"/>
        <v>0</v>
      </c>
      <c r="R519" s="14">
        <f t="shared" si="303"/>
        <v>0</v>
      </c>
      <c r="S519" s="492">
        <f t="shared" si="288"/>
        <v>3.7499999999999999E-2</v>
      </c>
      <c r="T519" s="14">
        <f t="shared" si="280"/>
        <v>0</v>
      </c>
      <c r="U519" s="288">
        <f t="shared" si="304"/>
        <v>0</v>
      </c>
      <c r="V519" s="288">
        <f t="shared" si="281"/>
        <v>0</v>
      </c>
      <c r="W519" s="14">
        <f t="shared" si="299"/>
        <v>0</v>
      </c>
      <c r="X519" s="288">
        <f t="shared" si="300"/>
        <v>0</v>
      </c>
      <c r="Y519" s="288">
        <f t="shared" si="305"/>
        <v>0</v>
      </c>
      <c r="Z519" s="288">
        <f t="shared" si="306"/>
        <v>357260.75999999995</v>
      </c>
      <c r="AA519" s="288">
        <f t="shared" si="307"/>
        <v>179976.28000000012</v>
      </c>
      <c r="AB519" s="288">
        <f t="shared" si="282"/>
        <v>354375</v>
      </c>
      <c r="AC519" s="410">
        <f t="shared" si="298"/>
        <v>0</v>
      </c>
      <c r="AD519" s="510">
        <f t="shared" si="290"/>
        <v>290212.1599999998</v>
      </c>
      <c r="AE519" s="510">
        <f t="shared" si="301"/>
        <v>354375</v>
      </c>
      <c r="AF519" s="510">
        <f t="shared" si="302"/>
        <v>644587.1599999998</v>
      </c>
      <c r="AG519" s="510"/>
      <c r="AH519" s="510"/>
      <c r="AI519" s="510"/>
      <c r="AL519" s="510"/>
    </row>
    <row r="520" spans="1:40" x14ac:dyDescent="0.25">
      <c r="A520" s="499"/>
      <c r="I520" s="410">
        <f t="shared" si="297"/>
        <v>0</v>
      </c>
      <c r="L520" s="288"/>
      <c r="M520" s="288"/>
      <c r="Q520" s="499">
        <f t="shared" si="279"/>
        <v>0</v>
      </c>
      <c r="R520" s="14">
        <f t="shared" si="303"/>
        <v>0</v>
      </c>
      <c r="S520" s="492">
        <f t="shared" si="288"/>
        <v>3.7499999999999999E-2</v>
      </c>
      <c r="T520" s="14">
        <f t="shared" si="280"/>
        <v>0</v>
      </c>
      <c r="U520" s="288">
        <f t="shared" si="304"/>
        <v>0</v>
      </c>
      <c r="V520" s="288">
        <f t="shared" si="281"/>
        <v>0</v>
      </c>
      <c r="W520" s="14">
        <f t="shared" si="299"/>
        <v>0</v>
      </c>
      <c r="X520" s="288">
        <f t="shared" si="300"/>
        <v>0</v>
      </c>
      <c r="Y520" s="288">
        <f t="shared" si="305"/>
        <v>0</v>
      </c>
      <c r="Z520" s="288">
        <f t="shared" si="306"/>
        <v>357260.75999999995</v>
      </c>
      <c r="AA520" s="288">
        <f t="shared" si="307"/>
        <v>179976.28000000012</v>
      </c>
      <c r="AB520" s="288">
        <f t="shared" si="282"/>
        <v>354375</v>
      </c>
      <c r="AC520" s="410">
        <f t="shared" si="298"/>
        <v>0</v>
      </c>
      <c r="AD520" s="510">
        <f t="shared" si="290"/>
        <v>290212.1599999998</v>
      </c>
      <c r="AE520" s="510">
        <f t="shared" si="301"/>
        <v>354375</v>
      </c>
      <c r="AF520" s="510">
        <f t="shared" si="302"/>
        <v>644587.1599999998</v>
      </c>
      <c r="AG520" s="510"/>
      <c r="AH520" s="510"/>
      <c r="AI520" s="510"/>
      <c r="AL520" s="510"/>
    </row>
    <row r="521" spans="1:40" x14ac:dyDescent="0.25">
      <c r="A521" s="499"/>
      <c r="I521" s="410">
        <f t="shared" si="297"/>
        <v>0</v>
      </c>
      <c r="L521" s="288"/>
      <c r="M521" s="288"/>
      <c r="Q521" s="499">
        <f t="shared" si="279"/>
        <v>0</v>
      </c>
      <c r="R521" s="14">
        <f t="shared" si="303"/>
        <v>0</v>
      </c>
      <c r="S521" s="492">
        <f t="shared" si="288"/>
        <v>3.7499999999999999E-2</v>
      </c>
      <c r="T521" s="14">
        <f t="shared" si="280"/>
        <v>0</v>
      </c>
      <c r="U521" s="288">
        <f t="shared" si="304"/>
        <v>0</v>
      </c>
      <c r="V521" s="288">
        <f t="shared" si="281"/>
        <v>0</v>
      </c>
      <c r="W521" s="14">
        <f t="shared" si="299"/>
        <v>0</v>
      </c>
      <c r="X521" s="288">
        <f t="shared" si="300"/>
        <v>0</v>
      </c>
      <c r="Y521" s="288">
        <f t="shared" si="305"/>
        <v>0</v>
      </c>
      <c r="Z521" s="288">
        <f t="shared" si="306"/>
        <v>357260.75999999995</v>
      </c>
      <c r="AA521" s="288">
        <f t="shared" si="307"/>
        <v>179976.28000000012</v>
      </c>
      <c r="AB521" s="288">
        <f t="shared" si="282"/>
        <v>354375</v>
      </c>
      <c r="AC521" s="410">
        <f t="shared" si="298"/>
        <v>0</v>
      </c>
      <c r="AD521" s="510">
        <f t="shared" si="290"/>
        <v>290212.1599999998</v>
      </c>
      <c r="AE521" s="510">
        <f t="shared" si="301"/>
        <v>354375</v>
      </c>
      <c r="AF521" s="510">
        <f t="shared" si="302"/>
        <v>644587.1599999998</v>
      </c>
      <c r="AG521" s="510"/>
      <c r="AH521" s="510"/>
      <c r="AI521" s="510"/>
      <c r="AL521" s="510"/>
    </row>
    <row r="522" spans="1:40" x14ac:dyDescent="0.25">
      <c r="A522" s="499"/>
      <c r="I522" s="410">
        <f t="shared" si="297"/>
        <v>0</v>
      </c>
      <c r="L522" s="288"/>
      <c r="M522" s="288"/>
      <c r="Q522" s="499">
        <f t="shared" si="279"/>
        <v>0</v>
      </c>
      <c r="R522" s="14">
        <f t="shared" si="303"/>
        <v>0</v>
      </c>
      <c r="S522" s="492">
        <f t="shared" si="288"/>
        <v>3.7499999999999999E-2</v>
      </c>
      <c r="T522" s="14">
        <f t="shared" si="280"/>
        <v>0</v>
      </c>
      <c r="U522" s="288">
        <f t="shared" si="304"/>
        <v>0</v>
      </c>
      <c r="V522" s="288">
        <f t="shared" si="281"/>
        <v>0</v>
      </c>
      <c r="W522" s="14">
        <f t="shared" si="299"/>
        <v>0</v>
      </c>
      <c r="X522" s="288">
        <f t="shared" si="300"/>
        <v>0</v>
      </c>
      <c r="Y522" s="288">
        <f t="shared" si="305"/>
        <v>0</v>
      </c>
      <c r="Z522" s="288">
        <f t="shared" si="306"/>
        <v>357260.75999999995</v>
      </c>
      <c r="AA522" s="288">
        <f t="shared" si="307"/>
        <v>179976.28000000012</v>
      </c>
      <c r="AB522" s="288">
        <f t="shared" si="282"/>
        <v>354375</v>
      </c>
      <c r="AC522" s="410">
        <f t="shared" si="298"/>
        <v>0</v>
      </c>
      <c r="AD522" s="510">
        <f t="shared" si="290"/>
        <v>290212.1599999998</v>
      </c>
      <c r="AE522" s="510">
        <f t="shared" si="301"/>
        <v>354375</v>
      </c>
      <c r="AF522" s="510">
        <f t="shared" si="302"/>
        <v>644587.1599999998</v>
      </c>
      <c r="AG522" s="510"/>
      <c r="AH522" s="510"/>
      <c r="AI522" s="510"/>
      <c r="AL522" s="510"/>
    </row>
    <row r="523" spans="1:40" x14ac:dyDescent="0.25">
      <c r="A523" s="499"/>
      <c r="I523" s="410">
        <f t="shared" si="297"/>
        <v>0</v>
      </c>
      <c r="L523" s="288"/>
      <c r="M523" s="288"/>
      <c r="Q523" s="499">
        <f t="shared" si="279"/>
        <v>0</v>
      </c>
      <c r="R523" s="14">
        <f t="shared" si="303"/>
        <v>0</v>
      </c>
      <c r="S523" s="492">
        <f t="shared" si="288"/>
        <v>3.7499999999999999E-2</v>
      </c>
      <c r="T523" s="14">
        <f t="shared" si="280"/>
        <v>0</v>
      </c>
      <c r="U523" s="288">
        <f t="shared" si="304"/>
        <v>0</v>
      </c>
      <c r="V523" s="288">
        <f t="shared" si="281"/>
        <v>0</v>
      </c>
      <c r="W523" s="14">
        <f t="shared" si="299"/>
        <v>0</v>
      </c>
      <c r="X523" s="288">
        <f t="shared" si="300"/>
        <v>0</v>
      </c>
      <c r="Y523" s="288">
        <f t="shared" si="305"/>
        <v>0</v>
      </c>
      <c r="Z523" s="288">
        <f t="shared" si="306"/>
        <v>357260.75999999995</v>
      </c>
      <c r="AA523" s="288">
        <f t="shared" si="307"/>
        <v>179976.28000000012</v>
      </c>
      <c r="AB523" s="288">
        <f t="shared" si="282"/>
        <v>354375</v>
      </c>
      <c r="AC523" s="410">
        <f t="shared" si="298"/>
        <v>0</v>
      </c>
      <c r="AD523" s="510">
        <f t="shared" si="290"/>
        <v>290212.1599999998</v>
      </c>
      <c r="AE523" s="510">
        <f t="shared" si="301"/>
        <v>354375</v>
      </c>
      <c r="AF523" s="510">
        <f t="shared" si="302"/>
        <v>644587.1599999998</v>
      </c>
      <c r="AG523" s="510"/>
      <c r="AH523" s="510"/>
      <c r="AI523" s="510"/>
      <c r="AL523" s="510"/>
    </row>
    <row r="524" spans="1:40" x14ac:dyDescent="0.25">
      <c r="A524" s="499"/>
      <c r="I524" s="410">
        <f t="shared" si="297"/>
        <v>0</v>
      </c>
      <c r="L524" s="288"/>
      <c r="M524" s="288"/>
      <c r="Q524" s="499">
        <f t="shared" si="279"/>
        <v>0</v>
      </c>
      <c r="R524" s="14">
        <f t="shared" si="303"/>
        <v>0</v>
      </c>
      <c r="S524" s="492">
        <f t="shared" si="288"/>
        <v>3.7499999999999999E-2</v>
      </c>
      <c r="T524" s="14">
        <f t="shared" si="280"/>
        <v>0</v>
      </c>
      <c r="U524" s="288">
        <f t="shared" si="304"/>
        <v>0</v>
      </c>
      <c r="V524" s="288">
        <f t="shared" si="281"/>
        <v>0</v>
      </c>
      <c r="W524" s="14">
        <f t="shared" si="299"/>
        <v>0</v>
      </c>
      <c r="X524" s="288">
        <f t="shared" si="300"/>
        <v>0</v>
      </c>
      <c r="Y524" s="288">
        <f t="shared" si="305"/>
        <v>0</v>
      </c>
      <c r="Z524" s="288">
        <f t="shared" si="306"/>
        <v>357260.75999999995</v>
      </c>
      <c r="AA524" s="288">
        <f t="shared" si="307"/>
        <v>179976.28000000012</v>
      </c>
      <c r="AB524" s="288">
        <f t="shared" si="282"/>
        <v>354375</v>
      </c>
      <c r="AC524" s="410">
        <f t="shared" si="298"/>
        <v>0</v>
      </c>
      <c r="AD524" s="510">
        <f t="shared" si="290"/>
        <v>290212.1599999998</v>
      </c>
      <c r="AE524" s="510">
        <f t="shared" si="301"/>
        <v>354375</v>
      </c>
      <c r="AF524" s="510">
        <f t="shared" si="302"/>
        <v>644587.1599999998</v>
      </c>
      <c r="AG524" s="510"/>
      <c r="AH524" s="510"/>
      <c r="AI524" s="510"/>
      <c r="AL524" s="510"/>
    </row>
    <row r="525" spans="1:40" x14ac:dyDescent="0.25">
      <c r="A525" s="499"/>
      <c r="I525" s="410">
        <f t="shared" si="297"/>
        <v>0</v>
      </c>
      <c r="L525" s="288"/>
      <c r="M525" s="288"/>
      <c r="Q525" s="499">
        <f t="shared" si="279"/>
        <v>0</v>
      </c>
      <c r="R525" s="14">
        <f t="shared" si="303"/>
        <v>0</v>
      </c>
      <c r="S525" s="492">
        <f t="shared" si="288"/>
        <v>3.7499999999999999E-2</v>
      </c>
      <c r="T525" s="14">
        <f t="shared" si="280"/>
        <v>0</v>
      </c>
      <c r="U525" s="288">
        <f t="shared" si="304"/>
        <v>0</v>
      </c>
      <c r="V525" s="288">
        <f t="shared" si="281"/>
        <v>0</v>
      </c>
      <c r="W525" s="14">
        <f t="shared" si="299"/>
        <v>0</v>
      </c>
      <c r="X525" s="288">
        <f t="shared" si="300"/>
        <v>0</v>
      </c>
      <c r="Y525" s="288">
        <f t="shared" si="305"/>
        <v>0</v>
      </c>
      <c r="Z525" s="288">
        <f t="shared" si="306"/>
        <v>357260.75999999995</v>
      </c>
      <c r="AA525" s="288">
        <f t="shared" si="307"/>
        <v>179976.28000000012</v>
      </c>
      <c r="AB525" s="288">
        <f t="shared" si="282"/>
        <v>354375</v>
      </c>
      <c r="AC525" s="410">
        <f t="shared" si="298"/>
        <v>0</v>
      </c>
      <c r="AD525" s="510">
        <f t="shared" si="290"/>
        <v>290212.1599999998</v>
      </c>
      <c r="AE525" s="510">
        <f t="shared" si="301"/>
        <v>354375</v>
      </c>
      <c r="AF525" s="510">
        <f t="shared" si="302"/>
        <v>644587.1599999998</v>
      </c>
      <c r="AG525" s="510"/>
      <c r="AH525" s="510"/>
      <c r="AI525" s="510"/>
      <c r="AL525" s="510"/>
    </row>
    <row r="526" spans="1:40" x14ac:dyDescent="0.25">
      <c r="A526" s="499"/>
      <c r="I526" s="410">
        <f t="shared" si="297"/>
        <v>0</v>
      </c>
      <c r="L526" s="288"/>
      <c r="M526" s="288"/>
      <c r="Q526" s="499">
        <f t="shared" si="279"/>
        <v>0</v>
      </c>
      <c r="R526" s="14">
        <f t="shared" si="303"/>
        <v>0</v>
      </c>
      <c r="S526" s="492">
        <f t="shared" si="288"/>
        <v>3.7499999999999999E-2</v>
      </c>
      <c r="T526" s="14">
        <f t="shared" si="280"/>
        <v>0</v>
      </c>
      <c r="U526" s="288">
        <f t="shared" si="304"/>
        <v>0</v>
      </c>
      <c r="V526" s="288">
        <f t="shared" si="281"/>
        <v>0</v>
      </c>
      <c r="W526" s="14">
        <f t="shared" si="299"/>
        <v>0</v>
      </c>
      <c r="X526" s="288">
        <f t="shared" si="300"/>
        <v>0</v>
      </c>
      <c r="Y526" s="288">
        <f t="shared" si="305"/>
        <v>0</v>
      </c>
      <c r="Z526" s="288">
        <f t="shared" si="306"/>
        <v>357260.75999999995</v>
      </c>
      <c r="AA526" s="288">
        <f t="shared" si="307"/>
        <v>179976.28000000012</v>
      </c>
      <c r="AB526" s="288">
        <f t="shared" si="282"/>
        <v>354375</v>
      </c>
      <c r="AC526" s="410">
        <f t="shared" si="298"/>
        <v>0</v>
      </c>
      <c r="AD526" s="510">
        <f t="shared" si="290"/>
        <v>290212.1599999998</v>
      </c>
      <c r="AE526" s="510">
        <f t="shared" si="301"/>
        <v>354375</v>
      </c>
      <c r="AF526" s="510">
        <f t="shared" si="302"/>
        <v>644587.1599999998</v>
      </c>
      <c r="AG526" s="510"/>
      <c r="AH526" s="510"/>
      <c r="AI526" s="510"/>
      <c r="AL526" s="510"/>
    </row>
    <row r="527" spans="1:40" x14ac:dyDescent="0.25">
      <c r="A527" s="499"/>
      <c r="I527" s="410">
        <f t="shared" si="297"/>
        <v>0</v>
      </c>
      <c r="L527" s="288"/>
      <c r="M527" s="288"/>
      <c r="Q527" s="499">
        <f t="shared" ref="Q527:Q590" si="308">+A527</f>
        <v>0</v>
      </c>
      <c r="R527" s="14">
        <f t="shared" si="303"/>
        <v>0</v>
      </c>
      <c r="S527" s="492">
        <f t="shared" si="288"/>
        <v>3.7499999999999999E-2</v>
      </c>
      <c r="T527" s="14">
        <f t="shared" ref="T527:T543" si="309">IF($J$10&lt;=$A527,IF(+AB526&lt;=0,0,IF(S527=$T$9,$S$9,$S$10)),0)</f>
        <v>0</v>
      </c>
      <c r="U527" s="288">
        <f t="shared" si="304"/>
        <v>0</v>
      </c>
      <c r="V527" s="288">
        <f t="shared" ref="V527:V543" si="310">IF($J$10&lt;=$A527,ROUND(R527*(S527/12),2),0)</f>
        <v>0</v>
      </c>
      <c r="W527" s="14">
        <f t="shared" si="299"/>
        <v>0</v>
      </c>
      <c r="X527" s="288">
        <f t="shared" si="300"/>
        <v>0</v>
      </c>
      <c r="Y527" s="288">
        <f t="shared" si="305"/>
        <v>0</v>
      </c>
      <c r="Z527" s="288">
        <f t="shared" si="306"/>
        <v>357260.75999999995</v>
      </c>
      <c r="AA527" s="288">
        <f t="shared" si="307"/>
        <v>179976.28000000012</v>
      </c>
      <c r="AB527" s="288">
        <f t="shared" ref="AB527:AB543" si="311">IF(Q527&lt;$J$10,$J$6,+R527-U527)</f>
        <v>354375</v>
      </c>
      <c r="AC527" s="410">
        <f t="shared" si="298"/>
        <v>0</v>
      </c>
      <c r="AD527" s="510">
        <f t="shared" si="290"/>
        <v>290212.1599999998</v>
      </c>
      <c r="AE527" s="510">
        <f t="shared" si="301"/>
        <v>354375</v>
      </c>
      <c r="AF527" s="510">
        <f t="shared" si="302"/>
        <v>644587.1599999998</v>
      </c>
      <c r="AG527" s="510"/>
      <c r="AH527" s="510"/>
      <c r="AI527" s="510"/>
      <c r="AL527" s="510"/>
    </row>
    <row r="528" spans="1:40" x14ac:dyDescent="0.25">
      <c r="A528" s="499"/>
      <c r="I528" s="410">
        <f t="shared" si="297"/>
        <v>0</v>
      </c>
      <c r="L528" s="288"/>
      <c r="M528" s="288"/>
      <c r="Q528" s="499">
        <f t="shared" si="308"/>
        <v>0</v>
      </c>
      <c r="R528" s="14">
        <f t="shared" si="303"/>
        <v>0</v>
      </c>
      <c r="S528" s="492">
        <f t="shared" ref="S528:S543" si="312">IF(AC528&gt;60,$T$10,$T$9)</f>
        <v>3.7499999999999999E-2</v>
      </c>
      <c r="T528" s="14">
        <f t="shared" si="309"/>
        <v>0</v>
      </c>
      <c r="U528" s="288">
        <f t="shared" si="304"/>
        <v>0</v>
      </c>
      <c r="V528" s="288">
        <f t="shared" si="310"/>
        <v>0</v>
      </c>
      <c r="W528" s="14">
        <f t="shared" si="299"/>
        <v>0</v>
      </c>
      <c r="X528" s="288">
        <f t="shared" si="300"/>
        <v>0</v>
      </c>
      <c r="Y528" s="288">
        <f t="shared" si="305"/>
        <v>0</v>
      </c>
      <c r="Z528" s="288">
        <f t="shared" si="306"/>
        <v>357260.75999999995</v>
      </c>
      <c r="AA528" s="288">
        <f t="shared" si="307"/>
        <v>179976.28000000012</v>
      </c>
      <c r="AB528" s="288">
        <f t="shared" si="311"/>
        <v>354375</v>
      </c>
      <c r="AC528" s="410">
        <f t="shared" si="298"/>
        <v>0</v>
      </c>
      <c r="AD528" s="510">
        <f t="shared" ref="AD528:AD543" si="313">K528-T528+AD527</f>
        <v>290212.1599999998</v>
      </c>
      <c r="AE528" s="510">
        <f t="shared" si="301"/>
        <v>354375</v>
      </c>
      <c r="AF528" s="510">
        <f t="shared" si="302"/>
        <v>644587.1599999998</v>
      </c>
      <c r="AG528" s="510"/>
      <c r="AH528" s="510"/>
      <c r="AI528" s="510"/>
      <c r="AL528" s="510"/>
    </row>
    <row r="529" spans="1:40" x14ac:dyDescent="0.25">
      <c r="A529" s="499"/>
      <c r="I529" s="410">
        <f t="shared" si="297"/>
        <v>0</v>
      </c>
      <c r="L529" s="288"/>
      <c r="M529" s="288"/>
      <c r="Q529" s="499">
        <f t="shared" si="308"/>
        <v>0</v>
      </c>
      <c r="R529" s="14">
        <f t="shared" si="303"/>
        <v>0</v>
      </c>
      <c r="S529" s="492">
        <f t="shared" si="312"/>
        <v>3.7499999999999999E-2</v>
      </c>
      <c r="T529" s="14">
        <f t="shared" si="309"/>
        <v>0</v>
      </c>
      <c r="U529" s="288">
        <f t="shared" si="304"/>
        <v>0</v>
      </c>
      <c r="V529" s="288">
        <f t="shared" si="310"/>
        <v>0</v>
      </c>
      <c r="W529" s="14">
        <f t="shared" si="299"/>
        <v>0</v>
      </c>
      <c r="X529" s="288">
        <f t="shared" si="300"/>
        <v>0</v>
      </c>
      <c r="Y529" s="288">
        <f t="shared" si="305"/>
        <v>0</v>
      </c>
      <c r="Z529" s="288">
        <f t="shared" si="306"/>
        <v>357260.75999999995</v>
      </c>
      <c r="AA529" s="288">
        <f t="shared" si="307"/>
        <v>179976.28000000012</v>
      </c>
      <c r="AB529" s="288">
        <f t="shared" si="311"/>
        <v>354375</v>
      </c>
      <c r="AC529" s="410">
        <f t="shared" si="298"/>
        <v>0</v>
      </c>
      <c r="AD529" s="510">
        <f t="shared" si="313"/>
        <v>290212.1599999998</v>
      </c>
      <c r="AE529" s="510">
        <f t="shared" si="301"/>
        <v>354375</v>
      </c>
      <c r="AF529" s="510">
        <f t="shared" si="302"/>
        <v>644587.1599999998</v>
      </c>
      <c r="AG529" s="510"/>
      <c r="AH529" s="510"/>
      <c r="AI529" s="510"/>
      <c r="AL529" s="510"/>
    </row>
    <row r="530" spans="1:40" ht="15.75" thickBot="1" x14ac:dyDescent="0.3">
      <c r="A530" s="502"/>
      <c r="B530" s="343"/>
      <c r="C530" s="21"/>
      <c r="D530" s="21"/>
      <c r="E530" s="21"/>
      <c r="F530" s="343"/>
      <c r="G530" s="343"/>
      <c r="H530" s="343"/>
      <c r="I530" s="410">
        <f t="shared" si="297"/>
        <v>0</v>
      </c>
      <c r="J530" s="343"/>
      <c r="K530" s="21"/>
      <c r="L530" s="343"/>
      <c r="M530" s="343"/>
      <c r="N530" s="343"/>
      <c r="O530" s="343"/>
      <c r="P530" s="343"/>
      <c r="Q530" s="502">
        <f t="shared" si="308"/>
        <v>0</v>
      </c>
      <c r="R530" s="14">
        <f t="shared" si="303"/>
        <v>0</v>
      </c>
      <c r="S530" s="492">
        <f t="shared" si="312"/>
        <v>3.7499999999999999E-2</v>
      </c>
      <c r="T530" s="21">
        <f t="shared" si="309"/>
        <v>0</v>
      </c>
      <c r="U530" s="343">
        <f t="shared" si="304"/>
        <v>0</v>
      </c>
      <c r="V530" s="343">
        <f t="shared" si="310"/>
        <v>0</v>
      </c>
      <c r="W530" s="21">
        <f t="shared" si="299"/>
        <v>0</v>
      </c>
      <c r="X530" s="343">
        <f t="shared" si="300"/>
        <v>0</v>
      </c>
      <c r="Y530" s="343">
        <f t="shared" si="305"/>
        <v>0</v>
      </c>
      <c r="Z530" s="343">
        <f t="shared" si="306"/>
        <v>357260.75999999995</v>
      </c>
      <c r="AA530" s="343">
        <f t="shared" si="307"/>
        <v>179976.28000000012</v>
      </c>
      <c r="AB530" s="343">
        <f t="shared" si="311"/>
        <v>354375</v>
      </c>
      <c r="AC530" s="410">
        <f t="shared" si="298"/>
        <v>0</v>
      </c>
      <c r="AD530" s="510">
        <f t="shared" si="313"/>
        <v>290212.1599999998</v>
      </c>
      <c r="AE530" s="510">
        <f t="shared" si="301"/>
        <v>354375</v>
      </c>
      <c r="AF530" s="510">
        <f t="shared" si="302"/>
        <v>644587.1599999998</v>
      </c>
      <c r="AG530" s="510"/>
      <c r="AH530" s="510"/>
      <c r="AI530" s="510"/>
      <c r="AJ530" s="21"/>
      <c r="AK530" s="21"/>
      <c r="AL530" s="510"/>
      <c r="AM530" s="343"/>
      <c r="AN530" s="21"/>
    </row>
    <row r="531" spans="1:40" x14ac:dyDescent="0.25">
      <c r="A531" s="499"/>
      <c r="I531" s="410">
        <f t="shared" si="297"/>
        <v>0</v>
      </c>
      <c r="L531" s="288"/>
      <c r="M531" s="288"/>
      <c r="Q531" s="499">
        <f t="shared" si="308"/>
        <v>0</v>
      </c>
      <c r="R531" s="14">
        <f t="shared" si="303"/>
        <v>0</v>
      </c>
      <c r="S531" s="492">
        <f t="shared" si="312"/>
        <v>3.7499999999999999E-2</v>
      </c>
      <c r="T531" s="14">
        <f t="shared" si="309"/>
        <v>0</v>
      </c>
      <c r="U531" s="288">
        <f t="shared" si="304"/>
        <v>0</v>
      </c>
      <c r="V531" s="288">
        <f t="shared" si="310"/>
        <v>0</v>
      </c>
      <c r="W531" s="14">
        <f t="shared" si="299"/>
        <v>0</v>
      </c>
      <c r="X531" s="288">
        <f t="shared" si="300"/>
        <v>0</v>
      </c>
      <c r="Y531" s="288">
        <f t="shared" si="305"/>
        <v>0</v>
      </c>
      <c r="Z531" s="288">
        <f t="shared" si="306"/>
        <v>357260.75999999995</v>
      </c>
      <c r="AA531" s="288">
        <f t="shared" si="307"/>
        <v>179976.28000000012</v>
      </c>
      <c r="AB531" s="288">
        <f t="shared" si="311"/>
        <v>354375</v>
      </c>
      <c r="AC531" s="410">
        <f t="shared" si="298"/>
        <v>0</v>
      </c>
      <c r="AD531" s="510">
        <f t="shared" si="313"/>
        <v>290212.1599999998</v>
      </c>
      <c r="AE531" s="510">
        <f t="shared" si="301"/>
        <v>354375</v>
      </c>
      <c r="AF531" s="510">
        <f t="shared" si="302"/>
        <v>644587.1599999998</v>
      </c>
      <c r="AG531" s="510"/>
      <c r="AH531" s="510"/>
      <c r="AI531" s="510"/>
      <c r="AL531" s="510"/>
    </row>
    <row r="532" spans="1:40" x14ac:dyDescent="0.25">
      <c r="A532" s="499"/>
      <c r="I532" s="410">
        <f t="shared" si="297"/>
        <v>0</v>
      </c>
      <c r="L532" s="288"/>
      <c r="M532" s="288"/>
      <c r="Q532" s="499">
        <f t="shared" si="308"/>
        <v>0</v>
      </c>
      <c r="R532" s="14">
        <f t="shared" si="303"/>
        <v>0</v>
      </c>
      <c r="S532" s="492">
        <f t="shared" si="312"/>
        <v>3.7499999999999999E-2</v>
      </c>
      <c r="T532" s="14">
        <f t="shared" si="309"/>
        <v>0</v>
      </c>
      <c r="U532" s="288">
        <f t="shared" si="304"/>
        <v>0</v>
      </c>
      <c r="V532" s="288">
        <f t="shared" si="310"/>
        <v>0</v>
      </c>
      <c r="W532" s="14">
        <f t="shared" si="299"/>
        <v>0</v>
      </c>
      <c r="X532" s="288">
        <f t="shared" si="300"/>
        <v>0</v>
      </c>
      <c r="Y532" s="288">
        <f t="shared" si="305"/>
        <v>0</v>
      </c>
      <c r="Z532" s="288">
        <f t="shared" si="306"/>
        <v>357260.75999999995</v>
      </c>
      <c r="AA532" s="288">
        <f t="shared" si="307"/>
        <v>179976.28000000012</v>
      </c>
      <c r="AB532" s="288">
        <f t="shared" si="311"/>
        <v>354375</v>
      </c>
      <c r="AC532" s="410">
        <f t="shared" si="298"/>
        <v>0</v>
      </c>
      <c r="AD532" s="510">
        <f t="shared" si="313"/>
        <v>290212.1599999998</v>
      </c>
      <c r="AE532" s="510">
        <f t="shared" si="301"/>
        <v>354375</v>
      </c>
      <c r="AF532" s="510">
        <f t="shared" si="302"/>
        <v>644587.1599999998</v>
      </c>
      <c r="AG532" s="510"/>
      <c r="AH532" s="510"/>
      <c r="AI532" s="510"/>
      <c r="AL532" s="510"/>
    </row>
    <row r="533" spans="1:40" x14ac:dyDescent="0.25">
      <c r="A533" s="499"/>
      <c r="I533" s="410">
        <f t="shared" si="297"/>
        <v>0</v>
      </c>
      <c r="L533" s="288"/>
      <c r="M533" s="288"/>
      <c r="Q533" s="499">
        <f t="shared" si="308"/>
        <v>0</v>
      </c>
      <c r="R533" s="14">
        <f t="shared" si="303"/>
        <v>0</v>
      </c>
      <c r="S533" s="492">
        <f t="shared" si="312"/>
        <v>3.7499999999999999E-2</v>
      </c>
      <c r="T533" s="14">
        <f t="shared" si="309"/>
        <v>0</v>
      </c>
      <c r="U533" s="288">
        <f t="shared" si="304"/>
        <v>0</v>
      </c>
      <c r="V533" s="288">
        <f t="shared" si="310"/>
        <v>0</v>
      </c>
      <c r="W533" s="14">
        <f t="shared" si="299"/>
        <v>0</v>
      </c>
      <c r="X533" s="288">
        <f t="shared" si="300"/>
        <v>0</v>
      </c>
      <c r="Y533" s="288">
        <f t="shared" si="305"/>
        <v>0</v>
      </c>
      <c r="Z533" s="288">
        <f t="shared" si="306"/>
        <v>357260.75999999995</v>
      </c>
      <c r="AA533" s="288">
        <f t="shared" si="307"/>
        <v>179976.28000000012</v>
      </c>
      <c r="AB533" s="288">
        <f t="shared" si="311"/>
        <v>354375</v>
      </c>
      <c r="AC533" s="410">
        <f t="shared" si="298"/>
        <v>0</v>
      </c>
      <c r="AD533" s="510">
        <f t="shared" si="313"/>
        <v>290212.1599999998</v>
      </c>
      <c r="AE533" s="510">
        <f t="shared" si="301"/>
        <v>354375</v>
      </c>
      <c r="AF533" s="510">
        <f t="shared" si="302"/>
        <v>644587.1599999998</v>
      </c>
      <c r="AG533" s="510"/>
      <c r="AH533" s="510"/>
      <c r="AI533" s="510"/>
      <c r="AL533" s="510"/>
    </row>
    <row r="534" spans="1:40" x14ac:dyDescent="0.25">
      <c r="A534" s="499"/>
      <c r="I534" s="410">
        <f t="shared" si="297"/>
        <v>0</v>
      </c>
      <c r="L534" s="288"/>
      <c r="M534" s="288"/>
      <c r="Q534" s="499">
        <f t="shared" si="308"/>
        <v>0</v>
      </c>
      <c r="R534" s="14">
        <f t="shared" si="303"/>
        <v>0</v>
      </c>
      <c r="S534" s="492">
        <f t="shared" si="312"/>
        <v>3.7499999999999999E-2</v>
      </c>
      <c r="T534" s="14">
        <f t="shared" si="309"/>
        <v>0</v>
      </c>
      <c r="U534" s="288">
        <f t="shared" si="304"/>
        <v>0</v>
      </c>
      <c r="V534" s="288">
        <f t="shared" si="310"/>
        <v>0</v>
      </c>
      <c r="W534" s="14">
        <f t="shared" si="299"/>
        <v>0</v>
      </c>
      <c r="X534" s="288">
        <f t="shared" si="300"/>
        <v>0</v>
      </c>
      <c r="Y534" s="288">
        <f t="shared" si="305"/>
        <v>0</v>
      </c>
      <c r="Z534" s="288">
        <f t="shared" si="306"/>
        <v>357260.75999999995</v>
      </c>
      <c r="AA534" s="288">
        <f t="shared" si="307"/>
        <v>179976.28000000012</v>
      </c>
      <c r="AB534" s="288">
        <f t="shared" si="311"/>
        <v>354375</v>
      </c>
      <c r="AC534" s="410">
        <f t="shared" si="298"/>
        <v>0</v>
      </c>
      <c r="AD534" s="510">
        <f t="shared" si="313"/>
        <v>290212.1599999998</v>
      </c>
      <c r="AE534" s="510">
        <f t="shared" si="301"/>
        <v>354375</v>
      </c>
      <c r="AF534" s="510">
        <f t="shared" si="302"/>
        <v>644587.1599999998</v>
      </c>
      <c r="AG534" s="510"/>
      <c r="AH534" s="510"/>
      <c r="AI534" s="510"/>
      <c r="AL534" s="510"/>
    </row>
    <row r="535" spans="1:40" x14ac:dyDescent="0.25">
      <c r="A535" s="499"/>
      <c r="I535" s="410">
        <f t="shared" si="297"/>
        <v>0</v>
      </c>
      <c r="L535" s="288"/>
      <c r="M535" s="288"/>
      <c r="Q535" s="499">
        <f t="shared" si="308"/>
        <v>0</v>
      </c>
      <c r="R535" s="14">
        <f t="shared" si="303"/>
        <v>0</v>
      </c>
      <c r="S535" s="492">
        <f t="shared" si="312"/>
        <v>3.7499999999999999E-2</v>
      </c>
      <c r="T535" s="14">
        <f t="shared" si="309"/>
        <v>0</v>
      </c>
      <c r="U535" s="288">
        <f t="shared" si="304"/>
        <v>0</v>
      </c>
      <c r="V535" s="288">
        <f t="shared" si="310"/>
        <v>0</v>
      </c>
      <c r="W535" s="14">
        <f t="shared" si="299"/>
        <v>0</v>
      </c>
      <c r="X535" s="288">
        <f t="shared" si="300"/>
        <v>0</v>
      </c>
      <c r="Y535" s="288">
        <f t="shared" si="305"/>
        <v>0</v>
      </c>
      <c r="Z535" s="288">
        <f t="shared" si="306"/>
        <v>357260.75999999995</v>
      </c>
      <c r="AA535" s="288">
        <f t="shared" si="307"/>
        <v>179976.28000000012</v>
      </c>
      <c r="AB535" s="288">
        <f t="shared" si="311"/>
        <v>354375</v>
      </c>
      <c r="AC535" s="410">
        <f t="shared" si="298"/>
        <v>0</v>
      </c>
      <c r="AD535" s="510">
        <f t="shared" si="313"/>
        <v>290212.1599999998</v>
      </c>
      <c r="AE535" s="510">
        <f t="shared" si="301"/>
        <v>354375</v>
      </c>
      <c r="AF535" s="510">
        <f t="shared" si="302"/>
        <v>644587.1599999998</v>
      </c>
      <c r="AG535" s="510"/>
      <c r="AH535" s="510"/>
      <c r="AI535" s="510"/>
      <c r="AL535" s="510"/>
    </row>
    <row r="536" spans="1:40" x14ac:dyDescent="0.25">
      <c r="A536" s="499"/>
      <c r="I536" s="410">
        <f t="shared" si="297"/>
        <v>0</v>
      </c>
      <c r="L536" s="288"/>
      <c r="M536" s="288"/>
      <c r="Q536" s="499">
        <f t="shared" si="308"/>
        <v>0</v>
      </c>
      <c r="R536" s="14">
        <f t="shared" si="303"/>
        <v>0</v>
      </c>
      <c r="S536" s="492">
        <f t="shared" si="312"/>
        <v>3.7499999999999999E-2</v>
      </c>
      <c r="T536" s="14">
        <f t="shared" si="309"/>
        <v>0</v>
      </c>
      <c r="U536" s="288">
        <f t="shared" si="304"/>
        <v>0</v>
      </c>
      <c r="V536" s="288">
        <f t="shared" si="310"/>
        <v>0</v>
      </c>
      <c r="W536" s="14">
        <f t="shared" si="299"/>
        <v>0</v>
      </c>
      <c r="X536" s="288">
        <f t="shared" si="300"/>
        <v>0</v>
      </c>
      <c r="Y536" s="288">
        <f t="shared" si="305"/>
        <v>0</v>
      </c>
      <c r="Z536" s="288">
        <f t="shared" si="306"/>
        <v>357260.75999999995</v>
      </c>
      <c r="AA536" s="288">
        <f t="shared" si="307"/>
        <v>179976.28000000012</v>
      </c>
      <c r="AB536" s="288">
        <f t="shared" si="311"/>
        <v>354375</v>
      </c>
      <c r="AC536" s="410">
        <f t="shared" si="298"/>
        <v>0</v>
      </c>
      <c r="AD536" s="510">
        <f t="shared" si="313"/>
        <v>290212.1599999998</v>
      </c>
      <c r="AE536" s="510">
        <f t="shared" si="301"/>
        <v>354375</v>
      </c>
      <c r="AF536" s="510">
        <f t="shared" si="302"/>
        <v>644587.1599999998</v>
      </c>
      <c r="AG536" s="510"/>
      <c r="AH536" s="510"/>
      <c r="AI536" s="510"/>
      <c r="AL536" s="510"/>
    </row>
    <row r="537" spans="1:40" x14ac:dyDescent="0.25">
      <c r="A537" s="499"/>
      <c r="I537" s="410">
        <f t="shared" si="297"/>
        <v>0</v>
      </c>
      <c r="L537" s="288"/>
      <c r="M537" s="288"/>
      <c r="Q537" s="499">
        <f t="shared" si="308"/>
        <v>0</v>
      </c>
      <c r="R537" s="14">
        <f t="shared" si="303"/>
        <v>0</v>
      </c>
      <c r="S537" s="492">
        <f t="shared" si="312"/>
        <v>3.7499999999999999E-2</v>
      </c>
      <c r="T537" s="14">
        <f t="shared" si="309"/>
        <v>0</v>
      </c>
      <c r="U537" s="288">
        <f t="shared" si="304"/>
        <v>0</v>
      </c>
      <c r="V537" s="288">
        <f t="shared" si="310"/>
        <v>0</v>
      </c>
      <c r="W537" s="14">
        <f t="shared" si="299"/>
        <v>0</v>
      </c>
      <c r="X537" s="288">
        <f t="shared" si="300"/>
        <v>0</v>
      </c>
      <c r="Y537" s="288">
        <f t="shared" si="305"/>
        <v>0</v>
      </c>
      <c r="Z537" s="288">
        <f t="shared" si="306"/>
        <v>357260.75999999995</v>
      </c>
      <c r="AA537" s="288">
        <f t="shared" si="307"/>
        <v>179976.28000000012</v>
      </c>
      <c r="AB537" s="288">
        <f t="shared" si="311"/>
        <v>354375</v>
      </c>
      <c r="AC537" s="410">
        <f t="shared" si="298"/>
        <v>0</v>
      </c>
      <c r="AD537" s="510">
        <f t="shared" si="313"/>
        <v>290212.1599999998</v>
      </c>
      <c r="AE537" s="510">
        <f t="shared" si="301"/>
        <v>354375</v>
      </c>
      <c r="AF537" s="510">
        <f t="shared" si="302"/>
        <v>644587.1599999998</v>
      </c>
      <c r="AG537" s="510"/>
      <c r="AH537" s="510"/>
      <c r="AI537" s="510"/>
      <c r="AL537" s="510"/>
    </row>
    <row r="538" spans="1:40" x14ac:dyDescent="0.25">
      <c r="A538" s="499"/>
      <c r="I538" s="410">
        <f t="shared" si="297"/>
        <v>0</v>
      </c>
      <c r="L538" s="288"/>
      <c r="M538" s="288"/>
      <c r="Q538" s="499">
        <f t="shared" si="308"/>
        <v>0</v>
      </c>
      <c r="R538" s="14">
        <f t="shared" si="303"/>
        <v>0</v>
      </c>
      <c r="S538" s="492">
        <f t="shared" si="312"/>
        <v>3.7499999999999999E-2</v>
      </c>
      <c r="T538" s="14">
        <f t="shared" si="309"/>
        <v>0</v>
      </c>
      <c r="U538" s="288">
        <f t="shared" si="304"/>
        <v>0</v>
      </c>
      <c r="V538" s="288">
        <f t="shared" si="310"/>
        <v>0</v>
      </c>
      <c r="W538" s="14">
        <f t="shared" si="299"/>
        <v>0</v>
      </c>
      <c r="X538" s="288">
        <f t="shared" si="300"/>
        <v>0</v>
      </c>
      <c r="Y538" s="288">
        <f t="shared" si="305"/>
        <v>0</v>
      </c>
      <c r="Z538" s="288">
        <f t="shared" si="306"/>
        <v>357260.75999999995</v>
      </c>
      <c r="AA538" s="288">
        <f t="shared" si="307"/>
        <v>179976.28000000012</v>
      </c>
      <c r="AB538" s="288">
        <f t="shared" si="311"/>
        <v>354375</v>
      </c>
      <c r="AC538" s="410">
        <f t="shared" si="298"/>
        <v>0</v>
      </c>
      <c r="AD538" s="510">
        <f t="shared" si="313"/>
        <v>290212.1599999998</v>
      </c>
      <c r="AE538" s="510">
        <f t="shared" si="301"/>
        <v>354375</v>
      </c>
      <c r="AF538" s="510">
        <f t="shared" si="302"/>
        <v>644587.1599999998</v>
      </c>
      <c r="AG538" s="510"/>
      <c r="AH538" s="510"/>
      <c r="AI538" s="510"/>
      <c r="AL538" s="510"/>
    </row>
    <row r="539" spans="1:40" x14ac:dyDescent="0.25">
      <c r="A539" s="499"/>
      <c r="I539" s="410">
        <f t="shared" si="297"/>
        <v>0</v>
      </c>
      <c r="L539" s="288"/>
      <c r="M539" s="288"/>
      <c r="Q539" s="499">
        <f t="shared" si="308"/>
        <v>0</v>
      </c>
      <c r="R539" s="14">
        <f t="shared" si="303"/>
        <v>0</v>
      </c>
      <c r="S539" s="492">
        <f t="shared" si="312"/>
        <v>3.7499999999999999E-2</v>
      </c>
      <c r="T539" s="14">
        <f t="shared" si="309"/>
        <v>0</v>
      </c>
      <c r="U539" s="288">
        <f t="shared" si="304"/>
        <v>0</v>
      </c>
      <c r="V539" s="288">
        <f t="shared" si="310"/>
        <v>0</v>
      </c>
      <c r="W539" s="14">
        <f t="shared" si="299"/>
        <v>0</v>
      </c>
      <c r="X539" s="288">
        <f t="shared" si="300"/>
        <v>0</v>
      </c>
      <c r="Y539" s="288">
        <f t="shared" si="305"/>
        <v>0</v>
      </c>
      <c r="Z539" s="288">
        <f t="shared" si="306"/>
        <v>357260.75999999995</v>
      </c>
      <c r="AA539" s="288">
        <f t="shared" si="307"/>
        <v>179976.28000000012</v>
      </c>
      <c r="AB539" s="288">
        <f t="shared" si="311"/>
        <v>354375</v>
      </c>
      <c r="AC539" s="410">
        <f t="shared" si="298"/>
        <v>0</v>
      </c>
      <c r="AD539" s="510">
        <f t="shared" si="313"/>
        <v>290212.1599999998</v>
      </c>
      <c r="AE539" s="510">
        <f t="shared" si="301"/>
        <v>354375</v>
      </c>
      <c r="AF539" s="510">
        <f t="shared" si="302"/>
        <v>644587.1599999998</v>
      </c>
      <c r="AG539" s="510"/>
      <c r="AH539" s="510"/>
      <c r="AI539" s="510"/>
      <c r="AL539" s="510"/>
    </row>
    <row r="540" spans="1:40" x14ac:dyDescent="0.25">
      <c r="A540" s="499"/>
      <c r="I540" s="410">
        <f t="shared" si="297"/>
        <v>0</v>
      </c>
      <c r="L540" s="288"/>
      <c r="M540" s="288"/>
      <c r="Q540" s="499">
        <f t="shared" si="308"/>
        <v>0</v>
      </c>
      <c r="R540" s="14">
        <f t="shared" si="303"/>
        <v>0</v>
      </c>
      <c r="S540" s="492">
        <f t="shared" si="312"/>
        <v>3.7499999999999999E-2</v>
      </c>
      <c r="T540" s="14">
        <f t="shared" si="309"/>
        <v>0</v>
      </c>
      <c r="U540" s="288">
        <f t="shared" si="304"/>
        <v>0</v>
      </c>
      <c r="V540" s="288">
        <f t="shared" si="310"/>
        <v>0</v>
      </c>
      <c r="W540" s="14">
        <f t="shared" si="299"/>
        <v>0</v>
      </c>
      <c r="X540" s="288">
        <f t="shared" si="300"/>
        <v>0</v>
      </c>
      <c r="Y540" s="288">
        <f t="shared" si="305"/>
        <v>0</v>
      </c>
      <c r="Z540" s="288">
        <f t="shared" si="306"/>
        <v>357260.75999999995</v>
      </c>
      <c r="AA540" s="288">
        <f t="shared" si="307"/>
        <v>179976.28000000012</v>
      </c>
      <c r="AB540" s="288">
        <f t="shared" si="311"/>
        <v>354375</v>
      </c>
      <c r="AC540" s="410">
        <f t="shared" si="298"/>
        <v>0</v>
      </c>
      <c r="AD540" s="510">
        <f t="shared" si="313"/>
        <v>290212.1599999998</v>
      </c>
      <c r="AE540" s="510">
        <f t="shared" si="301"/>
        <v>354375</v>
      </c>
      <c r="AF540" s="510">
        <f t="shared" si="302"/>
        <v>644587.1599999998</v>
      </c>
      <c r="AG540" s="510"/>
      <c r="AH540" s="510"/>
      <c r="AI540" s="510"/>
      <c r="AL540" s="510"/>
    </row>
    <row r="541" spans="1:40" x14ac:dyDescent="0.25">
      <c r="A541" s="499"/>
      <c r="I541" s="410">
        <f t="shared" si="297"/>
        <v>0</v>
      </c>
      <c r="L541" s="288"/>
      <c r="M541" s="288"/>
      <c r="Q541" s="499">
        <f t="shared" si="308"/>
        <v>0</v>
      </c>
      <c r="R541" s="14">
        <f t="shared" si="303"/>
        <v>0</v>
      </c>
      <c r="S541" s="492">
        <f t="shared" si="312"/>
        <v>3.7499999999999999E-2</v>
      </c>
      <c r="T541" s="14">
        <f t="shared" si="309"/>
        <v>0</v>
      </c>
      <c r="U541" s="288">
        <f t="shared" si="304"/>
        <v>0</v>
      </c>
      <c r="V541" s="288">
        <f t="shared" si="310"/>
        <v>0</v>
      </c>
      <c r="W541" s="14">
        <f t="shared" si="299"/>
        <v>0</v>
      </c>
      <c r="X541" s="288">
        <f t="shared" si="300"/>
        <v>0</v>
      </c>
      <c r="Y541" s="288">
        <f t="shared" si="305"/>
        <v>0</v>
      </c>
      <c r="Z541" s="288">
        <f t="shared" si="306"/>
        <v>357260.75999999995</v>
      </c>
      <c r="AA541" s="288">
        <f t="shared" si="307"/>
        <v>179976.28000000012</v>
      </c>
      <c r="AB541" s="288">
        <f t="shared" si="311"/>
        <v>354375</v>
      </c>
      <c r="AC541" s="410">
        <f t="shared" si="298"/>
        <v>0</v>
      </c>
      <c r="AD541" s="510">
        <f t="shared" si="313"/>
        <v>290212.1599999998</v>
      </c>
      <c r="AE541" s="510">
        <f t="shared" si="301"/>
        <v>354375</v>
      </c>
      <c r="AF541" s="510">
        <f t="shared" si="302"/>
        <v>644587.1599999998</v>
      </c>
      <c r="AG541" s="510"/>
      <c r="AH541" s="510"/>
      <c r="AI541" s="510"/>
      <c r="AL541" s="510"/>
    </row>
    <row r="542" spans="1:40" ht="15.75" thickBot="1" x14ac:dyDescent="0.3">
      <c r="A542" s="502"/>
      <c r="B542" s="343"/>
      <c r="C542" s="21"/>
      <c r="D542" s="21"/>
      <c r="E542" s="21"/>
      <c r="F542" s="343"/>
      <c r="G542" s="343"/>
      <c r="H542" s="343"/>
      <c r="I542" s="410">
        <f t="shared" si="297"/>
        <v>0</v>
      </c>
      <c r="J542" s="343"/>
      <c r="K542" s="21"/>
      <c r="L542" s="343"/>
      <c r="M542" s="343"/>
      <c r="N542" s="343"/>
      <c r="O542" s="343"/>
      <c r="P542" s="343"/>
      <c r="Q542" s="502">
        <f t="shared" si="308"/>
        <v>0</v>
      </c>
      <c r="R542" s="14">
        <f t="shared" si="303"/>
        <v>0</v>
      </c>
      <c r="S542" s="492">
        <f t="shared" si="312"/>
        <v>3.7499999999999999E-2</v>
      </c>
      <c r="T542" s="21">
        <f t="shared" si="309"/>
        <v>0</v>
      </c>
      <c r="U542" s="343">
        <f t="shared" si="304"/>
        <v>0</v>
      </c>
      <c r="V542" s="343">
        <f t="shared" si="310"/>
        <v>0</v>
      </c>
      <c r="W542" s="21">
        <f t="shared" si="299"/>
        <v>0</v>
      </c>
      <c r="X542" s="343">
        <f t="shared" si="300"/>
        <v>0</v>
      </c>
      <c r="Y542" s="343">
        <f t="shared" si="305"/>
        <v>0</v>
      </c>
      <c r="Z542" s="343">
        <f t="shared" si="306"/>
        <v>357260.75999999995</v>
      </c>
      <c r="AA542" s="343">
        <f t="shared" si="307"/>
        <v>179976.28000000012</v>
      </c>
      <c r="AB542" s="343">
        <f t="shared" si="311"/>
        <v>354375</v>
      </c>
      <c r="AC542" s="410">
        <f t="shared" si="298"/>
        <v>0</v>
      </c>
      <c r="AD542" s="510">
        <f t="shared" si="313"/>
        <v>290212.1599999998</v>
      </c>
      <c r="AE542" s="510">
        <f t="shared" si="301"/>
        <v>354375</v>
      </c>
      <c r="AF542" s="510">
        <f t="shared" si="302"/>
        <v>644587.1599999998</v>
      </c>
      <c r="AG542" s="510"/>
      <c r="AH542" s="510"/>
      <c r="AI542" s="510"/>
      <c r="AJ542" s="21"/>
      <c r="AK542" s="21"/>
      <c r="AL542" s="510"/>
      <c r="AM542" s="343"/>
      <c r="AN542" s="21"/>
    </row>
    <row r="543" spans="1:40" x14ac:dyDescent="0.25">
      <c r="A543" s="499"/>
      <c r="I543" s="410">
        <f t="shared" si="297"/>
        <v>0</v>
      </c>
      <c r="L543" s="288"/>
      <c r="M543" s="288"/>
      <c r="Q543" s="499">
        <f t="shared" si="308"/>
        <v>0</v>
      </c>
      <c r="R543" s="14">
        <f t="shared" si="303"/>
        <v>0</v>
      </c>
      <c r="S543" s="492">
        <f t="shared" si="312"/>
        <v>3.7499999999999999E-2</v>
      </c>
      <c r="T543" s="14">
        <f t="shared" si="309"/>
        <v>0</v>
      </c>
      <c r="U543" s="288">
        <f t="shared" si="304"/>
        <v>0</v>
      </c>
      <c r="V543" s="288">
        <f t="shared" si="310"/>
        <v>0</v>
      </c>
      <c r="W543" s="14">
        <f t="shared" si="299"/>
        <v>0</v>
      </c>
      <c r="X543" s="288">
        <f t="shared" si="300"/>
        <v>0</v>
      </c>
      <c r="Y543" s="288">
        <f t="shared" si="305"/>
        <v>0</v>
      </c>
      <c r="Z543" s="288">
        <f t="shared" si="306"/>
        <v>357260.75999999995</v>
      </c>
      <c r="AA543" s="288">
        <f t="shared" si="307"/>
        <v>179976.28000000012</v>
      </c>
      <c r="AB543" s="288">
        <f t="shared" si="311"/>
        <v>354375</v>
      </c>
      <c r="AC543" s="410">
        <f t="shared" si="298"/>
        <v>0</v>
      </c>
      <c r="AD543" s="510">
        <f t="shared" si="313"/>
        <v>290212.1599999998</v>
      </c>
      <c r="AE543" s="510">
        <f t="shared" si="301"/>
        <v>354375</v>
      </c>
      <c r="AF543" s="510">
        <f t="shared" si="302"/>
        <v>644587.1599999998</v>
      </c>
      <c r="AG543" s="510"/>
      <c r="AH543" s="510"/>
      <c r="AI543" s="510"/>
      <c r="AL543" s="510"/>
    </row>
    <row r="544" spans="1:40" x14ac:dyDescent="0.25">
      <c r="A544" s="499"/>
      <c r="I544" s="410">
        <f t="shared" si="297"/>
        <v>0</v>
      </c>
      <c r="L544" s="288"/>
      <c r="M544" s="288"/>
      <c r="Q544" s="499">
        <f t="shared" si="308"/>
        <v>0</v>
      </c>
      <c r="U544" s="288"/>
      <c r="V544" s="288"/>
      <c r="X544" s="288"/>
      <c r="Y544" s="288"/>
      <c r="AC544" s="410">
        <f t="shared" si="298"/>
        <v>0</v>
      </c>
    </row>
    <row r="545" spans="1:40" x14ac:dyDescent="0.25">
      <c r="A545" s="499"/>
      <c r="I545" s="410">
        <f t="shared" si="297"/>
        <v>0</v>
      </c>
      <c r="L545" s="288"/>
      <c r="M545" s="288"/>
      <c r="Q545" s="499">
        <f t="shared" si="308"/>
        <v>0</v>
      </c>
      <c r="U545" s="288"/>
      <c r="V545" s="288"/>
      <c r="X545" s="288"/>
      <c r="Y545" s="288"/>
      <c r="AC545" s="410">
        <f t="shared" si="298"/>
        <v>0</v>
      </c>
    </row>
    <row r="546" spans="1:40" x14ac:dyDescent="0.25">
      <c r="A546" s="499"/>
      <c r="I546" s="410">
        <f t="shared" si="297"/>
        <v>0</v>
      </c>
      <c r="L546" s="288"/>
      <c r="M546" s="288"/>
      <c r="Q546" s="499">
        <f t="shared" si="308"/>
        <v>0</v>
      </c>
      <c r="U546" s="288"/>
      <c r="V546" s="288"/>
      <c r="X546" s="288"/>
      <c r="Y546" s="288"/>
      <c r="AC546" s="410">
        <f t="shared" si="298"/>
        <v>0</v>
      </c>
    </row>
    <row r="547" spans="1:40" x14ac:dyDescent="0.25">
      <c r="A547" s="499"/>
      <c r="I547" s="410">
        <f t="shared" si="297"/>
        <v>0</v>
      </c>
      <c r="L547" s="288"/>
      <c r="M547" s="288"/>
      <c r="Q547" s="499">
        <f t="shared" si="308"/>
        <v>0</v>
      </c>
      <c r="U547" s="288"/>
      <c r="V547" s="288"/>
      <c r="X547" s="288"/>
      <c r="Y547" s="288"/>
      <c r="AC547" s="410">
        <f t="shared" si="298"/>
        <v>0</v>
      </c>
    </row>
    <row r="548" spans="1:40" x14ac:dyDescent="0.25">
      <c r="A548" s="499"/>
      <c r="I548" s="410">
        <f t="shared" si="297"/>
        <v>0</v>
      </c>
      <c r="L548" s="288"/>
      <c r="M548" s="288"/>
      <c r="Q548" s="499">
        <f t="shared" si="308"/>
        <v>0</v>
      </c>
      <c r="U548" s="288"/>
      <c r="V548" s="288"/>
      <c r="X548" s="288"/>
      <c r="Y548" s="288"/>
      <c r="AC548" s="410">
        <f t="shared" si="298"/>
        <v>0</v>
      </c>
    </row>
    <row r="549" spans="1:40" x14ac:dyDescent="0.25">
      <c r="A549" s="499"/>
      <c r="I549" s="410">
        <f t="shared" si="297"/>
        <v>0</v>
      </c>
      <c r="L549" s="288"/>
      <c r="M549" s="288"/>
      <c r="Q549" s="499">
        <f t="shared" si="308"/>
        <v>0</v>
      </c>
      <c r="U549" s="288"/>
      <c r="V549" s="288"/>
      <c r="X549" s="288"/>
      <c r="Y549" s="288"/>
      <c r="AC549" s="410">
        <f t="shared" si="298"/>
        <v>0</v>
      </c>
    </row>
    <row r="550" spans="1:40" x14ac:dyDescent="0.25">
      <c r="A550" s="499"/>
      <c r="I550" s="410">
        <f t="shared" si="297"/>
        <v>0</v>
      </c>
      <c r="L550" s="288"/>
      <c r="M550" s="288"/>
      <c r="Q550" s="499">
        <f t="shared" si="308"/>
        <v>0</v>
      </c>
      <c r="U550" s="288"/>
      <c r="V550" s="288"/>
      <c r="X550" s="288"/>
      <c r="Y550" s="288"/>
      <c r="AC550" s="410">
        <f t="shared" si="298"/>
        <v>0</v>
      </c>
    </row>
    <row r="551" spans="1:40" x14ac:dyDescent="0.25">
      <c r="A551" s="499"/>
      <c r="I551" s="410">
        <f t="shared" si="297"/>
        <v>0</v>
      </c>
      <c r="L551" s="288"/>
      <c r="M551" s="288"/>
      <c r="Q551" s="499">
        <f t="shared" si="308"/>
        <v>0</v>
      </c>
      <c r="U551" s="288"/>
      <c r="V551" s="288"/>
      <c r="X551" s="288"/>
      <c r="Y551" s="288"/>
      <c r="AC551" s="410">
        <f t="shared" si="298"/>
        <v>0</v>
      </c>
    </row>
    <row r="552" spans="1:40" x14ac:dyDescent="0.25">
      <c r="A552" s="499"/>
      <c r="I552" s="410">
        <f t="shared" si="297"/>
        <v>0</v>
      </c>
      <c r="L552" s="288"/>
      <c r="M552" s="288"/>
      <c r="Q552" s="499">
        <f t="shared" si="308"/>
        <v>0</v>
      </c>
      <c r="U552" s="288"/>
      <c r="V552" s="288"/>
      <c r="X552" s="288"/>
      <c r="Y552" s="288"/>
      <c r="AC552" s="410">
        <f t="shared" si="298"/>
        <v>0</v>
      </c>
    </row>
    <row r="553" spans="1:40" x14ac:dyDescent="0.25">
      <c r="A553" s="499"/>
      <c r="I553" s="410">
        <f t="shared" si="297"/>
        <v>0</v>
      </c>
      <c r="L553" s="288"/>
      <c r="M553" s="288"/>
      <c r="Q553" s="499">
        <f t="shared" si="308"/>
        <v>0</v>
      </c>
      <c r="U553" s="288"/>
      <c r="V553" s="288"/>
      <c r="X553" s="288"/>
      <c r="Y553" s="288"/>
      <c r="AC553" s="410">
        <f t="shared" si="298"/>
        <v>0</v>
      </c>
    </row>
    <row r="554" spans="1:40" ht="15.75" thickBot="1" x14ac:dyDescent="0.3">
      <c r="A554" s="502"/>
      <c r="B554" s="343"/>
      <c r="C554" s="21"/>
      <c r="D554" s="21"/>
      <c r="E554" s="21"/>
      <c r="F554" s="343"/>
      <c r="G554" s="343"/>
      <c r="H554" s="343"/>
      <c r="I554" s="410">
        <f t="shared" si="297"/>
        <v>0</v>
      </c>
      <c r="J554" s="343"/>
      <c r="K554" s="21"/>
      <c r="L554" s="343"/>
      <c r="M554" s="343"/>
      <c r="N554" s="343"/>
      <c r="O554" s="343"/>
      <c r="P554" s="343"/>
      <c r="Q554" s="502">
        <f t="shared" si="308"/>
        <v>0</v>
      </c>
      <c r="R554" s="343"/>
      <c r="S554" s="493"/>
      <c r="T554" s="21"/>
      <c r="U554" s="343"/>
      <c r="V554" s="343"/>
      <c r="W554" s="21"/>
      <c r="X554" s="343"/>
      <c r="Y554" s="343"/>
      <c r="Z554" s="343"/>
      <c r="AA554" s="343"/>
      <c r="AB554" s="343"/>
      <c r="AC554" s="410">
        <f t="shared" si="298"/>
        <v>0</v>
      </c>
      <c r="AD554" s="343"/>
      <c r="AE554" s="343"/>
      <c r="AF554" s="343"/>
      <c r="AG554" s="21"/>
      <c r="AH554" s="21"/>
      <c r="AI554" s="23"/>
      <c r="AJ554" s="21"/>
      <c r="AK554" s="21"/>
      <c r="AL554" s="343"/>
      <c r="AM554" s="343"/>
      <c r="AN554" s="21"/>
    </row>
    <row r="555" spans="1:40" x14ac:dyDescent="0.25">
      <c r="A555" s="499"/>
      <c r="I555" s="410">
        <f t="shared" ref="I555:I618" si="314">IF(MOD(AC555,12)=0,AC555/12,I554)</f>
        <v>0</v>
      </c>
      <c r="L555" s="288"/>
      <c r="M555" s="288"/>
      <c r="Q555" s="499">
        <f t="shared" si="308"/>
        <v>0</v>
      </c>
      <c r="U555" s="288"/>
      <c r="V555" s="288"/>
      <c r="X555" s="288"/>
      <c r="Y555" s="288"/>
      <c r="AC555" s="410">
        <f t="shared" ref="AC555:AC618" si="315">IF(J555&lt;&gt;"",IF(J555=$J$6,0,+AC554+1),0)</f>
        <v>0</v>
      </c>
    </row>
    <row r="556" spans="1:40" x14ac:dyDescent="0.25">
      <c r="A556" s="499"/>
      <c r="I556" s="410">
        <f t="shared" si="314"/>
        <v>0</v>
      </c>
      <c r="L556" s="288"/>
      <c r="M556" s="288"/>
      <c r="Q556" s="499">
        <f t="shared" si="308"/>
        <v>0</v>
      </c>
      <c r="U556" s="288"/>
      <c r="V556" s="288"/>
      <c r="X556" s="288"/>
      <c r="Y556" s="288"/>
      <c r="AC556" s="410">
        <f t="shared" si="315"/>
        <v>0</v>
      </c>
    </row>
    <row r="557" spans="1:40" x14ac:dyDescent="0.25">
      <c r="A557" s="499"/>
      <c r="I557" s="410">
        <f t="shared" si="314"/>
        <v>0</v>
      </c>
      <c r="L557" s="288"/>
      <c r="M557" s="288"/>
      <c r="Q557" s="499">
        <f t="shared" si="308"/>
        <v>0</v>
      </c>
      <c r="U557" s="288"/>
      <c r="V557" s="288"/>
      <c r="X557" s="288"/>
      <c r="Y557" s="288"/>
      <c r="AC557" s="410">
        <f t="shared" si="315"/>
        <v>0</v>
      </c>
    </row>
    <row r="558" spans="1:40" x14ac:dyDescent="0.25">
      <c r="A558" s="499"/>
      <c r="I558" s="410">
        <f t="shared" si="314"/>
        <v>0</v>
      </c>
      <c r="L558" s="288"/>
      <c r="M558" s="288"/>
      <c r="Q558" s="499">
        <f t="shared" si="308"/>
        <v>0</v>
      </c>
      <c r="U558" s="288"/>
      <c r="V558" s="288"/>
      <c r="X558" s="288"/>
      <c r="Y558" s="288"/>
      <c r="AC558" s="410">
        <f t="shared" si="315"/>
        <v>0</v>
      </c>
    </row>
    <row r="559" spans="1:40" x14ac:dyDescent="0.25">
      <c r="A559" s="499"/>
      <c r="I559" s="410">
        <f t="shared" si="314"/>
        <v>0</v>
      </c>
      <c r="L559" s="288"/>
      <c r="M559" s="288"/>
      <c r="Q559" s="499">
        <f t="shared" si="308"/>
        <v>0</v>
      </c>
      <c r="U559" s="288"/>
      <c r="V559" s="288"/>
      <c r="X559" s="288"/>
      <c r="Y559" s="288"/>
      <c r="AC559" s="410">
        <f t="shared" si="315"/>
        <v>0</v>
      </c>
    </row>
    <row r="560" spans="1:40" x14ac:dyDescent="0.25">
      <c r="A560" s="499"/>
      <c r="I560" s="410">
        <f t="shared" si="314"/>
        <v>0</v>
      </c>
      <c r="L560" s="288"/>
      <c r="M560" s="288"/>
      <c r="Q560" s="499">
        <f t="shared" si="308"/>
        <v>0</v>
      </c>
      <c r="U560" s="288"/>
      <c r="V560" s="288"/>
      <c r="X560" s="288"/>
      <c r="Y560" s="288"/>
      <c r="AC560" s="410">
        <f t="shared" si="315"/>
        <v>0</v>
      </c>
    </row>
    <row r="561" spans="1:40" x14ac:dyDescent="0.25">
      <c r="A561" s="499"/>
      <c r="I561" s="410">
        <f t="shared" si="314"/>
        <v>0</v>
      </c>
      <c r="L561" s="288"/>
      <c r="M561" s="288"/>
      <c r="Q561" s="499">
        <f t="shared" si="308"/>
        <v>0</v>
      </c>
      <c r="U561" s="288"/>
      <c r="V561" s="288"/>
      <c r="X561" s="288"/>
      <c r="Y561" s="288"/>
      <c r="AC561" s="410">
        <f t="shared" si="315"/>
        <v>0</v>
      </c>
    </row>
    <row r="562" spans="1:40" x14ac:dyDescent="0.25">
      <c r="A562" s="499"/>
      <c r="I562" s="410">
        <f t="shared" si="314"/>
        <v>0</v>
      </c>
      <c r="L562" s="288"/>
      <c r="M562" s="288"/>
      <c r="Q562" s="499">
        <f t="shared" si="308"/>
        <v>0</v>
      </c>
      <c r="U562" s="288"/>
      <c r="V562" s="288"/>
      <c r="X562" s="288"/>
      <c r="Y562" s="288"/>
      <c r="AC562" s="410">
        <f t="shared" si="315"/>
        <v>0</v>
      </c>
    </row>
    <row r="563" spans="1:40" x14ac:dyDescent="0.25">
      <c r="A563" s="499"/>
      <c r="I563" s="410">
        <f t="shared" si="314"/>
        <v>0</v>
      </c>
      <c r="L563" s="288"/>
      <c r="M563" s="288"/>
      <c r="Q563" s="499">
        <f t="shared" si="308"/>
        <v>0</v>
      </c>
      <c r="U563" s="288"/>
      <c r="V563" s="288"/>
      <c r="X563" s="288"/>
      <c r="Y563" s="288"/>
      <c r="AC563" s="410">
        <f t="shared" si="315"/>
        <v>0</v>
      </c>
    </row>
    <row r="564" spans="1:40" x14ac:dyDescent="0.25">
      <c r="A564" s="499"/>
      <c r="I564" s="410">
        <f t="shared" si="314"/>
        <v>0</v>
      </c>
      <c r="L564" s="288"/>
      <c r="M564" s="288"/>
      <c r="Q564" s="499">
        <f t="shared" si="308"/>
        <v>0</v>
      </c>
      <c r="U564" s="288"/>
      <c r="V564" s="288"/>
      <c r="X564" s="288"/>
      <c r="Y564" s="288"/>
      <c r="AC564" s="410">
        <f t="shared" si="315"/>
        <v>0</v>
      </c>
    </row>
    <row r="565" spans="1:40" x14ac:dyDescent="0.25">
      <c r="A565" s="499"/>
      <c r="I565" s="410">
        <f t="shared" si="314"/>
        <v>0</v>
      </c>
      <c r="L565" s="288"/>
      <c r="M565" s="288"/>
      <c r="Q565" s="499">
        <f t="shared" si="308"/>
        <v>0</v>
      </c>
      <c r="U565" s="288"/>
      <c r="V565" s="288"/>
      <c r="X565" s="288"/>
      <c r="Y565" s="288"/>
      <c r="AC565" s="410">
        <f t="shared" si="315"/>
        <v>0</v>
      </c>
    </row>
    <row r="566" spans="1:40" ht="15.75" thickBot="1" x14ac:dyDescent="0.3">
      <c r="A566" s="502"/>
      <c r="B566" s="343"/>
      <c r="C566" s="21"/>
      <c r="D566" s="21"/>
      <c r="E566" s="21"/>
      <c r="F566" s="343"/>
      <c r="G566" s="343"/>
      <c r="H566" s="343"/>
      <c r="I566" s="410">
        <f t="shared" si="314"/>
        <v>0</v>
      </c>
      <c r="J566" s="343"/>
      <c r="K566" s="21"/>
      <c r="L566" s="343"/>
      <c r="M566" s="343"/>
      <c r="N566" s="343"/>
      <c r="O566" s="343"/>
      <c r="P566" s="343"/>
      <c r="Q566" s="502">
        <f t="shared" si="308"/>
        <v>0</v>
      </c>
      <c r="R566" s="343"/>
      <c r="S566" s="493"/>
      <c r="T566" s="21"/>
      <c r="U566" s="343"/>
      <c r="V566" s="343"/>
      <c r="W566" s="21"/>
      <c r="X566" s="343"/>
      <c r="Y566" s="343"/>
      <c r="Z566" s="343"/>
      <c r="AA566" s="343"/>
      <c r="AB566" s="343"/>
      <c r="AC566" s="410">
        <f t="shared" si="315"/>
        <v>0</v>
      </c>
      <c r="AD566" s="343"/>
      <c r="AE566" s="343"/>
      <c r="AF566" s="343"/>
      <c r="AG566" s="21"/>
      <c r="AH566" s="21"/>
      <c r="AI566" s="23"/>
      <c r="AJ566" s="21"/>
      <c r="AK566" s="21"/>
      <c r="AL566" s="343"/>
      <c r="AM566" s="343"/>
      <c r="AN566" s="21"/>
    </row>
    <row r="567" spans="1:40" x14ac:dyDescent="0.25">
      <c r="A567" s="499"/>
      <c r="I567" s="410">
        <f t="shared" si="314"/>
        <v>0</v>
      </c>
      <c r="L567" s="288"/>
      <c r="M567" s="288"/>
      <c r="Q567" s="499">
        <f t="shared" si="308"/>
        <v>0</v>
      </c>
      <c r="U567" s="288"/>
      <c r="V567" s="288"/>
      <c r="X567" s="288"/>
      <c r="Y567" s="288"/>
      <c r="AC567" s="410">
        <f t="shared" si="315"/>
        <v>0</v>
      </c>
    </row>
    <row r="568" spans="1:40" x14ac:dyDescent="0.25">
      <c r="A568" s="499"/>
      <c r="I568" s="410">
        <f t="shared" si="314"/>
        <v>0</v>
      </c>
      <c r="L568" s="288"/>
      <c r="M568" s="288"/>
      <c r="Q568" s="499">
        <f t="shared" si="308"/>
        <v>0</v>
      </c>
      <c r="U568" s="288"/>
      <c r="V568" s="288"/>
      <c r="X568" s="288"/>
      <c r="Y568" s="288"/>
      <c r="AC568" s="410">
        <f t="shared" si="315"/>
        <v>0</v>
      </c>
    </row>
    <row r="569" spans="1:40" x14ac:dyDescent="0.25">
      <c r="A569" s="499"/>
      <c r="I569" s="410">
        <f t="shared" si="314"/>
        <v>0</v>
      </c>
      <c r="L569" s="288"/>
      <c r="M569" s="288"/>
      <c r="Q569" s="499">
        <f t="shared" si="308"/>
        <v>0</v>
      </c>
      <c r="U569" s="288"/>
      <c r="V569" s="288"/>
      <c r="X569" s="288"/>
      <c r="Y569" s="288"/>
      <c r="AC569" s="410">
        <f t="shared" si="315"/>
        <v>0</v>
      </c>
    </row>
    <row r="570" spans="1:40" x14ac:dyDescent="0.25">
      <c r="A570" s="499"/>
      <c r="I570" s="410">
        <f t="shared" si="314"/>
        <v>0</v>
      </c>
      <c r="L570" s="288"/>
      <c r="M570" s="288"/>
      <c r="Q570" s="499">
        <f t="shared" si="308"/>
        <v>0</v>
      </c>
      <c r="U570" s="288"/>
      <c r="V570" s="288"/>
      <c r="X570" s="288"/>
      <c r="Y570" s="288"/>
      <c r="AC570" s="410">
        <f t="shared" si="315"/>
        <v>0</v>
      </c>
    </row>
    <row r="571" spans="1:40" x14ac:dyDescent="0.25">
      <c r="A571" s="499"/>
      <c r="I571" s="410">
        <f t="shared" si="314"/>
        <v>0</v>
      </c>
      <c r="L571" s="288"/>
      <c r="M571" s="288"/>
      <c r="Q571" s="499">
        <f t="shared" si="308"/>
        <v>0</v>
      </c>
      <c r="U571" s="288"/>
      <c r="V571" s="288"/>
      <c r="X571" s="288"/>
      <c r="Y571" s="288"/>
      <c r="AC571" s="410">
        <f t="shared" si="315"/>
        <v>0</v>
      </c>
    </row>
    <row r="572" spans="1:40" x14ac:dyDescent="0.25">
      <c r="A572" s="499"/>
      <c r="I572" s="410">
        <f t="shared" si="314"/>
        <v>0</v>
      </c>
      <c r="L572" s="288"/>
      <c r="M572" s="288"/>
      <c r="Q572" s="499">
        <f t="shared" si="308"/>
        <v>0</v>
      </c>
      <c r="U572" s="288"/>
      <c r="V572" s="288"/>
      <c r="X572" s="288"/>
      <c r="Y572" s="288"/>
      <c r="AC572" s="410">
        <f t="shared" si="315"/>
        <v>0</v>
      </c>
    </row>
    <row r="573" spans="1:40" x14ac:dyDescent="0.25">
      <c r="A573" s="499"/>
      <c r="I573" s="410">
        <f t="shared" si="314"/>
        <v>0</v>
      </c>
      <c r="L573" s="288"/>
      <c r="M573" s="288"/>
      <c r="Q573" s="499">
        <f t="shared" si="308"/>
        <v>0</v>
      </c>
      <c r="U573" s="288"/>
      <c r="V573" s="288"/>
      <c r="X573" s="288"/>
      <c r="Y573" s="288"/>
      <c r="AC573" s="410">
        <f t="shared" si="315"/>
        <v>0</v>
      </c>
    </row>
    <row r="574" spans="1:40" x14ac:dyDescent="0.25">
      <c r="A574" s="499"/>
      <c r="I574" s="410">
        <f t="shared" si="314"/>
        <v>0</v>
      </c>
      <c r="L574" s="288"/>
      <c r="M574" s="288"/>
      <c r="Q574" s="499">
        <f t="shared" si="308"/>
        <v>0</v>
      </c>
      <c r="U574" s="288"/>
      <c r="V574" s="288"/>
      <c r="X574" s="288"/>
      <c r="Y574" s="288"/>
      <c r="AC574" s="410">
        <f t="shared" si="315"/>
        <v>0</v>
      </c>
    </row>
    <row r="575" spans="1:40" x14ac:dyDescent="0.25">
      <c r="A575" s="499"/>
      <c r="I575" s="410">
        <f t="shared" si="314"/>
        <v>0</v>
      </c>
      <c r="L575" s="288"/>
      <c r="M575" s="288"/>
      <c r="Q575" s="499">
        <f t="shared" si="308"/>
        <v>0</v>
      </c>
      <c r="U575" s="288"/>
      <c r="V575" s="288"/>
      <c r="X575" s="288"/>
      <c r="Y575" s="288"/>
      <c r="AC575" s="410">
        <f t="shared" si="315"/>
        <v>0</v>
      </c>
    </row>
    <row r="576" spans="1:40" x14ac:dyDescent="0.25">
      <c r="A576" s="499"/>
      <c r="I576" s="410">
        <f t="shared" si="314"/>
        <v>0</v>
      </c>
      <c r="L576" s="288"/>
      <c r="M576" s="288"/>
      <c r="Q576" s="499">
        <f t="shared" si="308"/>
        <v>0</v>
      </c>
      <c r="U576" s="288"/>
      <c r="V576" s="288"/>
      <c r="X576" s="288"/>
      <c r="Y576" s="288"/>
      <c r="AC576" s="410">
        <f t="shared" si="315"/>
        <v>0</v>
      </c>
    </row>
    <row r="577" spans="1:40" x14ac:dyDescent="0.25">
      <c r="A577" s="499"/>
      <c r="I577" s="410">
        <f t="shared" si="314"/>
        <v>0</v>
      </c>
      <c r="L577" s="288"/>
      <c r="M577" s="288"/>
      <c r="Q577" s="499">
        <f t="shared" si="308"/>
        <v>0</v>
      </c>
      <c r="U577" s="288"/>
      <c r="V577" s="288"/>
      <c r="X577" s="288"/>
      <c r="Y577" s="288"/>
      <c r="AC577" s="410">
        <f t="shared" si="315"/>
        <v>0</v>
      </c>
    </row>
    <row r="578" spans="1:40" ht="15.75" thickBot="1" x14ac:dyDescent="0.3">
      <c r="A578" s="502"/>
      <c r="B578" s="343"/>
      <c r="C578" s="21"/>
      <c r="D578" s="21"/>
      <c r="E578" s="21"/>
      <c r="F578" s="343"/>
      <c r="G578" s="343"/>
      <c r="H578" s="343"/>
      <c r="I578" s="410">
        <f t="shared" si="314"/>
        <v>0</v>
      </c>
      <c r="J578" s="343"/>
      <c r="K578" s="21"/>
      <c r="L578" s="343"/>
      <c r="M578" s="343"/>
      <c r="N578" s="343"/>
      <c r="O578" s="343"/>
      <c r="P578" s="343"/>
      <c r="Q578" s="502">
        <f t="shared" si="308"/>
        <v>0</v>
      </c>
      <c r="R578" s="343"/>
      <c r="S578" s="493"/>
      <c r="T578" s="21"/>
      <c r="U578" s="343"/>
      <c r="V578" s="343"/>
      <c r="W578" s="21"/>
      <c r="X578" s="343"/>
      <c r="Y578" s="343"/>
      <c r="Z578" s="343"/>
      <c r="AA578" s="343"/>
      <c r="AB578" s="343"/>
      <c r="AC578" s="410">
        <f t="shared" si="315"/>
        <v>0</v>
      </c>
      <c r="AD578" s="343"/>
      <c r="AE578" s="343"/>
      <c r="AF578" s="343"/>
      <c r="AG578" s="21"/>
      <c r="AH578" s="21"/>
      <c r="AI578" s="23"/>
      <c r="AJ578" s="21"/>
      <c r="AK578" s="21"/>
      <c r="AL578" s="343"/>
      <c r="AM578" s="343"/>
      <c r="AN578" s="21"/>
    </row>
    <row r="579" spans="1:40" x14ac:dyDescent="0.25">
      <c r="A579" s="499"/>
      <c r="I579" s="410">
        <f t="shared" si="314"/>
        <v>0</v>
      </c>
      <c r="L579" s="288"/>
      <c r="M579" s="288"/>
      <c r="Q579" s="499">
        <f t="shared" si="308"/>
        <v>0</v>
      </c>
      <c r="U579" s="288"/>
      <c r="V579" s="288"/>
      <c r="X579" s="288"/>
      <c r="Y579" s="288"/>
      <c r="AC579" s="410">
        <f t="shared" si="315"/>
        <v>0</v>
      </c>
    </row>
    <row r="580" spans="1:40" x14ac:dyDescent="0.25">
      <c r="A580" s="499"/>
      <c r="I580" s="410">
        <f t="shared" si="314"/>
        <v>0</v>
      </c>
      <c r="L580" s="288"/>
      <c r="M580" s="288"/>
      <c r="Q580" s="499">
        <f t="shared" si="308"/>
        <v>0</v>
      </c>
      <c r="U580" s="288"/>
      <c r="V580" s="288"/>
      <c r="X580" s="288"/>
      <c r="Y580" s="288"/>
      <c r="AC580" s="410">
        <f t="shared" si="315"/>
        <v>0</v>
      </c>
    </row>
    <row r="581" spans="1:40" x14ac:dyDescent="0.25">
      <c r="A581" s="499"/>
      <c r="I581" s="410">
        <f t="shared" si="314"/>
        <v>0</v>
      </c>
      <c r="L581" s="288"/>
      <c r="M581" s="288"/>
      <c r="Q581" s="499">
        <f t="shared" si="308"/>
        <v>0</v>
      </c>
      <c r="U581" s="288"/>
      <c r="V581" s="288"/>
      <c r="X581" s="288"/>
      <c r="Y581" s="288"/>
      <c r="AC581" s="410">
        <f t="shared" si="315"/>
        <v>0</v>
      </c>
    </row>
    <row r="582" spans="1:40" x14ac:dyDescent="0.25">
      <c r="A582" s="499"/>
      <c r="I582" s="410">
        <f t="shared" si="314"/>
        <v>0</v>
      </c>
      <c r="L582" s="288"/>
      <c r="M582" s="288"/>
      <c r="Q582" s="499">
        <f t="shared" si="308"/>
        <v>0</v>
      </c>
      <c r="U582" s="288"/>
      <c r="V582" s="288"/>
      <c r="X582" s="288"/>
      <c r="Y582" s="288"/>
      <c r="AC582" s="410">
        <f t="shared" si="315"/>
        <v>0</v>
      </c>
    </row>
    <row r="583" spans="1:40" x14ac:dyDescent="0.25">
      <c r="A583" s="499"/>
      <c r="I583" s="410">
        <f t="shared" si="314"/>
        <v>0</v>
      </c>
      <c r="L583" s="288"/>
      <c r="M583" s="288"/>
      <c r="Q583" s="499">
        <f t="shared" si="308"/>
        <v>0</v>
      </c>
      <c r="U583" s="288"/>
      <c r="V583" s="288"/>
      <c r="X583" s="288"/>
      <c r="Y583" s="288"/>
      <c r="AC583" s="410">
        <f t="shared" si="315"/>
        <v>0</v>
      </c>
    </row>
    <row r="584" spans="1:40" x14ac:dyDescent="0.25">
      <c r="A584" s="499"/>
      <c r="I584" s="410">
        <f t="shared" si="314"/>
        <v>0</v>
      </c>
      <c r="L584" s="288"/>
      <c r="M584" s="288"/>
      <c r="Q584" s="499">
        <f t="shared" si="308"/>
        <v>0</v>
      </c>
      <c r="U584" s="288"/>
      <c r="V584" s="288"/>
      <c r="X584" s="288"/>
      <c r="Y584" s="288"/>
      <c r="AC584" s="410">
        <f t="shared" si="315"/>
        <v>0</v>
      </c>
    </row>
    <row r="585" spans="1:40" x14ac:dyDescent="0.25">
      <c r="A585" s="499"/>
      <c r="I585" s="410">
        <f t="shared" si="314"/>
        <v>0</v>
      </c>
      <c r="L585" s="288"/>
      <c r="M585" s="288"/>
      <c r="Q585" s="499">
        <f t="shared" si="308"/>
        <v>0</v>
      </c>
      <c r="U585" s="288"/>
      <c r="V585" s="288"/>
      <c r="X585" s="288"/>
      <c r="Y585" s="288"/>
      <c r="AC585" s="410">
        <f t="shared" si="315"/>
        <v>0</v>
      </c>
    </row>
    <row r="586" spans="1:40" x14ac:dyDescent="0.25">
      <c r="A586" s="499"/>
      <c r="I586" s="410">
        <f t="shared" si="314"/>
        <v>0</v>
      </c>
      <c r="L586" s="288"/>
      <c r="M586" s="288"/>
      <c r="Q586" s="499">
        <f t="shared" si="308"/>
        <v>0</v>
      </c>
      <c r="U586" s="288"/>
      <c r="V586" s="288"/>
      <c r="X586" s="288"/>
      <c r="Y586" s="288"/>
      <c r="AC586" s="410">
        <f t="shared" si="315"/>
        <v>0</v>
      </c>
    </row>
    <row r="587" spans="1:40" x14ac:dyDescent="0.25">
      <c r="A587" s="499"/>
      <c r="I587" s="410">
        <f t="shared" si="314"/>
        <v>0</v>
      </c>
      <c r="L587" s="288"/>
      <c r="M587" s="288"/>
      <c r="Q587" s="499">
        <f t="shared" si="308"/>
        <v>0</v>
      </c>
      <c r="U587" s="288"/>
      <c r="V587" s="288"/>
      <c r="X587" s="288"/>
      <c r="Y587" s="288"/>
      <c r="AC587" s="410">
        <f t="shared" si="315"/>
        <v>0</v>
      </c>
    </row>
    <row r="588" spans="1:40" x14ac:dyDescent="0.25">
      <c r="A588" s="499"/>
      <c r="I588" s="410">
        <f t="shared" si="314"/>
        <v>0</v>
      </c>
      <c r="L588" s="288"/>
      <c r="M588" s="288"/>
      <c r="Q588" s="499">
        <f t="shared" si="308"/>
        <v>0</v>
      </c>
      <c r="U588" s="288"/>
      <c r="V588" s="288"/>
      <c r="X588" s="288"/>
      <c r="Y588" s="288"/>
      <c r="AC588" s="410">
        <f t="shared" si="315"/>
        <v>0</v>
      </c>
    </row>
    <row r="589" spans="1:40" x14ac:dyDescent="0.25">
      <c r="A589" s="499"/>
      <c r="I589" s="410">
        <f t="shared" si="314"/>
        <v>0</v>
      </c>
      <c r="L589" s="288"/>
      <c r="M589" s="288"/>
      <c r="Q589" s="499">
        <f t="shared" si="308"/>
        <v>0</v>
      </c>
      <c r="U589" s="288"/>
      <c r="V589" s="288"/>
      <c r="X589" s="288"/>
      <c r="Y589" s="288"/>
      <c r="AC589" s="410">
        <f t="shared" si="315"/>
        <v>0</v>
      </c>
    </row>
    <row r="590" spans="1:40" ht="15.75" thickBot="1" x14ac:dyDescent="0.3">
      <c r="A590" s="502"/>
      <c r="B590" s="343"/>
      <c r="C590" s="21"/>
      <c r="D590" s="21"/>
      <c r="E590" s="21"/>
      <c r="F590" s="343"/>
      <c r="G590" s="343"/>
      <c r="H590" s="343"/>
      <c r="I590" s="410">
        <f t="shared" si="314"/>
        <v>0</v>
      </c>
      <c r="J590" s="343"/>
      <c r="K590" s="21"/>
      <c r="L590" s="343"/>
      <c r="M590" s="343"/>
      <c r="N590" s="343"/>
      <c r="O590" s="343"/>
      <c r="P590" s="343"/>
      <c r="Q590" s="502">
        <f t="shared" si="308"/>
        <v>0</v>
      </c>
      <c r="R590" s="343"/>
      <c r="S590" s="493"/>
      <c r="T590" s="21"/>
      <c r="U590" s="343"/>
      <c r="V590" s="343"/>
      <c r="W590" s="21"/>
      <c r="X590" s="343"/>
      <c r="Y590" s="343"/>
      <c r="Z590" s="343"/>
      <c r="AA590" s="343"/>
      <c r="AB590" s="343"/>
      <c r="AC590" s="410">
        <f t="shared" si="315"/>
        <v>0</v>
      </c>
      <c r="AD590" s="343"/>
      <c r="AE590" s="343"/>
      <c r="AF590" s="343"/>
      <c r="AG590" s="21"/>
      <c r="AH590" s="21"/>
      <c r="AI590" s="23"/>
      <c r="AJ590" s="21"/>
      <c r="AK590" s="21"/>
      <c r="AL590" s="343"/>
      <c r="AM590" s="343"/>
      <c r="AN590" s="21"/>
    </row>
    <row r="591" spans="1:40" x14ac:dyDescent="0.25">
      <c r="A591" s="499"/>
      <c r="I591" s="410">
        <f t="shared" si="314"/>
        <v>0</v>
      </c>
      <c r="L591" s="288"/>
      <c r="M591" s="288"/>
      <c r="Q591" s="499">
        <f t="shared" ref="Q591:Q654" si="316">+A591</f>
        <v>0</v>
      </c>
      <c r="U591" s="288"/>
      <c r="V591" s="288"/>
      <c r="X591" s="288"/>
      <c r="Y591" s="288"/>
      <c r="AC591" s="410">
        <f t="shared" si="315"/>
        <v>0</v>
      </c>
    </row>
    <row r="592" spans="1:40" x14ac:dyDescent="0.25">
      <c r="A592" s="499"/>
      <c r="I592" s="410">
        <f t="shared" si="314"/>
        <v>0</v>
      </c>
      <c r="L592" s="288"/>
      <c r="M592" s="288"/>
      <c r="Q592" s="499">
        <f t="shared" si="316"/>
        <v>0</v>
      </c>
      <c r="U592" s="288"/>
      <c r="V592" s="288"/>
      <c r="X592" s="288"/>
      <c r="Y592" s="288"/>
      <c r="AC592" s="410">
        <f t="shared" si="315"/>
        <v>0</v>
      </c>
    </row>
    <row r="593" spans="1:40" x14ac:dyDescent="0.25">
      <c r="A593" s="499"/>
      <c r="I593" s="410">
        <f t="shared" si="314"/>
        <v>0</v>
      </c>
      <c r="L593" s="288"/>
      <c r="M593" s="288"/>
      <c r="Q593" s="499">
        <f t="shared" si="316"/>
        <v>0</v>
      </c>
      <c r="U593" s="288"/>
      <c r="V593" s="288"/>
      <c r="X593" s="288"/>
      <c r="Y593" s="288"/>
      <c r="AC593" s="410">
        <f t="shared" si="315"/>
        <v>0</v>
      </c>
    </row>
    <row r="594" spans="1:40" x14ac:dyDescent="0.25">
      <c r="A594" s="499"/>
      <c r="I594" s="410">
        <f t="shared" si="314"/>
        <v>0</v>
      </c>
      <c r="L594" s="288"/>
      <c r="M594" s="288"/>
      <c r="Q594" s="499">
        <f t="shared" si="316"/>
        <v>0</v>
      </c>
      <c r="U594" s="288"/>
      <c r="V594" s="288"/>
      <c r="X594" s="288"/>
      <c r="Y594" s="288"/>
      <c r="AC594" s="410">
        <f t="shared" si="315"/>
        <v>0</v>
      </c>
    </row>
    <row r="595" spans="1:40" x14ac:dyDescent="0.25">
      <c r="A595" s="499"/>
      <c r="I595" s="410">
        <f t="shared" si="314"/>
        <v>0</v>
      </c>
      <c r="L595" s="288"/>
      <c r="M595" s="288"/>
      <c r="Q595" s="499">
        <f t="shared" si="316"/>
        <v>0</v>
      </c>
      <c r="U595" s="288"/>
      <c r="V595" s="288"/>
      <c r="X595" s="288"/>
      <c r="Y595" s="288"/>
      <c r="AC595" s="410">
        <f t="shared" si="315"/>
        <v>0</v>
      </c>
    </row>
    <row r="596" spans="1:40" x14ac:dyDescent="0.25">
      <c r="A596" s="499"/>
      <c r="I596" s="410">
        <f t="shared" si="314"/>
        <v>0</v>
      </c>
      <c r="L596" s="288"/>
      <c r="M596" s="288"/>
      <c r="Q596" s="499">
        <f t="shared" si="316"/>
        <v>0</v>
      </c>
      <c r="U596" s="288"/>
      <c r="V596" s="288"/>
      <c r="X596" s="288"/>
      <c r="Y596" s="288"/>
      <c r="AC596" s="410">
        <f t="shared" si="315"/>
        <v>0</v>
      </c>
    </row>
    <row r="597" spans="1:40" x14ac:dyDescent="0.25">
      <c r="A597" s="499"/>
      <c r="I597" s="410">
        <f t="shared" si="314"/>
        <v>0</v>
      </c>
      <c r="L597" s="288"/>
      <c r="M597" s="288"/>
      <c r="Q597" s="499">
        <f t="shared" si="316"/>
        <v>0</v>
      </c>
      <c r="U597" s="288"/>
      <c r="V597" s="288"/>
      <c r="X597" s="288"/>
      <c r="Y597" s="288"/>
      <c r="AC597" s="410">
        <f t="shared" si="315"/>
        <v>0</v>
      </c>
    </row>
    <row r="598" spans="1:40" x14ac:dyDescent="0.25">
      <c r="A598" s="499"/>
      <c r="I598" s="410">
        <f t="shared" si="314"/>
        <v>0</v>
      </c>
      <c r="L598" s="288"/>
      <c r="M598" s="288"/>
      <c r="Q598" s="499">
        <f t="shared" si="316"/>
        <v>0</v>
      </c>
      <c r="U598" s="288"/>
      <c r="V598" s="288"/>
      <c r="X598" s="288"/>
      <c r="Y598" s="288"/>
      <c r="AC598" s="410">
        <f t="shared" si="315"/>
        <v>0</v>
      </c>
    </row>
    <row r="599" spans="1:40" x14ac:dyDescent="0.25">
      <c r="A599" s="499"/>
      <c r="I599" s="410">
        <f t="shared" si="314"/>
        <v>0</v>
      </c>
      <c r="L599" s="288"/>
      <c r="M599" s="288"/>
      <c r="Q599" s="499">
        <f t="shared" si="316"/>
        <v>0</v>
      </c>
      <c r="U599" s="288"/>
      <c r="V599" s="288"/>
      <c r="X599" s="288"/>
      <c r="Y599" s="288"/>
      <c r="AC599" s="410">
        <f t="shared" si="315"/>
        <v>0</v>
      </c>
    </row>
    <row r="600" spans="1:40" x14ac:dyDescent="0.25">
      <c r="A600" s="499"/>
      <c r="I600" s="410">
        <f t="shared" si="314"/>
        <v>0</v>
      </c>
      <c r="L600" s="288"/>
      <c r="M600" s="288"/>
      <c r="Q600" s="499">
        <f t="shared" si="316"/>
        <v>0</v>
      </c>
      <c r="U600" s="288"/>
      <c r="V600" s="288"/>
      <c r="X600" s="288"/>
      <c r="Y600" s="288"/>
      <c r="AC600" s="410">
        <f t="shared" si="315"/>
        <v>0</v>
      </c>
    </row>
    <row r="601" spans="1:40" x14ac:dyDescent="0.25">
      <c r="A601" s="499"/>
      <c r="I601" s="410">
        <f t="shared" si="314"/>
        <v>0</v>
      </c>
      <c r="L601" s="288"/>
      <c r="M601" s="288"/>
      <c r="Q601" s="499">
        <f t="shared" si="316"/>
        <v>0</v>
      </c>
      <c r="U601" s="288"/>
      <c r="V601" s="288"/>
      <c r="X601" s="288"/>
      <c r="Y601" s="288"/>
      <c r="AC601" s="410">
        <f t="shared" si="315"/>
        <v>0</v>
      </c>
    </row>
    <row r="602" spans="1:40" ht="15.75" thickBot="1" x14ac:dyDescent="0.3">
      <c r="A602" s="502"/>
      <c r="B602" s="343"/>
      <c r="C602" s="21"/>
      <c r="D602" s="21"/>
      <c r="E602" s="21"/>
      <c r="F602" s="343"/>
      <c r="G602" s="343"/>
      <c r="H602" s="343"/>
      <c r="I602" s="410">
        <f t="shared" si="314"/>
        <v>0</v>
      </c>
      <c r="J602" s="343"/>
      <c r="K602" s="21"/>
      <c r="L602" s="343"/>
      <c r="M602" s="343"/>
      <c r="N602" s="343"/>
      <c r="O602" s="343"/>
      <c r="P602" s="343"/>
      <c r="Q602" s="502">
        <f t="shared" si="316"/>
        <v>0</v>
      </c>
      <c r="R602" s="343"/>
      <c r="S602" s="493"/>
      <c r="T602" s="21"/>
      <c r="U602" s="343"/>
      <c r="V602" s="343"/>
      <c r="W602" s="21"/>
      <c r="X602" s="343"/>
      <c r="Y602" s="343"/>
      <c r="Z602" s="343"/>
      <c r="AA602" s="343"/>
      <c r="AB602" s="343"/>
      <c r="AC602" s="410">
        <f t="shared" si="315"/>
        <v>0</v>
      </c>
      <c r="AD602" s="343"/>
      <c r="AE602" s="343"/>
      <c r="AF602" s="343"/>
      <c r="AG602" s="21"/>
      <c r="AH602" s="21"/>
      <c r="AI602" s="23"/>
      <c r="AJ602" s="21"/>
      <c r="AK602" s="21"/>
      <c r="AL602" s="343"/>
      <c r="AM602" s="343"/>
      <c r="AN602" s="21"/>
    </row>
    <row r="603" spans="1:40" x14ac:dyDescent="0.25">
      <c r="A603" s="499"/>
      <c r="I603" s="410">
        <f t="shared" si="314"/>
        <v>0</v>
      </c>
      <c r="L603" s="288"/>
      <c r="M603" s="288"/>
      <c r="Q603" s="499">
        <f t="shared" si="316"/>
        <v>0</v>
      </c>
      <c r="U603" s="288"/>
      <c r="V603" s="288"/>
      <c r="X603" s="288"/>
      <c r="Y603" s="288"/>
      <c r="AC603" s="410">
        <f t="shared" si="315"/>
        <v>0</v>
      </c>
    </row>
    <row r="604" spans="1:40" x14ac:dyDescent="0.25">
      <c r="A604" s="499"/>
      <c r="I604" s="410">
        <f t="shared" si="314"/>
        <v>0</v>
      </c>
      <c r="L604" s="288"/>
      <c r="M604" s="288"/>
      <c r="Q604" s="499">
        <f t="shared" si="316"/>
        <v>0</v>
      </c>
      <c r="U604" s="288"/>
      <c r="V604" s="288"/>
      <c r="X604" s="288"/>
      <c r="Y604" s="288"/>
      <c r="AC604" s="410">
        <f t="shared" si="315"/>
        <v>0</v>
      </c>
    </row>
    <row r="605" spans="1:40" x14ac:dyDescent="0.25">
      <c r="A605" s="499"/>
      <c r="I605" s="410">
        <f t="shared" si="314"/>
        <v>0</v>
      </c>
      <c r="L605" s="288"/>
      <c r="M605" s="288"/>
      <c r="Q605" s="499">
        <f t="shared" si="316"/>
        <v>0</v>
      </c>
      <c r="U605" s="288"/>
      <c r="V605" s="288"/>
      <c r="X605" s="288"/>
      <c r="Y605" s="288"/>
      <c r="AC605" s="410">
        <f t="shared" si="315"/>
        <v>0</v>
      </c>
    </row>
    <row r="606" spans="1:40" x14ac:dyDescent="0.25">
      <c r="A606" s="499"/>
      <c r="I606" s="410">
        <f t="shared" si="314"/>
        <v>0</v>
      </c>
      <c r="L606" s="288"/>
      <c r="M606" s="288"/>
      <c r="Q606" s="499">
        <f t="shared" si="316"/>
        <v>0</v>
      </c>
      <c r="U606" s="288"/>
      <c r="V606" s="288"/>
      <c r="X606" s="288"/>
      <c r="Y606" s="288"/>
      <c r="AC606" s="410">
        <f t="shared" si="315"/>
        <v>0</v>
      </c>
    </row>
    <row r="607" spans="1:40" x14ac:dyDescent="0.25">
      <c r="A607" s="499"/>
      <c r="I607" s="410">
        <f t="shared" si="314"/>
        <v>0</v>
      </c>
      <c r="L607" s="288"/>
      <c r="M607" s="288"/>
      <c r="Q607" s="499">
        <f t="shared" si="316"/>
        <v>0</v>
      </c>
      <c r="U607" s="288"/>
      <c r="V607" s="288"/>
      <c r="X607" s="288"/>
      <c r="Y607" s="288"/>
      <c r="AC607" s="410">
        <f t="shared" si="315"/>
        <v>0</v>
      </c>
    </row>
    <row r="608" spans="1:40" x14ac:dyDescent="0.25">
      <c r="A608" s="499"/>
      <c r="I608" s="410">
        <f t="shared" si="314"/>
        <v>0</v>
      </c>
      <c r="L608" s="288"/>
      <c r="M608" s="288"/>
      <c r="Q608" s="499">
        <f t="shared" si="316"/>
        <v>0</v>
      </c>
      <c r="U608" s="288"/>
      <c r="V608" s="288"/>
      <c r="X608" s="288"/>
      <c r="Y608" s="288"/>
      <c r="AC608" s="410">
        <f t="shared" si="315"/>
        <v>0</v>
      </c>
    </row>
    <row r="609" spans="1:40" x14ac:dyDescent="0.25">
      <c r="A609" s="499"/>
      <c r="I609" s="410">
        <f t="shared" si="314"/>
        <v>0</v>
      </c>
      <c r="L609" s="288"/>
      <c r="M609" s="288"/>
      <c r="Q609" s="499">
        <f t="shared" si="316"/>
        <v>0</v>
      </c>
      <c r="U609" s="288"/>
      <c r="V609" s="288"/>
      <c r="X609" s="288"/>
      <c r="Y609" s="288"/>
      <c r="AC609" s="410">
        <f t="shared" si="315"/>
        <v>0</v>
      </c>
    </row>
    <row r="610" spans="1:40" x14ac:dyDescent="0.25">
      <c r="A610" s="499"/>
      <c r="I610" s="410">
        <f t="shared" si="314"/>
        <v>0</v>
      </c>
      <c r="L610" s="288"/>
      <c r="M610" s="288"/>
      <c r="Q610" s="499">
        <f t="shared" si="316"/>
        <v>0</v>
      </c>
      <c r="U610" s="288"/>
      <c r="V610" s="288"/>
      <c r="X610" s="288"/>
      <c r="Y610" s="288"/>
      <c r="AC610" s="410">
        <f t="shared" si="315"/>
        <v>0</v>
      </c>
    </row>
    <row r="611" spans="1:40" x14ac:dyDescent="0.25">
      <c r="A611" s="499"/>
      <c r="I611" s="410">
        <f t="shared" si="314"/>
        <v>0</v>
      </c>
      <c r="L611" s="288"/>
      <c r="M611" s="288"/>
      <c r="Q611" s="499">
        <f t="shared" si="316"/>
        <v>0</v>
      </c>
      <c r="U611" s="288"/>
      <c r="V611" s="288"/>
      <c r="X611" s="288"/>
      <c r="Y611" s="288"/>
      <c r="AC611" s="410">
        <f t="shared" si="315"/>
        <v>0</v>
      </c>
    </row>
    <row r="612" spans="1:40" x14ac:dyDescent="0.25">
      <c r="A612" s="499"/>
      <c r="I612" s="410">
        <f t="shared" si="314"/>
        <v>0</v>
      </c>
      <c r="L612" s="288"/>
      <c r="M612" s="288"/>
      <c r="Q612" s="499">
        <f t="shared" si="316"/>
        <v>0</v>
      </c>
      <c r="U612" s="288"/>
      <c r="V612" s="288"/>
      <c r="X612" s="288"/>
      <c r="Y612" s="288"/>
      <c r="AC612" s="410">
        <f t="shared" si="315"/>
        <v>0</v>
      </c>
    </row>
    <row r="613" spans="1:40" x14ac:dyDescent="0.25">
      <c r="A613" s="499"/>
      <c r="I613" s="410">
        <f t="shared" si="314"/>
        <v>0</v>
      </c>
      <c r="L613" s="288"/>
      <c r="M613" s="288"/>
      <c r="Q613" s="499">
        <f t="shared" si="316"/>
        <v>0</v>
      </c>
      <c r="U613" s="288"/>
      <c r="V613" s="288"/>
      <c r="X613" s="288"/>
      <c r="Y613" s="288"/>
      <c r="AC613" s="410">
        <f t="shared" si="315"/>
        <v>0</v>
      </c>
    </row>
    <row r="614" spans="1:40" ht="15.75" thickBot="1" x14ac:dyDescent="0.3">
      <c r="A614" s="502"/>
      <c r="B614" s="343"/>
      <c r="C614" s="21"/>
      <c r="D614" s="21"/>
      <c r="E614" s="21"/>
      <c r="F614" s="343"/>
      <c r="G614" s="343"/>
      <c r="H614" s="343"/>
      <c r="I614" s="410">
        <f t="shared" si="314"/>
        <v>0</v>
      </c>
      <c r="J614" s="343"/>
      <c r="K614" s="21"/>
      <c r="L614" s="343"/>
      <c r="M614" s="343"/>
      <c r="N614" s="343"/>
      <c r="O614" s="343"/>
      <c r="P614" s="343"/>
      <c r="Q614" s="502">
        <f t="shared" si="316"/>
        <v>0</v>
      </c>
      <c r="R614" s="343"/>
      <c r="S614" s="493"/>
      <c r="T614" s="21"/>
      <c r="U614" s="343"/>
      <c r="V614" s="343"/>
      <c r="W614" s="21"/>
      <c r="X614" s="343"/>
      <c r="Y614" s="343"/>
      <c r="Z614" s="343"/>
      <c r="AA614" s="343"/>
      <c r="AB614" s="343"/>
      <c r="AC614" s="410">
        <f t="shared" si="315"/>
        <v>0</v>
      </c>
      <c r="AD614" s="343"/>
      <c r="AE614" s="343"/>
      <c r="AF614" s="343"/>
      <c r="AG614" s="21"/>
      <c r="AH614" s="21"/>
      <c r="AI614" s="23"/>
      <c r="AJ614" s="21"/>
      <c r="AK614" s="21"/>
      <c r="AL614" s="343"/>
      <c r="AM614" s="343"/>
      <c r="AN614" s="21"/>
    </row>
    <row r="615" spans="1:40" x14ac:dyDescent="0.25">
      <c r="A615" s="499"/>
      <c r="I615" s="410">
        <f t="shared" si="314"/>
        <v>0</v>
      </c>
      <c r="L615" s="288"/>
      <c r="M615" s="288"/>
      <c r="Q615" s="499">
        <f t="shared" si="316"/>
        <v>0</v>
      </c>
      <c r="U615" s="288"/>
      <c r="V615" s="288"/>
      <c r="X615" s="288"/>
      <c r="Y615" s="288"/>
      <c r="AC615" s="410">
        <f t="shared" si="315"/>
        <v>0</v>
      </c>
    </row>
    <row r="616" spans="1:40" x14ac:dyDescent="0.25">
      <c r="A616" s="499"/>
      <c r="I616" s="410">
        <f t="shared" si="314"/>
        <v>0</v>
      </c>
      <c r="L616" s="288"/>
      <c r="M616" s="288"/>
      <c r="Q616" s="499">
        <f t="shared" si="316"/>
        <v>0</v>
      </c>
      <c r="U616" s="288"/>
      <c r="V616" s="288"/>
      <c r="X616" s="288"/>
      <c r="Y616" s="288"/>
      <c r="AC616" s="410">
        <f t="shared" si="315"/>
        <v>0</v>
      </c>
    </row>
    <row r="617" spans="1:40" x14ac:dyDescent="0.25">
      <c r="A617" s="499"/>
      <c r="I617" s="410">
        <f t="shared" si="314"/>
        <v>0</v>
      </c>
      <c r="L617" s="288"/>
      <c r="M617" s="288"/>
      <c r="Q617" s="499">
        <f t="shared" si="316"/>
        <v>0</v>
      </c>
      <c r="U617" s="288"/>
      <c r="V617" s="288"/>
      <c r="X617" s="288"/>
      <c r="Y617" s="288"/>
      <c r="AC617" s="410">
        <f t="shared" si="315"/>
        <v>0</v>
      </c>
    </row>
    <row r="618" spans="1:40" x14ac:dyDescent="0.25">
      <c r="A618" s="499"/>
      <c r="I618" s="410">
        <f t="shared" si="314"/>
        <v>0</v>
      </c>
      <c r="L618" s="288"/>
      <c r="M618" s="288"/>
      <c r="Q618" s="499">
        <f t="shared" si="316"/>
        <v>0</v>
      </c>
      <c r="U618" s="288"/>
      <c r="V618" s="288"/>
      <c r="X618" s="288"/>
      <c r="Y618" s="288"/>
      <c r="AC618" s="410">
        <f t="shared" si="315"/>
        <v>0</v>
      </c>
    </row>
    <row r="619" spans="1:40" x14ac:dyDescent="0.25">
      <c r="A619" s="499"/>
      <c r="I619" s="410">
        <f t="shared" ref="I619:I682" si="317">IF(MOD(AC619,12)=0,AC619/12,I618)</f>
        <v>0</v>
      </c>
      <c r="L619" s="288"/>
      <c r="M619" s="288"/>
      <c r="Q619" s="499">
        <f t="shared" si="316"/>
        <v>0</v>
      </c>
      <c r="U619" s="288"/>
      <c r="V619" s="288"/>
      <c r="X619" s="288"/>
      <c r="Y619" s="288"/>
      <c r="AC619" s="410">
        <f t="shared" ref="AC619:AC682" si="318">IF(J619&lt;&gt;"",IF(J619=$J$6,0,+AC618+1),0)</f>
        <v>0</v>
      </c>
    </row>
    <row r="620" spans="1:40" x14ac:dyDescent="0.25">
      <c r="A620" s="499"/>
      <c r="I620" s="410">
        <f t="shared" si="317"/>
        <v>0</v>
      </c>
      <c r="L620" s="288"/>
      <c r="M620" s="288"/>
      <c r="Q620" s="499">
        <f t="shared" si="316"/>
        <v>0</v>
      </c>
      <c r="U620" s="288"/>
      <c r="V620" s="288"/>
      <c r="X620" s="288"/>
      <c r="Y620" s="288"/>
      <c r="AC620" s="410">
        <f t="shared" si="318"/>
        <v>0</v>
      </c>
    </row>
    <row r="621" spans="1:40" x14ac:dyDescent="0.25">
      <c r="A621" s="499"/>
      <c r="I621" s="410">
        <f t="shared" si="317"/>
        <v>0</v>
      </c>
      <c r="L621" s="288"/>
      <c r="M621" s="288"/>
      <c r="Q621" s="499">
        <f t="shared" si="316"/>
        <v>0</v>
      </c>
      <c r="U621" s="288"/>
      <c r="V621" s="288"/>
      <c r="X621" s="288"/>
      <c r="Y621" s="288"/>
      <c r="AC621" s="410">
        <f t="shared" si="318"/>
        <v>0</v>
      </c>
    </row>
    <row r="622" spans="1:40" x14ac:dyDescent="0.25">
      <c r="A622" s="499"/>
      <c r="I622" s="410">
        <f t="shared" si="317"/>
        <v>0</v>
      </c>
      <c r="L622" s="288"/>
      <c r="M622" s="288"/>
      <c r="Q622" s="499">
        <f t="shared" si="316"/>
        <v>0</v>
      </c>
      <c r="U622" s="288"/>
      <c r="V622" s="288"/>
      <c r="X622" s="288"/>
      <c r="Y622" s="288"/>
      <c r="AC622" s="410">
        <f t="shared" si="318"/>
        <v>0</v>
      </c>
    </row>
    <row r="623" spans="1:40" x14ac:dyDescent="0.25">
      <c r="A623" s="499"/>
      <c r="I623" s="410">
        <f t="shared" si="317"/>
        <v>0</v>
      </c>
      <c r="L623" s="288"/>
      <c r="M623" s="288"/>
      <c r="Q623" s="499">
        <f t="shared" si="316"/>
        <v>0</v>
      </c>
      <c r="U623" s="288"/>
      <c r="V623" s="288"/>
      <c r="X623" s="288"/>
      <c r="Y623" s="288"/>
      <c r="AC623" s="410">
        <f t="shared" si="318"/>
        <v>0</v>
      </c>
    </row>
    <row r="624" spans="1:40" x14ac:dyDescent="0.25">
      <c r="A624" s="499"/>
      <c r="I624" s="410">
        <f t="shared" si="317"/>
        <v>0</v>
      </c>
      <c r="L624" s="288"/>
      <c r="M624" s="288"/>
      <c r="Q624" s="499">
        <f t="shared" si="316"/>
        <v>0</v>
      </c>
      <c r="U624" s="288"/>
      <c r="V624" s="288"/>
      <c r="X624" s="288"/>
      <c r="Y624" s="288"/>
      <c r="AC624" s="410">
        <f t="shared" si="318"/>
        <v>0</v>
      </c>
    </row>
    <row r="625" spans="1:40" x14ac:dyDescent="0.25">
      <c r="A625" s="499"/>
      <c r="I625" s="410">
        <f t="shared" si="317"/>
        <v>0</v>
      </c>
      <c r="L625" s="288"/>
      <c r="M625" s="288"/>
      <c r="Q625" s="499">
        <f t="shared" si="316"/>
        <v>0</v>
      </c>
      <c r="U625" s="288"/>
      <c r="V625" s="288"/>
      <c r="X625" s="288"/>
      <c r="Y625" s="288"/>
      <c r="AC625" s="410">
        <f t="shared" si="318"/>
        <v>0</v>
      </c>
    </row>
    <row r="626" spans="1:40" ht="15.75" thickBot="1" x14ac:dyDescent="0.3">
      <c r="A626" s="502"/>
      <c r="B626" s="343"/>
      <c r="C626" s="21"/>
      <c r="D626" s="21"/>
      <c r="E626" s="21"/>
      <c r="F626" s="343"/>
      <c r="G626" s="343"/>
      <c r="H626" s="343"/>
      <c r="I626" s="410">
        <f t="shared" si="317"/>
        <v>0</v>
      </c>
      <c r="J626" s="343"/>
      <c r="K626" s="21"/>
      <c r="L626" s="343"/>
      <c r="M626" s="343"/>
      <c r="N626" s="343"/>
      <c r="O626" s="343"/>
      <c r="P626" s="343"/>
      <c r="Q626" s="502">
        <f t="shared" si="316"/>
        <v>0</v>
      </c>
      <c r="R626" s="343"/>
      <c r="S626" s="493"/>
      <c r="T626" s="21"/>
      <c r="U626" s="343"/>
      <c r="V626" s="343"/>
      <c r="W626" s="21"/>
      <c r="X626" s="343"/>
      <c r="Y626" s="343"/>
      <c r="Z626" s="343"/>
      <c r="AA626" s="343"/>
      <c r="AB626" s="343"/>
      <c r="AC626" s="410">
        <f t="shared" si="318"/>
        <v>0</v>
      </c>
      <c r="AD626" s="343"/>
      <c r="AE626" s="343"/>
      <c r="AF626" s="343"/>
      <c r="AG626" s="21"/>
      <c r="AH626" s="21"/>
      <c r="AI626" s="23"/>
      <c r="AJ626" s="21"/>
      <c r="AK626" s="21"/>
      <c r="AL626" s="343"/>
      <c r="AM626" s="343"/>
      <c r="AN626" s="21"/>
    </row>
    <row r="627" spans="1:40" x14ac:dyDescent="0.25">
      <c r="A627" s="499"/>
      <c r="I627" s="410">
        <f t="shared" si="317"/>
        <v>0</v>
      </c>
      <c r="L627" s="288"/>
      <c r="M627" s="288"/>
      <c r="Q627" s="499">
        <f t="shared" si="316"/>
        <v>0</v>
      </c>
      <c r="U627" s="288"/>
      <c r="V627" s="288"/>
      <c r="X627" s="288"/>
      <c r="Y627" s="288"/>
      <c r="AC627" s="410">
        <f t="shared" si="318"/>
        <v>0</v>
      </c>
    </row>
    <row r="628" spans="1:40" x14ac:dyDescent="0.25">
      <c r="A628" s="499"/>
      <c r="I628" s="410">
        <f t="shared" si="317"/>
        <v>0</v>
      </c>
      <c r="L628" s="288"/>
      <c r="M628" s="288"/>
      <c r="Q628" s="499">
        <f t="shared" si="316"/>
        <v>0</v>
      </c>
      <c r="U628" s="288"/>
      <c r="V628" s="288"/>
      <c r="X628" s="288"/>
      <c r="Y628" s="288"/>
      <c r="AC628" s="410">
        <f t="shared" si="318"/>
        <v>0</v>
      </c>
    </row>
    <row r="629" spans="1:40" x14ac:dyDescent="0.25">
      <c r="A629" s="499"/>
      <c r="I629" s="410">
        <f t="shared" si="317"/>
        <v>0</v>
      </c>
      <c r="L629" s="288"/>
      <c r="M629" s="288"/>
      <c r="Q629" s="499">
        <f t="shared" si="316"/>
        <v>0</v>
      </c>
      <c r="U629" s="288"/>
      <c r="V629" s="288"/>
      <c r="X629" s="288"/>
      <c r="Y629" s="288"/>
      <c r="AC629" s="410">
        <f t="shared" si="318"/>
        <v>0</v>
      </c>
    </row>
    <row r="630" spans="1:40" x14ac:dyDescent="0.25">
      <c r="A630" s="499"/>
      <c r="I630" s="410">
        <f t="shared" si="317"/>
        <v>0</v>
      </c>
      <c r="L630" s="288"/>
      <c r="M630" s="288"/>
      <c r="Q630" s="499">
        <f t="shared" si="316"/>
        <v>0</v>
      </c>
      <c r="U630" s="288"/>
      <c r="V630" s="288"/>
      <c r="X630" s="288"/>
      <c r="Y630" s="288"/>
      <c r="AC630" s="410">
        <f t="shared" si="318"/>
        <v>0</v>
      </c>
    </row>
    <row r="631" spans="1:40" x14ac:dyDescent="0.25">
      <c r="A631" s="499"/>
      <c r="I631" s="410">
        <f t="shared" si="317"/>
        <v>0</v>
      </c>
      <c r="L631" s="288"/>
      <c r="M631" s="288"/>
      <c r="Q631" s="499">
        <f t="shared" si="316"/>
        <v>0</v>
      </c>
      <c r="U631" s="288"/>
      <c r="V631" s="288"/>
      <c r="X631" s="288"/>
      <c r="Y631" s="288"/>
      <c r="AC631" s="410">
        <f t="shared" si="318"/>
        <v>0</v>
      </c>
    </row>
    <row r="632" spans="1:40" x14ac:dyDescent="0.25">
      <c r="A632" s="499"/>
      <c r="I632" s="410">
        <f t="shared" si="317"/>
        <v>0</v>
      </c>
      <c r="L632" s="288"/>
      <c r="M632" s="288"/>
      <c r="Q632" s="499">
        <f t="shared" si="316"/>
        <v>0</v>
      </c>
      <c r="U632" s="288"/>
      <c r="V632" s="288"/>
      <c r="X632" s="288"/>
      <c r="Y632" s="288"/>
      <c r="AC632" s="410">
        <f t="shared" si="318"/>
        <v>0</v>
      </c>
    </row>
    <row r="633" spans="1:40" x14ac:dyDescent="0.25">
      <c r="A633" s="499"/>
      <c r="I633" s="410">
        <f t="shared" si="317"/>
        <v>0</v>
      </c>
      <c r="L633" s="288"/>
      <c r="M633" s="288"/>
      <c r="Q633" s="499">
        <f t="shared" si="316"/>
        <v>0</v>
      </c>
      <c r="U633" s="288"/>
      <c r="V633" s="288"/>
      <c r="X633" s="288"/>
      <c r="Y633" s="288"/>
      <c r="AC633" s="410">
        <f t="shared" si="318"/>
        <v>0</v>
      </c>
    </row>
    <row r="634" spans="1:40" x14ac:dyDescent="0.25">
      <c r="A634" s="499"/>
      <c r="I634" s="410">
        <f t="shared" si="317"/>
        <v>0</v>
      </c>
      <c r="L634" s="288"/>
      <c r="M634" s="288"/>
      <c r="Q634" s="499">
        <f t="shared" si="316"/>
        <v>0</v>
      </c>
      <c r="U634" s="288"/>
      <c r="V634" s="288"/>
      <c r="X634" s="288"/>
      <c r="Y634" s="288"/>
      <c r="AC634" s="410">
        <f t="shared" si="318"/>
        <v>0</v>
      </c>
    </row>
    <row r="635" spans="1:40" x14ac:dyDescent="0.25">
      <c r="A635" s="499"/>
      <c r="I635" s="410">
        <f t="shared" si="317"/>
        <v>0</v>
      </c>
      <c r="L635" s="288"/>
      <c r="M635" s="288"/>
      <c r="Q635" s="499">
        <f t="shared" si="316"/>
        <v>0</v>
      </c>
      <c r="U635" s="288"/>
      <c r="V635" s="288"/>
      <c r="X635" s="288"/>
      <c r="Y635" s="288"/>
      <c r="AC635" s="410">
        <f t="shared" si="318"/>
        <v>0</v>
      </c>
    </row>
    <row r="636" spans="1:40" x14ac:dyDescent="0.25">
      <c r="A636" s="499"/>
      <c r="I636" s="410">
        <f t="shared" si="317"/>
        <v>0</v>
      </c>
      <c r="L636" s="288"/>
      <c r="M636" s="288"/>
      <c r="Q636" s="499">
        <f t="shared" si="316"/>
        <v>0</v>
      </c>
      <c r="U636" s="288"/>
      <c r="V636" s="288"/>
      <c r="X636" s="288"/>
      <c r="Y636" s="288"/>
      <c r="AC636" s="410">
        <f t="shared" si="318"/>
        <v>0</v>
      </c>
    </row>
    <row r="637" spans="1:40" x14ac:dyDescent="0.25">
      <c r="A637" s="499"/>
      <c r="I637" s="410">
        <f t="shared" si="317"/>
        <v>0</v>
      </c>
      <c r="L637" s="288"/>
      <c r="M637" s="288"/>
      <c r="Q637" s="499">
        <f t="shared" si="316"/>
        <v>0</v>
      </c>
      <c r="U637" s="288"/>
      <c r="V637" s="288"/>
      <c r="X637" s="288"/>
      <c r="Y637" s="288"/>
      <c r="AC637" s="410">
        <f t="shared" si="318"/>
        <v>0</v>
      </c>
    </row>
    <row r="638" spans="1:40" ht="15.75" thickBot="1" x14ac:dyDescent="0.3">
      <c r="A638" s="502"/>
      <c r="B638" s="343"/>
      <c r="C638" s="21"/>
      <c r="D638" s="21"/>
      <c r="E638" s="21"/>
      <c r="F638" s="343"/>
      <c r="G638" s="343"/>
      <c r="H638" s="343"/>
      <c r="I638" s="410">
        <f t="shared" si="317"/>
        <v>0</v>
      </c>
      <c r="J638" s="343"/>
      <c r="K638" s="21"/>
      <c r="L638" s="343"/>
      <c r="M638" s="343"/>
      <c r="N638" s="343"/>
      <c r="O638" s="343"/>
      <c r="P638" s="343"/>
      <c r="Q638" s="502">
        <f t="shared" si="316"/>
        <v>0</v>
      </c>
      <c r="R638" s="343"/>
      <c r="S638" s="493"/>
      <c r="T638" s="21"/>
      <c r="U638" s="343"/>
      <c r="V638" s="343"/>
      <c r="W638" s="21"/>
      <c r="X638" s="343"/>
      <c r="Y638" s="343"/>
      <c r="Z638" s="343"/>
      <c r="AA638" s="343"/>
      <c r="AB638" s="343"/>
      <c r="AC638" s="410">
        <f t="shared" si="318"/>
        <v>0</v>
      </c>
      <c r="AD638" s="343"/>
      <c r="AE638" s="343"/>
      <c r="AF638" s="343"/>
      <c r="AG638" s="21"/>
      <c r="AH638" s="21"/>
      <c r="AI638" s="23"/>
      <c r="AJ638" s="21"/>
      <c r="AK638" s="21"/>
      <c r="AL638" s="343"/>
      <c r="AM638" s="343"/>
      <c r="AN638" s="21"/>
    </row>
    <row r="639" spans="1:40" x14ac:dyDescent="0.25">
      <c r="A639" s="499"/>
      <c r="I639" s="410">
        <f t="shared" si="317"/>
        <v>0</v>
      </c>
      <c r="L639" s="288"/>
      <c r="M639" s="288"/>
      <c r="Q639" s="499">
        <f t="shared" si="316"/>
        <v>0</v>
      </c>
      <c r="U639" s="288"/>
      <c r="V639" s="288"/>
      <c r="X639" s="288"/>
      <c r="Y639" s="288"/>
      <c r="AC639" s="410">
        <f t="shared" si="318"/>
        <v>0</v>
      </c>
    </row>
    <row r="640" spans="1:40" x14ac:dyDescent="0.25">
      <c r="A640" s="499"/>
      <c r="I640" s="410">
        <f t="shared" si="317"/>
        <v>0</v>
      </c>
      <c r="L640" s="288"/>
      <c r="M640" s="288"/>
      <c r="Q640" s="499">
        <f t="shared" si="316"/>
        <v>0</v>
      </c>
      <c r="U640" s="288"/>
      <c r="V640" s="288"/>
      <c r="X640" s="288"/>
      <c r="Y640" s="288"/>
      <c r="AC640" s="410">
        <f t="shared" si="318"/>
        <v>0</v>
      </c>
    </row>
    <row r="641" spans="1:40" x14ac:dyDescent="0.25">
      <c r="A641" s="499"/>
      <c r="I641" s="410">
        <f t="shared" si="317"/>
        <v>0</v>
      </c>
      <c r="L641" s="288"/>
      <c r="M641" s="288"/>
      <c r="Q641" s="499">
        <f t="shared" si="316"/>
        <v>0</v>
      </c>
      <c r="U641" s="288"/>
      <c r="V641" s="288"/>
      <c r="X641" s="288"/>
      <c r="Y641" s="288"/>
      <c r="AC641" s="410">
        <f t="shared" si="318"/>
        <v>0</v>
      </c>
    </row>
    <row r="642" spans="1:40" x14ac:dyDescent="0.25">
      <c r="A642" s="499"/>
      <c r="I642" s="410">
        <f t="shared" si="317"/>
        <v>0</v>
      </c>
      <c r="L642" s="288"/>
      <c r="M642" s="288"/>
      <c r="Q642" s="499">
        <f t="shared" si="316"/>
        <v>0</v>
      </c>
      <c r="U642" s="288"/>
      <c r="V642" s="288"/>
      <c r="X642" s="288"/>
      <c r="Y642" s="288"/>
      <c r="AC642" s="410">
        <f t="shared" si="318"/>
        <v>0</v>
      </c>
    </row>
    <row r="643" spans="1:40" x14ac:dyDescent="0.25">
      <c r="A643" s="499"/>
      <c r="I643" s="410">
        <f t="shared" si="317"/>
        <v>0</v>
      </c>
      <c r="L643" s="288"/>
      <c r="M643" s="288"/>
      <c r="Q643" s="499">
        <f t="shared" si="316"/>
        <v>0</v>
      </c>
      <c r="U643" s="288"/>
      <c r="V643" s="288"/>
      <c r="X643" s="288"/>
      <c r="Y643" s="288"/>
      <c r="AC643" s="410">
        <f t="shared" si="318"/>
        <v>0</v>
      </c>
    </row>
    <row r="644" spans="1:40" x14ac:dyDescent="0.25">
      <c r="A644" s="499"/>
      <c r="I644" s="410">
        <f t="shared" si="317"/>
        <v>0</v>
      </c>
      <c r="L644" s="288"/>
      <c r="M644" s="288"/>
      <c r="Q644" s="499">
        <f t="shared" si="316"/>
        <v>0</v>
      </c>
      <c r="U644" s="288"/>
      <c r="V644" s="288"/>
      <c r="X644" s="288"/>
      <c r="Y644" s="288"/>
      <c r="AC644" s="410">
        <f t="shared" si="318"/>
        <v>0</v>
      </c>
    </row>
    <row r="645" spans="1:40" x14ac:dyDescent="0.25">
      <c r="A645" s="499"/>
      <c r="I645" s="410">
        <f t="shared" si="317"/>
        <v>0</v>
      </c>
      <c r="L645" s="288"/>
      <c r="M645" s="288"/>
      <c r="Q645" s="499">
        <f t="shared" si="316"/>
        <v>0</v>
      </c>
      <c r="U645" s="288"/>
      <c r="V645" s="288"/>
      <c r="X645" s="288"/>
      <c r="Y645" s="288"/>
      <c r="AC645" s="410">
        <f t="shared" si="318"/>
        <v>0</v>
      </c>
    </row>
    <row r="646" spans="1:40" x14ac:dyDescent="0.25">
      <c r="A646" s="499"/>
      <c r="I646" s="410">
        <f t="shared" si="317"/>
        <v>0</v>
      </c>
      <c r="L646" s="288"/>
      <c r="M646" s="288"/>
      <c r="Q646" s="499">
        <f t="shared" si="316"/>
        <v>0</v>
      </c>
      <c r="U646" s="288"/>
      <c r="V646" s="288"/>
      <c r="X646" s="288"/>
      <c r="Y646" s="288"/>
      <c r="AC646" s="410">
        <f t="shared" si="318"/>
        <v>0</v>
      </c>
    </row>
    <row r="647" spans="1:40" x14ac:dyDescent="0.25">
      <c r="A647" s="499"/>
      <c r="I647" s="410">
        <f t="shared" si="317"/>
        <v>0</v>
      </c>
      <c r="L647" s="288"/>
      <c r="M647" s="288"/>
      <c r="Q647" s="499">
        <f t="shared" si="316"/>
        <v>0</v>
      </c>
      <c r="U647" s="288"/>
      <c r="V647" s="288"/>
      <c r="X647" s="288"/>
      <c r="Y647" s="288"/>
      <c r="AC647" s="410">
        <f t="shared" si="318"/>
        <v>0</v>
      </c>
    </row>
    <row r="648" spans="1:40" x14ac:dyDescent="0.25">
      <c r="A648" s="499"/>
      <c r="I648" s="410">
        <f t="shared" si="317"/>
        <v>0</v>
      </c>
      <c r="L648" s="288"/>
      <c r="M648" s="288"/>
      <c r="Q648" s="499">
        <f t="shared" si="316"/>
        <v>0</v>
      </c>
      <c r="U648" s="288"/>
      <c r="V648" s="288"/>
      <c r="X648" s="288"/>
      <c r="Y648" s="288"/>
      <c r="AC648" s="410">
        <f t="shared" si="318"/>
        <v>0</v>
      </c>
    </row>
    <row r="649" spans="1:40" x14ac:dyDescent="0.25">
      <c r="A649" s="499"/>
      <c r="I649" s="410">
        <f t="shared" si="317"/>
        <v>0</v>
      </c>
      <c r="L649" s="288"/>
      <c r="M649" s="288"/>
      <c r="Q649" s="499">
        <f t="shared" si="316"/>
        <v>0</v>
      </c>
      <c r="U649" s="288"/>
      <c r="V649" s="288"/>
      <c r="X649" s="288"/>
      <c r="Y649" s="288"/>
      <c r="AC649" s="410">
        <f t="shared" si="318"/>
        <v>0</v>
      </c>
    </row>
    <row r="650" spans="1:40" ht="15.75" thickBot="1" x14ac:dyDescent="0.3">
      <c r="A650" s="502"/>
      <c r="B650" s="343"/>
      <c r="C650" s="21"/>
      <c r="D650" s="21"/>
      <c r="E650" s="21"/>
      <c r="F650" s="343"/>
      <c r="G650" s="343"/>
      <c r="H650" s="343"/>
      <c r="I650" s="410">
        <f t="shared" si="317"/>
        <v>0</v>
      </c>
      <c r="J650" s="343"/>
      <c r="K650" s="21"/>
      <c r="L650" s="343"/>
      <c r="M650" s="343"/>
      <c r="N650" s="343"/>
      <c r="O650" s="343"/>
      <c r="P650" s="343"/>
      <c r="Q650" s="502">
        <f t="shared" si="316"/>
        <v>0</v>
      </c>
      <c r="R650" s="343"/>
      <c r="S650" s="493"/>
      <c r="T650" s="21"/>
      <c r="U650" s="343"/>
      <c r="V650" s="343"/>
      <c r="W650" s="21"/>
      <c r="X650" s="343"/>
      <c r="Y650" s="343"/>
      <c r="Z650" s="343"/>
      <c r="AA650" s="343"/>
      <c r="AB650" s="343"/>
      <c r="AC650" s="410">
        <f t="shared" si="318"/>
        <v>0</v>
      </c>
      <c r="AD650" s="343"/>
      <c r="AE650" s="343"/>
      <c r="AF650" s="343"/>
      <c r="AG650" s="21"/>
      <c r="AH650" s="21"/>
      <c r="AI650" s="23"/>
      <c r="AJ650" s="21"/>
      <c r="AK650" s="21"/>
      <c r="AL650" s="343"/>
      <c r="AM650" s="343"/>
      <c r="AN650" s="21"/>
    </row>
    <row r="651" spans="1:40" x14ac:dyDescent="0.25">
      <c r="A651" s="499"/>
      <c r="I651" s="410">
        <f t="shared" si="317"/>
        <v>0</v>
      </c>
      <c r="L651" s="288"/>
      <c r="M651" s="288"/>
      <c r="Q651" s="499">
        <f t="shared" si="316"/>
        <v>0</v>
      </c>
      <c r="U651" s="288"/>
      <c r="V651" s="288"/>
      <c r="X651" s="288"/>
      <c r="Y651" s="288"/>
      <c r="AC651" s="410">
        <f t="shared" si="318"/>
        <v>0</v>
      </c>
    </row>
    <row r="652" spans="1:40" x14ac:dyDescent="0.25">
      <c r="A652" s="499"/>
      <c r="I652" s="410">
        <f t="shared" si="317"/>
        <v>0</v>
      </c>
      <c r="L652" s="288"/>
      <c r="M652" s="288"/>
      <c r="Q652" s="499">
        <f t="shared" si="316"/>
        <v>0</v>
      </c>
      <c r="U652" s="288"/>
      <c r="V652" s="288"/>
      <c r="X652" s="288"/>
      <c r="Y652" s="288"/>
      <c r="AC652" s="410">
        <f t="shared" si="318"/>
        <v>0</v>
      </c>
    </row>
    <row r="653" spans="1:40" x14ac:dyDescent="0.25">
      <c r="A653" s="499"/>
      <c r="I653" s="410">
        <f t="shared" si="317"/>
        <v>0</v>
      </c>
      <c r="L653" s="288"/>
      <c r="M653" s="288"/>
      <c r="Q653" s="499">
        <f t="shared" si="316"/>
        <v>0</v>
      </c>
      <c r="U653" s="288"/>
      <c r="V653" s="288"/>
      <c r="X653" s="288"/>
      <c r="Y653" s="288"/>
      <c r="AC653" s="410">
        <f t="shared" si="318"/>
        <v>0</v>
      </c>
    </row>
    <row r="654" spans="1:40" x14ac:dyDescent="0.25">
      <c r="A654" s="499"/>
      <c r="I654" s="410">
        <f t="shared" si="317"/>
        <v>0</v>
      </c>
      <c r="L654" s="288"/>
      <c r="M654" s="288"/>
      <c r="Q654" s="499">
        <f t="shared" si="316"/>
        <v>0</v>
      </c>
      <c r="U654" s="288"/>
      <c r="V654" s="288"/>
      <c r="X654" s="288"/>
      <c r="Y654" s="288"/>
      <c r="AC654" s="410">
        <f t="shared" si="318"/>
        <v>0</v>
      </c>
    </row>
    <row r="655" spans="1:40" x14ac:dyDescent="0.25">
      <c r="A655" s="499"/>
      <c r="I655" s="410">
        <f t="shared" si="317"/>
        <v>0</v>
      </c>
      <c r="L655" s="288"/>
      <c r="M655" s="288"/>
      <c r="Q655" s="499">
        <f t="shared" ref="Q655:Q718" si="319">+A655</f>
        <v>0</v>
      </c>
      <c r="U655" s="288"/>
      <c r="V655" s="288"/>
      <c r="X655" s="288"/>
      <c r="Y655" s="288"/>
      <c r="AC655" s="410">
        <f t="shared" si="318"/>
        <v>0</v>
      </c>
    </row>
    <row r="656" spans="1:40" x14ac:dyDescent="0.25">
      <c r="A656" s="499"/>
      <c r="I656" s="410">
        <f t="shared" si="317"/>
        <v>0</v>
      </c>
      <c r="L656" s="288"/>
      <c r="M656" s="288"/>
      <c r="Q656" s="499">
        <f t="shared" si="319"/>
        <v>0</v>
      </c>
      <c r="U656" s="288"/>
      <c r="V656" s="288"/>
      <c r="X656" s="288"/>
      <c r="Y656" s="288"/>
      <c r="AC656" s="410">
        <f t="shared" si="318"/>
        <v>0</v>
      </c>
    </row>
    <row r="657" spans="1:40" x14ac:dyDescent="0.25">
      <c r="A657" s="499"/>
      <c r="I657" s="410">
        <f t="shared" si="317"/>
        <v>0</v>
      </c>
      <c r="L657" s="288"/>
      <c r="M657" s="288"/>
      <c r="Q657" s="499">
        <f t="shared" si="319"/>
        <v>0</v>
      </c>
      <c r="U657" s="288"/>
      <c r="V657" s="288"/>
      <c r="X657" s="288"/>
      <c r="Y657" s="288"/>
      <c r="AC657" s="410">
        <f t="shared" si="318"/>
        <v>0</v>
      </c>
    </row>
    <row r="658" spans="1:40" x14ac:dyDescent="0.25">
      <c r="A658" s="499"/>
      <c r="I658" s="410">
        <f t="shared" si="317"/>
        <v>0</v>
      </c>
      <c r="L658" s="288"/>
      <c r="M658" s="288"/>
      <c r="Q658" s="499">
        <f t="shared" si="319"/>
        <v>0</v>
      </c>
      <c r="U658" s="288"/>
      <c r="V658" s="288"/>
      <c r="X658" s="288"/>
      <c r="Y658" s="288"/>
      <c r="AC658" s="410">
        <f t="shared" si="318"/>
        <v>0</v>
      </c>
    </row>
    <row r="659" spans="1:40" x14ac:dyDescent="0.25">
      <c r="A659" s="499"/>
      <c r="I659" s="410">
        <f t="shared" si="317"/>
        <v>0</v>
      </c>
      <c r="L659" s="288"/>
      <c r="M659" s="288"/>
      <c r="Q659" s="499">
        <f t="shared" si="319"/>
        <v>0</v>
      </c>
      <c r="U659" s="288"/>
      <c r="V659" s="288"/>
      <c r="X659" s="288"/>
      <c r="Y659" s="288"/>
      <c r="AC659" s="410">
        <f t="shared" si="318"/>
        <v>0</v>
      </c>
    </row>
    <row r="660" spans="1:40" x14ac:dyDescent="0.25">
      <c r="A660" s="499"/>
      <c r="I660" s="410">
        <f t="shared" si="317"/>
        <v>0</v>
      </c>
      <c r="L660" s="288"/>
      <c r="M660" s="288"/>
      <c r="Q660" s="499">
        <f t="shared" si="319"/>
        <v>0</v>
      </c>
      <c r="U660" s="288"/>
      <c r="V660" s="288"/>
      <c r="X660" s="288"/>
      <c r="Y660" s="288"/>
      <c r="AC660" s="410">
        <f t="shared" si="318"/>
        <v>0</v>
      </c>
    </row>
    <row r="661" spans="1:40" x14ac:dyDescent="0.25">
      <c r="A661" s="499"/>
      <c r="I661" s="410">
        <f t="shared" si="317"/>
        <v>0</v>
      </c>
      <c r="L661" s="288"/>
      <c r="M661" s="288"/>
      <c r="Q661" s="499">
        <f t="shared" si="319"/>
        <v>0</v>
      </c>
      <c r="U661" s="288"/>
      <c r="V661" s="288"/>
      <c r="X661" s="288"/>
      <c r="Y661" s="288"/>
      <c r="AC661" s="410">
        <f t="shared" si="318"/>
        <v>0</v>
      </c>
    </row>
    <row r="662" spans="1:40" ht="15.75" thickBot="1" x14ac:dyDescent="0.3">
      <c r="A662" s="502"/>
      <c r="B662" s="343"/>
      <c r="C662" s="21"/>
      <c r="D662" s="21"/>
      <c r="E662" s="21"/>
      <c r="F662" s="343"/>
      <c r="G662" s="343"/>
      <c r="H662" s="343"/>
      <c r="I662" s="410">
        <f t="shared" si="317"/>
        <v>0</v>
      </c>
      <c r="J662" s="343"/>
      <c r="K662" s="21"/>
      <c r="L662" s="343"/>
      <c r="M662" s="343"/>
      <c r="N662" s="343"/>
      <c r="O662" s="343"/>
      <c r="P662" s="343"/>
      <c r="Q662" s="502">
        <f t="shared" si="319"/>
        <v>0</v>
      </c>
      <c r="R662" s="343"/>
      <c r="S662" s="493"/>
      <c r="T662" s="21"/>
      <c r="U662" s="343"/>
      <c r="V662" s="343"/>
      <c r="W662" s="21"/>
      <c r="X662" s="343"/>
      <c r="Y662" s="343"/>
      <c r="Z662" s="343"/>
      <c r="AA662" s="343"/>
      <c r="AB662" s="343"/>
      <c r="AC662" s="410">
        <f t="shared" si="318"/>
        <v>0</v>
      </c>
      <c r="AD662" s="343"/>
      <c r="AE662" s="343"/>
      <c r="AF662" s="343"/>
      <c r="AG662" s="21"/>
      <c r="AH662" s="21"/>
      <c r="AI662" s="23"/>
      <c r="AJ662" s="21"/>
      <c r="AK662" s="21"/>
      <c r="AL662" s="343"/>
      <c r="AM662" s="343"/>
      <c r="AN662" s="21"/>
    </row>
    <row r="663" spans="1:40" x14ac:dyDescent="0.25">
      <c r="A663" s="499"/>
      <c r="I663" s="410">
        <f t="shared" si="317"/>
        <v>0</v>
      </c>
      <c r="L663" s="288"/>
      <c r="M663" s="288"/>
      <c r="Q663" s="499">
        <f t="shared" si="319"/>
        <v>0</v>
      </c>
      <c r="U663" s="288"/>
      <c r="V663" s="288"/>
      <c r="X663" s="288"/>
      <c r="Y663" s="288"/>
      <c r="AC663" s="410">
        <f t="shared" si="318"/>
        <v>0</v>
      </c>
    </row>
    <row r="664" spans="1:40" x14ac:dyDescent="0.25">
      <c r="A664" s="499"/>
      <c r="I664" s="410">
        <f t="shared" si="317"/>
        <v>0</v>
      </c>
      <c r="L664" s="288"/>
      <c r="M664" s="288"/>
      <c r="Q664" s="499">
        <f t="shared" si="319"/>
        <v>0</v>
      </c>
      <c r="U664" s="288"/>
      <c r="V664" s="288"/>
      <c r="X664" s="288"/>
      <c r="Y664" s="288"/>
      <c r="AC664" s="410">
        <f t="shared" si="318"/>
        <v>0</v>
      </c>
    </row>
    <row r="665" spans="1:40" x14ac:dyDescent="0.25">
      <c r="A665" s="499"/>
      <c r="I665" s="410">
        <f t="shared" si="317"/>
        <v>0</v>
      </c>
      <c r="L665" s="288"/>
      <c r="M665" s="288"/>
      <c r="Q665" s="499">
        <f t="shared" si="319"/>
        <v>0</v>
      </c>
      <c r="U665" s="288"/>
      <c r="V665" s="288"/>
      <c r="X665" s="288"/>
      <c r="Y665" s="288"/>
      <c r="AC665" s="410">
        <f t="shared" si="318"/>
        <v>0</v>
      </c>
    </row>
    <row r="666" spans="1:40" x14ac:dyDescent="0.25">
      <c r="A666" s="499"/>
      <c r="I666" s="410">
        <f t="shared" si="317"/>
        <v>0</v>
      </c>
      <c r="L666" s="288"/>
      <c r="M666" s="288"/>
      <c r="Q666" s="499">
        <f t="shared" si="319"/>
        <v>0</v>
      </c>
      <c r="U666" s="288"/>
      <c r="V666" s="288"/>
      <c r="X666" s="288"/>
      <c r="Y666" s="288"/>
      <c r="AC666" s="410">
        <f t="shared" si="318"/>
        <v>0</v>
      </c>
    </row>
    <row r="667" spans="1:40" x14ac:dyDescent="0.25">
      <c r="A667" s="499"/>
      <c r="I667" s="410">
        <f t="shared" si="317"/>
        <v>0</v>
      </c>
      <c r="L667" s="288"/>
      <c r="M667" s="288"/>
      <c r="Q667" s="499">
        <f t="shared" si="319"/>
        <v>0</v>
      </c>
      <c r="U667" s="288"/>
      <c r="V667" s="288"/>
      <c r="X667" s="288"/>
      <c r="Y667" s="288"/>
      <c r="AC667" s="410">
        <f t="shared" si="318"/>
        <v>0</v>
      </c>
    </row>
    <row r="668" spans="1:40" x14ac:dyDescent="0.25">
      <c r="A668" s="499"/>
      <c r="I668" s="410">
        <f t="shared" si="317"/>
        <v>0</v>
      </c>
      <c r="L668" s="288"/>
      <c r="M668" s="288"/>
      <c r="Q668" s="499">
        <f t="shared" si="319"/>
        <v>0</v>
      </c>
      <c r="U668" s="288"/>
      <c r="V668" s="288"/>
      <c r="X668" s="288"/>
      <c r="Y668" s="288"/>
      <c r="AC668" s="410">
        <f t="shared" si="318"/>
        <v>0</v>
      </c>
    </row>
    <row r="669" spans="1:40" x14ac:dyDescent="0.25">
      <c r="A669" s="499"/>
      <c r="I669" s="410">
        <f t="shared" si="317"/>
        <v>0</v>
      </c>
      <c r="L669" s="288"/>
      <c r="M669" s="288"/>
      <c r="Q669" s="499">
        <f t="shared" si="319"/>
        <v>0</v>
      </c>
      <c r="U669" s="288"/>
      <c r="V669" s="288"/>
      <c r="X669" s="288"/>
      <c r="Y669" s="288"/>
      <c r="AC669" s="410">
        <f t="shared" si="318"/>
        <v>0</v>
      </c>
    </row>
    <row r="670" spans="1:40" x14ac:dyDescent="0.25">
      <c r="A670" s="499"/>
      <c r="I670" s="410">
        <f t="shared" si="317"/>
        <v>0</v>
      </c>
      <c r="L670" s="288"/>
      <c r="M670" s="288"/>
      <c r="Q670" s="499">
        <f t="shared" si="319"/>
        <v>0</v>
      </c>
      <c r="U670" s="288"/>
      <c r="V670" s="288"/>
      <c r="X670" s="288"/>
      <c r="Y670" s="288"/>
      <c r="AC670" s="410">
        <f t="shared" si="318"/>
        <v>0</v>
      </c>
    </row>
    <row r="671" spans="1:40" x14ac:dyDescent="0.25">
      <c r="A671" s="499"/>
      <c r="I671" s="410">
        <f t="shared" si="317"/>
        <v>0</v>
      </c>
      <c r="L671" s="288"/>
      <c r="M671" s="288"/>
      <c r="Q671" s="499">
        <f t="shared" si="319"/>
        <v>0</v>
      </c>
      <c r="U671" s="288"/>
      <c r="V671" s="288"/>
      <c r="X671" s="288"/>
      <c r="Y671" s="288"/>
      <c r="AC671" s="410">
        <f t="shared" si="318"/>
        <v>0</v>
      </c>
    </row>
    <row r="672" spans="1:40" x14ac:dyDescent="0.25">
      <c r="A672" s="499"/>
      <c r="I672" s="410">
        <f t="shared" si="317"/>
        <v>0</v>
      </c>
      <c r="L672" s="288"/>
      <c r="M672" s="288"/>
      <c r="Q672" s="499">
        <f t="shared" si="319"/>
        <v>0</v>
      </c>
      <c r="U672" s="288"/>
      <c r="V672" s="288"/>
      <c r="X672" s="288"/>
      <c r="Y672" s="288"/>
      <c r="AC672" s="410">
        <f t="shared" si="318"/>
        <v>0</v>
      </c>
    </row>
    <row r="673" spans="1:40" x14ac:dyDescent="0.25">
      <c r="A673" s="499"/>
      <c r="I673" s="410">
        <f t="shared" si="317"/>
        <v>0</v>
      </c>
      <c r="L673" s="288"/>
      <c r="M673" s="288"/>
      <c r="Q673" s="499">
        <f t="shared" si="319"/>
        <v>0</v>
      </c>
      <c r="U673" s="288"/>
      <c r="V673" s="288"/>
      <c r="X673" s="288"/>
      <c r="Y673" s="288"/>
      <c r="AC673" s="410">
        <f t="shared" si="318"/>
        <v>0</v>
      </c>
    </row>
    <row r="674" spans="1:40" ht="15.75" thickBot="1" x14ac:dyDescent="0.3">
      <c r="A674" s="502"/>
      <c r="B674" s="343"/>
      <c r="C674" s="21"/>
      <c r="D674" s="21"/>
      <c r="E674" s="21"/>
      <c r="F674" s="343"/>
      <c r="G674" s="343"/>
      <c r="H674" s="343"/>
      <c r="I674" s="410">
        <f t="shared" si="317"/>
        <v>0</v>
      </c>
      <c r="J674" s="343"/>
      <c r="K674" s="21"/>
      <c r="L674" s="343"/>
      <c r="M674" s="343"/>
      <c r="N674" s="343"/>
      <c r="O674" s="343"/>
      <c r="P674" s="343"/>
      <c r="Q674" s="502">
        <f t="shared" si="319"/>
        <v>0</v>
      </c>
      <c r="R674" s="343"/>
      <c r="S674" s="493"/>
      <c r="T674" s="21"/>
      <c r="U674" s="343"/>
      <c r="V674" s="343"/>
      <c r="W674" s="21"/>
      <c r="X674" s="343"/>
      <c r="Y674" s="343"/>
      <c r="Z674" s="343"/>
      <c r="AA674" s="343"/>
      <c r="AB674" s="343"/>
      <c r="AC674" s="410">
        <f t="shared" si="318"/>
        <v>0</v>
      </c>
      <c r="AD674" s="343"/>
      <c r="AE674" s="343"/>
      <c r="AF674" s="343"/>
      <c r="AG674" s="21"/>
      <c r="AH674" s="21"/>
      <c r="AI674" s="23"/>
      <c r="AJ674" s="21"/>
      <c r="AK674" s="21"/>
      <c r="AL674" s="343"/>
      <c r="AM674" s="343"/>
      <c r="AN674" s="21"/>
    </row>
    <row r="675" spans="1:40" x14ac:dyDescent="0.25">
      <c r="A675" s="499"/>
      <c r="I675" s="410">
        <f t="shared" si="317"/>
        <v>0</v>
      </c>
      <c r="L675" s="288"/>
      <c r="M675" s="288"/>
      <c r="Q675" s="499">
        <f t="shared" si="319"/>
        <v>0</v>
      </c>
      <c r="U675" s="288"/>
      <c r="V675" s="288"/>
      <c r="X675" s="288"/>
      <c r="Y675" s="288"/>
      <c r="AC675" s="410">
        <f t="shared" si="318"/>
        <v>0</v>
      </c>
    </row>
    <row r="676" spans="1:40" x14ac:dyDescent="0.25">
      <c r="A676" s="499"/>
      <c r="I676" s="410">
        <f t="shared" si="317"/>
        <v>0</v>
      </c>
      <c r="L676" s="288"/>
      <c r="M676" s="288"/>
      <c r="Q676" s="499">
        <f t="shared" si="319"/>
        <v>0</v>
      </c>
      <c r="U676" s="288"/>
      <c r="V676" s="288"/>
      <c r="X676" s="288"/>
      <c r="Y676" s="288"/>
      <c r="AC676" s="410">
        <f t="shared" si="318"/>
        <v>0</v>
      </c>
    </row>
    <row r="677" spans="1:40" x14ac:dyDescent="0.25">
      <c r="A677" s="499"/>
      <c r="I677" s="410">
        <f t="shared" si="317"/>
        <v>0</v>
      </c>
      <c r="L677" s="288"/>
      <c r="M677" s="288"/>
      <c r="Q677" s="499">
        <f t="shared" si="319"/>
        <v>0</v>
      </c>
      <c r="U677" s="288"/>
      <c r="V677" s="288"/>
      <c r="X677" s="288"/>
      <c r="Y677" s="288"/>
      <c r="AC677" s="410">
        <f t="shared" si="318"/>
        <v>0</v>
      </c>
    </row>
    <row r="678" spans="1:40" x14ac:dyDescent="0.25">
      <c r="A678" s="499"/>
      <c r="I678" s="410">
        <f t="shared" si="317"/>
        <v>0</v>
      </c>
      <c r="L678" s="288"/>
      <c r="M678" s="288"/>
      <c r="Q678" s="499">
        <f t="shared" si="319"/>
        <v>0</v>
      </c>
      <c r="U678" s="288"/>
      <c r="V678" s="288"/>
      <c r="X678" s="288"/>
      <c r="Y678" s="288"/>
      <c r="AC678" s="410">
        <f t="shared" si="318"/>
        <v>0</v>
      </c>
    </row>
    <row r="679" spans="1:40" x14ac:dyDescent="0.25">
      <c r="A679" s="499"/>
      <c r="I679" s="410">
        <f t="shared" si="317"/>
        <v>0</v>
      </c>
      <c r="L679" s="288"/>
      <c r="M679" s="288"/>
      <c r="Q679" s="499">
        <f t="shared" si="319"/>
        <v>0</v>
      </c>
      <c r="U679" s="288"/>
      <c r="V679" s="288"/>
      <c r="X679" s="288"/>
      <c r="Y679" s="288"/>
      <c r="AC679" s="410">
        <f t="shared" si="318"/>
        <v>0</v>
      </c>
    </row>
    <row r="680" spans="1:40" x14ac:dyDescent="0.25">
      <c r="A680" s="499"/>
      <c r="I680" s="410">
        <f t="shared" si="317"/>
        <v>0</v>
      </c>
      <c r="L680" s="288"/>
      <c r="M680" s="288"/>
      <c r="Q680" s="499">
        <f t="shared" si="319"/>
        <v>0</v>
      </c>
      <c r="U680" s="288"/>
      <c r="V680" s="288"/>
      <c r="X680" s="288"/>
      <c r="Y680" s="288"/>
      <c r="AC680" s="410">
        <f t="shared" si="318"/>
        <v>0</v>
      </c>
    </row>
    <row r="681" spans="1:40" x14ac:dyDescent="0.25">
      <c r="A681" s="499"/>
      <c r="I681" s="410">
        <f t="shared" si="317"/>
        <v>0</v>
      </c>
      <c r="L681" s="288"/>
      <c r="M681" s="288"/>
      <c r="Q681" s="499">
        <f t="shared" si="319"/>
        <v>0</v>
      </c>
      <c r="U681" s="288"/>
      <c r="V681" s="288"/>
      <c r="X681" s="288"/>
      <c r="Y681" s="288"/>
      <c r="AC681" s="410">
        <f t="shared" si="318"/>
        <v>0</v>
      </c>
    </row>
    <row r="682" spans="1:40" x14ac:dyDescent="0.25">
      <c r="A682" s="499"/>
      <c r="I682" s="410">
        <f t="shared" si="317"/>
        <v>0</v>
      </c>
      <c r="L682" s="288"/>
      <c r="M682" s="288"/>
      <c r="Q682" s="499">
        <f t="shared" si="319"/>
        <v>0</v>
      </c>
      <c r="U682" s="288"/>
      <c r="V682" s="288"/>
      <c r="X682" s="288"/>
      <c r="Y682" s="288"/>
      <c r="AC682" s="410">
        <f t="shared" si="318"/>
        <v>0</v>
      </c>
    </row>
    <row r="683" spans="1:40" x14ac:dyDescent="0.25">
      <c r="A683" s="499"/>
      <c r="I683" s="410">
        <f t="shared" ref="I683:I746" si="320">IF(MOD(AC683,12)=0,AC683/12,I682)</f>
        <v>0</v>
      </c>
      <c r="L683" s="288"/>
      <c r="M683" s="288"/>
      <c r="Q683" s="499">
        <f t="shared" si="319"/>
        <v>0</v>
      </c>
      <c r="U683" s="288"/>
      <c r="V683" s="288"/>
      <c r="X683" s="288"/>
      <c r="Y683" s="288"/>
      <c r="AC683" s="410">
        <f t="shared" ref="AC683:AC723" si="321">IF(J683&lt;&gt;"",IF(J683=$J$6,0,+AC682+1),0)</f>
        <v>0</v>
      </c>
    </row>
    <row r="684" spans="1:40" x14ac:dyDescent="0.25">
      <c r="A684" s="499"/>
      <c r="I684" s="410">
        <f t="shared" si="320"/>
        <v>0</v>
      </c>
      <c r="L684" s="288"/>
      <c r="M684" s="288"/>
      <c r="Q684" s="499">
        <f t="shared" si="319"/>
        <v>0</v>
      </c>
      <c r="U684" s="288"/>
      <c r="V684" s="288"/>
      <c r="X684" s="288"/>
      <c r="Y684" s="288"/>
      <c r="AC684" s="410">
        <f t="shared" si="321"/>
        <v>0</v>
      </c>
    </row>
    <row r="685" spans="1:40" x14ac:dyDescent="0.25">
      <c r="A685" s="499"/>
      <c r="I685" s="410">
        <f t="shared" si="320"/>
        <v>0</v>
      </c>
      <c r="L685" s="288"/>
      <c r="M685" s="288"/>
      <c r="Q685" s="499">
        <f t="shared" si="319"/>
        <v>0</v>
      </c>
      <c r="U685" s="288"/>
      <c r="V685" s="288"/>
      <c r="X685" s="288"/>
      <c r="Y685" s="288"/>
      <c r="AC685" s="410">
        <f t="shared" si="321"/>
        <v>0</v>
      </c>
    </row>
    <row r="686" spans="1:40" ht="15.75" thickBot="1" x14ac:dyDescent="0.3">
      <c r="A686" s="502"/>
      <c r="B686" s="343"/>
      <c r="C686" s="21"/>
      <c r="D686" s="21"/>
      <c r="E686" s="21"/>
      <c r="F686" s="343"/>
      <c r="G686" s="343"/>
      <c r="H686" s="343"/>
      <c r="I686" s="410">
        <f t="shared" si="320"/>
        <v>0</v>
      </c>
      <c r="J686" s="343"/>
      <c r="K686" s="21"/>
      <c r="L686" s="343"/>
      <c r="M686" s="343"/>
      <c r="N686" s="343"/>
      <c r="O686" s="343"/>
      <c r="P686" s="343"/>
      <c r="Q686" s="502">
        <f t="shared" si="319"/>
        <v>0</v>
      </c>
      <c r="R686" s="343"/>
      <c r="S686" s="493"/>
      <c r="T686" s="21"/>
      <c r="U686" s="343"/>
      <c r="V686" s="343"/>
      <c r="W686" s="21"/>
      <c r="X686" s="343"/>
      <c r="Y686" s="343"/>
      <c r="Z686" s="343"/>
      <c r="AA686" s="343"/>
      <c r="AB686" s="343"/>
      <c r="AC686" s="410">
        <f t="shared" si="321"/>
        <v>0</v>
      </c>
      <c r="AD686" s="343"/>
      <c r="AE686" s="343"/>
      <c r="AF686" s="343"/>
      <c r="AG686" s="21"/>
      <c r="AH686" s="21"/>
      <c r="AI686" s="23"/>
      <c r="AJ686" s="21"/>
      <c r="AK686" s="21"/>
      <c r="AL686" s="343"/>
      <c r="AM686" s="343"/>
      <c r="AN686" s="21"/>
    </row>
    <row r="687" spans="1:40" x14ac:dyDescent="0.25">
      <c r="A687" s="499"/>
      <c r="I687" s="410">
        <f t="shared" si="320"/>
        <v>0</v>
      </c>
      <c r="L687" s="288"/>
      <c r="M687" s="288"/>
      <c r="Q687" s="499">
        <f t="shared" si="319"/>
        <v>0</v>
      </c>
      <c r="U687" s="288"/>
      <c r="V687" s="288"/>
      <c r="X687" s="288"/>
      <c r="Y687" s="288"/>
      <c r="AC687" s="410">
        <f t="shared" si="321"/>
        <v>0</v>
      </c>
    </row>
    <row r="688" spans="1:40" x14ac:dyDescent="0.25">
      <c r="A688" s="499"/>
      <c r="I688" s="410">
        <f t="shared" si="320"/>
        <v>0</v>
      </c>
      <c r="L688" s="288"/>
      <c r="M688" s="288"/>
      <c r="Q688" s="499">
        <f t="shared" si="319"/>
        <v>0</v>
      </c>
      <c r="U688" s="288"/>
      <c r="V688" s="288"/>
      <c r="X688" s="288"/>
      <c r="Y688" s="288"/>
      <c r="AC688" s="410">
        <f t="shared" si="321"/>
        <v>0</v>
      </c>
    </row>
    <row r="689" spans="1:40" x14ac:dyDescent="0.25">
      <c r="A689" s="499"/>
      <c r="I689" s="410">
        <f t="shared" si="320"/>
        <v>0</v>
      </c>
      <c r="L689" s="288"/>
      <c r="M689" s="288"/>
      <c r="Q689" s="499">
        <f t="shared" si="319"/>
        <v>0</v>
      </c>
      <c r="U689" s="288"/>
      <c r="V689" s="288"/>
      <c r="X689" s="288"/>
      <c r="Y689" s="288"/>
      <c r="AC689" s="410">
        <f t="shared" si="321"/>
        <v>0</v>
      </c>
    </row>
    <row r="690" spans="1:40" x14ac:dyDescent="0.25">
      <c r="A690" s="499"/>
      <c r="I690" s="410">
        <f t="shared" si="320"/>
        <v>0</v>
      </c>
      <c r="L690" s="288"/>
      <c r="M690" s="288"/>
      <c r="Q690" s="499">
        <f t="shared" si="319"/>
        <v>0</v>
      </c>
      <c r="U690" s="288"/>
      <c r="V690" s="288"/>
      <c r="X690" s="288"/>
      <c r="Y690" s="288"/>
      <c r="AC690" s="410">
        <f t="shared" si="321"/>
        <v>0</v>
      </c>
    </row>
    <row r="691" spans="1:40" x14ac:dyDescent="0.25">
      <c r="A691" s="499"/>
      <c r="I691" s="410">
        <f t="shared" si="320"/>
        <v>0</v>
      </c>
      <c r="L691" s="288"/>
      <c r="M691" s="288"/>
      <c r="Q691" s="499">
        <f t="shared" si="319"/>
        <v>0</v>
      </c>
      <c r="U691" s="288"/>
      <c r="V691" s="288"/>
      <c r="X691" s="288"/>
      <c r="Y691" s="288"/>
      <c r="AC691" s="410">
        <f t="shared" si="321"/>
        <v>0</v>
      </c>
    </row>
    <row r="692" spans="1:40" x14ac:dyDescent="0.25">
      <c r="A692" s="499"/>
      <c r="I692" s="410">
        <f t="shared" si="320"/>
        <v>0</v>
      </c>
      <c r="L692" s="288"/>
      <c r="M692" s="288"/>
      <c r="Q692" s="499">
        <f t="shared" si="319"/>
        <v>0</v>
      </c>
      <c r="U692" s="288"/>
      <c r="V692" s="288"/>
      <c r="X692" s="288"/>
      <c r="Y692" s="288"/>
      <c r="AC692" s="410">
        <f t="shared" si="321"/>
        <v>0</v>
      </c>
    </row>
    <row r="693" spans="1:40" x14ac:dyDescent="0.25">
      <c r="A693" s="499"/>
      <c r="I693" s="410">
        <f t="shared" si="320"/>
        <v>0</v>
      </c>
      <c r="L693" s="288"/>
      <c r="M693" s="288"/>
      <c r="Q693" s="499">
        <f t="shared" si="319"/>
        <v>0</v>
      </c>
      <c r="U693" s="288"/>
      <c r="V693" s="288"/>
      <c r="X693" s="288"/>
      <c r="Y693" s="288"/>
      <c r="AC693" s="410">
        <f t="shared" si="321"/>
        <v>0</v>
      </c>
    </row>
    <row r="694" spans="1:40" x14ac:dyDescent="0.25">
      <c r="A694" s="499"/>
      <c r="I694" s="410">
        <f t="shared" si="320"/>
        <v>0</v>
      </c>
      <c r="L694" s="288"/>
      <c r="M694" s="288"/>
      <c r="Q694" s="499">
        <f t="shared" si="319"/>
        <v>0</v>
      </c>
      <c r="U694" s="288"/>
      <c r="V694" s="288"/>
      <c r="X694" s="288"/>
      <c r="Y694" s="288"/>
      <c r="AC694" s="410">
        <f t="shared" si="321"/>
        <v>0</v>
      </c>
    </row>
    <row r="695" spans="1:40" x14ac:dyDescent="0.25">
      <c r="A695" s="499"/>
      <c r="I695" s="410">
        <f t="shared" si="320"/>
        <v>0</v>
      </c>
      <c r="L695" s="288"/>
      <c r="M695" s="288"/>
      <c r="Q695" s="499">
        <f t="shared" si="319"/>
        <v>0</v>
      </c>
      <c r="U695" s="288"/>
      <c r="V695" s="288"/>
      <c r="X695" s="288"/>
      <c r="Y695" s="288"/>
      <c r="AC695" s="410">
        <f t="shared" si="321"/>
        <v>0</v>
      </c>
    </row>
    <row r="696" spans="1:40" x14ac:dyDescent="0.25">
      <c r="A696" s="499"/>
      <c r="I696" s="410">
        <f t="shared" si="320"/>
        <v>0</v>
      </c>
      <c r="L696" s="288"/>
      <c r="M696" s="288"/>
      <c r="Q696" s="499">
        <f t="shared" si="319"/>
        <v>0</v>
      </c>
      <c r="U696" s="288"/>
      <c r="V696" s="288"/>
      <c r="X696" s="288"/>
      <c r="Y696" s="288"/>
      <c r="AC696" s="410">
        <f t="shared" si="321"/>
        <v>0</v>
      </c>
    </row>
    <row r="697" spans="1:40" x14ac:dyDescent="0.25">
      <c r="A697" s="499"/>
      <c r="I697" s="410">
        <f t="shared" si="320"/>
        <v>0</v>
      </c>
      <c r="L697" s="288"/>
      <c r="M697" s="288"/>
      <c r="Q697" s="499">
        <f t="shared" si="319"/>
        <v>0</v>
      </c>
      <c r="U697" s="288"/>
      <c r="V697" s="288"/>
      <c r="X697" s="288"/>
      <c r="Y697" s="288"/>
      <c r="AC697" s="410">
        <f t="shared" si="321"/>
        <v>0</v>
      </c>
    </row>
    <row r="698" spans="1:40" ht="15.75" thickBot="1" x14ac:dyDescent="0.3">
      <c r="A698" s="502"/>
      <c r="B698" s="343"/>
      <c r="C698" s="21"/>
      <c r="D698" s="21"/>
      <c r="E698" s="21"/>
      <c r="F698" s="343"/>
      <c r="G698" s="343"/>
      <c r="H698" s="343"/>
      <c r="I698" s="410">
        <f t="shared" si="320"/>
        <v>0</v>
      </c>
      <c r="J698" s="343"/>
      <c r="K698" s="21"/>
      <c r="L698" s="343"/>
      <c r="M698" s="343"/>
      <c r="N698" s="343"/>
      <c r="O698" s="343"/>
      <c r="P698" s="343"/>
      <c r="Q698" s="502">
        <f t="shared" si="319"/>
        <v>0</v>
      </c>
      <c r="R698" s="343"/>
      <c r="S698" s="493"/>
      <c r="T698" s="21"/>
      <c r="U698" s="343"/>
      <c r="V698" s="343"/>
      <c r="W698" s="21"/>
      <c r="X698" s="343"/>
      <c r="Y698" s="343"/>
      <c r="Z698" s="343"/>
      <c r="AA698" s="343"/>
      <c r="AB698" s="343"/>
      <c r="AC698" s="410">
        <f t="shared" si="321"/>
        <v>0</v>
      </c>
      <c r="AD698" s="343"/>
      <c r="AE698" s="343"/>
      <c r="AF698" s="343"/>
      <c r="AG698" s="21"/>
      <c r="AH698" s="21"/>
      <c r="AI698" s="23"/>
      <c r="AJ698" s="21"/>
      <c r="AK698" s="21"/>
      <c r="AL698" s="343"/>
      <c r="AM698" s="343"/>
      <c r="AN698" s="21"/>
    </row>
    <row r="699" spans="1:40" x14ac:dyDescent="0.25">
      <c r="A699" s="499"/>
      <c r="I699" s="410">
        <f t="shared" si="320"/>
        <v>0</v>
      </c>
      <c r="L699" s="288"/>
      <c r="M699" s="288"/>
      <c r="Q699" s="499">
        <f t="shared" si="319"/>
        <v>0</v>
      </c>
      <c r="U699" s="288"/>
      <c r="V699" s="288"/>
      <c r="X699" s="288"/>
      <c r="Y699" s="288"/>
      <c r="AC699" s="410">
        <f t="shared" si="321"/>
        <v>0</v>
      </c>
    </row>
    <row r="700" spans="1:40" x14ac:dyDescent="0.25">
      <c r="A700" s="499"/>
      <c r="I700" s="410">
        <f t="shared" si="320"/>
        <v>0</v>
      </c>
      <c r="L700" s="288"/>
      <c r="M700" s="288"/>
      <c r="Q700" s="499">
        <f t="shared" si="319"/>
        <v>0</v>
      </c>
      <c r="U700" s="288"/>
      <c r="V700" s="288"/>
      <c r="X700" s="288"/>
      <c r="Y700" s="288"/>
      <c r="AC700" s="410">
        <f t="shared" si="321"/>
        <v>0</v>
      </c>
    </row>
    <row r="701" spans="1:40" x14ac:dyDescent="0.25">
      <c r="A701" s="499"/>
      <c r="I701" s="410">
        <f t="shared" si="320"/>
        <v>0</v>
      </c>
      <c r="L701" s="288"/>
      <c r="M701" s="288"/>
      <c r="Q701" s="499">
        <f t="shared" si="319"/>
        <v>0</v>
      </c>
      <c r="U701" s="288"/>
      <c r="V701" s="288"/>
      <c r="X701" s="288"/>
      <c r="Y701" s="288"/>
      <c r="AC701" s="410">
        <f t="shared" si="321"/>
        <v>0</v>
      </c>
    </row>
    <row r="702" spans="1:40" x14ac:dyDescent="0.25">
      <c r="A702" s="499"/>
      <c r="I702" s="410">
        <f t="shared" si="320"/>
        <v>0</v>
      </c>
      <c r="L702" s="288"/>
      <c r="M702" s="288"/>
      <c r="Q702" s="499">
        <f t="shared" si="319"/>
        <v>0</v>
      </c>
      <c r="U702" s="288"/>
      <c r="V702" s="288"/>
      <c r="X702" s="288"/>
      <c r="Y702" s="288"/>
      <c r="AC702" s="410">
        <f t="shared" si="321"/>
        <v>0</v>
      </c>
    </row>
    <row r="703" spans="1:40" x14ac:dyDescent="0.25">
      <c r="A703" s="499"/>
      <c r="I703" s="410">
        <f t="shared" si="320"/>
        <v>0</v>
      </c>
      <c r="L703" s="288"/>
      <c r="M703" s="288"/>
      <c r="Q703" s="499">
        <f t="shared" si="319"/>
        <v>0</v>
      </c>
      <c r="U703" s="288"/>
      <c r="V703" s="288"/>
      <c r="X703" s="288"/>
      <c r="Y703" s="288"/>
      <c r="AC703" s="410">
        <f t="shared" si="321"/>
        <v>0</v>
      </c>
    </row>
    <row r="704" spans="1:40" x14ac:dyDescent="0.25">
      <c r="A704" s="499"/>
      <c r="I704" s="410">
        <f t="shared" si="320"/>
        <v>0</v>
      </c>
      <c r="L704" s="288"/>
      <c r="M704" s="288"/>
      <c r="Q704" s="499">
        <f t="shared" si="319"/>
        <v>0</v>
      </c>
      <c r="U704" s="288"/>
      <c r="V704" s="288"/>
      <c r="X704" s="288"/>
      <c r="Y704" s="288"/>
      <c r="AC704" s="410">
        <f t="shared" si="321"/>
        <v>0</v>
      </c>
    </row>
    <row r="705" spans="1:40" x14ac:dyDescent="0.25">
      <c r="A705" s="499"/>
      <c r="I705" s="410">
        <f t="shared" si="320"/>
        <v>0</v>
      </c>
      <c r="L705" s="288"/>
      <c r="M705" s="288"/>
      <c r="Q705" s="499">
        <f t="shared" si="319"/>
        <v>0</v>
      </c>
      <c r="U705" s="288"/>
      <c r="V705" s="288"/>
      <c r="X705" s="288"/>
      <c r="Y705" s="288"/>
      <c r="AC705" s="410">
        <f t="shared" si="321"/>
        <v>0</v>
      </c>
    </row>
    <row r="706" spans="1:40" x14ac:dyDescent="0.25">
      <c r="A706" s="499"/>
      <c r="I706" s="410">
        <f t="shared" si="320"/>
        <v>0</v>
      </c>
      <c r="L706" s="288"/>
      <c r="M706" s="288"/>
      <c r="Q706" s="499">
        <f t="shared" si="319"/>
        <v>0</v>
      </c>
      <c r="U706" s="288"/>
      <c r="V706" s="288"/>
      <c r="X706" s="288"/>
      <c r="Y706" s="288"/>
      <c r="AC706" s="410">
        <f t="shared" si="321"/>
        <v>0</v>
      </c>
    </row>
    <row r="707" spans="1:40" x14ac:dyDescent="0.25">
      <c r="A707" s="499"/>
      <c r="I707" s="410">
        <f t="shared" si="320"/>
        <v>0</v>
      </c>
      <c r="L707" s="288"/>
      <c r="M707" s="288"/>
      <c r="Q707" s="499">
        <f t="shared" si="319"/>
        <v>0</v>
      </c>
      <c r="U707" s="288"/>
      <c r="V707" s="288"/>
      <c r="X707" s="288"/>
      <c r="Y707" s="288"/>
      <c r="AC707" s="410">
        <f t="shared" si="321"/>
        <v>0</v>
      </c>
    </row>
    <row r="708" spans="1:40" x14ac:dyDescent="0.25">
      <c r="A708" s="499"/>
      <c r="I708" s="410">
        <f t="shared" si="320"/>
        <v>0</v>
      </c>
      <c r="L708" s="288"/>
      <c r="M708" s="288"/>
      <c r="Q708" s="499">
        <f t="shared" si="319"/>
        <v>0</v>
      </c>
      <c r="U708" s="288"/>
      <c r="V708" s="288"/>
      <c r="X708" s="288"/>
      <c r="Y708" s="288"/>
      <c r="AC708" s="410">
        <f t="shared" si="321"/>
        <v>0</v>
      </c>
    </row>
    <row r="709" spans="1:40" x14ac:dyDescent="0.25">
      <c r="A709" s="499"/>
      <c r="I709" s="410">
        <f t="shared" si="320"/>
        <v>0</v>
      </c>
      <c r="L709" s="288"/>
      <c r="M709" s="288"/>
      <c r="Q709" s="499">
        <f t="shared" si="319"/>
        <v>0</v>
      </c>
      <c r="U709" s="288"/>
      <c r="V709" s="288"/>
      <c r="X709" s="288"/>
      <c r="Y709" s="288"/>
      <c r="AC709" s="410">
        <f t="shared" si="321"/>
        <v>0</v>
      </c>
    </row>
    <row r="710" spans="1:40" ht="15.75" thickBot="1" x14ac:dyDescent="0.3">
      <c r="A710" s="502"/>
      <c r="B710" s="343"/>
      <c r="C710" s="21"/>
      <c r="D710" s="21"/>
      <c r="E710" s="21"/>
      <c r="F710" s="343"/>
      <c r="G710" s="343"/>
      <c r="H710" s="343"/>
      <c r="I710" s="410">
        <f t="shared" si="320"/>
        <v>0</v>
      </c>
      <c r="J710" s="343"/>
      <c r="K710" s="21"/>
      <c r="L710" s="343"/>
      <c r="M710" s="343"/>
      <c r="N710" s="343"/>
      <c r="O710" s="343"/>
      <c r="P710" s="343"/>
      <c r="Q710" s="502">
        <f t="shared" si="319"/>
        <v>0</v>
      </c>
      <c r="R710" s="343"/>
      <c r="S710" s="493"/>
      <c r="T710" s="21"/>
      <c r="U710" s="343"/>
      <c r="V710" s="343"/>
      <c r="W710" s="21"/>
      <c r="X710" s="343"/>
      <c r="Y710" s="343"/>
      <c r="Z710" s="343"/>
      <c r="AA710" s="343"/>
      <c r="AB710" s="343"/>
      <c r="AC710" s="410">
        <f t="shared" si="321"/>
        <v>0</v>
      </c>
      <c r="AD710" s="343"/>
      <c r="AE710" s="343"/>
      <c r="AF710" s="343"/>
      <c r="AG710" s="21"/>
      <c r="AH710" s="21"/>
      <c r="AI710" s="23"/>
      <c r="AJ710" s="21"/>
      <c r="AK710" s="21"/>
      <c r="AL710" s="343"/>
      <c r="AM710" s="343"/>
      <c r="AN710" s="21"/>
    </row>
    <row r="711" spans="1:40" x14ac:dyDescent="0.25">
      <c r="A711" s="499"/>
      <c r="I711" s="410">
        <f t="shared" si="320"/>
        <v>0</v>
      </c>
      <c r="L711" s="288"/>
      <c r="M711" s="288"/>
      <c r="Q711" s="499">
        <f t="shared" si="319"/>
        <v>0</v>
      </c>
      <c r="U711" s="288"/>
      <c r="V711" s="288"/>
      <c r="X711" s="288"/>
      <c r="Y711" s="288"/>
      <c r="AC711" s="410">
        <f t="shared" si="321"/>
        <v>0</v>
      </c>
    </row>
    <row r="712" spans="1:40" x14ac:dyDescent="0.25">
      <c r="A712" s="499"/>
      <c r="I712" s="410">
        <f t="shared" si="320"/>
        <v>0</v>
      </c>
      <c r="L712" s="288"/>
      <c r="M712" s="288"/>
      <c r="Q712" s="499">
        <f t="shared" si="319"/>
        <v>0</v>
      </c>
      <c r="U712" s="288"/>
      <c r="V712" s="288"/>
      <c r="X712" s="288"/>
      <c r="Y712" s="288"/>
      <c r="AC712" s="410">
        <f t="shared" si="321"/>
        <v>0</v>
      </c>
    </row>
    <row r="713" spans="1:40" x14ac:dyDescent="0.25">
      <c r="A713" s="499"/>
      <c r="I713" s="410">
        <f t="shared" si="320"/>
        <v>0</v>
      </c>
      <c r="L713" s="288"/>
      <c r="M713" s="288"/>
      <c r="Q713" s="499">
        <f t="shared" si="319"/>
        <v>0</v>
      </c>
      <c r="U713" s="288"/>
      <c r="V713" s="288"/>
      <c r="X713" s="288"/>
      <c r="Y713" s="288"/>
      <c r="AC713" s="410">
        <f t="shared" si="321"/>
        <v>0</v>
      </c>
    </row>
    <row r="714" spans="1:40" x14ac:dyDescent="0.25">
      <c r="A714" s="499"/>
      <c r="I714" s="410">
        <f t="shared" si="320"/>
        <v>0</v>
      </c>
      <c r="L714" s="288"/>
      <c r="M714" s="288"/>
      <c r="Q714" s="499">
        <f t="shared" si="319"/>
        <v>0</v>
      </c>
      <c r="U714" s="288"/>
      <c r="V714" s="288"/>
      <c r="X714" s="288"/>
      <c r="Y714" s="288"/>
      <c r="AC714" s="410">
        <f t="shared" si="321"/>
        <v>0</v>
      </c>
    </row>
    <row r="715" spans="1:40" x14ac:dyDescent="0.25">
      <c r="A715" s="499"/>
      <c r="I715" s="410">
        <f t="shared" si="320"/>
        <v>0</v>
      </c>
      <c r="L715" s="288"/>
      <c r="M715" s="288"/>
      <c r="Q715" s="499">
        <f t="shared" si="319"/>
        <v>0</v>
      </c>
      <c r="U715" s="288"/>
      <c r="V715" s="288"/>
      <c r="X715" s="288"/>
      <c r="Y715" s="288"/>
      <c r="AC715" s="410">
        <f t="shared" si="321"/>
        <v>0</v>
      </c>
    </row>
    <row r="716" spans="1:40" x14ac:dyDescent="0.25">
      <c r="A716" s="499"/>
      <c r="I716" s="410">
        <f t="shared" si="320"/>
        <v>0</v>
      </c>
      <c r="L716" s="288"/>
      <c r="M716" s="288"/>
      <c r="Q716" s="499">
        <f t="shared" si="319"/>
        <v>0</v>
      </c>
      <c r="U716" s="288"/>
      <c r="V716" s="288"/>
      <c r="X716" s="288"/>
      <c r="Y716" s="288"/>
      <c r="AC716" s="410">
        <f t="shared" si="321"/>
        <v>0</v>
      </c>
    </row>
    <row r="717" spans="1:40" x14ac:dyDescent="0.25">
      <c r="A717" s="499"/>
      <c r="I717" s="410">
        <f t="shared" si="320"/>
        <v>0</v>
      </c>
      <c r="L717" s="288"/>
      <c r="M717" s="288"/>
      <c r="Q717" s="499">
        <f t="shared" si="319"/>
        <v>0</v>
      </c>
      <c r="U717" s="288"/>
      <c r="V717" s="288"/>
      <c r="X717" s="288"/>
      <c r="Y717" s="288"/>
      <c r="AC717" s="410">
        <f t="shared" si="321"/>
        <v>0</v>
      </c>
    </row>
    <row r="718" spans="1:40" x14ac:dyDescent="0.25">
      <c r="A718" s="499"/>
      <c r="I718" s="410">
        <f t="shared" si="320"/>
        <v>0</v>
      </c>
      <c r="L718" s="288"/>
      <c r="M718" s="288"/>
      <c r="Q718" s="499">
        <f t="shared" si="319"/>
        <v>0</v>
      </c>
      <c r="U718" s="288"/>
      <c r="V718" s="288"/>
      <c r="X718" s="288"/>
      <c r="Y718" s="288"/>
      <c r="AC718" s="410">
        <f t="shared" si="321"/>
        <v>0</v>
      </c>
    </row>
    <row r="719" spans="1:40" x14ac:dyDescent="0.25">
      <c r="A719" s="499"/>
      <c r="I719" s="410">
        <f t="shared" si="320"/>
        <v>0</v>
      </c>
      <c r="L719" s="288"/>
      <c r="M719" s="288"/>
      <c r="Q719" s="499">
        <f t="shared" ref="Q719:Q782" si="322">+A719</f>
        <v>0</v>
      </c>
      <c r="U719" s="288"/>
      <c r="V719" s="288"/>
      <c r="X719" s="288"/>
      <c r="Y719" s="288"/>
      <c r="AC719" s="410">
        <f t="shared" si="321"/>
        <v>0</v>
      </c>
    </row>
    <row r="720" spans="1:40" x14ac:dyDescent="0.25">
      <c r="A720" s="499"/>
      <c r="I720" s="410">
        <f t="shared" si="320"/>
        <v>0</v>
      </c>
      <c r="L720" s="288"/>
      <c r="M720" s="288"/>
      <c r="Q720" s="499">
        <f t="shared" si="322"/>
        <v>0</v>
      </c>
      <c r="U720" s="288"/>
      <c r="V720" s="288"/>
      <c r="X720" s="288"/>
      <c r="Y720" s="288"/>
      <c r="AC720" s="410">
        <f t="shared" si="321"/>
        <v>0</v>
      </c>
    </row>
    <row r="721" spans="1:40" x14ac:dyDescent="0.25">
      <c r="A721" s="499"/>
      <c r="I721" s="410">
        <f t="shared" si="320"/>
        <v>0</v>
      </c>
      <c r="L721" s="288"/>
      <c r="M721" s="288"/>
      <c r="Q721" s="499">
        <f t="shared" si="322"/>
        <v>0</v>
      </c>
      <c r="U721" s="288"/>
      <c r="V721" s="288"/>
      <c r="X721" s="288"/>
      <c r="Y721" s="288"/>
      <c r="AC721" s="410">
        <f t="shared" si="321"/>
        <v>0</v>
      </c>
    </row>
    <row r="722" spans="1:40" ht="15.75" thickBot="1" x14ac:dyDescent="0.3">
      <c r="A722" s="502"/>
      <c r="B722" s="343"/>
      <c r="C722" s="21"/>
      <c r="D722" s="21"/>
      <c r="E722" s="21"/>
      <c r="F722" s="343"/>
      <c r="G722" s="343"/>
      <c r="H722" s="343"/>
      <c r="I722" s="410">
        <f t="shared" si="320"/>
        <v>0</v>
      </c>
      <c r="J722" s="343"/>
      <c r="K722" s="21"/>
      <c r="L722" s="343"/>
      <c r="M722" s="343"/>
      <c r="N722" s="343"/>
      <c r="O722" s="343"/>
      <c r="P722" s="343"/>
      <c r="Q722" s="502">
        <f t="shared" si="322"/>
        <v>0</v>
      </c>
      <c r="R722" s="343"/>
      <c r="S722" s="493"/>
      <c r="T722" s="21"/>
      <c r="U722" s="343"/>
      <c r="V722" s="343"/>
      <c r="W722" s="21"/>
      <c r="X722" s="343"/>
      <c r="Y722" s="343"/>
      <c r="Z722" s="343"/>
      <c r="AA722" s="343"/>
      <c r="AB722" s="343"/>
      <c r="AC722" s="410">
        <f t="shared" si="321"/>
        <v>0</v>
      </c>
      <c r="AD722" s="343"/>
      <c r="AE722" s="343"/>
      <c r="AF722" s="343"/>
      <c r="AG722" s="21"/>
      <c r="AH722" s="21"/>
      <c r="AI722" s="23"/>
      <c r="AJ722" s="21"/>
      <c r="AK722" s="21"/>
      <c r="AL722" s="343"/>
      <c r="AM722" s="343"/>
      <c r="AN722" s="21"/>
    </row>
    <row r="723" spans="1:40" x14ac:dyDescent="0.25">
      <c r="A723" s="499"/>
      <c r="I723" s="410">
        <f t="shared" si="320"/>
        <v>0</v>
      </c>
      <c r="L723" s="288"/>
      <c r="M723" s="288"/>
      <c r="Q723" s="499">
        <f t="shared" si="322"/>
        <v>0</v>
      </c>
      <c r="U723" s="288"/>
      <c r="V723" s="288"/>
      <c r="X723" s="288"/>
      <c r="Y723" s="288"/>
      <c r="AC723" s="410">
        <f t="shared" si="321"/>
        <v>0</v>
      </c>
    </row>
    <row r="724" spans="1:40" x14ac:dyDescent="0.25">
      <c r="A724" s="499"/>
      <c r="I724" s="410">
        <f t="shared" si="320"/>
        <v>0</v>
      </c>
      <c r="L724" s="288"/>
      <c r="M724" s="288"/>
      <c r="Q724" s="499">
        <f t="shared" si="322"/>
        <v>0</v>
      </c>
      <c r="U724" s="288"/>
      <c r="V724" s="288"/>
      <c r="X724" s="288"/>
      <c r="Y724" s="288"/>
    </row>
    <row r="725" spans="1:40" x14ac:dyDescent="0.25">
      <c r="A725" s="499"/>
      <c r="I725" s="410">
        <f t="shared" si="320"/>
        <v>0</v>
      </c>
      <c r="L725" s="288"/>
      <c r="M725" s="288"/>
      <c r="Q725" s="499">
        <f t="shared" si="322"/>
        <v>0</v>
      </c>
      <c r="U725" s="288"/>
      <c r="V725" s="288"/>
      <c r="X725" s="288"/>
      <c r="Y725" s="288"/>
    </row>
    <row r="726" spans="1:40" x14ac:dyDescent="0.25">
      <c r="A726" s="499"/>
      <c r="I726" s="410">
        <f t="shared" si="320"/>
        <v>0</v>
      </c>
      <c r="L726" s="288"/>
      <c r="M726" s="288"/>
      <c r="Q726" s="499">
        <f t="shared" si="322"/>
        <v>0</v>
      </c>
      <c r="U726" s="288"/>
      <c r="V726" s="288"/>
      <c r="X726" s="288"/>
      <c r="Y726" s="288"/>
    </row>
    <row r="727" spans="1:40" x14ac:dyDescent="0.25">
      <c r="A727" s="499"/>
      <c r="I727" s="410">
        <f t="shared" si="320"/>
        <v>0</v>
      </c>
      <c r="L727" s="288"/>
      <c r="M727" s="288"/>
      <c r="Q727" s="499">
        <f t="shared" si="322"/>
        <v>0</v>
      </c>
      <c r="U727" s="288"/>
      <c r="V727" s="288"/>
      <c r="X727" s="288"/>
      <c r="Y727" s="288"/>
    </row>
    <row r="728" spans="1:40" x14ac:dyDescent="0.25">
      <c r="A728" s="499"/>
      <c r="I728" s="410">
        <f t="shared" si="320"/>
        <v>0</v>
      </c>
      <c r="L728" s="288"/>
      <c r="M728" s="288"/>
      <c r="Q728" s="499">
        <f t="shared" si="322"/>
        <v>0</v>
      </c>
      <c r="U728" s="288"/>
      <c r="V728" s="288"/>
      <c r="X728" s="288"/>
      <c r="Y728" s="288"/>
    </row>
    <row r="729" spans="1:40" x14ac:dyDescent="0.25">
      <c r="A729" s="499"/>
      <c r="I729" s="410">
        <f t="shared" si="320"/>
        <v>0</v>
      </c>
      <c r="L729" s="288"/>
      <c r="M729" s="288"/>
      <c r="Q729" s="499">
        <f t="shared" si="322"/>
        <v>0</v>
      </c>
      <c r="U729" s="288"/>
      <c r="V729" s="288"/>
      <c r="X729" s="288"/>
      <c r="Y729" s="288"/>
    </row>
    <row r="730" spans="1:40" x14ac:dyDescent="0.25">
      <c r="A730" s="499"/>
      <c r="I730" s="410">
        <f t="shared" si="320"/>
        <v>0</v>
      </c>
      <c r="L730" s="288"/>
      <c r="M730" s="288"/>
      <c r="Q730" s="499">
        <f t="shared" si="322"/>
        <v>0</v>
      </c>
      <c r="U730" s="288"/>
      <c r="V730" s="288"/>
      <c r="X730" s="288"/>
      <c r="Y730" s="288"/>
    </row>
    <row r="731" spans="1:40" x14ac:dyDescent="0.25">
      <c r="A731" s="499"/>
      <c r="I731" s="410">
        <f t="shared" si="320"/>
        <v>0</v>
      </c>
      <c r="L731" s="288"/>
      <c r="M731" s="288"/>
      <c r="Q731" s="499">
        <f t="shared" si="322"/>
        <v>0</v>
      </c>
      <c r="U731" s="288"/>
      <c r="V731" s="288"/>
      <c r="X731" s="288"/>
      <c r="Y731" s="288"/>
    </row>
    <row r="732" spans="1:40" x14ac:dyDescent="0.25">
      <c r="A732" s="499"/>
      <c r="I732" s="410">
        <f t="shared" si="320"/>
        <v>0</v>
      </c>
      <c r="L732" s="288"/>
      <c r="M732" s="288"/>
      <c r="Q732" s="499">
        <f t="shared" si="322"/>
        <v>0</v>
      </c>
      <c r="U732" s="288"/>
      <c r="V732" s="288"/>
      <c r="X732" s="288"/>
      <c r="Y732" s="288"/>
    </row>
    <row r="733" spans="1:40" x14ac:dyDescent="0.25">
      <c r="A733" s="499"/>
      <c r="I733" s="410">
        <f t="shared" si="320"/>
        <v>0</v>
      </c>
      <c r="L733" s="288"/>
      <c r="M733" s="288"/>
      <c r="Q733" s="499">
        <f t="shared" si="322"/>
        <v>0</v>
      </c>
      <c r="U733" s="288"/>
      <c r="V733" s="288"/>
      <c r="X733" s="288"/>
      <c r="Y733" s="288"/>
    </row>
    <row r="734" spans="1:40" ht="15.75" thickBot="1" x14ac:dyDescent="0.3">
      <c r="A734" s="502"/>
      <c r="B734" s="343"/>
      <c r="C734" s="21"/>
      <c r="D734" s="21"/>
      <c r="E734" s="21"/>
      <c r="F734" s="343"/>
      <c r="G734" s="343"/>
      <c r="H734" s="343"/>
      <c r="I734" s="410">
        <f t="shared" si="320"/>
        <v>0</v>
      </c>
      <c r="J734" s="343"/>
      <c r="K734" s="21"/>
      <c r="L734" s="343"/>
      <c r="M734" s="343"/>
      <c r="N734" s="343"/>
      <c r="O734" s="343"/>
      <c r="P734" s="343"/>
      <c r="Q734" s="502">
        <f t="shared" si="322"/>
        <v>0</v>
      </c>
      <c r="R734" s="343"/>
      <c r="S734" s="493"/>
      <c r="T734" s="21"/>
      <c r="U734" s="343"/>
      <c r="V734" s="343"/>
      <c r="W734" s="21"/>
      <c r="X734" s="343"/>
      <c r="Y734" s="343"/>
      <c r="Z734" s="343"/>
      <c r="AA734" s="343"/>
      <c r="AB734" s="343"/>
      <c r="AC734" s="343"/>
      <c r="AD734" s="343"/>
      <c r="AE734" s="343"/>
      <c r="AF734" s="343"/>
      <c r="AG734" s="21"/>
      <c r="AH734" s="21"/>
      <c r="AI734" s="23"/>
      <c r="AJ734" s="21"/>
      <c r="AK734" s="21"/>
      <c r="AL734" s="343"/>
      <c r="AM734" s="343"/>
      <c r="AN734" s="21"/>
    </row>
    <row r="735" spans="1:40" x14ac:dyDescent="0.25">
      <c r="A735" s="499"/>
      <c r="I735" s="410">
        <f t="shared" si="320"/>
        <v>0</v>
      </c>
      <c r="L735" s="288"/>
      <c r="M735" s="288"/>
      <c r="Q735" s="499">
        <f t="shared" si="322"/>
        <v>0</v>
      </c>
      <c r="U735" s="288"/>
      <c r="V735" s="288"/>
      <c r="X735" s="288"/>
      <c r="Y735" s="288"/>
    </row>
    <row r="736" spans="1:40" x14ac:dyDescent="0.25">
      <c r="A736" s="499"/>
      <c r="I736" s="410">
        <f t="shared" si="320"/>
        <v>0</v>
      </c>
      <c r="L736" s="288"/>
      <c r="M736" s="288"/>
      <c r="Q736" s="499">
        <f t="shared" si="322"/>
        <v>0</v>
      </c>
      <c r="U736" s="288"/>
      <c r="V736" s="288"/>
      <c r="X736" s="288"/>
      <c r="Y736" s="288"/>
    </row>
    <row r="737" spans="1:40" x14ac:dyDescent="0.25">
      <c r="A737" s="499"/>
      <c r="I737" s="410">
        <f t="shared" si="320"/>
        <v>0</v>
      </c>
      <c r="L737" s="288"/>
      <c r="M737" s="288"/>
      <c r="Q737" s="499">
        <f t="shared" si="322"/>
        <v>0</v>
      </c>
      <c r="U737" s="288"/>
      <c r="V737" s="288"/>
      <c r="X737" s="288"/>
      <c r="Y737" s="288"/>
    </row>
    <row r="738" spans="1:40" x14ac:dyDescent="0.25">
      <c r="A738" s="499"/>
      <c r="I738" s="410">
        <f t="shared" si="320"/>
        <v>0</v>
      </c>
      <c r="L738" s="288"/>
      <c r="M738" s="288"/>
      <c r="Q738" s="499">
        <f t="shared" si="322"/>
        <v>0</v>
      </c>
      <c r="U738" s="288"/>
      <c r="V738" s="288"/>
      <c r="X738" s="288"/>
      <c r="Y738" s="288"/>
    </row>
    <row r="739" spans="1:40" x14ac:dyDescent="0.25">
      <c r="A739" s="499"/>
      <c r="I739" s="410">
        <f t="shared" si="320"/>
        <v>0</v>
      </c>
      <c r="L739" s="288"/>
      <c r="M739" s="288"/>
      <c r="Q739" s="499">
        <f t="shared" si="322"/>
        <v>0</v>
      </c>
      <c r="U739" s="288"/>
      <c r="V739" s="288"/>
      <c r="X739" s="288"/>
      <c r="Y739" s="288"/>
    </row>
    <row r="740" spans="1:40" x14ac:dyDescent="0.25">
      <c r="A740" s="499"/>
      <c r="I740" s="410">
        <f t="shared" si="320"/>
        <v>0</v>
      </c>
      <c r="L740" s="288"/>
      <c r="M740" s="288"/>
      <c r="Q740" s="499">
        <f t="shared" si="322"/>
        <v>0</v>
      </c>
      <c r="U740" s="288"/>
      <c r="V740" s="288"/>
      <c r="X740" s="288"/>
      <c r="Y740" s="288"/>
    </row>
    <row r="741" spans="1:40" x14ac:dyDescent="0.25">
      <c r="A741" s="499"/>
      <c r="I741" s="410">
        <f t="shared" si="320"/>
        <v>0</v>
      </c>
      <c r="L741" s="288"/>
      <c r="M741" s="288"/>
      <c r="Q741" s="499">
        <f t="shared" si="322"/>
        <v>0</v>
      </c>
      <c r="U741" s="288"/>
      <c r="V741" s="288"/>
      <c r="X741" s="288"/>
      <c r="Y741" s="288"/>
    </row>
    <row r="742" spans="1:40" x14ac:dyDescent="0.25">
      <c r="A742" s="499"/>
      <c r="I742" s="410">
        <f t="shared" si="320"/>
        <v>0</v>
      </c>
      <c r="L742" s="288"/>
      <c r="M742" s="288"/>
      <c r="Q742" s="499">
        <f t="shared" si="322"/>
        <v>0</v>
      </c>
      <c r="U742" s="288"/>
      <c r="V742" s="288"/>
      <c r="X742" s="288"/>
      <c r="Y742" s="288"/>
    </row>
    <row r="743" spans="1:40" x14ac:dyDescent="0.25">
      <c r="A743" s="499"/>
      <c r="I743" s="410">
        <f t="shared" si="320"/>
        <v>0</v>
      </c>
      <c r="L743" s="288"/>
      <c r="M743" s="288"/>
      <c r="Q743" s="499">
        <f t="shared" si="322"/>
        <v>0</v>
      </c>
      <c r="U743" s="288"/>
      <c r="V743" s="288"/>
      <c r="X743" s="288"/>
      <c r="Y743" s="288"/>
    </row>
    <row r="744" spans="1:40" x14ac:dyDescent="0.25">
      <c r="A744" s="499"/>
      <c r="I744" s="410">
        <f t="shared" si="320"/>
        <v>0</v>
      </c>
      <c r="L744" s="288"/>
      <c r="M744" s="288"/>
      <c r="Q744" s="499">
        <f t="shared" si="322"/>
        <v>0</v>
      </c>
      <c r="U744" s="288"/>
      <c r="V744" s="288"/>
      <c r="X744" s="288"/>
      <c r="Y744" s="288"/>
    </row>
    <row r="745" spans="1:40" x14ac:dyDescent="0.25">
      <c r="A745" s="499"/>
      <c r="I745" s="410">
        <f t="shared" si="320"/>
        <v>0</v>
      </c>
      <c r="L745" s="288"/>
      <c r="M745" s="288"/>
      <c r="Q745" s="499">
        <f t="shared" si="322"/>
        <v>0</v>
      </c>
      <c r="U745" s="288"/>
      <c r="V745" s="288"/>
      <c r="X745" s="288"/>
      <c r="Y745" s="288"/>
    </row>
    <row r="746" spans="1:40" ht="15.75" thickBot="1" x14ac:dyDescent="0.3">
      <c r="A746" s="502"/>
      <c r="B746" s="343"/>
      <c r="C746" s="21"/>
      <c r="D746" s="21"/>
      <c r="E746" s="21"/>
      <c r="F746" s="343"/>
      <c r="G746" s="343"/>
      <c r="H746" s="343"/>
      <c r="I746" s="410">
        <f t="shared" si="320"/>
        <v>0</v>
      </c>
      <c r="J746" s="343"/>
      <c r="K746" s="21"/>
      <c r="L746" s="343"/>
      <c r="M746" s="343"/>
      <c r="N746" s="343"/>
      <c r="O746" s="343"/>
      <c r="P746" s="343"/>
      <c r="Q746" s="502">
        <f t="shared" si="322"/>
        <v>0</v>
      </c>
      <c r="R746" s="343"/>
      <c r="S746" s="493"/>
      <c r="T746" s="21"/>
      <c r="U746" s="343"/>
      <c r="V746" s="343"/>
      <c r="W746" s="21"/>
      <c r="X746" s="343"/>
      <c r="Y746" s="343"/>
      <c r="Z746" s="343"/>
      <c r="AA746" s="343"/>
      <c r="AB746" s="343"/>
      <c r="AC746" s="343"/>
      <c r="AD746" s="343"/>
      <c r="AE746" s="343"/>
      <c r="AF746" s="343"/>
      <c r="AG746" s="21"/>
      <c r="AH746" s="21"/>
      <c r="AI746" s="23"/>
      <c r="AJ746" s="21"/>
      <c r="AK746" s="21"/>
      <c r="AL746" s="343"/>
      <c r="AM746" s="343"/>
      <c r="AN746" s="21"/>
    </row>
    <row r="747" spans="1:40" x14ac:dyDescent="0.25">
      <c r="A747" s="499"/>
      <c r="I747" s="410">
        <f t="shared" ref="I747:I782" si="323">IF(MOD(AC747,12)=0,AC747/12,I746)</f>
        <v>0</v>
      </c>
      <c r="L747" s="288"/>
      <c r="M747" s="288"/>
      <c r="Q747" s="499">
        <f t="shared" si="322"/>
        <v>0</v>
      </c>
      <c r="U747" s="288"/>
      <c r="V747" s="288"/>
      <c r="X747" s="288"/>
      <c r="Y747" s="288"/>
    </row>
    <row r="748" spans="1:40" x14ac:dyDescent="0.25">
      <c r="A748" s="499"/>
      <c r="I748" s="410">
        <f t="shared" si="323"/>
        <v>0</v>
      </c>
      <c r="L748" s="288"/>
      <c r="M748" s="288"/>
      <c r="Q748" s="499">
        <f t="shared" si="322"/>
        <v>0</v>
      </c>
      <c r="U748" s="288"/>
      <c r="V748" s="288"/>
      <c r="X748" s="288"/>
      <c r="Y748" s="288"/>
    </row>
    <row r="749" spans="1:40" x14ac:dyDescent="0.25">
      <c r="A749" s="499"/>
      <c r="I749" s="410">
        <f t="shared" si="323"/>
        <v>0</v>
      </c>
      <c r="L749" s="288"/>
      <c r="M749" s="288"/>
      <c r="Q749" s="499">
        <f t="shared" si="322"/>
        <v>0</v>
      </c>
      <c r="U749" s="288"/>
      <c r="V749" s="288"/>
      <c r="X749" s="288"/>
      <c r="Y749" s="288"/>
    </row>
    <row r="750" spans="1:40" x14ac:dyDescent="0.25">
      <c r="A750" s="499"/>
      <c r="I750" s="410">
        <f t="shared" si="323"/>
        <v>0</v>
      </c>
      <c r="L750" s="288"/>
      <c r="M750" s="288"/>
      <c r="Q750" s="499">
        <f t="shared" si="322"/>
        <v>0</v>
      </c>
      <c r="U750" s="288"/>
      <c r="V750" s="288"/>
      <c r="X750" s="288"/>
      <c r="Y750" s="288"/>
    </row>
    <row r="751" spans="1:40" x14ac:dyDescent="0.25">
      <c r="A751" s="499"/>
      <c r="I751" s="410">
        <f t="shared" si="323"/>
        <v>0</v>
      </c>
      <c r="L751" s="288"/>
      <c r="M751" s="288"/>
      <c r="Q751" s="499">
        <f t="shared" si="322"/>
        <v>0</v>
      </c>
      <c r="U751" s="288"/>
      <c r="V751" s="288"/>
      <c r="X751" s="288"/>
      <c r="Y751" s="288"/>
    </row>
    <row r="752" spans="1:40" x14ac:dyDescent="0.25">
      <c r="A752" s="499"/>
      <c r="I752" s="410">
        <f t="shared" si="323"/>
        <v>0</v>
      </c>
      <c r="L752" s="288"/>
      <c r="M752" s="288"/>
      <c r="Q752" s="499">
        <f t="shared" si="322"/>
        <v>0</v>
      </c>
      <c r="U752" s="288"/>
      <c r="V752" s="288"/>
      <c r="X752" s="288"/>
      <c r="Y752" s="288"/>
    </row>
    <row r="753" spans="1:40" x14ac:dyDescent="0.25">
      <c r="A753" s="499"/>
      <c r="I753" s="410">
        <f t="shared" si="323"/>
        <v>0</v>
      </c>
      <c r="L753" s="288"/>
      <c r="M753" s="288"/>
      <c r="Q753" s="499">
        <f t="shared" si="322"/>
        <v>0</v>
      </c>
      <c r="U753" s="288"/>
      <c r="V753" s="288"/>
      <c r="X753" s="288"/>
      <c r="Y753" s="288"/>
    </row>
    <row r="754" spans="1:40" x14ac:dyDescent="0.25">
      <c r="A754" s="499"/>
      <c r="I754" s="410">
        <f t="shared" si="323"/>
        <v>0</v>
      </c>
      <c r="L754" s="288"/>
      <c r="M754" s="288"/>
      <c r="Q754" s="499">
        <f t="shared" si="322"/>
        <v>0</v>
      </c>
      <c r="U754" s="288"/>
      <c r="V754" s="288"/>
      <c r="X754" s="288"/>
      <c r="Y754" s="288"/>
    </row>
    <row r="755" spans="1:40" x14ac:dyDescent="0.25">
      <c r="A755" s="499"/>
      <c r="I755" s="410">
        <f t="shared" si="323"/>
        <v>0</v>
      </c>
      <c r="L755" s="288"/>
      <c r="M755" s="288"/>
      <c r="Q755" s="499">
        <f t="shared" si="322"/>
        <v>0</v>
      </c>
      <c r="U755" s="288"/>
      <c r="V755" s="288"/>
      <c r="X755" s="288"/>
      <c r="Y755" s="288"/>
    </row>
    <row r="756" spans="1:40" x14ac:dyDescent="0.25">
      <c r="A756" s="499"/>
      <c r="I756" s="410">
        <f t="shared" si="323"/>
        <v>0</v>
      </c>
      <c r="L756" s="288"/>
      <c r="M756" s="288"/>
      <c r="Q756" s="499">
        <f t="shared" si="322"/>
        <v>0</v>
      </c>
      <c r="U756" s="288"/>
      <c r="V756" s="288"/>
      <c r="X756" s="288"/>
      <c r="Y756" s="288"/>
    </row>
    <row r="757" spans="1:40" x14ac:dyDescent="0.25">
      <c r="A757" s="499"/>
      <c r="I757" s="410">
        <f t="shared" si="323"/>
        <v>0</v>
      </c>
      <c r="L757" s="288"/>
      <c r="M757" s="288"/>
      <c r="Q757" s="499">
        <f t="shared" si="322"/>
        <v>0</v>
      </c>
      <c r="U757" s="288"/>
      <c r="V757" s="288"/>
      <c r="X757" s="288"/>
      <c r="Y757" s="288"/>
    </row>
    <row r="758" spans="1:40" ht="15.75" thickBot="1" x14ac:dyDescent="0.3">
      <c r="A758" s="502"/>
      <c r="B758" s="343"/>
      <c r="C758" s="21"/>
      <c r="D758" s="21"/>
      <c r="E758" s="21"/>
      <c r="F758" s="343"/>
      <c r="G758" s="343"/>
      <c r="H758" s="343"/>
      <c r="I758" s="410">
        <f t="shared" si="323"/>
        <v>0</v>
      </c>
      <c r="J758" s="343"/>
      <c r="K758" s="21"/>
      <c r="L758" s="343"/>
      <c r="M758" s="343"/>
      <c r="N758" s="343"/>
      <c r="O758" s="343"/>
      <c r="P758" s="343"/>
      <c r="Q758" s="502">
        <f t="shared" si="322"/>
        <v>0</v>
      </c>
      <c r="R758" s="343"/>
      <c r="S758" s="493"/>
      <c r="T758" s="21"/>
      <c r="U758" s="343"/>
      <c r="V758" s="343"/>
      <c r="W758" s="21"/>
      <c r="X758" s="343"/>
      <c r="Y758" s="343"/>
      <c r="Z758" s="343"/>
      <c r="AA758" s="343"/>
      <c r="AB758" s="343"/>
      <c r="AC758" s="343"/>
      <c r="AD758" s="343"/>
      <c r="AE758" s="343"/>
      <c r="AF758" s="343"/>
      <c r="AG758" s="21"/>
      <c r="AH758" s="21"/>
      <c r="AI758" s="23"/>
      <c r="AJ758" s="21"/>
      <c r="AK758" s="21"/>
      <c r="AL758" s="343"/>
      <c r="AM758" s="343"/>
      <c r="AN758" s="21"/>
    </row>
    <row r="759" spans="1:40" x14ac:dyDescent="0.25">
      <c r="A759" s="499"/>
      <c r="I759" s="410">
        <f t="shared" si="323"/>
        <v>0</v>
      </c>
      <c r="L759" s="288"/>
      <c r="M759" s="288"/>
      <c r="Q759" s="499">
        <f t="shared" si="322"/>
        <v>0</v>
      </c>
      <c r="U759" s="288"/>
      <c r="V759" s="288"/>
      <c r="X759" s="288"/>
      <c r="Y759" s="288"/>
    </row>
    <row r="760" spans="1:40" x14ac:dyDescent="0.25">
      <c r="A760" s="499"/>
      <c r="I760" s="410">
        <f t="shared" si="323"/>
        <v>0</v>
      </c>
      <c r="L760" s="288"/>
      <c r="M760" s="288"/>
      <c r="Q760" s="499">
        <f t="shared" si="322"/>
        <v>0</v>
      </c>
      <c r="U760" s="288"/>
      <c r="V760" s="288"/>
      <c r="X760" s="288"/>
      <c r="Y760" s="288"/>
    </row>
    <row r="761" spans="1:40" x14ac:dyDescent="0.25">
      <c r="A761" s="499"/>
      <c r="I761" s="410">
        <f t="shared" si="323"/>
        <v>0</v>
      </c>
      <c r="L761" s="288"/>
      <c r="M761" s="288"/>
      <c r="Q761" s="499">
        <f t="shared" si="322"/>
        <v>0</v>
      </c>
      <c r="U761" s="288"/>
      <c r="V761" s="288"/>
      <c r="X761" s="288"/>
      <c r="Y761" s="288"/>
    </row>
    <row r="762" spans="1:40" x14ac:dyDescent="0.25">
      <c r="A762" s="499"/>
      <c r="I762" s="410">
        <f t="shared" si="323"/>
        <v>0</v>
      </c>
      <c r="L762" s="288"/>
      <c r="M762" s="288"/>
      <c r="Q762" s="499">
        <f t="shared" si="322"/>
        <v>0</v>
      </c>
      <c r="U762" s="288"/>
      <c r="V762" s="288"/>
      <c r="X762" s="288"/>
      <c r="Y762" s="288"/>
    </row>
    <row r="763" spans="1:40" x14ac:dyDescent="0.25">
      <c r="A763" s="499"/>
      <c r="I763" s="410">
        <f t="shared" si="323"/>
        <v>0</v>
      </c>
      <c r="L763" s="288"/>
      <c r="M763" s="288"/>
      <c r="Q763" s="499">
        <f t="shared" si="322"/>
        <v>0</v>
      </c>
      <c r="U763" s="288"/>
      <c r="V763" s="288"/>
      <c r="X763" s="288"/>
      <c r="Y763" s="288"/>
    </row>
    <row r="764" spans="1:40" x14ac:dyDescent="0.25">
      <c r="A764" s="499"/>
      <c r="I764" s="410">
        <f t="shared" si="323"/>
        <v>0</v>
      </c>
      <c r="L764" s="288"/>
      <c r="M764" s="288"/>
      <c r="Q764" s="499">
        <f t="shared" si="322"/>
        <v>0</v>
      </c>
      <c r="U764" s="288"/>
      <c r="V764" s="288"/>
      <c r="X764" s="288"/>
      <c r="Y764" s="288"/>
    </row>
    <row r="765" spans="1:40" x14ac:dyDescent="0.25">
      <c r="A765" s="499"/>
      <c r="I765" s="410">
        <f t="shared" si="323"/>
        <v>0</v>
      </c>
      <c r="L765" s="288"/>
      <c r="M765" s="288"/>
      <c r="Q765" s="499">
        <f t="shared" si="322"/>
        <v>0</v>
      </c>
      <c r="U765" s="288"/>
      <c r="V765" s="288"/>
      <c r="X765" s="288"/>
      <c r="Y765" s="288"/>
    </row>
    <row r="766" spans="1:40" x14ac:dyDescent="0.25">
      <c r="A766" s="499"/>
      <c r="I766" s="410">
        <f t="shared" si="323"/>
        <v>0</v>
      </c>
      <c r="L766" s="288"/>
      <c r="M766" s="288"/>
      <c r="Q766" s="499">
        <f t="shared" si="322"/>
        <v>0</v>
      </c>
      <c r="U766" s="288"/>
      <c r="V766" s="288"/>
      <c r="X766" s="288"/>
      <c r="Y766" s="288"/>
    </row>
    <row r="767" spans="1:40" x14ac:dyDescent="0.25">
      <c r="A767" s="499"/>
      <c r="I767" s="410">
        <f t="shared" si="323"/>
        <v>0</v>
      </c>
      <c r="L767" s="288"/>
      <c r="M767" s="288"/>
      <c r="Q767" s="499">
        <f t="shared" si="322"/>
        <v>0</v>
      </c>
      <c r="U767" s="288"/>
      <c r="V767" s="288"/>
      <c r="X767" s="288"/>
      <c r="Y767" s="288"/>
    </row>
    <row r="768" spans="1:40" x14ac:dyDescent="0.25">
      <c r="A768" s="499"/>
      <c r="I768" s="410">
        <f t="shared" si="323"/>
        <v>0</v>
      </c>
      <c r="L768" s="288"/>
      <c r="M768" s="288"/>
      <c r="Q768" s="499">
        <f t="shared" si="322"/>
        <v>0</v>
      </c>
      <c r="U768" s="288"/>
      <c r="V768" s="288"/>
      <c r="X768" s="288"/>
      <c r="Y768" s="288"/>
    </row>
    <row r="769" spans="1:40" x14ac:dyDescent="0.25">
      <c r="A769" s="499"/>
      <c r="I769" s="410">
        <f t="shared" si="323"/>
        <v>0</v>
      </c>
      <c r="L769" s="288"/>
      <c r="M769" s="288"/>
      <c r="Q769" s="499">
        <f t="shared" si="322"/>
        <v>0</v>
      </c>
      <c r="U769" s="288"/>
      <c r="V769" s="288"/>
      <c r="X769" s="288"/>
      <c r="Y769" s="288"/>
    </row>
    <row r="770" spans="1:40" ht="15.75" thickBot="1" x14ac:dyDescent="0.3">
      <c r="A770" s="502"/>
      <c r="B770" s="343"/>
      <c r="C770" s="21"/>
      <c r="D770" s="21"/>
      <c r="E770" s="21"/>
      <c r="F770" s="343"/>
      <c r="G770" s="343"/>
      <c r="H770" s="343"/>
      <c r="I770" s="410">
        <f t="shared" si="323"/>
        <v>0</v>
      </c>
      <c r="J770" s="343"/>
      <c r="K770" s="21"/>
      <c r="L770" s="343"/>
      <c r="M770" s="343"/>
      <c r="N770" s="343"/>
      <c r="O770" s="343"/>
      <c r="P770" s="343"/>
      <c r="Q770" s="502">
        <f t="shared" si="322"/>
        <v>0</v>
      </c>
      <c r="R770" s="343"/>
      <c r="S770" s="493"/>
      <c r="T770" s="21"/>
      <c r="U770" s="343"/>
      <c r="V770" s="343"/>
      <c r="W770" s="21"/>
      <c r="X770" s="343"/>
      <c r="Y770" s="343"/>
      <c r="Z770" s="343"/>
      <c r="AA770" s="343"/>
      <c r="AB770" s="343"/>
      <c r="AC770" s="343"/>
      <c r="AD770" s="343"/>
      <c r="AE770" s="343"/>
      <c r="AF770" s="343"/>
      <c r="AG770" s="21"/>
      <c r="AH770" s="21"/>
      <c r="AI770" s="23"/>
      <c r="AJ770" s="21"/>
      <c r="AK770" s="21"/>
      <c r="AL770" s="343"/>
      <c r="AM770" s="343"/>
      <c r="AN770" s="21"/>
    </row>
    <row r="771" spans="1:40" x14ac:dyDescent="0.25">
      <c r="A771" s="499"/>
      <c r="I771" s="410">
        <f t="shared" si="323"/>
        <v>0</v>
      </c>
      <c r="L771" s="288"/>
      <c r="M771" s="288"/>
      <c r="Q771" s="499">
        <f t="shared" si="322"/>
        <v>0</v>
      </c>
      <c r="U771" s="288"/>
      <c r="V771" s="288"/>
      <c r="X771" s="288"/>
      <c r="Y771" s="288"/>
    </row>
    <row r="772" spans="1:40" x14ac:dyDescent="0.25">
      <c r="A772" s="499"/>
      <c r="I772" s="410">
        <f t="shared" si="323"/>
        <v>0</v>
      </c>
      <c r="L772" s="288"/>
      <c r="M772" s="288"/>
      <c r="Q772" s="499">
        <f t="shared" si="322"/>
        <v>0</v>
      </c>
      <c r="U772" s="288"/>
      <c r="V772" s="288"/>
      <c r="X772" s="288"/>
      <c r="Y772" s="288"/>
    </row>
    <row r="773" spans="1:40" x14ac:dyDescent="0.25">
      <c r="A773" s="499"/>
      <c r="I773" s="410">
        <f t="shared" si="323"/>
        <v>0</v>
      </c>
      <c r="L773" s="288"/>
      <c r="M773" s="288"/>
      <c r="Q773" s="499">
        <f t="shared" si="322"/>
        <v>0</v>
      </c>
      <c r="U773" s="288"/>
      <c r="V773" s="288"/>
      <c r="X773" s="288"/>
      <c r="Y773" s="288"/>
    </row>
    <row r="774" spans="1:40" x14ac:dyDescent="0.25">
      <c r="A774" s="499"/>
      <c r="I774" s="410">
        <f t="shared" si="323"/>
        <v>0</v>
      </c>
      <c r="L774" s="288"/>
      <c r="M774" s="288"/>
      <c r="Q774" s="499">
        <f t="shared" si="322"/>
        <v>0</v>
      </c>
      <c r="U774" s="288"/>
      <c r="V774" s="288"/>
      <c r="X774" s="288"/>
      <c r="Y774" s="288"/>
    </row>
    <row r="775" spans="1:40" x14ac:dyDescent="0.25">
      <c r="A775" s="499"/>
      <c r="I775" s="410">
        <f t="shared" si="323"/>
        <v>0</v>
      </c>
      <c r="L775" s="288"/>
      <c r="M775" s="288"/>
      <c r="Q775" s="499">
        <f t="shared" si="322"/>
        <v>0</v>
      </c>
      <c r="U775" s="288"/>
      <c r="V775" s="288"/>
      <c r="X775" s="288"/>
      <c r="Y775" s="288"/>
    </row>
    <row r="776" spans="1:40" x14ac:dyDescent="0.25">
      <c r="A776" s="499"/>
      <c r="I776" s="410">
        <f t="shared" si="323"/>
        <v>0</v>
      </c>
      <c r="L776" s="288"/>
      <c r="M776" s="288"/>
      <c r="Q776" s="499">
        <f t="shared" si="322"/>
        <v>0</v>
      </c>
      <c r="U776" s="288"/>
      <c r="V776" s="288"/>
      <c r="X776" s="288"/>
      <c r="Y776" s="288"/>
    </row>
    <row r="777" spans="1:40" x14ac:dyDescent="0.25">
      <c r="A777" s="499"/>
      <c r="I777" s="410">
        <f t="shared" si="323"/>
        <v>0</v>
      </c>
      <c r="L777" s="288"/>
      <c r="M777" s="288"/>
      <c r="Q777" s="499">
        <f t="shared" si="322"/>
        <v>0</v>
      </c>
      <c r="U777" s="288"/>
      <c r="V777" s="288"/>
      <c r="X777" s="288"/>
      <c r="Y777" s="288"/>
    </row>
    <row r="778" spans="1:40" x14ac:dyDescent="0.25">
      <c r="A778" s="499"/>
      <c r="I778" s="410">
        <f t="shared" si="323"/>
        <v>0</v>
      </c>
      <c r="L778" s="288"/>
      <c r="M778" s="288"/>
      <c r="Q778" s="499">
        <f t="shared" si="322"/>
        <v>0</v>
      </c>
      <c r="U778" s="288"/>
      <c r="V778" s="288"/>
      <c r="X778" s="288"/>
      <c r="Y778" s="288"/>
    </row>
    <row r="779" spans="1:40" x14ac:dyDescent="0.25">
      <c r="A779" s="499"/>
      <c r="I779" s="410">
        <f t="shared" si="323"/>
        <v>0</v>
      </c>
      <c r="L779" s="288"/>
      <c r="M779" s="288"/>
      <c r="Q779" s="499">
        <f t="shared" si="322"/>
        <v>0</v>
      </c>
      <c r="U779" s="288"/>
      <c r="V779" s="288"/>
      <c r="X779" s="288"/>
      <c r="Y779" s="288"/>
    </row>
    <row r="780" spans="1:40" x14ac:dyDescent="0.25">
      <c r="A780" s="499"/>
      <c r="I780" s="410">
        <f t="shared" si="323"/>
        <v>0</v>
      </c>
      <c r="L780" s="288"/>
      <c r="M780" s="288"/>
      <c r="Q780" s="499">
        <f t="shared" si="322"/>
        <v>0</v>
      </c>
      <c r="U780" s="288"/>
      <c r="V780" s="288"/>
      <c r="X780" s="288"/>
      <c r="Y780" s="288"/>
    </row>
    <row r="781" spans="1:40" x14ac:dyDescent="0.25">
      <c r="A781" s="499"/>
      <c r="I781" s="410">
        <f t="shared" si="323"/>
        <v>0</v>
      </c>
      <c r="L781" s="288"/>
      <c r="M781" s="288"/>
      <c r="Q781" s="499">
        <f t="shared" si="322"/>
        <v>0</v>
      </c>
      <c r="U781" s="288"/>
      <c r="V781" s="288"/>
      <c r="X781" s="288"/>
      <c r="Y781" s="288"/>
    </row>
    <row r="782" spans="1:40" ht="15.75" thickBot="1" x14ac:dyDescent="0.3">
      <c r="A782" s="502"/>
      <c r="B782" s="343"/>
      <c r="C782" s="21"/>
      <c r="D782" s="21"/>
      <c r="E782" s="21"/>
      <c r="F782" s="343"/>
      <c r="G782" s="343"/>
      <c r="H782" s="343"/>
      <c r="I782" s="410">
        <f t="shared" si="323"/>
        <v>0</v>
      </c>
      <c r="J782" s="343"/>
      <c r="K782" s="21"/>
      <c r="L782" s="343"/>
      <c r="M782" s="343"/>
      <c r="N782" s="343"/>
      <c r="O782" s="343"/>
      <c r="P782" s="343"/>
      <c r="Q782" s="502">
        <f t="shared" si="322"/>
        <v>0</v>
      </c>
      <c r="R782" s="343"/>
      <c r="S782" s="493"/>
      <c r="T782" s="21"/>
      <c r="U782" s="343"/>
      <c r="V782" s="343"/>
      <c r="W782" s="21"/>
      <c r="X782" s="343"/>
      <c r="Y782" s="343"/>
      <c r="Z782" s="343"/>
      <c r="AA782" s="343"/>
      <c r="AB782" s="343"/>
      <c r="AC782" s="343"/>
      <c r="AD782" s="343"/>
      <c r="AE782" s="343"/>
      <c r="AF782" s="343"/>
      <c r="AG782" s="21"/>
      <c r="AH782" s="21"/>
      <c r="AI782" s="23"/>
      <c r="AJ782" s="21"/>
      <c r="AK782" s="21"/>
      <c r="AL782" s="343"/>
      <c r="AM782" s="343"/>
      <c r="AN782" s="21"/>
    </row>
  </sheetData>
  <mergeCells count="25">
    <mergeCell ref="AL13:AM13"/>
    <mergeCell ref="R11:S11"/>
    <mergeCell ref="AD13:AF13"/>
    <mergeCell ref="T13:Y13"/>
    <mergeCell ref="Z13:AA13"/>
    <mergeCell ref="AG13:AH13"/>
    <mergeCell ref="AJ13:AJ14"/>
    <mergeCell ref="R7:S7"/>
    <mergeCell ref="F3:I3"/>
    <mergeCell ref="C13:E13"/>
    <mergeCell ref="J12:P12"/>
    <mergeCell ref="N13:O13"/>
    <mergeCell ref="R4:S4"/>
    <mergeCell ref="R6:S6"/>
    <mergeCell ref="R5:S5"/>
    <mergeCell ref="O5:Q7"/>
    <mergeCell ref="F13:G13"/>
    <mergeCell ref="R12:AC12"/>
    <mergeCell ref="O4:Q4"/>
    <mergeCell ref="AI1:AK1"/>
    <mergeCell ref="G6:I6"/>
    <mergeCell ref="G5:I5"/>
    <mergeCell ref="F2:I2"/>
    <mergeCell ref="G4:I4"/>
    <mergeCell ref="O2:W2"/>
  </mergeCells>
  <pageMargins left="0.7" right="0.7" top="0.75" bottom="0.75" header="0.3" footer="0.3"/>
  <pageSetup paperSize="5" scale="37"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59406" r:id="rId4" name="Option Button 14">
              <controlPr defaultSize="0" autoFill="0" autoLine="0" autoPict="0">
                <anchor moveWithCells="1">
                  <from>
                    <xdr:col>10</xdr:col>
                    <xdr:colOff>171450</xdr:colOff>
                    <xdr:row>0</xdr:row>
                    <xdr:rowOff>0</xdr:rowOff>
                  </from>
                  <to>
                    <xdr:col>11</xdr:col>
                    <xdr:colOff>0</xdr:colOff>
                    <xdr:row>1</xdr:row>
                    <xdr:rowOff>0</xdr:rowOff>
                  </to>
                </anchor>
              </controlPr>
            </control>
          </mc:Choice>
        </mc:AlternateContent>
        <mc:AlternateContent xmlns:mc="http://schemas.openxmlformats.org/markup-compatibility/2006">
          <mc:Choice Requires="x14">
            <control shapeId="59409" r:id="rId5" name="Option Button 17">
              <controlPr defaultSize="0" autoFill="0" autoLine="0" autoPict="0">
                <anchor moveWithCells="1">
                  <from>
                    <xdr:col>11</xdr:col>
                    <xdr:colOff>247650</xdr:colOff>
                    <xdr:row>0</xdr:row>
                    <xdr:rowOff>0</xdr:rowOff>
                  </from>
                  <to>
                    <xdr:col>12</xdr:col>
                    <xdr:colOff>47625</xdr:colOff>
                    <xdr:row>1</xdr:row>
                    <xdr:rowOff>0</xdr:rowOff>
                  </to>
                </anchor>
              </controlPr>
            </control>
          </mc:Choice>
        </mc:AlternateContent>
        <mc:AlternateContent xmlns:mc="http://schemas.openxmlformats.org/markup-compatibility/2006">
          <mc:Choice Requires="x14">
            <control shapeId="59411" r:id="rId6" name="Option Button 19">
              <controlPr defaultSize="0" autoFill="0" autoLine="0" autoPict="0">
                <anchor moveWithCells="1">
                  <from>
                    <xdr:col>12</xdr:col>
                    <xdr:colOff>190500</xdr:colOff>
                    <xdr:row>0</xdr:row>
                    <xdr:rowOff>0</xdr:rowOff>
                  </from>
                  <to>
                    <xdr:col>12</xdr:col>
                    <xdr:colOff>428625</xdr:colOff>
                    <xdr:row>1</xdr:row>
                    <xdr:rowOff>19050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47AB40C-3409-46A1-8278-0768890627B2}">
  <dimension ref="A1:BR98"/>
  <sheetViews>
    <sheetView workbookViewId="0">
      <pane xSplit="2" ySplit="2" topLeftCell="C3" activePane="bottomRight" state="frozen"/>
      <selection pane="topRight" activeCell="C1" sqref="C1"/>
      <selection pane="bottomLeft" activeCell="A3" sqref="A3"/>
      <selection pane="bottomRight" activeCell="C3" sqref="C3"/>
    </sheetView>
  </sheetViews>
  <sheetFormatPr defaultRowHeight="15" x14ac:dyDescent="0.25"/>
  <cols>
    <col min="1" max="1" width="27.140625" bestFit="1" customWidth="1"/>
    <col min="2" max="4" width="39.140625" customWidth="1"/>
    <col min="5" max="5" width="17" customWidth="1"/>
    <col min="6" max="7" width="15.28515625" customWidth="1"/>
    <col min="8" max="17" width="11.28515625" customWidth="1"/>
    <col min="18" max="18" width="21.140625" bestFit="1" customWidth="1"/>
    <col min="19" max="19" width="21.85546875" bestFit="1" customWidth="1"/>
    <col min="20" max="20" width="13.42578125" bestFit="1" customWidth="1"/>
    <col min="21" max="21" width="24.140625" bestFit="1" customWidth="1"/>
    <col min="22" max="22" width="21.140625" bestFit="1" customWidth="1"/>
    <col min="23" max="23" width="21.140625" customWidth="1"/>
    <col min="24" max="24" width="21.140625" bestFit="1" customWidth="1"/>
    <col min="25" max="26" width="17.7109375" customWidth="1"/>
    <col min="27" max="27" width="11.28515625" bestFit="1" customWidth="1"/>
    <col min="28" max="28" width="18.5703125" bestFit="1" customWidth="1"/>
    <col min="29" max="29" width="5.5703125" bestFit="1" customWidth="1"/>
    <col min="30" max="30" width="17" bestFit="1" customWidth="1"/>
    <col min="31" max="31" width="17.7109375" customWidth="1"/>
    <col min="32" max="32" width="11.28515625" customWidth="1"/>
    <col min="33" max="34" width="13.140625" bestFit="1" customWidth="1"/>
    <col min="35" max="36" width="18.140625" bestFit="1" customWidth="1"/>
    <col min="37" max="39" width="11.28515625" customWidth="1"/>
    <col min="40" max="40" width="11.7109375" bestFit="1" customWidth="1"/>
    <col min="41" max="41" width="13.28515625" bestFit="1" customWidth="1"/>
    <col min="42" max="43" width="14.28515625" bestFit="1" customWidth="1"/>
    <col min="44" max="44" width="45.42578125" bestFit="1" customWidth="1"/>
    <col min="45" max="49" width="11.28515625" customWidth="1"/>
    <col min="50" max="50" width="39.5703125" bestFit="1" customWidth="1"/>
    <col min="51" max="52" width="39.5703125" customWidth="1"/>
    <col min="53" max="53" width="29.28515625" bestFit="1" customWidth="1"/>
    <col min="54" max="55" width="17.85546875" bestFit="1" customWidth="1"/>
    <col min="58" max="58" width="14.28515625" bestFit="1" customWidth="1"/>
  </cols>
  <sheetData>
    <row r="1" spans="1:70" s="3" customFormat="1" ht="15.75" thickBot="1" x14ac:dyDescent="0.3">
      <c r="C1" s="3" t="s">
        <v>771</v>
      </c>
      <c r="D1" s="3" t="s">
        <v>772</v>
      </c>
      <c r="E1" s="3" t="s">
        <v>773</v>
      </c>
      <c r="F1" s="3" t="s">
        <v>774</v>
      </c>
      <c r="G1" s="3" t="s">
        <v>775</v>
      </c>
      <c r="H1" s="3" t="s">
        <v>776</v>
      </c>
      <c r="I1" s="3" t="s">
        <v>777</v>
      </c>
      <c r="J1" s="3" t="s">
        <v>778</v>
      </c>
      <c r="K1" s="3" t="s">
        <v>779</v>
      </c>
      <c r="L1" s="3" t="s">
        <v>780</v>
      </c>
      <c r="M1" s="3" t="s">
        <v>781</v>
      </c>
      <c r="N1" s="3" t="s">
        <v>702</v>
      </c>
      <c r="O1" s="3" t="s">
        <v>704</v>
      </c>
      <c r="P1" s="3" t="s">
        <v>696</v>
      </c>
      <c r="Q1" s="487" t="s">
        <v>697</v>
      </c>
      <c r="R1" s="488" t="s">
        <v>782</v>
      </c>
      <c r="S1" s="488" t="s">
        <v>783</v>
      </c>
      <c r="T1" s="488" t="s">
        <v>632</v>
      </c>
      <c r="U1" s="488" t="s">
        <v>784</v>
      </c>
      <c r="V1" s="489" t="s">
        <v>785</v>
      </c>
      <c r="W1" s="489" t="s">
        <v>786</v>
      </c>
      <c r="X1" s="489" t="s">
        <v>787</v>
      </c>
      <c r="Y1" s="488" t="s">
        <v>759</v>
      </c>
      <c r="Z1" s="488" t="s">
        <v>760</v>
      </c>
      <c r="AA1" s="488" t="s">
        <v>761</v>
      </c>
      <c r="AB1" s="488" t="s">
        <v>29</v>
      </c>
      <c r="AC1" s="489" t="s">
        <v>625</v>
      </c>
      <c r="AD1" s="488" t="s">
        <v>703</v>
      </c>
      <c r="AE1" s="488" t="s">
        <v>788</v>
      </c>
      <c r="AF1" s="488" t="s">
        <v>708</v>
      </c>
      <c r="AG1" s="488" t="s">
        <v>757</v>
      </c>
      <c r="AH1" s="488" t="s">
        <v>756</v>
      </c>
      <c r="AI1" s="488" t="s">
        <v>742</v>
      </c>
      <c r="AJ1" s="488" t="s">
        <v>741</v>
      </c>
      <c r="AK1" s="489" t="s">
        <v>743</v>
      </c>
      <c r="AL1" s="489" t="s">
        <v>744</v>
      </c>
      <c r="AM1" s="3" t="s">
        <v>716</v>
      </c>
      <c r="AN1" s="3" t="s">
        <v>749</v>
      </c>
      <c r="AO1" s="3" t="s">
        <v>750</v>
      </c>
      <c r="AP1" s="3" t="s">
        <v>747</v>
      </c>
      <c r="AQ1" s="3" t="s">
        <v>748</v>
      </c>
      <c r="AR1" s="3" t="s">
        <v>705</v>
      </c>
      <c r="AS1" s="3" t="s">
        <v>706</v>
      </c>
      <c r="AT1" s="3" t="s">
        <v>660</v>
      </c>
      <c r="AU1" s="3" t="s">
        <v>707</v>
      </c>
      <c r="AV1" s="3" t="s">
        <v>789</v>
      </c>
      <c r="AW1" s="3" t="s">
        <v>712</v>
      </c>
      <c r="AX1" s="3" t="s">
        <v>717</v>
      </c>
      <c r="AY1" s="3" t="s">
        <v>755</v>
      </c>
      <c r="AZ1" s="3" t="s">
        <v>790</v>
      </c>
      <c r="BA1" s="3" t="s">
        <v>718</v>
      </c>
      <c r="BB1" s="3" t="s">
        <v>719</v>
      </c>
      <c r="BC1" s="3" t="s">
        <v>720</v>
      </c>
      <c r="BD1" s="488" t="s">
        <v>791</v>
      </c>
      <c r="BE1" s="3" t="s">
        <v>792</v>
      </c>
      <c r="BF1" s="488" t="s">
        <v>793</v>
      </c>
      <c r="BG1" s="3" t="s">
        <v>794</v>
      </c>
      <c r="BH1" s="3" t="s">
        <v>795</v>
      </c>
      <c r="BI1" s="3" t="s">
        <v>796</v>
      </c>
      <c r="BJ1" s="3" t="s">
        <v>797</v>
      </c>
      <c r="BK1" s="3" t="s">
        <v>798</v>
      </c>
      <c r="BL1" s="3" t="s">
        <v>799</v>
      </c>
      <c r="BM1" s="3" t="s">
        <v>800</v>
      </c>
      <c r="BN1" s="3" t="s">
        <v>801</v>
      </c>
      <c r="BO1" s="30" t="s">
        <v>802</v>
      </c>
      <c r="BP1" s="30" t="s">
        <v>803</v>
      </c>
      <c r="BQ1" s="30" t="s">
        <v>124</v>
      </c>
      <c r="BR1" s="30" t="s">
        <v>804</v>
      </c>
    </row>
    <row r="2" spans="1:70" x14ac:dyDescent="0.25">
      <c r="C2" t="str">
        <f>+B26</f>
        <v>Heritage Management LLC</v>
      </c>
      <c r="D2" t="str">
        <f>+B29</f>
        <v>Laurence A. Tunnard and Aprille D. Tunnard</v>
      </c>
      <c r="E2" t="str">
        <f>+B27</f>
        <v>Laurence A. Tunnard</v>
      </c>
      <c r="F2" t="str">
        <f>+B28</f>
        <v>Aprille D. Tunnard</v>
      </c>
      <c r="G2">
        <f>+B30</f>
        <v>0</v>
      </c>
      <c r="H2">
        <f>+B8</f>
        <v>0</v>
      </c>
      <c r="I2">
        <f>+B31</f>
        <v>0</v>
      </c>
      <c r="J2">
        <f>+B32</f>
        <v>0</v>
      </c>
      <c r="K2">
        <f>+B33</f>
        <v>0</v>
      </c>
      <c r="L2">
        <f>B34</f>
        <v>1233445566</v>
      </c>
      <c r="M2" t="str">
        <f>+B9</f>
        <v>Heritage Management LLC</v>
      </c>
      <c r="N2" t="str">
        <f>+B50</f>
        <v>612 Britton Ct</v>
      </c>
      <c r="O2" t="str">
        <f>+B51</f>
        <v>Sanford, NC 27330</v>
      </c>
      <c r="P2" t="str">
        <f>+B52</f>
        <v>LEE</v>
      </c>
      <c r="Q2">
        <f>+B38</f>
        <v>100</v>
      </c>
      <c r="R2">
        <f>B39</f>
        <v>0</v>
      </c>
      <c r="S2" s="473">
        <f>+B11</f>
        <v>68818</v>
      </c>
      <c r="T2" s="14">
        <f ca="1">+B12</f>
        <v>-3643.69</v>
      </c>
      <c r="U2" s="14">
        <f>B35</f>
        <v>35038.01</v>
      </c>
      <c r="V2" s="14">
        <f>+B37</f>
        <v>136402.79</v>
      </c>
      <c r="W2" s="14" t="str">
        <f>+B43</f>
        <v>Coastal Federal Credit Union</v>
      </c>
      <c r="X2" s="473">
        <f>+B10</f>
        <v>0</v>
      </c>
      <c r="Y2">
        <f>+B53</f>
        <v>0.57000000000000006</v>
      </c>
      <c r="Z2" s="474" t="str">
        <f>+B14</f>
        <v xml:space="preserve"> Cash Flow(60 months);</v>
      </c>
      <c r="AA2" s="288">
        <f>+B54</f>
        <v>4.7500000000000001E-2</v>
      </c>
      <c r="AB2" s="288">
        <f>+B55</f>
        <v>0</v>
      </c>
      <c r="AC2">
        <f>+B56</f>
        <v>0</v>
      </c>
      <c r="AD2" s="337">
        <f>+B16</f>
        <v>0</v>
      </c>
      <c r="AE2" s="337">
        <f>B36</f>
        <v>83188.5</v>
      </c>
      <c r="AF2" s="474" t="str">
        <f>+B40</f>
        <v>4.750%</v>
      </c>
      <c r="AG2" s="474" t="str">
        <f>+B41</f>
        <v>0.000%</v>
      </c>
      <c r="AH2" s="474" t="str">
        <f>+B42</f>
        <v>0.000%</v>
      </c>
      <c r="AI2" s="337">
        <f>+B13</f>
        <v>0</v>
      </c>
      <c r="AJ2" s="337">
        <f>+B16</f>
        <v>0</v>
      </c>
      <c r="AK2">
        <f>+B17</f>
        <v>30</v>
      </c>
      <c r="AL2">
        <f>+B19</f>
        <v>300</v>
      </c>
      <c r="AM2">
        <f>+B18</f>
        <v>360</v>
      </c>
      <c r="AN2" s="475">
        <f>+B20</f>
        <v>45748</v>
      </c>
      <c r="AO2" s="475">
        <f>+B21</f>
        <v>47543</v>
      </c>
      <c r="AP2" s="475">
        <f>+B22</f>
        <v>47574</v>
      </c>
      <c r="AQ2" s="475">
        <f>+B23</f>
        <v>56674</v>
      </c>
      <c r="AR2" t="str">
        <f>+B73</f>
        <v>The Tunnard Real Estate Trust on 612 Britton Ct dated March, 5 2025</v>
      </c>
      <c r="AS2" s="136" t="str">
        <f>+B74</f>
        <v>March, 5</v>
      </c>
      <c r="AT2">
        <f>+B75</f>
        <v>2025</v>
      </c>
      <c r="AU2" t="str">
        <f>+B76</f>
        <v>Wes Browning</v>
      </c>
      <c r="AV2">
        <f ca="1">+B78</f>
        <v>5</v>
      </c>
      <c r="AW2">
        <f ca="1">+B77</f>
        <v>2026</v>
      </c>
      <c r="AX2">
        <f>+B59</f>
        <v>0</v>
      </c>
      <c r="AY2">
        <f>+B62</f>
        <v>0</v>
      </c>
      <c r="AZ2" t="str">
        <f>+B60</f>
        <v xml:space="preserve">Lot 79 Carthage Colonies, phase 3A </v>
      </c>
      <c r="BA2" t="str">
        <f>+B61</f>
        <v>Lot 79 Carthage Colonies, phase 3A as shown on final plat for Carthage Colonies phase 3A Plat cabnet 19 slide 46C " a clustered Subdivision" by Braken &amp; Associates of Sandford NC. Recorded in Plat Cabnet 10 Slide 54H of Lee County Public Record</v>
      </c>
      <c r="BB2">
        <f>+B63</f>
        <v>0</v>
      </c>
      <c r="BC2">
        <f>+B64</f>
        <v>0</v>
      </c>
      <c r="BD2" t="str">
        <f>+B45</f>
        <v>Purchaser is excluding from the purchase price the debt owed by the Seller, witnessed by the Deed of Trust dated on 3/18/2019 in the amount of $21,815.89.</v>
      </c>
      <c r="BE2" s="288">
        <f>+B44</f>
        <v>1514.69</v>
      </c>
      <c r="BF2">
        <f ca="1">+B47</f>
        <v>2029</v>
      </c>
      <c r="BG2" t="str">
        <f>+B70</f>
        <v>Investment Services LLC</v>
      </c>
      <c r="BH2" s="136" t="str">
        <f>+B48</f>
        <v xml:space="preserve">The rent, for the first 12 months, will be compensated by a Promissory Note given from Lessor to the Leasee. See Exhibit "C" </v>
      </c>
      <c r="BI2" t="str">
        <f>+B65</f>
        <v>Beazer Home Group</v>
      </c>
      <c r="BJ2" t="str">
        <f>+B66</f>
        <v>00992</v>
      </c>
      <c r="BK2" t="str">
        <f>+B67</f>
        <v>0383</v>
      </c>
      <c r="BL2">
        <f>+B68</f>
        <v>0</v>
      </c>
      <c r="BM2" t="str">
        <f>+B71</f>
        <v>1309 Coffeen Avenue, STE 1200</v>
      </c>
      <c r="BN2" t="str">
        <f>+B72</f>
        <v>Sheridan, Wyoming 82801</v>
      </c>
      <c r="BO2">
        <f>+B83</f>
        <v>18296.28</v>
      </c>
      <c r="BP2">
        <f>+B86</f>
        <v>12</v>
      </c>
      <c r="BQ2">
        <f>+B87</f>
        <v>0</v>
      </c>
      <c r="BR2" t="str">
        <f>+B88</f>
        <v>X</v>
      </c>
    </row>
    <row r="3" spans="1:70" x14ac:dyDescent="0.25">
      <c r="AU3" s="22"/>
      <c r="AV3" s="22"/>
      <c r="AW3" s="15"/>
      <c r="AX3" s="22"/>
      <c r="AY3" s="22"/>
      <c r="AZ3" s="22"/>
      <c r="BP3" s="25"/>
    </row>
    <row r="4" spans="1:70" x14ac:dyDescent="0.25">
      <c r="AG4" s="474"/>
      <c r="AH4" s="474"/>
      <c r="AI4" s="474"/>
      <c r="AU4" s="22"/>
      <c r="AV4" s="22"/>
      <c r="AW4" s="15"/>
    </row>
    <row r="5" spans="1:70" x14ac:dyDescent="0.25">
      <c r="AT5" s="22"/>
      <c r="AU5" s="15"/>
      <c r="AV5" s="15"/>
    </row>
    <row r="6" spans="1:70" ht="15.75" thickBot="1" x14ac:dyDescent="0.3">
      <c r="AT6" s="22"/>
      <c r="AU6" s="15"/>
      <c r="AV6" s="15"/>
    </row>
    <row r="7" spans="1:70" ht="15.75" thickBot="1" x14ac:dyDescent="0.3">
      <c r="A7" s="524" t="s">
        <v>805</v>
      </c>
      <c r="B7" s="25"/>
      <c r="C7" s="25"/>
      <c r="D7" s="25"/>
      <c r="AT7" s="22"/>
      <c r="AU7" s="15"/>
      <c r="AV7" s="15"/>
    </row>
    <row r="8" spans="1:70" x14ac:dyDescent="0.25">
      <c r="A8" s="30" t="s">
        <v>776</v>
      </c>
      <c r="B8" s="25"/>
      <c r="C8" s="25"/>
      <c r="D8" s="25"/>
      <c r="AT8" s="22"/>
      <c r="AU8" s="15"/>
      <c r="AV8" s="15"/>
    </row>
    <row r="9" spans="1:70" x14ac:dyDescent="0.25">
      <c r="A9" s="30" t="s">
        <v>781</v>
      </c>
      <c r="B9" s="25" t="s">
        <v>806</v>
      </c>
      <c r="C9" s="25"/>
      <c r="D9" s="25"/>
      <c r="AT9" s="22"/>
      <c r="AU9" s="15"/>
      <c r="AV9" s="15"/>
    </row>
    <row r="10" spans="1:70" x14ac:dyDescent="0.25">
      <c r="A10" s="30" t="s">
        <v>807</v>
      </c>
      <c r="B10" s="478">
        <f>+[1]Amortization!AA5</f>
        <v>0</v>
      </c>
      <c r="C10" s="478"/>
      <c r="D10" s="478"/>
      <c r="AT10" s="22"/>
      <c r="AU10" s="15"/>
      <c r="AV10" s="15"/>
    </row>
    <row r="11" spans="1:70" x14ac:dyDescent="0.25">
      <c r="A11" s="485" t="s">
        <v>783</v>
      </c>
      <c r="B11" s="478">
        <f>+[1]Amortization!$O$4-B38</f>
        <v>68818</v>
      </c>
      <c r="C11" s="478"/>
      <c r="D11" s="478"/>
      <c r="AT11" s="22"/>
      <c r="AU11" s="15"/>
      <c r="AV11" s="15"/>
    </row>
    <row r="12" spans="1:70" x14ac:dyDescent="0.25">
      <c r="A12" s="485" t="s">
        <v>632</v>
      </c>
      <c r="B12" s="479">
        <f ca="1">+B10-SUM(B38:B52)</f>
        <v>-3643.69</v>
      </c>
      <c r="C12" s="479"/>
      <c r="D12" s="479"/>
      <c r="AT12" s="22"/>
      <c r="AU12" s="15"/>
      <c r="AV12" s="15"/>
    </row>
    <row r="13" spans="1:70" ht="13.5" customHeight="1" x14ac:dyDescent="0.25">
      <c r="A13" s="485" t="s">
        <v>742</v>
      </c>
      <c r="B13" s="482">
        <f>SUM(B14:B14)</f>
        <v>0</v>
      </c>
      <c r="C13" s="482"/>
      <c r="D13" s="482"/>
      <c r="AT13" s="22"/>
      <c r="AU13" s="15"/>
      <c r="AV13" s="15"/>
    </row>
    <row r="14" spans="1:70" ht="13.5" customHeight="1" x14ac:dyDescent="0.25">
      <c r="A14" s="485" t="s">
        <v>714</v>
      </c>
      <c r="B14" s="481" t="str">
        <f>+[1]Amortization!Z8</f>
        <v xml:space="preserve"> Cash Flow(60 months);</v>
      </c>
      <c r="C14" s="481"/>
      <c r="D14" s="481"/>
      <c r="AT14" s="22"/>
      <c r="AU14" s="15"/>
      <c r="AV14" s="15"/>
    </row>
    <row r="15" spans="1:70" ht="13.5" customHeight="1" x14ac:dyDescent="0.25">
      <c r="A15" s="485" t="s">
        <v>740</v>
      </c>
      <c r="B15" s="481" t="str">
        <f>+[1]Amortization!Z9</f>
        <v>1st  Loan Balance(5 years)</v>
      </c>
      <c r="C15" s="481"/>
      <c r="D15" s="481"/>
      <c r="AT15" s="22"/>
      <c r="AU15" s="15"/>
      <c r="AV15" s="15"/>
    </row>
    <row r="16" spans="1:70" ht="13.5" customHeight="1" x14ac:dyDescent="0.25">
      <c r="A16" s="485" t="s">
        <v>741</v>
      </c>
      <c r="B16" s="482">
        <f>SUM(B15:B15)</f>
        <v>0</v>
      </c>
      <c r="C16" s="482"/>
      <c r="D16" s="482"/>
      <c r="AT16" s="22"/>
      <c r="AU16" s="15"/>
      <c r="AV16" s="15"/>
    </row>
    <row r="17" spans="1:48" ht="13.5" customHeight="1" x14ac:dyDescent="0.25">
      <c r="A17" s="485" t="s">
        <v>715</v>
      </c>
      <c r="B17" s="28">
        <v>30</v>
      </c>
      <c r="C17" s="28"/>
      <c r="D17" s="28"/>
      <c r="AT17" s="22"/>
      <c r="AU17" s="15"/>
      <c r="AV17" s="15"/>
    </row>
    <row r="18" spans="1:48" ht="13.5" customHeight="1" x14ac:dyDescent="0.25">
      <c r="A18" s="30" t="s">
        <v>746</v>
      </c>
      <c r="B18" s="28">
        <f>+B17*12</f>
        <v>360</v>
      </c>
      <c r="C18" s="28"/>
      <c r="D18" s="28"/>
      <c r="AT18" s="22"/>
      <c r="AU18" s="15"/>
      <c r="AV18" s="15"/>
    </row>
    <row r="19" spans="1:48" ht="13.5" customHeight="1" x14ac:dyDescent="0.25">
      <c r="A19" s="30" t="s">
        <v>745</v>
      </c>
      <c r="B19" s="28">
        <f>+B18-60</f>
        <v>300</v>
      </c>
      <c r="C19" s="28"/>
      <c r="D19" s="28"/>
      <c r="AT19" s="22"/>
      <c r="AU19" s="15"/>
      <c r="AV19" s="15"/>
    </row>
    <row r="20" spans="1:48" ht="13.5" customHeight="1" x14ac:dyDescent="0.25">
      <c r="A20" s="30" t="s">
        <v>749</v>
      </c>
      <c r="B20" s="490">
        <v>45748</v>
      </c>
      <c r="C20" s="490"/>
      <c r="D20" s="490"/>
      <c r="AT20" s="22"/>
      <c r="AU20" s="15"/>
      <c r="AV20" s="15"/>
    </row>
    <row r="21" spans="1:48" x14ac:dyDescent="0.25">
      <c r="A21" s="30" t="s">
        <v>750</v>
      </c>
      <c r="B21" s="483">
        <f>+$B$20+(5*365)-DAY(+$B$20+(5*365))+1</f>
        <v>47543</v>
      </c>
      <c r="C21" s="483"/>
      <c r="D21" s="483"/>
      <c r="AT21" s="22"/>
      <c r="AU21" s="15"/>
      <c r="AV21" s="15"/>
    </row>
    <row r="22" spans="1:48" x14ac:dyDescent="0.25">
      <c r="A22" s="30" t="s">
        <v>747</v>
      </c>
      <c r="B22" s="483">
        <f>+$B$20+(5*365)-DAY(+$B$20+(5*365))+32</f>
        <v>47574</v>
      </c>
      <c r="C22" s="483"/>
      <c r="D22" s="483"/>
      <c r="AT22" s="22"/>
      <c r="AU22" s="15"/>
      <c r="AV22" s="15"/>
    </row>
    <row r="23" spans="1:48" x14ac:dyDescent="0.25">
      <c r="A23" s="30" t="s">
        <v>748</v>
      </c>
      <c r="B23" s="483">
        <f>+$B$20+($B$17*365)-DAY(+$B$20+($B$17*365))+1</f>
        <v>56674</v>
      </c>
      <c r="C23" s="483"/>
      <c r="D23" s="483"/>
      <c r="AT23" s="22"/>
      <c r="AU23" s="15"/>
      <c r="AV23" s="15"/>
    </row>
    <row r="24" spans="1:48" ht="15.75" thickBot="1" x14ac:dyDescent="0.3">
      <c r="A24" s="30" t="s">
        <v>717</v>
      </c>
      <c r="B24" s="25"/>
      <c r="C24" s="25"/>
      <c r="D24" s="25"/>
      <c r="AT24" s="22"/>
      <c r="AU24" s="15"/>
      <c r="AV24" s="15"/>
    </row>
    <row r="25" spans="1:48" ht="15.75" thickBot="1" x14ac:dyDescent="0.3">
      <c r="A25" s="524" t="s">
        <v>808</v>
      </c>
      <c r="B25" s="25"/>
      <c r="C25" s="25"/>
      <c r="D25" s="25"/>
      <c r="AT25" s="22"/>
      <c r="AU25" s="15"/>
      <c r="AV25" s="15"/>
    </row>
    <row r="26" spans="1:48" x14ac:dyDescent="0.25">
      <c r="A26" s="30" t="s">
        <v>771</v>
      </c>
      <c r="B26" s="25" t="s">
        <v>806</v>
      </c>
      <c r="C26" s="25"/>
      <c r="D26" s="25"/>
      <c r="AT26" s="22"/>
      <c r="AU26" s="15"/>
      <c r="AV26" s="15"/>
    </row>
    <row r="27" spans="1:48" x14ac:dyDescent="0.25">
      <c r="A27" s="30" t="s">
        <v>773</v>
      </c>
      <c r="B27" s="25" t="str">
        <f>+[1]MOG!B3&amp;" "&amp;[1]MOG!C3</f>
        <v>Laurence A. Tunnard</v>
      </c>
      <c r="C27" s="25"/>
      <c r="D27" s="25"/>
      <c r="AT27" s="22"/>
      <c r="AU27" s="15"/>
      <c r="AV27" s="15"/>
    </row>
    <row r="28" spans="1:48" x14ac:dyDescent="0.25">
      <c r="A28" s="30" t="s">
        <v>774</v>
      </c>
      <c r="B28" s="25" t="str">
        <f>+[1]MOG!B4&amp;" "&amp;[1]MOG!C4</f>
        <v>Aprille D. Tunnard</v>
      </c>
      <c r="C28" s="25"/>
      <c r="D28" s="25"/>
      <c r="AT28" s="22"/>
      <c r="AU28" s="15"/>
      <c r="AV28" s="15"/>
    </row>
    <row r="29" spans="1:48" x14ac:dyDescent="0.25">
      <c r="A29" s="30" t="s">
        <v>772</v>
      </c>
      <c r="B29" s="25" t="str">
        <f>[1]MOG!$B$3 &amp; " " &amp; [1]MOG!$C$3 &amp; IF(+[1]MOG!$C$4="",""," and " &amp; +[1]MOG!$B$4 &amp; " " &amp;[1]MOG!$C$4)</f>
        <v>Laurence A. Tunnard and Aprille D. Tunnard</v>
      </c>
      <c r="C29" s="25"/>
      <c r="D29" s="25"/>
      <c r="AT29" s="22"/>
      <c r="AU29" s="15"/>
      <c r="AV29" s="15"/>
    </row>
    <row r="30" spans="1:48" x14ac:dyDescent="0.25">
      <c r="A30" s="30" t="s">
        <v>775</v>
      </c>
      <c r="B30" s="25"/>
      <c r="C30" s="25"/>
      <c r="D30" s="25"/>
      <c r="AT30" s="22"/>
      <c r="AU30" s="15"/>
      <c r="AV30" s="15"/>
    </row>
    <row r="31" spans="1:48" x14ac:dyDescent="0.25">
      <c r="A31" s="30" t="s">
        <v>777</v>
      </c>
      <c r="B31" s="25"/>
      <c r="C31" s="25"/>
      <c r="D31" s="25"/>
      <c r="AT31" s="22"/>
      <c r="AU31" s="15"/>
      <c r="AV31" s="15"/>
    </row>
    <row r="32" spans="1:48" x14ac:dyDescent="0.25">
      <c r="A32" s="30" t="s">
        <v>778</v>
      </c>
      <c r="B32" s="25"/>
      <c r="C32" s="25"/>
      <c r="D32" s="25"/>
      <c r="AT32" s="22"/>
      <c r="AU32" s="15"/>
      <c r="AV32" s="15"/>
    </row>
    <row r="33" spans="1:48" x14ac:dyDescent="0.25">
      <c r="A33" s="30" t="s">
        <v>779</v>
      </c>
      <c r="B33" s="25"/>
      <c r="C33" s="25"/>
      <c r="D33" s="25"/>
      <c r="AT33" s="22"/>
      <c r="AU33" s="15"/>
      <c r="AV33" s="15"/>
    </row>
    <row r="34" spans="1:48" x14ac:dyDescent="0.25">
      <c r="A34" s="30" t="s">
        <v>780</v>
      </c>
      <c r="B34" s="25">
        <v>1233445566</v>
      </c>
      <c r="C34" s="25"/>
      <c r="D34" s="25"/>
      <c r="AT34" s="22"/>
      <c r="AU34" s="15"/>
      <c r="AV34" s="15"/>
    </row>
    <row r="35" spans="1:48" x14ac:dyDescent="0.25">
      <c r="A35" s="485" t="s">
        <v>784</v>
      </c>
      <c r="B35" s="479">
        <f>[1]Profit!C14</f>
        <v>35038.01</v>
      </c>
      <c r="C35" s="479"/>
      <c r="D35" s="479"/>
      <c r="AT35" s="22"/>
      <c r="AU35" s="15"/>
      <c r="AV35" s="15"/>
    </row>
    <row r="36" spans="1:48" x14ac:dyDescent="0.25">
      <c r="A36" s="485" t="s">
        <v>636</v>
      </c>
      <c r="B36" s="479">
        <f>[1]Profit!C15</f>
        <v>83188.5</v>
      </c>
      <c r="C36" s="479"/>
      <c r="D36" s="479"/>
      <c r="AT36" s="22"/>
      <c r="AU36" s="15"/>
      <c r="AV36" s="15"/>
    </row>
    <row r="37" spans="1:48" x14ac:dyDescent="0.25">
      <c r="A37" s="485" t="s">
        <v>785</v>
      </c>
      <c r="B37" s="479">
        <f>[1]Profit!B21</f>
        <v>136402.79</v>
      </c>
      <c r="C37" s="479"/>
      <c r="D37" s="479"/>
      <c r="AT37" s="22"/>
      <c r="AU37" s="15"/>
      <c r="AV37" s="15"/>
    </row>
    <row r="38" spans="1:48" x14ac:dyDescent="0.25">
      <c r="A38" s="485" t="s">
        <v>697</v>
      </c>
      <c r="B38" s="28">
        <v>100</v>
      </c>
      <c r="C38" s="28"/>
      <c r="D38" s="28"/>
      <c r="AT38" s="22"/>
      <c r="AU38" s="15"/>
      <c r="AV38" s="15"/>
    </row>
    <row r="39" spans="1:48" x14ac:dyDescent="0.25">
      <c r="A39" s="485" t="s">
        <v>809</v>
      </c>
      <c r="B39" s="479">
        <f>[1]Profit!C20</f>
        <v>0</v>
      </c>
      <c r="C39" s="479"/>
      <c r="D39" s="479"/>
      <c r="AT39" s="22"/>
      <c r="AU39" s="15"/>
      <c r="AV39" s="15"/>
    </row>
    <row r="40" spans="1:48" x14ac:dyDescent="0.25">
      <c r="A40" s="485" t="s">
        <v>708</v>
      </c>
      <c r="B40" s="481" t="str">
        <f>TEXT([1]Amortization!$C$3,"0.000%")</f>
        <v>4.750%</v>
      </c>
      <c r="C40" s="481"/>
      <c r="D40" s="481"/>
      <c r="AT40" s="22"/>
      <c r="AU40" s="15"/>
      <c r="AV40" s="15"/>
    </row>
    <row r="41" spans="1:48" x14ac:dyDescent="0.25">
      <c r="A41" s="485" t="s">
        <v>757</v>
      </c>
      <c r="B41" s="481" t="str">
        <f>TEXT(+[1]Amortization!AA8,"0.000%")</f>
        <v>0.000%</v>
      </c>
      <c r="C41" s="481"/>
      <c r="D41" s="481"/>
      <c r="AT41" s="22"/>
      <c r="AU41" s="15"/>
      <c r="AV41" s="15"/>
    </row>
    <row r="42" spans="1:48" x14ac:dyDescent="0.25">
      <c r="A42" s="485" t="s">
        <v>756</v>
      </c>
      <c r="B42" s="481" t="str">
        <f>TEXT([1]Amortization!$O$6,"0.000%")</f>
        <v>0.000%</v>
      </c>
      <c r="C42" s="481"/>
      <c r="D42" s="481"/>
      <c r="AT42" s="22"/>
      <c r="AU42" s="15"/>
      <c r="AV42" s="15"/>
    </row>
    <row r="43" spans="1:48" x14ac:dyDescent="0.25">
      <c r="A43" s="485" t="s">
        <v>786</v>
      </c>
      <c r="B43" s="479" t="s">
        <v>810</v>
      </c>
      <c r="C43" s="479"/>
      <c r="D43" s="479"/>
      <c r="AT43" s="22"/>
      <c r="AU43" s="15"/>
      <c r="AV43" s="15"/>
    </row>
    <row r="44" spans="1:48" x14ac:dyDescent="0.25">
      <c r="A44" s="30" t="s">
        <v>792</v>
      </c>
      <c r="B44" s="480">
        <f>[1]Carrying!E5</f>
        <v>1514.69</v>
      </c>
      <c r="C44" s="480"/>
      <c r="D44" s="480"/>
      <c r="AT44" s="22"/>
      <c r="AU44" s="15"/>
      <c r="AV44" s="15"/>
    </row>
    <row r="45" spans="1:48" ht="15.75" thickBot="1" x14ac:dyDescent="0.3">
      <c r="A45" s="485" t="s">
        <v>791</v>
      </c>
      <c r="B45" s="479" t="s">
        <v>811</v>
      </c>
      <c r="C45" s="479"/>
      <c r="D45" s="479"/>
      <c r="AT45" s="22"/>
      <c r="AU45" s="15"/>
      <c r="AV45" s="15"/>
    </row>
    <row r="46" spans="1:48" ht="15.75" thickBot="1" x14ac:dyDescent="0.3">
      <c r="A46" s="524" t="s">
        <v>812</v>
      </c>
      <c r="B46" s="525"/>
      <c r="C46" s="525"/>
      <c r="D46" s="525"/>
      <c r="AT46" s="22"/>
      <c r="AU46" s="15"/>
      <c r="AV46" s="15"/>
    </row>
    <row r="47" spans="1:48" x14ac:dyDescent="0.25">
      <c r="A47" s="485" t="s">
        <v>813</v>
      </c>
      <c r="B47" s="32">
        <f ca="1">YEAR(NOW()+365*3)</f>
        <v>2029</v>
      </c>
      <c r="C47" s="32"/>
      <c r="D47" s="32"/>
      <c r="AT47" s="22"/>
      <c r="AU47" s="15"/>
      <c r="AV47" s="15"/>
    </row>
    <row r="48" spans="1:48" ht="15.75" thickBot="1" x14ac:dyDescent="0.3">
      <c r="A48" s="30" t="s">
        <v>795</v>
      </c>
      <c r="B48" s="479" t="s">
        <v>814</v>
      </c>
      <c r="C48" s="479"/>
      <c r="D48" s="479"/>
      <c r="AT48" s="22"/>
      <c r="AU48" s="15"/>
      <c r="AV48" s="15"/>
    </row>
    <row r="49" spans="1:49" ht="15.75" thickBot="1" x14ac:dyDescent="0.3">
      <c r="A49" s="524" t="s">
        <v>815</v>
      </c>
      <c r="B49" s="25"/>
      <c r="C49" s="25"/>
      <c r="D49" s="25"/>
      <c r="AT49" s="22"/>
      <c r="AU49" s="15"/>
      <c r="AV49" s="15"/>
    </row>
    <row r="50" spans="1:49" x14ac:dyDescent="0.25">
      <c r="A50" s="30" t="s">
        <v>702</v>
      </c>
      <c r="B50" s="25" t="str">
        <f>+[1]Profit!$B$2</f>
        <v>612 Britton Ct</v>
      </c>
      <c r="C50" s="25"/>
      <c r="D50" s="25"/>
      <c r="AT50" s="22"/>
      <c r="AU50" s="15"/>
      <c r="AV50" s="15"/>
    </row>
    <row r="51" spans="1:49" x14ac:dyDescent="0.25">
      <c r="A51" s="30" t="s">
        <v>704</v>
      </c>
      <c r="B51" s="25" t="str">
        <f>+[1]Profit!$E$2</f>
        <v>Sanford, NC 27330</v>
      </c>
      <c r="C51" s="25"/>
      <c r="D51" s="25"/>
      <c r="AT51" s="22"/>
      <c r="AU51" s="15"/>
      <c r="AV51" s="15"/>
    </row>
    <row r="52" spans="1:49" x14ac:dyDescent="0.25">
      <c r="A52" s="30" t="s">
        <v>696</v>
      </c>
      <c r="B52" s="25" t="s">
        <v>816</v>
      </c>
      <c r="C52" s="25"/>
      <c r="D52" s="25"/>
      <c r="AT52" s="22"/>
      <c r="AU52" s="15"/>
      <c r="AV52" s="15"/>
    </row>
    <row r="53" spans="1:49" x14ac:dyDescent="0.25">
      <c r="A53" s="485" t="s">
        <v>698</v>
      </c>
      <c r="B53" s="25">
        <f>+B54*12</f>
        <v>0.57000000000000006</v>
      </c>
      <c r="C53" s="25"/>
      <c r="D53" s="25"/>
      <c r="AU53" s="22"/>
      <c r="AV53" s="22"/>
      <c r="AW53" s="15"/>
    </row>
    <row r="54" spans="1:49" x14ac:dyDescent="0.25">
      <c r="A54" s="485" t="s">
        <v>699</v>
      </c>
      <c r="B54" s="480">
        <f>+[1]Amortization!$T$9</f>
        <v>4.7500000000000001E-2</v>
      </c>
      <c r="C54" s="480"/>
      <c r="D54" s="480"/>
      <c r="AU54" s="22"/>
      <c r="AV54" s="22"/>
      <c r="AW54" s="15"/>
    </row>
    <row r="55" spans="1:49" x14ac:dyDescent="0.25">
      <c r="A55" s="485" t="s">
        <v>700</v>
      </c>
      <c r="B55" s="480">
        <f>+[1]Amortization!$T$8</f>
        <v>0</v>
      </c>
      <c r="C55" s="480"/>
      <c r="D55" s="480"/>
      <c r="AU55" s="22"/>
      <c r="AV55" s="22"/>
      <c r="AW55" s="15"/>
    </row>
    <row r="56" spans="1:49" ht="15.75" thickBot="1" x14ac:dyDescent="0.3">
      <c r="A56" s="486" t="s">
        <v>701</v>
      </c>
      <c r="B56" s="25">
        <v>0</v>
      </c>
      <c r="C56" s="25"/>
      <c r="D56" s="25"/>
      <c r="AU56" s="22"/>
      <c r="AV56" s="22"/>
      <c r="AW56" s="15"/>
    </row>
    <row r="57" spans="1:49" ht="15.75" thickBot="1" x14ac:dyDescent="0.3">
      <c r="A57" s="524" t="s">
        <v>817</v>
      </c>
      <c r="B57" s="25"/>
      <c r="C57" s="25"/>
      <c r="D57" s="25"/>
      <c r="AU57" s="22"/>
      <c r="AV57" s="22"/>
      <c r="AW57" s="15"/>
    </row>
    <row r="58" spans="1:49" x14ac:dyDescent="0.25">
      <c r="A58" s="30"/>
      <c r="B58" s="32"/>
      <c r="C58" s="32"/>
      <c r="D58" s="32"/>
    </row>
    <row r="59" spans="1:49" ht="15.75" x14ac:dyDescent="0.25">
      <c r="A59" s="30"/>
      <c r="B59" s="491"/>
      <c r="C59" s="491"/>
      <c r="D59" s="491"/>
    </row>
    <row r="60" spans="1:49" x14ac:dyDescent="0.25">
      <c r="A60" s="30" t="s">
        <v>790</v>
      </c>
      <c r="B60" s="479" t="s">
        <v>818</v>
      </c>
      <c r="C60" s="479"/>
      <c r="D60" s="479"/>
    </row>
    <row r="61" spans="1:49" x14ac:dyDescent="0.25">
      <c r="A61" s="30" t="s">
        <v>718</v>
      </c>
      <c r="B61" s="479" t="s">
        <v>819</v>
      </c>
      <c r="C61" s="479"/>
      <c r="D61" s="479"/>
    </row>
    <row r="62" spans="1:49" ht="15.75" x14ac:dyDescent="0.25">
      <c r="A62" s="30" t="s">
        <v>755</v>
      </c>
      <c r="B62" s="526"/>
      <c r="C62" s="526"/>
      <c r="D62" s="526"/>
    </row>
    <row r="63" spans="1:49" ht="15.75" x14ac:dyDescent="0.25">
      <c r="A63" s="30" t="s">
        <v>719</v>
      </c>
      <c r="B63" s="526"/>
      <c r="C63" s="526"/>
      <c r="D63" s="526"/>
    </row>
    <row r="64" spans="1:49" ht="15.75" x14ac:dyDescent="0.25">
      <c r="A64" s="30" t="s">
        <v>720</v>
      </c>
      <c r="B64" s="526"/>
      <c r="C64" s="526"/>
      <c r="D64" s="526"/>
    </row>
    <row r="65" spans="1:4" x14ac:dyDescent="0.25">
      <c r="A65" s="30" t="s">
        <v>796</v>
      </c>
      <c r="B65" s="28" t="s">
        <v>820</v>
      </c>
      <c r="C65" s="28"/>
      <c r="D65" s="28"/>
    </row>
    <row r="66" spans="1:4" x14ac:dyDescent="0.25">
      <c r="A66" s="30" t="s">
        <v>797</v>
      </c>
      <c r="B66" s="527" t="s">
        <v>821</v>
      </c>
      <c r="C66" s="527"/>
      <c r="D66" s="527"/>
    </row>
    <row r="67" spans="1:4" x14ac:dyDescent="0.25">
      <c r="A67" s="30" t="s">
        <v>798</v>
      </c>
      <c r="B67" s="527" t="s">
        <v>822</v>
      </c>
      <c r="C67" s="527"/>
      <c r="D67" s="527"/>
    </row>
    <row r="68" spans="1:4" ht="15.75" thickBot="1" x14ac:dyDescent="0.3">
      <c r="A68" s="30" t="s">
        <v>823</v>
      </c>
      <c r="B68" s="28"/>
      <c r="C68" s="28"/>
      <c r="D68" s="28"/>
    </row>
    <row r="69" spans="1:4" ht="15.75" thickBot="1" x14ac:dyDescent="0.3">
      <c r="A69" s="524" t="s">
        <v>824</v>
      </c>
      <c r="B69" s="25"/>
      <c r="C69" s="25"/>
      <c r="D69" s="25"/>
    </row>
    <row r="70" spans="1:4" x14ac:dyDescent="0.25">
      <c r="A70" s="30" t="s">
        <v>794</v>
      </c>
      <c r="B70" s="25" t="s">
        <v>825</v>
      </c>
      <c r="C70" s="25"/>
      <c r="D70" s="25"/>
    </row>
    <row r="71" spans="1:4" x14ac:dyDescent="0.25">
      <c r="A71" s="30" t="s">
        <v>826</v>
      </c>
      <c r="B71" t="s">
        <v>827</v>
      </c>
    </row>
    <row r="72" spans="1:4" x14ac:dyDescent="0.25">
      <c r="A72" s="30" t="s">
        <v>828</v>
      </c>
      <c r="B72" t="s">
        <v>829</v>
      </c>
    </row>
    <row r="73" spans="1:4" x14ac:dyDescent="0.25">
      <c r="A73" s="30" t="s">
        <v>705</v>
      </c>
      <c r="B73" s="25" t="s">
        <v>830</v>
      </c>
      <c r="C73" s="25"/>
      <c r="D73" s="25"/>
    </row>
    <row r="74" spans="1:4" x14ac:dyDescent="0.25">
      <c r="A74" s="30" t="s">
        <v>706</v>
      </c>
      <c r="B74" s="484" t="s">
        <v>831</v>
      </c>
      <c r="C74" s="484"/>
      <c r="D74" s="484"/>
    </row>
    <row r="75" spans="1:4" x14ac:dyDescent="0.25">
      <c r="A75" s="30" t="s">
        <v>660</v>
      </c>
      <c r="B75" s="25">
        <v>2025</v>
      </c>
      <c r="C75" s="25"/>
      <c r="D75" s="25"/>
    </row>
    <row r="76" spans="1:4" x14ac:dyDescent="0.25">
      <c r="A76" s="30" t="s">
        <v>707</v>
      </c>
      <c r="B76" s="28" t="s">
        <v>711</v>
      </c>
      <c r="C76" s="28"/>
      <c r="D76" s="28"/>
    </row>
    <row r="77" spans="1:4" x14ac:dyDescent="0.25">
      <c r="A77" s="30" t="s">
        <v>712</v>
      </c>
      <c r="B77" s="32">
        <f ca="1">YEAR(NOW())</f>
        <v>2026</v>
      </c>
      <c r="C77" s="32"/>
      <c r="D77" s="32"/>
    </row>
    <row r="78" spans="1:4" x14ac:dyDescent="0.25">
      <c r="A78" s="30" t="s">
        <v>832</v>
      </c>
      <c r="B78" s="32">
        <f ca="1">MONTH(NOW())</f>
        <v>5</v>
      </c>
      <c r="C78" s="32"/>
      <c r="D78" s="32"/>
    </row>
    <row r="79" spans="1:4" x14ac:dyDescent="0.25">
      <c r="A79" s="30"/>
      <c r="B79" s="25"/>
      <c r="C79" s="25"/>
      <c r="D79" s="25"/>
    </row>
    <row r="80" spans="1:4" x14ac:dyDescent="0.25">
      <c r="A80" s="30" t="s">
        <v>754</v>
      </c>
      <c r="B80" s="25"/>
      <c r="C80" s="25"/>
      <c r="D80" s="25"/>
    </row>
    <row r="81" spans="1:4" ht="15.75" thickBot="1" x14ac:dyDescent="0.3">
      <c r="A81" s="30"/>
      <c r="B81" s="25"/>
      <c r="C81" s="25"/>
      <c r="D81" s="25"/>
    </row>
    <row r="82" spans="1:4" ht="15.75" thickBot="1" x14ac:dyDescent="0.3">
      <c r="A82" s="524" t="s">
        <v>833</v>
      </c>
      <c r="B82" s="25"/>
      <c r="C82" s="25"/>
      <c r="D82" s="25"/>
    </row>
    <row r="83" spans="1:4" x14ac:dyDescent="0.25">
      <c r="A83" s="30" t="s">
        <v>834</v>
      </c>
      <c r="B83" s="25">
        <f>+B86*B84</f>
        <v>18296.28</v>
      </c>
      <c r="C83" s="25"/>
      <c r="D83" s="25"/>
    </row>
    <row r="84" spans="1:4" x14ac:dyDescent="0.25">
      <c r="A84" s="30" t="s">
        <v>835</v>
      </c>
      <c r="B84" s="480">
        <f>+B44+B85</f>
        <v>1524.69</v>
      </c>
      <c r="C84" s="480"/>
      <c r="D84" s="480"/>
    </row>
    <row r="85" spans="1:4" ht="15.75" x14ac:dyDescent="0.25">
      <c r="A85" s="30" t="s">
        <v>836</v>
      </c>
      <c r="B85" s="526">
        <v>10</v>
      </c>
      <c r="C85" s="480"/>
      <c r="D85" s="480"/>
    </row>
    <row r="86" spans="1:4" x14ac:dyDescent="0.25">
      <c r="A86" s="30" t="s">
        <v>803</v>
      </c>
      <c r="B86" s="25">
        <v>12</v>
      </c>
      <c r="C86" s="25"/>
      <c r="D86" s="25"/>
    </row>
    <row r="87" spans="1:4" x14ac:dyDescent="0.25">
      <c r="A87" s="30" t="s">
        <v>124</v>
      </c>
      <c r="B87" s="25">
        <v>0</v>
      </c>
      <c r="C87" s="25"/>
      <c r="D87" s="25"/>
    </row>
    <row r="88" spans="1:4" x14ac:dyDescent="0.25">
      <c r="A88" s="30" t="s">
        <v>837</v>
      </c>
      <c r="B88" s="25" t="str">
        <f>IF(B83&gt;0,"X","")</f>
        <v>X</v>
      </c>
      <c r="C88" s="25"/>
      <c r="D88" s="25"/>
    </row>
    <row r="89" spans="1:4" x14ac:dyDescent="0.25">
      <c r="A89" s="30"/>
      <c r="B89" s="25"/>
      <c r="C89" s="25"/>
      <c r="D89" s="25"/>
    </row>
    <row r="90" spans="1:4" x14ac:dyDescent="0.25">
      <c r="A90" s="30"/>
      <c r="B90" s="25"/>
      <c r="C90" s="25"/>
      <c r="D90" s="25"/>
    </row>
    <row r="91" spans="1:4" x14ac:dyDescent="0.25">
      <c r="A91" s="30"/>
      <c r="B91" s="25"/>
      <c r="C91" s="25"/>
      <c r="D91" s="25"/>
    </row>
    <row r="92" spans="1:4" x14ac:dyDescent="0.25">
      <c r="A92" s="30"/>
      <c r="B92" s="25"/>
      <c r="C92" s="25"/>
      <c r="D92" s="25"/>
    </row>
    <row r="93" spans="1:4" x14ac:dyDescent="0.25">
      <c r="A93" s="30"/>
      <c r="B93" s="25"/>
      <c r="C93" s="25"/>
      <c r="D93" s="25"/>
    </row>
    <row r="94" spans="1:4" x14ac:dyDescent="0.25">
      <c r="A94" s="30"/>
      <c r="B94" s="25"/>
      <c r="C94" s="25"/>
      <c r="D94" s="25"/>
    </row>
    <row r="95" spans="1:4" x14ac:dyDescent="0.25">
      <c r="A95" s="30"/>
      <c r="B95" s="25"/>
      <c r="C95" s="25"/>
      <c r="D95" s="25"/>
    </row>
    <row r="96" spans="1:4" x14ac:dyDescent="0.25">
      <c r="A96" s="30"/>
      <c r="B96" s="25"/>
      <c r="C96" s="25"/>
      <c r="D96" s="25"/>
    </row>
    <row r="97" spans="1:4" x14ac:dyDescent="0.25">
      <c r="A97" s="30"/>
      <c r="B97" s="25"/>
      <c r="C97" s="25"/>
      <c r="D97" s="25"/>
    </row>
    <row r="98" spans="1:4" x14ac:dyDescent="0.25">
      <c r="A98" s="30"/>
      <c r="B98" s="25"/>
      <c r="C98" s="25"/>
      <c r="D98" s="25"/>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0D2ECA-2BAD-40CC-ABE6-F611B5FB8305}">
  <sheetPr codeName="Sheet21"/>
  <dimension ref="A1:M82"/>
  <sheetViews>
    <sheetView topLeftCell="A42" zoomScale="115" zoomScaleNormal="115" workbookViewId="0">
      <selection activeCell="I42" sqref="I42:I50"/>
    </sheetView>
  </sheetViews>
  <sheetFormatPr defaultRowHeight="15" x14ac:dyDescent="0.25"/>
  <cols>
    <col min="1" max="1" width="8.7109375" bestFit="1" customWidth="1"/>
    <col min="2" max="3" width="12.7109375" customWidth="1"/>
    <col min="4" max="4" width="16.28515625" customWidth="1"/>
    <col min="5" max="6" width="12.28515625" bestFit="1" customWidth="1"/>
    <col min="7" max="7" width="12.5703125" customWidth="1"/>
    <col min="8" max="8" width="5.5703125" customWidth="1"/>
    <col min="9" max="9" width="88.28515625" customWidth="1"/>
    <col min="11" max="11" width="88" customWidth="1"/>
    <col min="15" max="15" width="56.7109375" customWidth="1"/>
  </cols>
  <sheetData>
    <row r="1" spans="1:11" x14ac:dyDescent="0.25">
      <c r="C1" s="782" t="s">
        <v>86</v>
      </c>
      <c r="D1" s="783"/>
      <c r="E1" s="746"/>
      <c r="I1" s="775" t="str">
        <f>"Hi "&amp;B3 &amp; IF(B4 ="",""," and ") &amp;B4&amp;",
Thank you for the opportunity to make an offer on your property at "&amp;Profit!B2&amp;". I have several options I would like for you to consider. I also want to give you several very good reasons for you to work with us here at Buy Your Home LLC.
"&amp;REPT(" ",6)&amp;"1. If you sell your home to us, you will incur no expense from the transaction. We will pay all:
"&amp;REPT(" ",20)&amp;"Closing Cost
"&amp;REPT(" ",20)&amp;"Attorney's Fees
"&amp;REPT(" ",20)&amp;"Realtor Commissions
"&amp;REPT(" ",6) &amp;" 2. We can close fast. It will be a matter of days, probably less than two weeks, when we can  
"&amp;REPT(" ",11) &amp;"close at our attorney's office and get you your cash.
"&amp;REPT(" ",6) &amp;"3. We cover the cost, time, and effort of paying any money due to any lender or HOA 
"&amp;REPT(" ",11) &amp;"involved."</f>
        <v>Hi Thomas,
Thank you for the opportunity to make an offer on your property at 1343 Old Buckhorn Rd. I have several options I would like for you to consider. I also want to give you several very good reasons for you to work with us here at Buy Your Home LLC.
      1. If you sell your home to us, you will incur no expense from the transaction. We will pay all:
                    Closing Cost
                    Attorney's Fees
                    Realtor Commissions
       2. We can close fast. It will be a matter of days, probably less than two weeks, when we can  
           close at our attorney's office and get you your cash.
      3. We cover the cost, time, and effort of paying any money due to any lender or HOA 
           involved.</v>
      </c>
      <c r="J1" s="784" t="s">
        <v>87</v>
      </c>
      <c r="K1" s="775" t="str">
        <f>+I1&amp;IF(N14="X",O14,"")&amp;"
"&amp; IF(H15="X",I15,"") &amp;"
"&amp; IF(H16="X",I16,"") &amp;"
"&amp; IF(H20="X",I20,"") &amp;"
"&amp; IF(H26="X",I26,"") &amp;"
"&amp; IF(H33="X",I33,"") &amp; "
"&amp; IF(H42="X",I42,"") &amp; "
"&amp; IF(H52="X",I52,"") &amp; "
"&amp; IF(H61="X",I61,"") &amp; "
"&amp; IF(H74="X",I74,"") &amp; "
"&amp; IF(H81="X",I81,"") &amp; "
"&amp; IF(H82="X",I82,"") &amp; "
"&amp; ""</f>
        <v xml:space="preserve">Hi Thomas,
Thank you for the opportunity to make an offer on your property at 1343 Old Buckhorn Rd. I have several options I would like for you to consider. I also want to give you several very good reasons for you to work with us here at Buy Your Home LLC.
      1. If you sell your home to us, you will incur no expense from the transaction. We will pay all:
                    Closing Cost
                    Attorney's Fees
                    Realtor Commissions
       2. We can close fast. It will be a matter of days, probably less than two weeks, when we can  
           close at our attorney's office and get you your cash.
      3. We cover the cost, time, and effort of paying any money due to any lender or HOA 
           involved.
Here are some purchase options for your consideration. They are presented in summary form and I am sure you will have some questions that I will be happy to take time needed to answer.  Each option below will have more value than the one above it.
Option 1: Cash plus Assumption of Mortgage
      This is a cash payment, at closing. We will take responsibility for the existing mortgage, HOA
      fees, and any liens that may be discovered until we are able to resell the property. This offer is:
                                           Cash:                      $49,900.00
                                Total Value:                      $49,900.00
Option 2: Cash plus Promissory Note
      The explanation for the cash component is the same as for option 1. However, 34.% of the
      value of the offer will be cash and 66.% will be in the form of a promissory note, complete
      with a Deed of Trust. The note will have a 60-month term that will pay simple interest at
      the rate of 4% per year.
                                           Cash:                       $16,966.00
                        12 Month Note:                        $43,334.00
                         Interest Earned:                         $8,666.80            $144.45 per month
                                Total Value:                    $68,966.80
Thomas, this offer is contingent upon a normal due diligence period. The values of each option are predicated on some assumptions that may need to be altered upon further discovery. The more we can learn from you, in advance, the more reliable these options may be considered. When you decide which offer you prefer, I will email you a contract along with an earnest money payment. We are ready to be of service in any way we can.
This offer is based on Zillow's Zestimate of $375,000.00. 
We will clean and prepare the property for a quick resale. There is also an assumption that the property will need no rehab. If that turns out to not be true, an allowance will need to be made. In any case, that will be decided in the due diligence period of the contract.
Sincerely,
Wes Browning
(919) 899-2104
</v>
      </c>
    </row>
    <row r="2" spans="1:11" ht="15.75" thickBot="1" x14ac:dyDescent="0.3">
      <c r="C2" s="3"/>
      <c r="D2" s="22"/>
      <c r="I2" s="746"/>
      <c r="J2" s="784"/>
      <c r="K2" s="775"/>
    </row>
    <row r="3" spans="1:11" ht="16.5" customHeight="1" x14ac:dyDescent="0.25">
      <c r="A3" t="s">
        <v>88</v>
      </c>
      <c r="B3" s="242" t="s">
        <v>709</v>
      </c>
      <c r="C3" s="241" t="s">
        <v>710</v>
      </c>
      <c r="D3" s="22"/>
      <c r="I3" s="746"/>
      <c r="J3" s="235"/>
      <c r="K3" s="775"/>
    </row>
    <row r="4" spans="1:11" x14ac:dyDescent="0.25">
      <c r="A4" t="s">
        <v>89</v>
      </c>
      <c r="B4" s="240"/>
      <c r="C4" s="243"/>
      <c r="D4" s="22"/>
      <c r="I4" s="746"/>
      <c r="K4" s="775"/>
    </row>
    <row r="5" spans="1:11" ht="16.5" x14ac:dyDescent="0.3">
      <c r="A5" t="s">
        <v>90</v>
      </c>
      <c r="B5" s="230"/>
      <c r="C5" s="231"/>
      <c r="D5" s="22"/>
      <c r="I5" s="746"/>
      <c r="K5" s="775"/>
    </row>
    <row r="6" spans="1:11" ht="15" customHeight="1" thickBot="1" x14ac:dyDescent="0.3">
      <c r="A6" t="s">
        <v>91</v>
      </c>
      <c r="B6" s="232"/>
      <c r="C6" s="233"/>
      <c r="D6" s="22"/>
      <c r="I6" s="746"/>
      <c r="K6" s="775"/>
    </row>
    <row r="7" spans="1:11" x14ac:dyDescent="0.25">
      <c r="I7" s="746"/>
      <c r="K7" s="775"/>
    </row>
    <row r="8" spans="1:11" x14ac:dyDescent="0.25">
      <c r="I8" s="746"/>
      <c r="K8" s="775"/>
    </row>
    <row r="9" spans="1:11" x14ac:dyDescent="0.25">
      <c r="A9" s="15" t="s">
        <v>92</v>
      </c>
      <c r="B9" s="15" t="s">
        <v>93</v>
      </c>
      <c r="C9" s="15"/>
      <c r="I9" s="746"/>
      <c r="K9" s="775"/>
    </row>
    <row r="10" spans="1:11" x14ac:dyDescent="0.25">
      <c r="B10" s="785" t="s">
        <v>94</v>
      </c>
      <c r="C10" s="786"/>
      <c r="D10" s="786"/>
      <c r="E10" s="786"/>
      <c r="F10" s="786"/>
      <c r="G10" s="786"/>
      <c r="I10" s="746"/>
      <c r="K10" s="775"/>
    </row>
    <row r="11" spans="1:11" x14ac:dyDescent="0.25">
      <c r="B11" s="746"/>
      <c r="C11" s="746"/>
      <c r="D11" s="746"/>
      <c r="E11" s="746"/>
      <c r="F11" s="746"/>
      <c r="G11" s="746"/>
      <c r="I11" s="746"/>
      <c r="K11" s="775"/>
    </row>
    <row r="12" spans="1:11" x14ac:dyDescent="0.25">
      <c r="F12" s="776" t="s">
        <v>95</v>
      </c>
      <c r="I12" s="746"/>
      <c r="K12" s="775"/>
    </row>
    <row r="13" spans="1:11" ht="15.75" thickBot="1" x14ac:dyDescent="0.3">
      <c r="B13" s="31" t="s">
        <v>96</v>
      </c>
      <c r="C13" s="228" t="s">
        <v>97</v>
      </c>
      <c r="D13" s="31" t="s">
        <v>98</v>
      </c>
      <c r="E13" s="31"/>
      <c r="F13" s="777"/>
      <c r="G13" s="31" t="s">
        <v>99</v>
      </c>
      <c r="I13" s="746"/>
      <c r="K13" s="775"/>
    </row>
    <row r="14" spans="1:11" ht="16.5" thickTop="1" thickBot="1" x14ac:dyDescent="0.3">
      <c r="B14" s="239">
        <f>+D14+F14</f>
        <v>141760.1</v>
      </c>
      <c r="C14" s="1">
        <f>+Profit!B4</f>
        <v>375000</v>
      </c>
      <c r="D14" s="1">
        <f>+Profit!K48-Profit!C20</f>
        <v>96850.1</v>
      </c>
      <c r="F14" s="238">
        <f>+B24-(B24*F16)</f>
        <v>44910</v>
      </c>
      <c r="G14" s="204">
        <f>+C14-D14-F14+Profit!D55+Profit!C20</f>
        <v>62805.124450000003</v>
      </c>
      <c r="I14" s="746"/>
      <c r="K14" s="775"/>
    </row>
    <row r="15" spans="1:11" ht="16.5" thickTop="1" thickBot="1" x14ac:dyDescent="0.3">
      <c r="C15" s="199"/>
      <c r="D15" s="200" t="s">
        <v>100</v>
      </c>
      <c r="E15" s="201">
        <f>+Profit!$K$50</f>
        <v>97825.675549999985</v>
      </c>
      <c r="H15" s="229"/>
      <c r="K15" s="775"/>
    </row>
    <row r="16" spans="1:11" ht="16.5" thickTop="1" thickBot="1" x14ac:dyDescent="0.3">
      <c r="C16" s="199"/>
      <c r="D16" s="202" t="s">
        <v>101</v>
      </c>
      <c r="E16" s="203">
        <f>+G14/E15</f>
        <v>0.64201063879083031</v>
      </c>
      <c r="F16" s="237">
        <v>0.1</v>
      </c>
      <c r="H16" s="229" t="s">
        <v>102</v>
      </c>
      <c r="I16" s="775" t="str">
        <f>"Here are some purchase options for your consideration. They are presented in summary form and I am sure you will have some questions that I will be happy to take time needed to answer.  Each option below will have more value than the one above it."</f>
        <v>Here are some purchase options for your consideration. They are presented in summary form and I am sure you will have some questions that I will be happy to take time needed to answer.  Each option below will have more value than the one above it.</v>
      </c>
      <c r="K16" s="775"/>
    </row>
    <row r="17" spans="1:13" ht="15.75" thickTop="1" x14ac:dyDescent="0.25">
      <c r="C17" s="199"/>
      <c r="D17" s="202" t="s">
        <v>103</v>
      </c>
      <c r="E17" s="203">
        <f>+G14/(F14+G14)</f>
        <v>0.58306690699831432</v>
      </c>
      <c r="F17" t="s">
        <v>104</v>
      </c>
      <c r="I17" s="775"/>
      <c r="K17" s="775"/>
    </row>
    <row r="18" spans="1:13" x14ac:dyDescent="0.25">
      <c r="I18" s="775"/>
      <c r="K18" s="775"/>
    </row>
    <row r="19" spans="1:13" ht="15.75" thickBot="1" x14ac:dyDescent="0.3">
      <c r="A19" s="15" t="s">
        <v>105</v>
      </c>
      <c r="B19" s="15" t="s">
        <v>106</v>
      </c>
      <c r="D19" s="15" t="s">
        <v>107</v>
      </c>
      <c r="H19">
        <f>IF(H20="X",1,0)</f>
        <v>0</v>
      </c>
      <c r="K19" s="775"/>
    </row>
    <row r="20" spans="1:13" ht="15" customHeight="1" thickTop="1" thickBot="1" x14ac:dyDescent="0.3">
      <c r="B20" t="s">
        <v>108</v>
      </c>
      <c r="H20" s="229"/>
      <c r="I20" s="775" t="str">
        <f>"Option "&amp;H19&amp;": "&amp;""&amp;B9&amp;"
"&amp;REPT(" ",6)&amp;"This is a, traditional, all cash purchase, at closing with no other allowances considered. Seller 
"&amp;REPT(" ",6)&amp;"pays all mortgages, liens, HOA expenses, etc., out of closings disbursements. This option has 
" &amp; REPT(" ",6) &amp; "the smallest value for the seller. Our cash offer is:
"&amp;REPT(" ",43) &amp;"Cash:"&amp;REPT(" ",21)&amp;+TEXT(B14,"$#,##0.00") &amp; IF(J3="yes",REPT(" ",10) &amp; "Profit = "&amp; TEXT(G14,"$#,##0.00"),"" )&amp; "
"&amp;REPT(" ",32) &amp; "Total Value:"&amp;REPT(" ",21)&amp;TEXT(F14,"$#,##0.00")</f>
        <v>Option 0: Traditional, All Cash 
      This is a, traditional, all cash purchase, at closing with no other allowances considered. Seller 
      pays all mortgages, liens, HOA expenses, etc., out of closings disbursements. This option has 
      the smallest value for the seller. Our cash offer is:
                                           Cash:                     $141,760.10
                                Total Value:                     $44,910.00</v>
      </c>
      <c r="K20" s="775"/>
    </row>
    <row r="21" spans="1:13" ht="15.75" thickTop="1" x14ac:dyDescent="0.25">
      <c r="B21" t="s">
        <v>109</v>
      </c>
      <c r="I21" s="775"/>
      <c r="J21" s="226"/>
      <c r="K21" s="775"/>
      <c r="L21" s="225"/>
      <c r="M21" s="225"/>
    </row>
    <row r="22" spans="1:13" ht="30" x14ac:dyDescent="0.25">
      <c r="F22" s="62" t="s">
        <v>110</v>
      </c>
      <c r="I22" s="775"/>
      <c r="J22" s="225"/>
      <c r="K22" s="775"/>
      <c r="L22" s="225"/>
      <c r="M22" s="225"/>
    </row>
    <row r="23" spans="1:13" ht="15.75" thickBot="1" x14ac:dyDescent="0.3">
      <c r="B23" s="31" t="s">
        <v>111</v>
      </c>
      <c r="C23" s="778"/>
      <c r="D23" s="779"/>
      <c r="E23" s="779"/>
      <c r="F23" s="779"/>
      <c r="G23" s="31" t="s">
        <v>99</v>
      </c>
      <c r="I23" s="796"/>
      <c r="J23" s="225"/>
      <c r="K23" s="775"/>
      <c r="L23" s="225"/>
      <c r="M23" s="225"/>
    </row>
    <row r="24" spans="1:13" ht="16.5" thickTop="1" thickBot="1" x14ac:dyDescent="0.3">
      <c r="B24" s="236">
        <f>+SUM(Profit!C19:'Profit'!C20)</f>
        <v>49900</v>
      </c>
      <c r="C24" s="780" t="s">
        <v>112</v>
      </c>
      <c r="D24" s="781"/>
      <c r="E24" s="781"/>
      <c r="F24" s="10">
        <f>+B24</f>
        <v>49900</v>
      </c>
      <c r="G24" s="204">
        <f>+Profit!K63</f>
        <v>164665.22445000004</v>
      </c>
      <c r="I24" s="746"/>
      <c r="K24" s="775"/>
    </row>
    <row r="25" spans="1:13" ht="15.4" customHeight="1" thickTop="1" thickBot="1" x14ac:dyDescent="0.3">
      <c r="C25" s="199"/>
      <c r="D25" s="200" t="s">
        <v>100</v>
      </c>
      <c r="E25" s="201">
        <f>+Profit!$K$50</f>
        <v>97825.675549999985</v>
      </c>
      <c r="H25">
        <f>IF(H26="X",1+H19,H19)</f>
        <v>1</v>
      </c>
      <c r="K25" s="775"/>
    </row>
    <row r="26" spans="1:13" ht="15" customHeight="1" thickTop="1" thickBot="1" x14ac:dyDescent="0.3">
      <c r="C26" s="199"/>
      <c r="D26" s="202" t="s">
        <v>101</v>
      </c>
      <c r="E26" s="203">
        <f>+G24/E25</f>
        <v>1.6832515954958827</v>
      </c>
      <c r="H26" s="229" t="s">
        <v>113</v>
      </c>
      <c r="I26" s="775" t="str">
        <f>"Option "  &amp; H25 &amp; ": "&amp;""&amp;B19&amp;"
"&amp;REPT(" ",6) &amp; "This is a cash payment, at closing. We will take responsibility for the existing mortgage, HOA
"&amp;REPT(" ",6) &amp; "fees, and any liens that may be discovered until we are able to resell the property. This offer is:
"&amp;REPT(" ",43)&amp;"Cash:"&amp;REPT(" ",22) &amp; TEXT(F24,"$#,##0.00") &amp; IF(J3="yes",REPT(" ",10) &amp; "Profit = "&amp; TEXT(G24,"$#,##0.00"),"" ) &amp; "
"&amp;REPT(" ",32)&amp;"Total Value:"&amp;REPT(" ",22) &amp; TEXT(F24,"$#,##0.00")</f>
        <v>Option 1: Cash plus Assumption of Mortgage
      This is a cash payment, at closing. We will take responsibility for the existing mortgage, HOA
      fees, and any liens that may be discovered until we are able to resell the property. This offer is:
                                           Cash:                      $49,900.00
                                Total Value:                      $49,900.00</v>
      </c>
      <c r="K26" s="775"/>
    </row>
    <row r="27" spans="1:13" ht="15" customHeight="1" thickTop="1" x14ac:dyDescent="0.25">
      <c r="C27" s="199"/>
      <c r="D27" s="202" t="s">
        <v>103</v>
      </c>
      <c r="E27" s="203">
        <f>+G24/(F24+G24)</f>
        <v>0.76743668444917013</v>
      </c>
      <c r="I27" s="775"/>
      <c r="K27" s="775"/>
    </row>
    <row r="28" spans="1:13" ht="15" customHeight="1" x14ac:dyDescent="0.25">
      <c r="I28" s="775"/>
      <c r="K28" s="775"/>
    </row>
    <row r="29" spans="1:13" x14ac:dyDescent="0.25">
      <c r="A29" s="15"/>
      <c r="B29" s="15"/>
      <c r="I29" s="796"/>
      <c r="K29" s="775"/>
    </row>
    <row r="30" spans="1:13" x14ac:dyDescent="0.25">
      <c r="A30" s="15" t="s">
        <v>114</v>
      </c>
      <c r="B30" s="15" t="s">
        <v>115</v>
      </c>
      <c r="D30" t="s">
        <v>116</v>
      </c>
      <c r="I30" s="746"/>
      <c r="K30" s="775"/>
    </row>
    <row r="31" spans="1:13" ht="25.5" x14ac:dyDescent="0.25">
      <c r="B31" t="s">
        <v>108</v>
      </c>
      <c r="I31" s="226" t="str">
        <f>"This is a cash payment, at closing, in conjunction with reinstating the existing mortgage taking responsibility for those payments, HOA fees and other liens that may be discovered. Our cash offer is:"</f>
        <v>This is a cash payment, at closing, in conjunction with reinstating the existing mortgage taking responsibility for those payments, HOA fees and other liens that may be discovered. Our cash offer is:</v>
      </c>
      <c r="K31" s="775"/>
    </row>
    <row r="32" spans="1:13" ht="15.75" thickBot="1" x14ac:dyDescent="0.3">
      <c r="B32" t="s">
        <v>109</v>
      </c>
      <c r="H32">
        <f>IF(H33="X",H25+1,H25)</f>
        <v>2</v>
      </c>
      <c r="K32" s="775"/>
    </row>
    <row r="33" spans="1:13" ht="15" customHeight="1" thickTop="1" thickBot="1" x14ac:dyDescent="0.3">
      <c r="H33" s="229" t="s">
        <v>113</v>
      </c>
      <c r="I33" s="775" t="str">
        <f>"Option "  &amp; H32 &amp; ": " &amp;""&amp;B30&amp;"
"&amp;REPT(" ",6)&amp;"The explanation for the cash component is the same as for option "&amp; H25 &amp; ". However, "&amp;TEXT(B38,"##.#%") &amp;" of the
" &amp; REPT(" ",6) &amp; "value of the offer will be cash and "&amp; TEXT(C38,"##.#%") &amp;" will be in the form of a promissory note, complete
" &amp; REPT(" ",6) &amp; "with a Deed of Trust. The note will have a " &amp; D35 &amp; "-month term that will pay simple interest at
" &amp; REPT(" ",6) &amp; "the rate of "&amp;E37*100&amp;"% per year.
"&amp; REPT(" ",43) &amp; "Cash:" &amp; REPT(" ",23) &amp; TEXT(B37,"$#,##0.00") &amp; IF(J3="yes",REPT(" ",10) &amp; "Profit = "&amp; TEXT(G37,"$#,##0.00"),"" ) &amp;"
"&amp; REPT(" ",24) &amp; "12 Month Note:" &amp; REPT(" ",24) &amp; TEXT(C37,"$#,##0.00")&amp;"
"&amp; REPT(" ",25) &amp; "Interest Earned:" &amp; REPT(" ",25) &amp; TEXT(D37,"$#,##0.00") &amp;REPT(" ",12)&amp;+TEXT(D37/D35,"$#,##0.00") &amp; " per month" &amp; "
"&amp; REPT(" ",32) &amp; "Total Value:" &amp; REPT(" ",20) &amp; TEXT(F37,"$#,##0.00")</f>
        <v>Option 2: Cash plus Promissory Note
      The explanation for the cash component is the same as for option 1. However, 34.% of the
      value of the offer will be cash and 66.% will be in the form of a promissory note, complete
      with a Deed of Trust. The note will have a 60-month term that will pay simple interest at
      the rate of 4% per year.
                                           Cash:                       $16,966.00
                        12 Month Note:                        $43,334.00
                         Interest Earned:                         $8,666.80            $144.45 per month
                                Total Value:                    $68,966.80</v>
      </c>
      <c r="K33" s="775"/>
    </row>
    <row r="34" spans="1:13" ht="16.5" thickTop="1" thickBot="1" x14ac:dyDescent="0.3">
      <c r="C34" s="2" t="s">
        <v>117</v>
      </c>
      <c r="D34" s="3" t="s">
        <v>118</v>
      </c>
      <c r="F34" s="3" t="s">
        <v>119</v>
      </c>
      <c r="I34" s="775"/>
      <c r="K34" s="775"/>
    </row>
    <row r="35" spans="1:13" ht="16.5" thickTop="1" thickBot="1" x14ac:dyDescent="0.3">
      <c r="B35" s="234" t="s">
        <v>120</v>
      </c>
      <c r="C35" s="207">
        <v>10400</v>
      </c>
      <c r="D35" s="198">
        <v>60</v>
      </c>
      <c r="F35" s="776" t="s">
        <v>110</v>
      </c>
      <c r="I35" s="775"/>
      <c r="K35" s="775"/>
    </row>
    <row r="36" spans="1:13" ht="16.5" thickTop="1" thickBot="1" x14ac:dyDescent="0.3">
      <c r="B36" s="31" t="s">
        <v>121</v>
      </c>
      <c r="C36" s="31" t="s">
        <v>122</v>
      </c>
      <c r="D36" s="31" t="s">
        <v>123</v>
      </c>
      <c r="E36" s="31" t="s">
        <v>124</v>
      </c>
      <c r="F36" s="777"/>
      <c r="G36" s="31" t="s">
        <v>99</v>
      </c>
      <c r="I36" s="775"/>
      <c r="K36" s="775"/>
    </row>
    <row r="37" spans="1:13" ht="16.5" thickTop="1" thickBot="1" x14ac:dyDescent="0.3">
      <c r="B37" s="10">
        <f>+SUM(Profit!C19:'Profit'!C20)*B38</f>
        <v>16966</v>
      </c>
      <c r="C37" s="10">
        <f>+SUM(Profit!C19:'Profit'!C20)-B37+C35</f>
        <v>43334</v>
      </c>
      <c r="D37" s="10">
        <f>+C37*D35/12*E37</f>
        <v>8666.7999999999993</v>
      </c>
      <c r="E37" s="209">
        <v>0.04</v>
      </c>
      <c r="F37" s="10">
        <f>+SUM(B37:D37)</f>
        <v>68966.8</v>
      </c>
      <c r="G37" s="204">
        <f>+Profit!$K$63-D37-C35</f>
        <v>145598.42445000005</v>
      </c>
      <c r="I37" s="775"/>
      <c r="K37" s="775"/>
    </row>
    <row r="38" spans="1:13" ht="16.5" thickTop="1" thickBot="1" x14ac:dyDescent="0.3">
      <c r="B38" s="209">
        <v>0.34</v>
      </c>
      <c r="C38" s="224">
        <f>1-B38</f>
        <v>0.65999999999999992</v>
      </c>
      <c r="D38" s="10"/>
      <c r="E38" s="37"/>
      <c r="F38" s="10"/>
      <c r="G38" s="10"/>
      <c r="I38" s="775"/>
      <c r="K38" s="775"/>
    </row>
    <row r="39" spans="1:13" ht="15.4" customHeight="1" thickTop="1" x14ac:dyDescent="0.25">
      <c r="B39" s="10"/>
      <c r="C39" s="204"/>
      <c r="D39" s="200" t="s">
        <v>100</v>
      </c>
      <c r="E39" s="201">
        <f>+Profit!$K$50-C37+C35</f>
        <v>64891.675549999985</v>
      </c>
      <c r="F39" s="10"/>
      <c r="G39" s="10"/>
      <c r="I39" s="775"/>
      <c r="K39" s="775"/>
    </row>
    <row r="40" spans="1:13" x14ac:dyDescent="0.25">
      <c r="C40" s="199"/>
      <c r="D40" s="202" t="s">
        <v>101</v>
      </c>
      <c r="E40" s="203">
        <f>+G37/E39</f>
        <v>2.2437149790933404</v>
      </c>
      <c r="I40" s="775"/>
      <c r="K40" s="775"/>
    </row>
    <row r="41" spans="1:13" ht="15" customHeight="1" thickBot="1" x14ac:dyDescent="0.3">
      <c r="C41" s="199"/>
      <c r="D41" s="202" t="s">
        <v>103</v>
      </c>
      <c r="E41" s="203">
        <f>+G37/(F37+G37)</f>
        <v>0.67857419497132321</v>
      </c>
      <c r="H41">
        <f>IF(H42="X",H32+1,H32)</f>
        <v>2</v>
      </c>
      <c r="K41" s="775"/>
    </row>
    <row r="42" spans="1:13" ht="16.5" thickTop="1" thickBot="1" x14ac:dyDescent="0.3">
      <c r="A42" s="15" t="s">
        <v>125</v>
      </c>
      <c r="B42" s="15" t="s">
        <v>126</v>
      </c>
      <c r="H42" s="229"/>
      <c r="I42" s="775" t="str">
        <f>"Option "  &amp; H41 &amp; ": " &amp; B42&amp;"
"&amp;REPT(" ",6)&amp;"The explanation for the cash component is the same as for option "&amp; H32 &amp; ". Instead of a note as in
" &amp; REPT(" ",6) &amp; "Option "&amp; H32 &amp; ", you will share in the profit earned when the property is resold." &amp;" The property will 
" &amp; REPT(" ",6) &amp; "be placed into a trust that you will share a beneficial interest in. The advantage here is you will 
" &amp; REPT(" ",6) &amp; "benefit from the appreciated value of the property, over time." &amp;" You will receive quarterly
" &amp; REPT(" ",6) &amp; "reports on the financial status of the property.
"&amp; REPT(" ",43) &amp; "Cash:" &amp; REPT(" ",23) &amp; TEXT(B50,"$#,##0.00") &amp; IF(J3="yes",REPT(" ",10) &amp; "Profit = "&amp; TEXT(G50,"$#,##0.00"),"" ) &amp;"
"&amp; REPT(" ",24) &amp; "Interest in Trust:" &amp; REPT(" ",33) &amp; TEXT(D50,"#.#%")&amp;"
"&amp; REPT(" ",13) &amp; "Expected Sellers Profit:" &amp; REPT(" ",23) &amp; TEXT(E50,"$#,##0.00") &amp;"   *    Expected "&amp;Profit!$K$7*100&amp;"% appreciation per year" &amp; "
"&amp; REPT(" ",26) &amp; "Expected Value:" &amp; REPT(" ",20) &amp; TEXT(F50,"$#,##0.00") &amp; "    ** After " &amp; D35 &amp;" months."</f>
        <v>Option 2: Cash plus Beneficial Interest in Trust
      The explanation for the cash component is the same as for option 2. Instead of a note as in
      Option 2, you will share in the profit earned when the property is resold. The property will 
      be placed into a trust that you will share a beneficial interest in. The advantage here is you will 
      benefit from the appreciated value of the property, over time. You will receive quarterly
      reports on the financial status of the property.
                                           Cash:                       $10,000.00
                        Interest in Trust:                                 70.%
             Expected Sellers Profit:                       $123,726.91   *    Expected 3% appreciation per year
                          Expected Value:                    $133,726.91    ** After 60 months.</v>
      </c>
      <c r="K42" s="775"/>
    </row>
    <row r="43" spans="1:13" ht="15.75" thickTop="1" x14ac:dyDescent="0.25">
      <c r="B43" t="s">
        <v>108</v>
      </c>
      <c r="I43" s="775"/>
      <c r="K43" s="746"/>
      <c r="M43" s="211"/>
    </row>
    <row r="44" spans="1:13" x14ac:dyDescent="0.25">
      <c r="B44" t="s">
        <v>109</v>
      </c>
      <c r="I44" s="775"/>
      <c r="K44" s="746"/>
    </row>
    <row r="45" spans="1:13" ht="15" customHeight="1" x14ac:dyDescent="0.25">
      <c r="B45" t="s">
        <v>127</v>
      </c>
      <c r="I45" s="775"/>
      <c r="K45" s="746"/>
    </row>
    <row r="46" spans="1:13" x14ac:dyDescent="0.25">
      <c r="B46" t="s">
        <v>128</v>
      </c>
      <c r="I46" s="775"/>
      <c r="K46" s="746"/>
    </row>
    <row r="47" spans="1:13" x14ac:dyDescent="0.25">
      <c r="F47" s="3" t="s">
        <v>129</v>
      </c>
      <c r="I47" s="775"/>
      <c r="K47" s="746"/>
    </row>
    <row r="48" spans="1:13" x14ac:dyDescent="0.25">
      <c r="C48" s="776" t="s">
        <v>130</v>
      </c>
      <c r="D48" s="776" t="s">
        <v>131</v>
      </c>
      <c r="E48" s="776" t="s">
        <v>132</v>
      </c>
      <c r="F48" s="776" t="s">
        <v>110</v>
      </c>
      <c r="I48" s="775"/>
      <c r="K48" s="746"/>
    </row>
    <row r="49" spans="1:11" ht="15.75" thickBot="1" x14ac:dyDescent="0.3">
      <c r="B49" s="3" t="s">
        <v>121</v>
      </c>
      <c r="C49" s="777" t="s">
        <v>130</v>
      </c>
      <c r="D49" s="777" t="s">
        <v>131</v>
      </c>
      <c r="E49" s="777" t="s">
        <v>133</v>
      </c>
      <c r="F49" s="777"/>
      <c r="G49" s="31" t="s">
        <v>99</v>
      </c>
      <c r="I49" s="775"/>
      <c r="K49" s="746"/>
    </row>
    <row r="50" spans="1:11" ht="16.5" thickTop="1" thickBot="1" x14ac:dyDescent="0.3">
      <c r="B50" s="207">
        <v>10000</v>
      </c>
      <c r="C50" s="8">
        <f>+Profit!$K$63+Profit!C20-B50+(Profit!K7*Profit!C51/12*Profit!B4)</f>
        <v>176752.72445000004</v>
      </c>
      <c r="D50" s="197">
        <v>0.7</v>
      </c>
      <c r="E50" s="10">
        <f>+D50*C50</f>
        <v>123726.90711500002</v>
      </c>
      <c r="F50" s="10">
        <f>+B50+E50</f>
        <v>133726.90711500001</v>
      </c>
      <c r="G50" s="204">
        <f>(1-D50)*C50</f>
        <v>53025.817335000022</v>
      </c>
      <c r="I50" s="775"/>
      <c r="K50" s="746"/>
    </row>
    <row r="51" spans="1:11" ht="15.75" thickTop="1" x14ac:dyDescent="0.25">
      <c r="D51" s="15" t="s">
        <v>134</v>
      </c>
      <c r="I51" s="227"/>
      <c r="K51" s="746"/>
    </row>
    <row r="52" spans="1:11" x14ac:dyDescent="0.25">
      <c r="C52" s="199"/>
      <c r="D52" s="200" t="s">
        <v>100</v>
      </c>
      <c r="E52" s="201">
        <f>+Profit!$K$50-B24+B50</f>
        <v>57925.675549999985</v>
      </c>
      <c r="H52" t="s">
        <v>102</v>
      </c>
      <c r="I52" s="775" t="str">
        <f>B3 &amp; ", this offer is contingent upon a normal due diligence period. The values of each option are predicated on some assumptions that may need to be altered upon further discovery. " &amp; "The more we can learn from you, in advance, the more reliable these options may be considered. When you decide which offer you prefer, I will email you a contract along with an earnest money payment. We are ready to be of service in any way we can."</f>
        <v>Thomas, this offer is contingent upon a normal due diligence period. The values of each option are predicated on some assumptions that may need to be altered upon further discovery. The more we can learn from you, in advance, the more reliable these options may be considered. When you decide which offer you prefer, I will email you a contract along with an earnest money payment. We are ready to be of service in any way we can.</v>
      </c>
      <c r="K52" s="746"/>
    </row>
    <row r="53" spans="1:11" ht="15" customHeight="1" x14ac:dyDescent="0.25">
      <c r="C53" s="199"/>
      <c r="D53" s="202" t="s">
        <v>101</v>
      </c>
      <c r="E53" s="203">
        <f>+G50/E52</f>
        <v>0.91541128923441684</v>
      </c>
      <c r="I53" s="746"/>
      <c r="K53" s="746"/>
    </row>
    <row r="54" spans="1:11" x14ac:dyDescent="0.25">
      <c r="C54" s="199"/>
      <c r="D54" s="202" t="s">
        <v>103</v>
      </c>
      <c r="E54" s="203">
        <f>+G50/(F50+G50)</f>
        <v>0.28393597732597903</v>
      </c>
      <c r="I54" s="746"/>
      <c r="K54" s="746"/>
    </row>
    <row r="55" spans="1:11" ht="15" customHeight="1" x14ac:dyDescent="0.25">
      <c r="I55" s="746"/>
      <c r="K55" s="746"/>
    </row>
    <row r="56" spans="1:11" ht="15.75" thickBot="1" x14ac:dyDescent="0.3">
      <c r="B56" s="15" t="s">
        <v>135</v>
      </c>
      <c r="D56" t="s">
        <v>136</v>
      </c>
      <c r="I56" s="746"/>
      <c r="K56" s="746"/>
    </row>
    <row r="57" spans="1:11" x14ac:dyDescent="0.25">
      <c r="A57" s="787" t="str">
        <f>"This offer is based on Zillow's Zestimate of " &amp;  TEXT(Profit!B4,"$#,##0.00") &amp; ". 
" &amp; "We will clean and prepare the property for a quick resale. There is also an assumption that the property will need no rehab." &amp; " If that turns out to not be true, an allowance will need to be made. In any case, that will be decided in the due diligence period of the contract.
" &amp;
""</f>
        <v xml:space="preserve">This offer is based on Zillow's Zestimate of $375,000.00. 
We will clean and prepare the property for a quick resale. There is also an assumption that the property will need no rehab. If that turns out to not be true, an allowance will need to be made. In any case, that will be decided in the due diligence period of the contract.
</v>
      </c>
      <c r="B57" s="788"/>
      <c r="C57" s="788"/>
      <c r="D57" s="788"/>
      <c r="E57" s="788"/>
      <c r="F57" s="788"/>
      <c r="G57" s="789"/>
      <c r="I57" s="746"/>
      <c r="K57" s="746"/>
    </row>
    <row r="58" spans="1:11" x14ac:dyDescent="0.25">
      <c r="A58" s="790"/>
      <c r="B58" s="791"/>
      <c r="C58" s="791"/>
      <c r="D58" s="791"/>
      <c r="E58" s="791"/>
      <c r="F58" s="791"/>
      <c r="G58" s="792"/>
      <c r="I58" s="746"/>
      <c r="K58" s="746"/>
    </row>
    <row r="59" spans="1:11" x14ac:dyDescent="0.25">
      <c r="A59" s="790"/>
      <c r="B59" s="791"/>
      <c r="C59" s="791"/>
      <c r="D59" s="791"/>
      <c r="E59" s="791"/>
      <c r="F59" s="791"/>
      <c r="G59" s="792"/>
      <c r="K59" s="746"/>
    </row>
    <row r="60" spans="1:11" x14ac:dyDescent="0.25">
      <c r="A60" s="790"/>
      <c r="B60" s="791"/>
      <c r="C60" s="791"/>
      <c r="D60" s="791"/>
      <c r="E60" s="791"/>
      <c r="F60" s="791"/>
      <c r="G60" s="792"/>
      <c r="K60" s="746"/>
    </row>
    <row r="61" spans="1:11" x14ac:dyDescent="0.25">
      <c r="A61" s="790"/>
      <c r="B61" s="791"/>
      <c r="C61" s="791"/>
      <c r="D61" s="791"/>
      <c r="E61" s="791"/>
      <c r="F61" s="791"/>
      <c r="G61" s="792"/>
      <c r="H61" t="s">
        <v>102</v>
      </c>
      <c r="I61" s="775" t="str">
        <f>A57</f>
        <v xml:space="preserve">This offer is based on Zillow's Zestimate of $375,000.00. 
We will clean and prepare the property for a quick resale. There is also an assumption that the property will need no rehab. If that turns out to not be true, an allowance will need to be made. In any case, that will be decided in the due diligence period of the contract.
</v>
      </c>
      <c r="K61" s="746"/>
    </row>
    <row r="62" spans="1:11" x14ac:dyDescent="0.25">
      <c r="A62" s="790"/>
      <c r="B62" s="791"/>
      <c r="C62" s="791"/>
      <c r="D62" s="791"/>
      <c r="E62" s="791"/>
      <c r="F62" s="791"/>
      <c r="G62" s="792"/>
      <c r="I62" s="746"/>
      <c r="K62" s="746"/>
    </row>
    <row r="63" spans="1:11" x14ac:dyDescent="0.25">
      <c r="A63" s="790"/>
      <c r="B63" s="791"/>
      <c r="C63" s="791"/>
      <c r="D63" s="791"/>
      <c r="E63" s="791"/>
      <c r="F63" s="791"/>
      <c r="G63" s="792"/>
      <c r="I63" s="746"/>
      <c r="K63" s="746"/>
    </row>
    <row r="64" spans="1:11" x14ac:dyDescent="0.25">
      <c r="A64" s="790"/>
      <c r="B64" s="791"/>
      <c r="C64" s="791"/>
      <c r="D64" s="791"/>
      <c r="E64" s="791"/>
      <c r="F64" s="791"/>
      <c r="G64" s="792"/>
      <c r="I64" s="746"/>
      <c r="K64" s="746"/>
    </row>
    <row r="65" spans="1:11" x14ac:dyDescent="0.25">
      <c r="A65" s="790"/>
      <c r="B65" s="791"/>
      <c r="C65" s="791"/>
      <c r="D65" s="791"/>
      <c r="E65" s="791"/>
      <c r="F65" s="791"/>
      <c r="G65" s="792"/>
      <c r="I65" s="746"/>
      <c r="K65" s="746"/>
    </row>
    <row r="66" spans="1:11" x14ac:dyDescent="0.25">
      <c r="A66" s="790"/>
      <c r="B66" s="791"/>
      <c r="C66" s="791"/>
      <c r="D66" s="791"/>
      <c r="E66" s="791"/>
      <c r="F66" s="791"/>
      <c r="G66" s="792"/>
      <c r="I66" s="746"/>
      <c r="K66" s="746"/>
    </row>
    <row r="67" spans="1:11" x14ac:dyDescent="0.25">
      <c r="A67" s="790"/>
      <c r="B67" s="791"/>
      <c r="C67" s="791"/>
      <c r="D67" s="791"/>
      <c r="E67" s="791"/>
      <c r="F67" s="791"/>
      <c r="G67" s="792"/>
      <c r="I67" s="746"/>
      <c r="K67" s="746"/>
    </row>
    <row r="68" spans="1:11" x14ac:dyDescent="0.25">
      <c r="A68" s="790"/>
      <c r="B68" s="791"/>
      <c r="C68" s="791"/>
      <c r="D68" s="791"/>
      <c r="E68" s="791"/>
      <c r="F68" s="791"/>
      <c r="G68" s="792"/>
      <c r="I68" s="746"/>
    </row>
    <row r="69" spans="1:11" x14ac:dyDescent="0.25">
      <c r="A69" s="790"/>
      <c r="B69" s="791"/>
      <c r="C69" s="791"/>
      <c r="D69" s="791"/>
      <c r="E69" s="791"/>
      <c r="F69" s="791"/>
      <c r="G69" s="792"/>
      <c r="I69" s="746"/>
    </row>
    <row r="70" spans="1:11" x14ac:dyDescent="0.25">
      <c r="A70" s="790"/>
      <c r="B70" s="791"/>
      <c r="C70" s="791"/>
      <c r="D70" s="791"/>
      <c r="E70" s="791"/>
      <c r="F70" s="791"/>
      <c r="G70" s="792"/>
      <c r="I70" s="746"/>
    </row>
    <row r="71" spans="1:11" x14ac:dyDescent="0.25">
      <c r="A71" s="790"/>
      <c r="B71" s="791"/>
      <c r="C71" s="791"/>
      <c r="D71" s="791"/>
      <c r="E71" s="791"/>
      <c r="F71" s="791"/>
      <c r="G71" s="792"/>
      <c r="I71" s="746"/>
    </row>
    <row r="72" spans="1:11" x14ac:dyDescent="0.25">
      <c r="A72" s="790"/>
      <c r="B72" s="791"/>
      <c r="C72" s="791"/>
      <c r="D72" s="791"/>
      <c r="E72" s="791"/>
      <c r="F72" s="791"/>
      <c r="G72" s="792"/>
      <c r="I72" s="746"/>
    </row>
    <row r="73" spans="1:11" x14ac:dyDescent="0.25">
      <c r="A73" s="790"/>
      <c r="B73" s="791"/>
      <c r="C73" s="791"/>
      <c r="D73" s="791"/>
      <c r="E73" s="791"/>
      <c r="F73" s="791"/>
      <c r="G73" s="792"/>
    </row>
    <row r="74" spans="1:11" x14ac:dyDescent="0.25">
      <c r="A74" s="790"/>
      <c r="B74" s="791"/>
      <c r="C74" s="791"/>
      <c r="D74" s="791"/>
      <c r="E74" s="791"/>
      <c r="F74" s="791"/>
      <c r="G74" s="792"/>
      <c r="H74" t="s">
        <v>102</v>
      </c>
      <c r="I74" s="210" t="str">
        <f>"Sincerely,
Wes Browning"</f>
        <v>Sincerely,
Wes Browning</v>
      </c>
    </row>
    <row r="75" spans="1:11" ht="15" customHeight="1" x14ac:dyDescent="0.25">
      <c r="A75" s="790"/>
      <c r="B75" s="791"/>
      <c r="C75" s="791"/>
      <c r="D75" s="791"/>
      <c r="E75" s="791"/>
      <c r="F75" s="791"/>
      <c r="G75" s="792"/>
      <c r="I75" s="210"/>
    </row>
    <row r="76" spans="1:11" x14ac:dyDescent="0.25">
      <c r="A76" s="790"/>
      <c r="B76" s="791"/>
      <c r="C76" s="791"/>
      <c r="D76" s="791"/>
      <c r="E76" s="791"/>
      <c r="F76" s="791"/>
      <c r="G76" s="792"/>
      <c r="I76" s="210"/>
    </row>
    <row r="77" spans="1:11" x14ac:dyDescent="0.25">
      <c r="A77" s="790"/>
      <c r="B77" s="791"/>
      <c r="C77" s="791"/>
      <c r="D77" s="791"/>
      <c r="E77" s="791"/>
      <c r="F77" s="791"/>
      <c r="G77" s="792"/>
    </row>
    <row r="78" spans="1:11" x14ac:dyDescent="0.25">
      <c r="A78" s="790"/>
      <c r="B78" s="791"/>
      <c r="C78" s="791"/>
      <c r="D78" s="791"/>
      <c r="E78" s="791"/>
      <c r="F78" s="791"/>
      <c r="G78" s="792"/>
    </row>
    <row r="79" spans="1:11" ht="15.75" thickBot="1" x14ac:dyDescent="0.3">
      <c r="A79" s="793"/>
      <c r="B79" s="794"/>
      <c r="C79" s="794"/>
      <c r="D79" s="794"/>
      <c r="E79" s="794"/>
      <c r="F79" s="794"/>
      <c r="G79" s="795"/>
    </row>
    <row r="80" spans="1:11" x14ac:dyDescent="0.25">
      <c r="A80" s="210"/>
      <c r="B80" s="210"/>
      <c r="C80" s="210"/>
      <c r="D80" s="210"/>
      <c r="E80" s="210"/>
      <c r="F80" s="210"/>
      <c r="G80" s="210"/>
    </row>
    <row r="81" spans="1:9" x14ac:dyDescent="0.25">
      <c r="A81" s="210"/>
      <c r="B81" s="210"/>
      <c r="C81" s="210"/>
      <c r="D81" s="210"/>
      <c r="E81" s="210"/>
      <c r="F81" s="210"/>
      <c r="G81" s="2" t="s">
        <v>137</v>
      </c>
      <c r="I81" s="210" t="s">
        <v>138</v>
      </c>
    </row>
    <row r="82" spans="1:9" x14ac:dyDescent="0.25">
      <c r="G82" s="2" t="s">
        <v>139</v>
      </c>
      <c r="H82" t="s">
        <v>102</v>
      </c>
      <c r="I82" s="210" t="s">
        <v>140</v>
      </c>
    </row>
  </sheetData>
  <mergeCells count="21">
    <mergeCell ref="A57:G79"/>
    <mergeCell ref="D48:D49"/>
    <mergeCell ref="C48:C49"/>
    <mergeCell ref="I26:I30"/>
    <mergeCell ref="I20:I24"/>
    <mergeCell ref="K1:K67"/>
    <mergeCell ref="I1:I14"/>
    <mergeCell ref="E48:E49"/>
    <mergeCell ref="F35:F36"/>
    <mergeCell ref="F48:F49"/>
    <mergeCell ref="I42:I50"/>
    <mergeCell ref="I52:I58"/>
    <mergeCell ref="I61:I72"/>
    <mergeCell ref="I16:I18"/>
    <mergeCell ref="I33:I40"/>
    <mergeCell ref="C23:F23"/>
    <mergeCell ref="C24:E24"/>
    <mergeCell ref="C1:E1"/>
    <mergeCell ref="F12:F13"/>
    <mergeCell ref="J1:J2"/>
    <mergeCell ref="B10:G11"/>
  </mergeCells>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41"/>
  <dimension ref="A1:Y42"/>
  <sheetViews>
    <sheetView workbookViewId="0">
      <pane ySplit="1" topLeftCell="A2" activePane="bottomLeft" state="frozen"/>
      <selection activeCell="C1" sqref="C1:E1"/>
      <selection pane="bottomLeft" activeCell="B9" sqref="B9"/>
    </sheetView>
  </sheetViews>
  <sheetFormatPr defaultRowHeight="15" x14ac:dyDescent="0.25"/>
  <cols>
    <col min="1" max="1" width="47.140625" style="2" bestFit="1" customWidth="1"/>
    <col min="2" max="2" width="31.28515625" style="2" bestFit="1" customWidth="1"/>
    <col min="3" max="3" width="16.28515625" style="25" bestFit="1" customWidth="1"/>
    <col min="4" max="4" width="20.28515625" style="2" bestFit="1" customWidth="1"/>
    <col min="5" max="5" width="44.28515625" style="25" customWidth="1"/>
    <col min="6" max="6" width="12.140625" customWidth="1"/>
    <col min="9" max="9" width="33.140625" bestFit="1" customWidth="1"/>
    <col min="21" max="21" width="34.5703125" bestFit="1" customWidth="1"/>
    <col min="22" max="22" width="4.5703125" bestFit="1" customWidth="1"/>
    <col min="23" max="23" width="10.5703125" bestFit="1" customWidth="1"/>
    <col min="25" max="25" width="5" bestFit="1" customWidth="1"/>
  </cols>
  <sheetData>
    <row r="1" spans="1:9" s="3" customFormat="1" x14ac:dyDescent="0.25">
      <c r="A1" s="3" t="s">
        <v>167</v>
      </c>
      <c r="B1" s="3" t="s">
        <v>168</v>
      </c>
      <c r="C1" s="32" t="s">
        <v>169</v>
      </c>
      <c r="D1" s="30" t="s">
        <v>170</v>
      </c>
      <c r="E1" s="32" t="s">
        <v>171</v>
      </c>
      <c r="F1" s="3" t="s">
        <v>172</v>
      </c>
    </row>
    <row r="2" spans="1:9" x14ac:dyDescent="0.25">
      <c r="A2" s="25" t="s">
        <v>173</v>
      </c>
      <c r="E2" s="27"/>
    </row>
    <row r="3" spans="1:9" x14ac:dyDescent="0.25">
      <c r="C3" s="28"/>
    </row>
    <row r="4" spans="1:9" x14ac:dyDescent="0.25">
      <c r="A4" s="2" t="s">
        <v>838</v>
      </c>
      <c r="B4" s="2" t="s">
        <v>839</v>
      </c>
      <c r="C4" s="28"/>
      <c r="D4" s="25" t="s">
        <v>840</v>
      </c>
      <c r="E4" s="12"/>
    </row>
    <row r="5" spans="1:9" x14ac:dyDescent="0.25">
      <c r="B5" s="44"/>
      <c r="D5" s="25"/>
      <c r="E5" s="27"/>
    </row>
    <row r="6" spans="1:9" x14ac:dyDescent="0.25">
      <c r="A6" s="25" t="s">
        <v>174</v>
      </c>
      <c r="B6" s="44"/>
      <c r="E6" s="253"/>
    </row>
    <row r="7" spans="1:9" x14ac:dyDescent="0.25">
      <c r="A7" s="45" t="s">
        <v>841</v>
      </c>
      <c r="B7" s="46" t="s">
        <v>842</v>
      </c>
      <c r="D7" s="47" t="s">
        <v>843</v>
      </c>
      <c r="E7" s="27" t="s">
        <v>844</v>
      </c>
      <c r="F7" s="19"/>
    </row>
    <row r="8" spans="1:9" x14ac:dyDescent="0.25">
      <c r="A8" s="45"/>
      <c r="B8" s="46"/>
      <c r="D8" s="47"/>
      <c r="E8" s="27"/>
      <c r="F8" s="19"/>
    </row>
    <row r="9" spans="1:9" x14ac:dyDescent="0.25">
      <c r="A9" s="45" t="s">
        <v>845</v>
      </c>
      <c r="B9" s="19" t="s">
        <v>846</v>
      </c>
      <c r="C9" s="25" t="s">
        <v>847</v>
      </c>
      <c r="D9" s="47"/>
      <c r="E9" s="27"/>
      <c r="F9" s="19"/>
    </row>
    <row r="10" spans="1:9" x14ac:dyDescent="0.25">
      <c r="A10" s="2" t="s">
        <v>848</v>
      </c>
      <c r="C10" s="25" t="s">
        <v>849</v>
      </c>
      <c r="E10" s="27"/>
      <c r="F10" s="2"/>
    </row>
    <row r="11" spans="1:9" x14ac:dyDescent="0.25">
      <c r="E11" s="27"/>
      <c r="H11" t="s">
        <v>850</v>
      </c>
    </row>
    <row r="12" spans="1:9" x14ac:dyDescent="0.25">
      <c r="E12" t="s">
        <v>493</v>
      </c>
      <c r="H12" t="s">
        <v>851</v>
      </c>
    </row>
    <row r="13" spans="1:9" x14ac:dyDescent="0.25">
      <c r="E13"/>
      <c r="F13" s="27"/>
      <c r="H13" t="s">
        <v>852</v>
      </c>
      <c r="I13" s="301"/>
    </row>
    <row r="14" spans="1:9" x14ac:dyDescent="0.25">
      <c r="E14"/>
      <c r="H14" t="s">
        <v>853</v>
      </c>
      <c r="I14" s="25"/>
    </row>
    <row r="15" spans="1:9" x14ac:dyDescent="0.25">
      <c r="H15" t="s">
        <v>854</v>
      </c>
    </row>
    <row r="16" spans="1:9" x14ac:dyDescent="0.25">
      <c r="A16" s="2" t="s">
        <v>175</v>
      </c>
      <c r="B16" s="33" t="s">
        <v>176</v>
      </c>
      <c r="E16" s="19"/>
    </row>
    <row r="18" spans="1:25" x14ac:dyDescent="0.25">
      <c r="V18" t="s">
        <v>177</v>
      </c>
      <c r="W18" t="s">
        <v>178</v>
      </c>
      <c r="X18" t="s">
        <v>179</v>
      </c>
      <c r="Y18" t="s">
        <v>180</v>
      </c>
    </row>
    <row r="19" spans="1:25" x14ac:dyDescent="0.25">
      <c r="E19" s="27"/>
      <c r="F19" s="19"/>
      <c r="V19" t="s">
        <v>181</v>
      </c>
      <c r="W19" s="214">
        <v>0.4458333333333333</v>
      </c>
      <c r="X19" t="s">
        <v>182</v>
      </c>
    </row>
    <row r="22" spans="1:25" x14ac:dyDescent="0.25">
      <c r="A22" s="2" t="s">
        <v>183</v>
      </c>
    </row>
    <row r="23" spans="1:25" x14ac:dyDescent="0.25">
      <c r="A23" s="215" t="s">
        <v>184</v>
      </c>
      <c r="B23" s="2" t="s">
        <v>185</v>
      </c>
      <c r="C23" s="27" t="s">
        <v>186</v>
      </c>
    </row>
    <row r="24" spans="1:25" x14ac:dyDescent="0.25">
      <c r="A24" s="216" t="s">
        <v>187</v>
      </c>
    </row>
    <row r="25" spans="1:25" x14ac:dyDescent="0.25">
      <c r="A25" s="217" t="s">
        <v>188</v>
      </c>
    </row>
    <row r="26" spans="1:25" x14ac:dyDescent="0.25">
      <c r="A26" s="218" t="s">
        <v>189</v>
      </c>
    </row>
    <row r="27" spans="1:25" x14ac:dyDescent="0.25">
      <c r="A27" s="219" t="s">
        <v>190</v>
      </c>
      <c r="B27" s="2" t="s">
        <v>191</v>
      </c>
      <c r="C27" s="27" t="s">
        <v>192</v>
      </c>
    </row>
    <row r="28" spans="1:25" x14ac:dyDescent="0.25">
      <c r="A28" s="220" t="s">
        <v>193</v>
      </c>
    </row>
    <row r="29" spans="1:25" x14ac:dyDescent="0.25">
      <c r="A29" s="221" t="s">
        <v>188</v>
      </c>
    </row>
    <row r="30" spans="1:25" x14ac:dyDescent="0.25">
      <c r="A30" s="222" t="s">
        <v>194</v>
      </c>
    </row>
    <row r="32" spans="1:25" x14ac:dyDescent="0.25">
      <c r="A32" s="2" t="s">
        <v>519</v>
      </c>
      <c r="B32" s="2" t="s">
        <v>510</v>
      </c>
      <c r="E32" s="25" t="s">
        <v>511</v>
      </c>
      <c r="I32" t="s">
        <v>518</v>
      </c>
    </row>
    <row r="34" spans="1:9" x14ac:dyDescent="0.25">
      <c r="A34" s="2" t="s">
        <v>512</v>
      </c>
      <c r="B34" s="2" t="s">
        <v>513</v>
      </c>
    </row>
    <row r="36" spans="1:9" x14ac:dyDescent="0.25">
      <c r="A36" s="2" t="s">
        <v>514</v>
      </c>
      <c r="B36" s="2" t="s">
        <v>515</v>
      </c>
    </row>
    <row r="38" spans="1:9" x14ac:dyDescent="0.25">
      <c r="A38" s="2" t="s">
        <v>516</v>
      </c>
      <c r="B38" s="2" t="s">
        <v>517</v>
      </c>
    </row>
    <row r="40" spans="1:9" x14ac:dyDescent="0.25">
      <c r="A40" s="2" t="s">
        <v>520</v>
      </c>
      <c r="B40" s="2" t="s">
        <v>521</v>
      </c>
      <c r="E40" s="25" t="s">
        <v>522</v>
      </c>
    </row>
    <row r="42" spans="1:9" x14ac:dyDescent="0.25">
      <c r="A42" s="2" t="s">
        <v>552</v>
      </c>
      <c r="B42" s="2" t="s">
        <v>554</v>
      </c>
      <c r="I42" t="s">
        <v>553</v>
      </c>
    </row>
  </sheetData>
  <hyperlinks>
    <hyperlink ref="A26" r:id="rId1" display="https://insurancehub.com/" xr:uid="{64DFDAC6-0CCA-4C49-AAE6-1EE54849A9D8}"/>
    <hyperlink ref="C23" r:id="rId2" xr:uid="{349D4791-C4C4-4A2E-B35A-0B40035835B1}"/>
    <hyperlink ref="A30" r:id="rId3" display="https://insurancehub.com/" xr:uid="{1FD3A3DD-EA1D-4576-BB1C-886CF6F789A5}"/>
    <hyperlink ref="C27" r:id="rId4" xr:uid="{45061765-B2B4-4B58-9314-E0EE8B6F65A5}"/>
    <hyperlink ref="B9" r:id="rId5" display="https://myaccount.shellpointmtg.com/" xr:uid="{47725CEB-A4E5-4DCC-B8D8-FF60B8096BE9}"/>
  </hyperlinks>
  <pageMargins left="0.7" right="0.7" top="0.75" bottom="0.75" header="0.3" footer="0.3"/>
  <pageSetup orientation="portrait" r:id="rId6"/>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FF89DA-A969-4CDB-9699-3B93D5728F9A}">
  <sheetPr codeName="Sheet5">
    <tabColor rgb="FFC00000"/>
  </sheetPr>
  <dimension ref="A1:AA25"/>
  <sheetViews>
    <sheetView workbookViewId="0">
      <selection activeCell="C24" sqref="C24"/>
    </sheetView>
  </sheetViews>
  <sheetFormatPr defaultRowHeight="15" x14ac:dyDescent="0.25"/>
  <cols>
    <col min="1" max="1" width="10.7109375" bestFit="1" customWidth="1"/>
    <col min="4" max="4" width="10.42578125" bestFit="1" customWidth="1"/>
    <col min="5" max="5" width="10.7109375" bestFit="1" customWidth="1"/>
    <col min="6" max="6" width="10.28515625" customWidth="1"/>
    <col min="7" max="8" width="13.42578125" customWidth="1"/>
    <col min="9" max="9" width="9.140625" bestFit="1" customWidth="1"/>
    <col min="10" max="10" width="10.7109375" bestFit="1" customWidth="1"/>
    <col min="13" max="13" width="10.42578125" bestFit="1" customWidth="1"/>
    <col min="16" max="16" width="10.7109375" bestFit="1" customWidth="1"/>
    <col min="19" max="19" width="10.7109375" bestFit="1" customWidth="1"/>
    <col min="22" max="22" width="10.7109375" bestFit="1" customWidth="1"/>
    <col min="25" max="25" width="10.7109375" bestFit="1" customWidth="1"/>
    <col min="27" max="27" width="10.140625" bestFit="1" customWidth="1"/>
  </cols>
  <sheetData>
    <row r="1" spans="1:27" s="3" customFormat="1" ht="36" customHeight="1" thickBot="1" x14ac:dyDescent="0.3">
      <c r="A1" s="801" t="s">
        <v>31</v>
      </c>
      <c r="B1" s="802"/>
      <c r="C1" s="803"/>
      <c r="D1" s="801" t="s">
        <v>497</v>
      </c>
      <c r="E1" s="802"/>
      <c r="F1" s="803"/>
      <c r="G1" s="801" t="s">
        <v>626</v>
      </c>
      <c r="H1" s="802"/>
      <c r="I1" s="803"/>
      <c r="J1" s="801" t="s">
        <v>498</v>
      </c>
      <c r="K1" s="802"/>
      <c r="L1" s="803"/>
      <c r="M1" s="801" t="s">
        <v>603</v>
      </c>
      <c r="N1" s="802"/>
      <c r="O1" s="803"/>
      <c r="P1" s="801" t="s">
        <v>1082</v>
      </c>
      <c r="Q1" s="802"/>
      <c r="R1" s="803"/>
      <c r="S1" s="801" t="s">
        <v>625</v>
      </c>
      <c r="T1" s="802"/>
      <c r="U1" s="803"/>
      <c r="V1" s="801" t="s">
        <v>690</v>
      </c>
      <c r="W1" s="802"/>
      <c r="X1" s="803"/>
      <c r="Y1" s="801" t="s">
        <v>859</v>
      </c>
      <c r="Z1" s="802"/>
      <c r="AA1" s="803"/>
    </row>
    <row r="2" spans="1:27" x14ac:dyDescent="0.25">
      <c r="C2" s="317"/>
      <c r="D2" s="157"/>
      <c r="F2" s="317"/>
      <c r="G2" s="157"/>
      <c r="I2" s="317"/>
      <c r="L2" s="317"/>
      <c r="O2" s="317"/>
      <c r="R2" s="317"/>
      <c r="U2" s="317"/>
      <c r="X2" s="804" t="s">
        <v>695</v>
      </c>
      <c r="Y2" s="157"/>
      <c r="AA2" s="317"/>
    </row>
    <row r="3" spans="1:27" x14ac:dyDescent="0.25">
      <c r="A3" s="3" t="s">
        <v>275</v>
      </c>
      <c r="B3" s="13" t="s">
        <v>276</v>
      </c>
      <c r="C3" s="319"/>
      <c r="D3" s="3" t="s">
        <v>275</v>
      </c>
      <c r="E3" s="13" t="s">
        <v>499</v>
      </c>
      <c r="F3" s="319"/>
      <c r="G3" s="3" t="s">
        <v>275</v>
      </c>
      <c r="H3" s="13" t="s">
        <v>499</v>
      </c>
      <c r="I3" s="319"/>
      <c r="J3" s="3" t="s">
        <v>275</v>
      </c>
      <c r="K3" s="13" t="s">
        <v>499</v>
      </c>
      <c r="L3" s="317"/>
      <c r="M3" s="3" t="s">
        <v>275</v>
      </c>
      <c r="N3" s="13" t="s">
        <v>499</v>
      </c>
      <c r="O3" s="317"/>
      <c r="P3" s="3" t="s">
        <v>275</v>
      </c>
      <c r="Q3" s="13" t="s">
        <v>499</v>
      </c>
      <c r="R3" s="317"/>
      <c r="S3" t="s">
        <v>275</v>
      </c>
      <c r="T3" t="s">
        <v>499</v>
      </c>
      <c r="U3" s="317"/>
      <c r="V3" t="s">
        <v>275</v>
      </c>
      <c r="W3" t="s">
        <v>499</v>
      </c>
      <c r="X3" s="805"/>
      <c r="Y3" s="3" t="s">
        <v>275</v>
      </c>
      <c r="Z3" s="13" t="s">
        <v>499</v>
      </c>
      <c r="AA3" s="319"/>
    </row>
    <row r="4" spans="1:27" x14ac:dyDescent="0.25">
      <c r="B4" s="14"/>
      <c r="C4" s="321"/>
      <c r="D4" s="320"/>
      <c r="F4" s="321"/>
      <c r="G4" s="320"/>
      <c r="I4" s="321"/>
      <c r="K4" s="14"/>
      <c r="L4" s="317"/>
      <c r="N4" s="14"/>
      <c r="O4" s="317"/>
      <c r="Q4" s="14"/>
      <c r="R4" s="317"/>
      <c r="S4" s="12" t="s">
        <v>155</v>
      </c>
      <c r="T4" t="s">
        <v>155</v>
      </c>
      <c r="U4" s="317"/>
      <c r="V4" s="12" t="s">
        <v>155</v>
      </c>
      <c r="W4" t="s">
        <v>155</v>
      </c>
      <c r="X4" s="317"/>
      <c r="Y4" s="320"/>
      <c r="AA4" s="321"/>
    </row>
    <row r="5" spans="1:27" x14ac:dyDescent="0.25">
      <c r="A5" s="12">
        <f>+Profit!H73</f>
        <v>45397</v>
      </c>
      <c r="B5" s="14">
        <v>0</v>
      </c>
      <c r="C5" s="321"/>
      <c r="D5" s="12">
        <f>+A5</f>
        <v>45397</v>
      </c>
      <c r="E5" s="14">
        <v>701.83</v>
      </c>
      <c r="F5" s="321"/>
      <c r="G5" s="12">
        <v>45566</v>
      </c>
      <c r="H5" s="424">
        <v>625</v>
      </c>
      <c r="I5" s="321"/>
      <c r="J5" s="12">
        <f>+G5</f>
        <v>45566</v>
      </c>
      <c r="K5" s="14">
        <v>0</v>
      </c>
      <c r="L5" s="317"/>
      <c r="M5" s="12">
        <f>+J5</f>
        <v>45566</v>
      </c>
      <c r="N5" s="14">
        <v>0</v>
      </c>
      <c r="O5" s="317"/>
      <c r="P5" s="12">
        <f>+M5</f>
        <v>45566</v>
      </c>
      <c r="Q5" s="14">
        <v>0</v>
      </c>
      <c r="R5" s="317"/>
      <c r="S5" s="12">
        <f>+M5</f>
        <v>45566</v>
      </c>
      <c r="T5" s="14">
        <v>0</v>
      </c>
      <c r="U5" s="317"/>
      <c r="V5" s="12">
        <v>45170</v>
      </c>
      <c r="W5" s="14">
        <v>893</v>
      </c>
      <c r="X5" s="321">
        <f>-W5</f>
        <v>-893</v>
      </c>
      <c r="Y5" s="12">
        <v>45413</v>
      </c>
      <c r="Z5" s="14">
        <v>820</v>
      </c>
      <c r="AA5" s="321"/>
    </row>
    <row r="6" spans="1:27" x14ac:dyDescent="0.25">
      <c r="A6" s="12">
        <f t="shared" ref="A6:A22" si="0">+A5+30</f>
        <v>45427</v>
      </c>
      <c r="B6" s="14">
        <f>IF(+Profit!$J$73&gt;A6,B5,0)</f>
        <v>0</v>
      </c>
      <c r="C6" s="321"/>
      <c r="D6" s="12">
        <f>+D5+30</f>
        <v>45427</v>
      </c>
      <c r="E6" s="14">
        <v>688.14</v>
      </c>
      <c r="F6" s="321"/>
      <c r="G6" s="12">
        <f t="shared" ref="G6:G23" si="1">+G5+30</f>
        <v>45596</v>
      </c>
      <c r="H6" s="424">
        <f>IF(_xlfn.DAYS(G6,$G$5)&lt;180,H5,IF(+Profit!$J$73&gt;G6,H5,""))</f>
        <v>625</v>
      </c>
      <c r="I6" s="321"/>
      <c r="J6" s="12">
        <f t="shared" ref="J6:J23" si="2">+J5+30</f>
        <v>45596</v>
      </c>
      <c r="K6" s="14">
        <f>IF(+Profit!$J$73&gt;J6,K5,0)</f>
        <v>0</v>
      </c>
      <c r="L6" s="317"/>
      <c r="M6" s="12">
        <f t="shared" ref="M6:M23" si="3">+M5+30</f>
        <v>45596</v>
      </c>
      <c r="N6" s="14">
        <f>IF(+Profit!$J$73&gt;M6,N5,0)</f>
        <v>0</v>
      </c>
      <c r="O6" s="317"/>
      <c r="P6" s="12">
        <f t="shared" ref="P6:P23" si="4">+P5+30</f>
        <v>45596</v>
      </c>
      <c r="Q6" s="14">
        <f>IF(+Profit!$J$73&gt;P6,Q5,0)</f>
        <v>0</v>
      </c>
      <c r="R6" s="317"/>
      <c r="S6" s="12">
        <f t="shared" ref="S6:S23" si="5">+S5+30</f>
        <v>45596</v>
      </c>
      <c r="T6" s="14">
        <f>IF(+Profit!$J$73&gt;S6,T5,0)</f>
        <v>0</v>
      </c>
      <c r="U6" s="317"/>
      <c r="V6" s="12">
        <v>45536</v>
      </c>
      <c r="W6" s="14">
        <v>2453</v>
      </c>
      <c r="X6" s="321">
        <f t="shared" ref="X6:X23" si="6">-W6</f>
        <v>-2453</v>
      </c>
      <c r="Y6" s="12">
        <f>+Y5+30</f>
        <v>45443</v>
      </c>
      <c r="Z6" s="14">
        <f>IF(+Profit!$J$73&gt;Y6,Z5,0)</f>
        <v>820</v>
      </c>
      <c r="AA6" s="321"/>
    </row>
    <row r="7" spans="1:27" x14ac:dyDescent="0.25">
      <c r="A7" s="12">
        <f t="shared" si="0"/>
        <v>45457</v>
      </c>
      <c r="B7" s="14">
        <f>IF(+Profit!$J$73&gt;A7,B6,0)</f>
        <v>0</v>
      </c>
      <c r="C7" s="321"/>
      <c r="D7" s="12">
        <f t="shared" ref="D7:D23" si="7">+D6+30</f>
        <v>45457</v>
      </c>
      <c r="E7" s="14">
        <v>805.21</v>
      </c>
      <c r="F7" s="321"/>
      <c r="G7" s="12">
        <f t="shared" si="1"/>
        <v>45626</v>
      </c>
      <c r="H7" s="424">
        <f>IF(_xlfn.DAYS(G7,$G$5)&lt;180,H6,IF(+Profit!$J$73&gt;G7,H6,""))</f>
        <v>625</v>
      </c>
      <c r="I7" s="321"/>
      <c r="J7" s="12">
        <f t="shared" si="2"/>
        <v>45626</v>
      </c>
      <c r="K7" s="14">
        <f>IF(+Profit!$J$73&gt;J7,K6,0)</f>
        <v>0</v>
      </c>
      <c r="L7" s="317"/>
      <c r="M7" s="12">
        <f t="shared" si="3"/>
        <v>45626</v>
      </c>
      <c r="N7" s="14">
        <f>IF(+Profit!$J$73&gt;M7,N6,0)</f>
        <v>0</v>
      </c>
      <c r="O7" s="317"/>
      <c r="P7" s="12">
        <f t="shared" si="4"/>
        <v>45626</v>
      </c>
      <c r="Q7" s="14">
        <f>IF(+Profit!$J$73&gt;P7,Q6,0)</f>
        <v>0</v>
      </c>
      <c r="R7" s="317"/>
      <c r="S7" s="12">
        <f t="shared" si="5"/>
        <v>45626</v>
      </c>
      <c r="T7" s="14">
        <f>IF(+Profit!$J$73&gt;S7,T6,0)</f>
        <v>0</v>
      </c>
      <c r="U7" s="317"/>
      <c r="V7" s="12">
        <v>45982</v>
      </c>
      <c r="W7" s="14">
        <v>3091.5</v>
      </c>
      <c r="X7" s="321">
        <f t="shared" si="6"/>
        <v>-3091.5</v>
      </c>
      <c r="Y7" s="12">
        <f t="shared" ref="Y7:Y23" si="8">+Y6+30</f>
        <v>45473</v>
      </c>
      <c r="Z7" s="14">
        <f>IF(+Profit!$J$73&gt;Y7,Z6,0)</f>
        <v>820</v>
      </c>
      <c r="AA7" s="321"/>
    </row>
    <row r="8" spans="1:27" x14ac:dyDescent="0.25">
      <c r="A8" s="12">
        <f t="shared" si="0"/>
        <v>45487</v>
      </c>
      <c r="B8" s="14">
        <f>IF(+Profit!$J$73&gt;A8,B7,0)</f>
        <v>0</v>
      </c>
      <c r="C8" s="321"/>
      <c r="D8" s="12">
        <f t="shared" si="7"/>
        <v>45487</v>
      </c>
      <c r="E8" s="14">
        <f>IF(+Profit!$J$73&gt;D8,E7,0)</f>
        <v>805.21</v>
      </c>
      <c r="F8" s="321"/>
      <c r="G8" s="12">
        <f t="shared" si="1"/>
        <v>45656</v>
      </c>
      <c r="H8" s="424">
        <f>IF(_xlfn.DAYS(G8,$G$5)&lt;180,H7,IF(+Profit!$J$73&gt;G8,H7,""))</f>
        <v>625</v>
      </c>
      <c r="I8" s="321"/>
      <c r="J8" s="12">
        <f t="shared" si="2"/>
        <v>45656</v>
      </c>
      <c r="K8" s="14">
        <f>IF(+Profit!$J$73&gt;J8,K7,0)</f>
        <v>0</v>
      </c>
      <c r="L8" s="317"/>
      <c r="M8" s="12">
        <f t="shared" si="3"/>
        <v>45656</v>
      </c>
      <c r="N8" s="14">
        <f>IF(+Profit!$J$73&gt;M8,N7,0)</f>
        <v>0</v>
      </c>
      <c r="O8" s="317"/>
      <c r="P8" s="12">
        <f t="shared" si="4"/>
        <v>45656</v>
      </c>
      <c r="Q8" s="14">
        <f>IF(+Profit!$J$73&gt;P8,Q7,0)</f>
        <v>0</v>
      </c>
      <c r="R8" s="317"/>
      <c r="S8" s="12">
        <f t="shared" si="5"/>
        <v>45656</v>
      </c>
      <c r="T8" s="14">
        <f>IF(+Profit!$J$73&gt;S8,T7,0)</f>
        <v>0</v>
      </c>
      <c r="U8" s="317"/>
      <c r="V8" s="12">
        <f t="shared" ref="V8:V23" si="9">+V7+365</f>
        <v>46347</v>
      </c>
      <c r="W8" s="14">
        <f>IF(+Profit!$J$73&gt;V8,W7,0)</f>
        <v>0</v>
      </c>
      <c r="X8" s="321">
        <f t="shared" si="6"/>
        <v>0</v>
      </c>
      <c r="Y8" s="12">
        <f t="shared" si="8"/>
        <v>45503</v>
      </c>
      <c r="Z8" s="14">
        <f>IF(+Profit!$J$73&gt;Y8,Z7,0)</f>
        <v>820</v>
      </c>
      <c r="AA8" s="321"/>
    </row>
    <row r="9" spans="1:27" x14ac:dyDescent="0.25">
      <c r="A9" s="12">
        <f t="shared" si="0"/>
        <v>45517</v>
      </c>
      <c r="B9" s="14">
        <f>IF(+Profit!$J$73&gt;A9,B8,0)</f>
        <v>0</v>
      </c>
      <c r="C9" s="321"/>
      <c r="D9" s="12">
        <f t="shared" si="7"/>
        <v>45517</v>
      </c>
      <c r="E9" s="14">
        <f>IF(+Profit!$J$73&gt;D9,E8,0)</f>
        <v>805.21</v>
      </c>
      <c r="F9" s="321"/>
      <c r="G9" s="12">
        <f t="shared" si="1"/>
        <v>45686</v>
      </c>
      <c r="H9" s="424">
        <f>IF(_xlfn.DAYS(G9,$G$5)&lt;180,H8,IF(+Profit!$J$73&gt;G9,H8,""))</f>
        <v>625</v>
      </c>
      <c r="I9" s="321"/>
      <c r="J9" s="12">
        <f t="shared" si="2"/>
        <v>45686</v>
      </c>
      <c r="K9" s="14">
        <f>IF(+Profit!$J$73&gt;J9,K8,0)</f>
        <v>0</v>
      </c>
      <c r="L9" s="317"/>
      <c r="M9" s="12">
        <f t="shared" si="3"/>
        <v>45686</v>
      </c>
      <c r="N9" s="14">
        <f>IF(+Profit!$J$73&gt;M9,N8,0)</f>
        <v>0</v>
      </c>
      <c r="O9" s="317"/>
      <c r="P9" s="12">
        <f t="shared" si="4"/>
        <v>45686</v>
      </c>
      <c r="Q9" s="14">
        <f>IF(+Profit!$J$73&gt;P9,Q8,0)</f>
        <v>0</v>
      </c>
      <c r="R9" s="317"/>
      <c r="S9" s="12">
        <f t="shared" si="5"/>
        <v>45686</v>
      </c>
      <c r="T9" s="14">
        <f>IF(+Profit!$J$73&gt;S9,T8,0)</f>
        <v>0</v>
      </c>
      <c r="U9" s="317"/>
      <c r="V9" s="12">
        <f t="shared" si="9"/>
        <v>46712</v>
      </c>
      <c r="W9" s="14">
        <f>IF(+Profit!$J$73&gt;V9,W8,0)</f>
        <v>0</v>
      </c>
      <c r="X9" s="321">
        <f t="shared" si="6"/>
        <v>0</v>
      </c>
      <c r="Y9" s="12">
        <f t="shared" si="8"/>
        <v>45533</v>
      </c>
      <c r="Z9" s="14">
        <f>IF(+Profit!$J$73&gt;Y9,Z8,0)</f>
        <v>820</v>
      </c>
      <c r="AA9" s="321"/>
    </row>
    <row r="10" spans="1:27" x14ac:dyDescent="0.25">
      <c r="A10" s="12">
        <f t="shared" si="0"/>
        <v>45547</v>
      </c>
      <c r="B10" s="14">
        <f>IF(+Profit!$J$73&gt;A10,B9,0)</f>
        <v>0</v>
      </c>
      <c r="C10" s="321"/>
      <c r="D10" s="12">
        <f t="shared" si="7"/>
        <v>45547</v>
      </c>
      <c r="E10" s="14">
        <f>IF(+Profit!$J$73&gt;D10,E9,0)</f>
        <v>805.21</v>
      </c>
      <c r="F10" s="321"/>
      <c r="G10" s="12">
        <f t="shared" si="1"/>
        <v>45716</v>
      </c>
      <c r="H10" s="424">
        <f>IF(_xlfn.DAYS(G10,$G$5)&lt;180,H9,IF(+Profit!$J$73&gt;G10,H9,""))</f>
        <v>625</v>
      </c>
      <c r="I10" s="321"/>
      <c r="J10" s="12">
        <f t="shared" si="2"/>
        <v>45716</v>
      </c>
      <c r="K10" s="14">
        <f>IF(+Profit!$J$73&gt;J10,K9,0)</f>
        <v>0</v>
      </c>
      <c r="L10" s="317"/>
      <c r="M10" s="12">
        <f t="shared" si="3"/>
        <v>45716</v>
      </c>
      <c r="N10" s="14">
        <f>IF(+Profit!$J$73&gt;M10,N9,0)</f>
        <v>0</v>
      </c>
      <c r="O10" s="317"/>
      <c r="P10" s="12">
        <f t="shared" si="4"/>
        <v>45716</v>
      </c>
      <c r="Q10" s="14">
        <f>IF(+Profit!$J$73&gt;P10,Q9,0)</f>
        <v>0</v>
      </c>
      <c r="R10" s="317"/>
      <c r="S10" s="12">
        <f t="shared" si="5"/>
        <v>45716</v>
      </c>
      <c r="T10" s="14">
        <f>IF(+Profit!$J$73&gt;S10,T9,0)</f>
        <v>0</v>
      </c>
      <c r="U10" s="317"/>
      <c r="V10" s="12">
        <f t="shared" si="9"/>
        <v>47077</v>
      </c>
      <c r="W10" s="14">
        <f>IF(+Profit!$J$73&gt;V10,W9,0)</f>
        <v>0</v>
      </c>
      <c r="X10" s="321">
        <f t="shared" si="6"/>
        <v>0</v>
      </c>
      <c r="Y10" s="12">
        <f t="shared" si="8"/>
        <v>45563</v>
      </c>
      <c r="Z10" s="14">
        <f>IF(+Profit!$J$73&gt;Y10,Z9,0)</f>
        <v>820</v>
      </c>
      <c r="AA10" s="321"/>
    </row>
    <row r="11" spans="1:27" x14ac:dyDescent="0.25">
      <c r="A11" s="12">
        <f t="shared" si="0"/>
        <v>45577</v>
      </c>
      <c r="B11" s="14">
        <f>IF(+Profit!$J$73&gt;A11,B10,0)</f>
        <v>0</v>
      </c>
      <c r="C11" s="321"/>
      <c r="D11" s="12">
        <f t="shared" si="7"/>
        <v>45577</v>
      </c>
      <c r="E11" s="14">
        <f>IF(+Profit!$J$73&gt;D11,E10,0)</f>
        <v>805.21</v>
      </c>
      <c r="F11" s="317"/>
      <c r="G11" s="12">
        <f t="shared" si="1"/>
        <v>45746</v>
      </c>
      <c r="H11" s="468">
        <f>IF(_xlfn.DAYS(G11,$G$5)&lt;180,H10,IF(+Profit!$J$73&gt;G11,H10,""))</f>
        <v>625</v>
      </c>
      <c r="I11" s="317"/>
      <c r="J11" s="12">
        <f t="shared" si="2"/>
        <v>45746</v>
      </c>
      <c r="K11" s="14">
        <f>IF(+Profit!$J$73&gt;J11,K10,0)</f>
        <v>0</v>
      </c>
      <c r="L11" s="317"/>
      <c r="M11" s="12">
        <f t="shared" si="3"/>
        <v>45746</v>
      </c>
      <c r="N11" s="14">
        <f>IF(+Profit!$J$73&gt;M11,N10,0)</f>
        <v>0</v>
      </c>
      <c r="O11" s="317"/>
      <c r="P11" s="12">
        <f t="shared" si="4"/>
        <v>45746</v>
      </c>
      <c r="Q11" s="14">
        <f>IF(+Profit!$J$73&gt;P11,Q10,0)</f>
        <v>0</v>
      </c>
      <c r="R11" s="317"/>
      <c r="S11" s="12">
        <f t="shared" si="5"/>
        <v>45746</v>
      </c>
      <c r="T11" s="14">
        <f>IF(+Profit!$J$73&gt;S11,T10,0)</f>
        <v>0</v>
      </c>
      <c r="U11" s="317"/>
      <c r="V11" s="12">
        <f t="shared" si="9"/>
        <v>47442</v>
      </c>
      <c r="W11" s="14">
        <f>IF(+Profit!$J$73&gt;V11,W10,0)</f>
        <v>0</v>
      </c>
      <c r="X11" s="321">
        <f t="shared" si="6"/>
        <v>0</v>
      </c>
      <c r="Y11" s="12">
        <f t="shared" si="8"/>
        <v>45593</v>
      </c>
      <c r="Z11" s="14">
        <f>IF(+Profit!$J$73&gt;Y11,Z10,0)</f>
        <v>820</v>
      </c>
      <c r="AA11" s="317"/>
    </row>
    <row r="12" spans="1:27" x14ac:dyDescent="0.25">
      <c r="A12" s="12">
        <f t="shared" si="0"/>
        <v>45607</v>
      </c>
      <c r="B12" s="14">
        <f>IF(+Profit!$J$73&gt;A12,B11,0)</f>
        <v>0</v>
      </c>
      <c r="C12" s="321"/>
      <c r="D12" s="12">
        <f t="shared" si="7"/>
        <v>45607</v>
      </c>
      <c r="E12" s="14">
        <f>IF(+Profit!$J$73&gt;D12,E11,0)</f>
        <v>805.21</v>
      </c>
      <c r="F12" s="317"/>
      <c r="G12" s="12">
        <f t="shared" si="1"/>
        <v>45776</v>
      </c>
      <c r="H12" s="468">
        <f>IF(_xlfn.DAYS(G12,$G$5)&lt;180,H11,IF(+Profit!$J$73&gt;G12,H11,""))</f>
        <v>625</v>
      </c>
      <c r="I12" s="317"/>
      <c r="J12" s="12">
        <f t="shared" si="2"/>
        <v>45776</v>
      </c>
      <c r="K12" s="14">
        <f>IF(+Profit!$J$73&gt;J12,K11,0)</f>
        <v>0</v>
      </c>
      <c r="L12" s="317"/>
      <c r="M12" s="12">
        <f t="shared" si="3"/>
        <v>45776</v>
      </c>
      <c r="N12" s="14">
        <f>IF(+Profit!$J$73&gt;M12,N11,0)</f>
        <v>0</v>
      </c>
      <c r="O12" s="317"/>
      <c r="P12" s="12">
        <f t="shared" si="4"/>
        <v>45776</v>
      </c>
      <c r="Q12" s="14">
        <f>IF(+Profit!$J$73&gt;P12,Q11,0)</f>
        <v>0</v>
      </c>
      <c r="R12" s="317"/>
      <c r="S12" s="12">
        <f t="shared" si="5"/>
        <v>45776</v>
      </c>
      <c r="T12" s="14">
        <f>IF(+Profit!$J$73&gt;S12,T11,0)</f>
        <v>0</v>
      </c>
      <c r="U12" s="317"/>
      <c r="V12" s="12">
        <f t="shared" si="9"/>
        <v>47807</v>
      </c>
      <c r="W12" s="14">
        <f>IF(+Profit!$J$73&gt;V12,W11,0)</f>
        <v>0</v>
      </c>
      <c r="X12" s="321">
        <f t="shared" si="6"/>
        <v>0</v>
      </c>
      <c r="Y12" s="12">
        <f t="shared" si="8"/>
        <v>45623</v>
      </c>
      <c r="Z12" s="14">
        <f>IF(+Profit!$J$73&gt;Y12,Z11,0)</f>
        <v>820</v>
      </c>
      <c r="AA12" s="317"/>
    </row>
    <row r="13" spans="1:27" x14ac:dyDescent="0.25">
      <c r="A13" s="12">
        <f t="shared" si="0"/>
        <v>45637</v>
      </c>
      <c r="B13" s="14">
        <f>IF(+Profit!$J$73&gt;A13,B12,0)</f>
        <v>0</v>
      </c>
      <c r="C13" s="321"/>
      <c r="D13" s="12">
        <f t="shared" si="7"/>
        <v>45637</v>
      </c>
      <c r="E13" s="14">
        <f>IF(+Profit!$J$73&gt;D13,E12,0)</f>
        <v>805.21</v>
      </c>
      <c r="F13" s="317"/>
      <c r="G13" s="12">
        <f t="shared" si="1"/>
        <v>45806</v>
      </c>
      <c r="H13" s="468">
        <f>IF(_xlfn.DAYS(G13,$G$5)&lt;180,H12,IF(+Profit!$J$73&gt;G13,H12,""))</f>
        <v>625</v>
      </c>
      <c r="I13" s="317"/>
      <c r="J13" s="12">
        <f t="shared" si="2"/>
        <v>45806</v>
      </c>
      <c r="K13" s="14">
        <f>IF(+Profit!$J$73&gt;J13,K12,0)</f>
        <v>0</v>
      </c>
      <c r="L13" s="317"/>
      <c r="M13" s="12">
        <f t="shared" si="3"/>
        <v>45806</v>
      </c>
      <c r="N13" s="14">
        <f>IF(+Profit!$J$73&gt;M13,N12,0)</f>
        <v>0</v>
      </c>
      <c r="O13" s="317"/>
      <c r="P13" s="12">
        <f t="shared" si="4"/>
        <v>45806</v>
      </c>
      <c r="Q13" s="14">
        <f>IF(+Profit!$J$73&gt;P13,Q12,0)</f>
        <v>0</v>
      </c>
      <c r="R13" s="317"/>
      <c r="S13" s="12">
        <f t="shared" si="5"/>
        <v>45806</v>
      </c>
      <c r="T13" s="14">
        <f>IF(+Profit!$J$73&gt;S13,T12,0)</f>
        <v>0</v>
      </c>
      <c r="U13" s="317"/>
      <c r="V13" s="12">
        <f t="shared" si="9"/>
        <v>48172</v>
      </c>
      <c r="W13" s="14">
        <f>IF(+Profit!$J$73&gt;V13,W12,0)</f>
        <v>0</v>
      </c>
      <c r="X13" s="321">
        <f t="shared" si="6"/>
        <v>0</v>
      </c>
      <c r="Y13" s="12">
        <f t="shared" si="8"/>
        <v>45653</v>
      </c>
      <c r="Z13" s="14">
        <f>IF(+Profit!$J$73&gt;Y13,Z12,0)</f>
        <v>820</v>
      </c>
      <c r="AA13" s="317"/>
    </row>
    <row r="14" spans="1:27" x14ac:dyDescent="0.25">
      <c r="A14" s="12">
        <f t="shared" si="0"/>
        <v>45667</v>
      </c>
      <c r="B14" s="14">
        <f>IF(+Profit!$J$73&gt;A14,B13,0)</f>
        <v>0</v>
      </c>
      <c r="C14" s="321"/>
      <c r="D14" s="12">
        <f t="shared" si="7"/>
        <v>45667</v>
      </c>
      <c r="E14" s="14">
        <f>IF(+Profit!$J$73&gt;D14,E13,0)</f>
        <v>805.21</v>
      </c>
      <c r="F14" s="317"/>
      <c r="G14" s="12">
        <f t="shared" si="1"/>
        <v>45836</v>
      </c>
      <c r="H14" s="468">
        <f>IF(_xlfn.DAYS(G14,$G$5)&lt;180,H13,IF(+Profit!$J$73&gt;G14,H13,""))</f>
        <v>625</v>
      </c>
      <c r="I14" s="317"/>
      <c r="J14" s="12">
        <f t="shared" si="2"/>
        <v>45836</v>
      </c>
      <c r="K14" s="14">
        <f>IF(+Profit!$J$73&gt;J14,K13,0)</f>
        <v>0</v>
      </c>
      <c r="L14" s="317"/>
      <c r="M14" s="12">
        <f t="shared" si="3"/>
        <v>45836</v>
      </c>
      <c r="N14" s="14">
        <f>IF(+Profit!$J$73&gt;M14,N13,0)</f>
        <v>0</v>
      </c>
      <c r="O14" s="317"/>
      <c r="P14" s="12">
        <f t="shared" si="4"/>
        <v>45836</v>
      </c>
      <c r="Q14" s="14">
        <f>IF(+Profit!$J$73&gt;P14,Q13,0)</f>
        <v>0</v>
      </c>
      <c r="R14" s="317"/>
      <c r="S14" s="12">
        <f t="shared" si="5"/>
        <v>45836</v>
      </c>
      <c r="T14" s="14">
        <f>IF(+Profit!$J$73&gt;S14,T13,0)</f>
        <v>0</v>
      </c>
      <c r="U14" s="317"/>
      <c r="V14" s="12">
        <f t="shared" si="9"/>
        <v>48537</v>
      </c>
      <c r="W14" s="14">
        <f>IF(+Profit!$J$73&gt;V14,W13,0)</f>
        <v>0</v>
      </c>
      <c r="X14" s="321">
        <f t="shared" si="6"/>
        <v>0</v>
      </c>
      <c r="Y14" s="12">
        <f t="shared" si="8"/>
        <v>45683</v>
      </c>
      <c r="Z14" s="14">
        <f>IF(+Profit!$J$73&gt;Y14,Z13,0)</f>
        <v>820</v>
      </c>
      <c r="AA14" s="317"/>
    </row>
    <row r="15" spans="1:27" x14ac:dyDescent="0.25">
      <c r="A15" s="12">
        <f t="shared" si="0"/>
        <v>45697</v>
      </c>
      <c r="B15" s="14">
        <f>IF(+Profit!$J$73&gt;A15,B14,0)</f>
        <v>0</v>
      </c>
      <c r="C15" s="317"/>
      <c r="D15" s="12">
        <f t="shared" si="7"/>
        <v>45697</v>
      </c>
      <c r="E15" s="14">
        <f>IF(+Profit!$J$73&gt;D15,E14,0)</f>
        <v>805.21</v>
      </c>
      <c r="F15" s="317"/>
      <c r="G15" s="12">
        <f t="shared" si="1"/>
        <v>45866</v>
      </c>
      <c r="H15" s="468">
        <f>IF(_xlfn.DAYS(G15,$G$5)&lt;180,H14,IF(+Profit!$J$73&gt;G15,H14,""))</f>
        <v>625</v>
      </c>
      <c r="I15" s="317"/>
      <c r="J15" s="12">
        <f t="shared" si="2"/>
        <v>45866</v>
      </c>
      <c r="K15" s="14">
        <f>IF(+Profit!$J$73&gt;J15,K14,0)</f>
        <v>0</v>
      </c>
      <c r="L15" s="317"/>
      <c r="M15" s="12">
        <f t="shared" si="3"/>
        <v>45866</v>
      </c>
      <c r="N15" s="14">
        <f>IF(+Profit!$J$73&gt;M15,N14,0)</f>
        <v>0</v>
      </c>
      <c r="O15" s="317"/>
      <c r="P15" s="12">
        <f t="shared" si="4"/>
        <v>45866</v>
      </c>
      <c r="Q15" s="14">
        <f>IF(+Profit!$J$73&gt;P15,Q14,0)</f>
        <v>0</v>
      </c>
      <c r="R15" s="317"/>
      <c r="S15" s="12">
        <f t="shared" si="5"/>
        <v>45866</v>
      </c>
      <c r="T15" s="14">
        <f>IF(+Profit!$J$73&gt;S15,T14,0)</f>
        <v>0</v>
      </c>
      <c r="U15" s="317"/>
      <c r="V15" s="12">
        <f t="shared" si="9"/>
        <v>48902</v>
      </c>
      <c r="W15" s="14">
        <f>IF(+Profit!$J$73&gt;V15,W14,0)</f>
        <v>0</v>
      </c>
      <c r="X15" s="321">
        <f t="shared" si="6"/>
        <v>0</v>
      </c>
      <c r="Y15" s="12">
        <f t="shared" si="8"/>
        <v>45713</v>
      </c>
      <c r="Z15" s="14">
        <v>805.21</v>
      </c>
      <c r="AA15" s="317"/>
    </row>
    <row r="16" spans="1:27" x14ac:dyDescent="0.25">
      <c r="A16" s="12">
        <f t="shared" si="0"/>
        <v>45727</v>
      </c>
      <c r="B16" s="14">
        <f>IF(+Profit!$J$73&gt;A16,B15,0)</f>
        <v>0</v>
      </c>
      <c r="C16" s="317"/>
      <c r="D16" s="12">
        <f t="shared" si="7"/>
        <v>45727</v>
      </c>
      <c r="E16" s="14">
        <f>IF(+Profit!$J$73&gt;D16,E15,0)</f>
        <v>805.21</v>
      </c>
      <c r="F16" s="317"/>
      <c r="G16" s="12">
        <f t="shared" si="1"/>
        <v>45896</v>
      </c>
      <c r="H16" s="468">
        <f>IF(_xlfn.DAYS(G16,$G$5)&lt;180,H15,IF(+Profit!$J$73&gt;G16,H15,""))</f>
        <v>625</v>
      </c>
      <c r="I16" s="317"/>
      <c r="J16" s="12">
        <f t="shared" si="2"/>
        <v>45896</v>
      </c>
      <c r="K16" s="14">
        <f>IF(+Profit!$J$73&gt;J16,K15,0)</f>
        <v>0</v>
      </c>
      <c r="L16" s="317"/>
      <c r="M16" s="12">
        <f t="shared" si="3"/>
        <v>45896</v>
      </c>
      <c r="N16" s="14">
        <f>IF(+Profit!$J$73&gt;M16,N15,0)</f>
        <v>0</v>
      </c>
      <c r="O16" s="317"/>
      <c r="P16" s="12">
        <f t="shared" si="4"/>
        <v>45896</v>
      </c>
      <c r="Q16" s="14">
        <f>IF(+Profit!$J$73&gt;P16,Q15,0)</f>
        <v>0</v>
      </c>
      <c r="R16" s="317"/>
      <c r="S16" s="12">
        <f t="shared" si="5"/>
        <v>45896</v>
      </c>
      <c r="T16" s="14">
        <f>IF(+Profit!$J$73&gt;S16,T15,0)</f>
        <v>0</v>
      </c>
      <c r="U16" s="317"/>
      <c r="V16" s="12">
        <f t="shared" si="9"/>
        <v>49267</v>
      </c>
      <c r="W16" s="14">
        <f>IF(+Profit!$J$73&gt;V16,W15,0)</f>
        <v>0</v>
      </c>
      <c r="X16" s="321">
        <f t="shared" si="6"/>
        <v>0</v>
      </c>
      <c r="Y16" s="12">
        <f t="shared" si="8"/>
        <v>45743</v>
      </c>
      <c r="Z16" s="14">
        <f>IF(+Profit!$J$73&gt;Y16,Z15,0)</f>
        <v>805.21</v>
      </c>
      <c r="AA16" s="317"/>
    </row>
    <row r="17" spans="1:27" x14ac:dyDescent="0.25">
      <c r="A17" s="12">
        <f t="shared" si="0"/>
        <v>45757</v>
      </c>
      <c r="B17" s="14">
        <f>IF(+Profit!$J$73&gt;A17,B16,0)</f>
        <v>0</v>
      </c>
      <c r="C17" s="317"/>
      <c r="D17" s="12">
        <f t="shared" si="7"/>
        <v>45757</v>
      </c>
      <c r="E17" s="14">
        <f>IF(+Profit!$J$73&gt;D17,E16,0)</f>
        <v>805.21</v>
      </c>
      <c r="F17" s="317"/>
      <c r="G17" s="12">
        <f t="shared" si="1"/>
        <v>45926</v>
      </c>
      <c r="H17" s="468">
        <f>IF(_xlfn.DAYS(G17,$G$5)&lt;180,H16,IF(+Profit!$J$73&gt;G17,H16,""))</f>
        <v>625</v>
      </c>
      <c r="I17" s="317"/>
      <c r="J17" s="12">
        <f t="shared" si="2"/>
        <v>45926</v>
      </c>
      <c r="K17" s="14">
        <f>IF(+Profit!$J$73&gt;J17,K16,0)</f>
        <v>0</v>
      </c>
      <c r="L17" s="317"/>
      <c r="M17" s="12">
        <f t="shared" si="3"/>
        <v>45926</v>
      </c>
      <c r="N17" s="14">
        <f>IF(+Profit!$J$73&gt;M17,N16,0)</f>
        <v>0</v>
      </c>
      <c r="O17" s="317"/>
      <c r="P17" s="12">
        <f t="shared" si="4"/>
        <v>45926</v>
      </c>
      <c r="Q17" s="14">
        <f>IF(+Profit!$J$73&gt;P17,Q16,0)</f>
        <v>0</v>
      </c>
      <c r="R17" s="317"/>
      <c r="S17" s="12">
        <f t="shared" si="5"/>
        <v>45926</v>
      </c>
      <c r="T17" s="14">
        <f>IF(+Profit!$J$73&gt;S17,T16,0)</f>
        <v>0</v>
      </c>
      <c r="U17" s="317"/>
      <c r="V17" s="12">
        <f t="shared" si="9"/>
        <v>49632</v>
      </c>
      <c r="W17" s="14">
        <f>IF(+Profit!$J$73&gt;V17,W16,0)</f>
        <v>0</v>
      </c>
      <c r="X17" s="321">
        <f t="shared" si="6"/>
        <v>0</v>
      </c>
      <c r="Y17" s="12">
        <f t="shared" si="8"/>
        <v>45773</v>
      </c>
      <c r="Z17" s="14">
        <f>IF(+Profit!$J$73&gt;Y17,Z16,0)</f>
        <v>805.21</v>
      </c>
      <c r="AA17" s="317"/>
    </row>
    <row r="18" spans="1:27" x14ac:dyDescent="0.25">
      <c r="A18" s="12">
        <f t="shared" si="0"/>
        <v>45787</v>
      </c>
      <c r="B18" s="14">
        <f>IF(+Profit!$J$73&gt;A18,B17,0)</f>
        <v>0</v>
      </c>
      <c r="C18" s="317"/>
      <c r="D18" s="12">
        <f t="shared" si="7"/>
        <v>45787</v>
      </c>
      <c r="E18" s="14">
        <f>IF(+Profit!$J$73&gt;D18,E17,0)</f>
        <v>805.21</v>
      </c>
      <c r="F18" s="317"/>
      <c r="G18" s="12">
        <f t="shared" si="1"/>
        <v>45956</v>
      </c>
      <c r="H18" s="468">
        <v>0</v>
      </c>
      <c r="I18" s="317"/>
      <c r="J18" s="12">
        <f t="shared" si="2"/>
        <v>45956</v>
      </c>
      <c r="K18" s="14">
        <f>IF(+Profit!$J$73&gt;J18,K17,0)</f>
        <v>0</v>
      </c>
      <c r="L18" s="317"/>
      <c r="M18" s="12">
        <f t="shared" si="3"/>
        <v>45956</v>
      </c>
      <c r="N18" s="14">
        <f>IF(+Profit!$J$73&gt;M18,N17,0)</f>
        <v>0</v>
      </c>
      <c r="O18" s="317"/>
      <c r="P18" s="12">
        <f t="shared" si="4"/>
        <v>45956</v>
      </c>
      <c r="Q18" s="14"/>
      <c r="R18" s="317"/>
      <c r="S18" s="12">
        <f t="shared" si="5"/>
        <v>45956</v>
      </c>
      <c r="T18" s="14">
        <f>IF(+Profit!$J$73&gt;S18,T17,0)</f>
        <v>0</v>
      </c>
      <c r="U18" s="317"/>
      <c r="V18" s="12">
        <f t="shared" si="9"/>
        <v>49997</v>
      </c>
      <c r="W18" s="14">
        <f>IF(+Profit!$J$73&gt;V18,W17,0)</f>
        <v>0</v>
      </c>
      <c r="X18" s="321">
        <f t="shared" si="6"/>
        <v>0</v>
      </c>
      <c r="Y18" s="12">
        <f t="shared" si="8"/>
        <v>45803</v>
      </c>
      <c r="Z18" s="14"/>
      <c r="AA18" s="317"/>
    </row>
    <row r="19" spans="1:27" x14ac:dyDescent="0.25">
      <c r="A19" s="12">
        <f t="shared" si="0"/>
        <v>45817</v>
      </c>
      <c r="B19" s="14">
        <f>IF(+Profit!$J$73&gt;A19,B18,0)</f>
        <v>0</v>
      </c>
      <c r="C19" s="317"/>
      <c r="D19" s="12">
        <f t="shared" si="7"/>
        <v>45817</v>
      </c>
      <c r="E19" s="14">
        <f>IF(+Profit!$J$73&gt;D19,E18,0)</f>
        <v>805.21</v>
      </c>
      <c r="F19" s="317"/>
      <c r="G19" s="12">
        <f t="shared" si="1"/>
        <v>45986</v>
      </c>
      <c r="H19" s="468" t="str">
        <f>IF(_xlfn.DAYS(G19,$G$5)&lt;180,H18,IF(+Profit!$J$73&gt;G19,H18,""))</f>
        <v/>
      </c>
      <c r="I19" s="317"/>
      <c r="J19" s="12">
        <f t="shared" si="2"/>
        <v>45986</v>
      </c>
      <c r="K19" s="14">
        <f>IF(+Profit!$J$73&gt;J19,K18,0)</f>
        <v>0</v>
      </c>
      <c r="L19" s="317"/>
      <c r="M19" s="12">
        <f t="shared" si="3"/>
        <v>45986</v>
      </c>
      <c r="N19" s="14">
        <f>IF(+Profit!$J$73&gt;M19,N18,0)</f>
        <v>0</v>
      </c>
      <c r="O19" s="317"/>
      <c r="P19" s="12">
        <f t="shared" si="4"/>
        <v>45986</v>
      </c>
      <c r="Q19" s="14">
        <f>IF(+Profit!$J$73&gt;P19,Q18,0)</f>
        <v>0</v>
      </c>
      <c r="R19" s="317"/>
      <c r="S19" s="12">
        <f t="shared" si="5"/>
        <v>45986</v>
      </c>
      <c r="T19" s="14">
        <f>IF(+Profit!$J$73&gt;S19,T18,0)</f>
        <v>0</v>
      </c>
      <c r="U19" s="317"/>
      <c r="V19" s="12">
        <f t="shared" si="9"/>
        <v>50362</v>
      </c>
      <c r="W19" s="14">
        <f>IF(+Profit!$J$73&gt;V19,W18,0)</f>
        <v>0</v>
      </c>
      <c r="X19" s="321">
        <f t="shared" si="6"/>
        <v>0</v>
      </c>
      <c r="Y19" s="12">
        <f t="shared" si="8"/>
        <v>45833</v>
      </c>
      <c r="Z19" s="14">
        <f>IF(+Profit!$J$73&gt;Y19,Z18,0)</f>
        <v>0</v>
      </c>
      <c r="AA19" s="317"/>
    </row>
    <row r="20" spans="1:27" x14ac:dyDescent="0.25">
      <c r="A20" s="12">
        <v>45856</v>
      </c>
      <c r="B20" s="14">
        <v>159.32</v>
      </c>
      <c r="C20" s="317"/>
      <c r="D20" s="12">
        <f t="shared" si="7"/>
        <v>45847</v>
      </c>
      <c r="E20" s="14">
        <f>IF(+Profit!$J$73&gt;D20,E19,0)</f>
        <v>805.21</v>
      </c>
      <c r="F20" s="317"/>
      <c r="G20" s="12">
        <f t="shared" si="1"/>
        <v>46016</v>
      </c>
      <c r="H20" s="468" t="str">
        <f>IF(_xlfn.DAYS(G20,$G$5)&lt;180,H19,IF(+Profit!$J$73&gt;G20,H19,""))</f>
        <v/>
      </c>
      <c r="I20" s="317"/>
      <c r="J20" s="12">
        <f t="shared" si="2"/>
        <v>46016</v>
      </c>
      <c r="K20" s="14">
        <f>IF(+Profit!$J$73&gt;J20,K19,0)</f>
        <v>0</v>
      </c>
      <c r="L20" s="317"/>
      <c r="M20" s="12">
        <f t="shared" si="3"/>
        <v>46016</v>
      </c>
      <c r="N20" s="14">
        <f>IF(+Profit!$J$73&gt;M20,N19,0)</f>
        <v>0</v>
      </c>
      <c r="O20" s="317"/>
      <c r="P20" s="12">
        <f t="shared" si="4"/>
        <v>46016</v>
      </c>
      <c r="Q20" s="14">
        <f>IF(+Profit!$J$73&gt;P20,Q19,0)</f>
        <v>0</v>
      </c>
      <c r="R20" s="317"/>
      <c r="S20" s="12">
        <f t="shared" si="5"/>
        <v>46016</v>
      </c>
      <c r="T20" s="14">
        <f>IF(+Profit!$J$73&gt;S20,T19,0)</f>
        <v>0</v>
      </c>
      <c r="U20" s="317"/>
      <c r="V20" s="12">
        <f t="shared" si="9"/>
        <v>50727</v>
      </c>
      <c r="W20" s="14">
        <f>IF(+Profit!$J$73&gt;V20,W19,0)</f>
        <v>0</v>
      </c>
      <c r="X20" s="321">
        <f t="shared" si="6"/>
        <v>0</v>
      </c>
      <c r="Y20" s="12">
        <f t="shared" si="8"/>
        <v>45863</v>
      </c>
      <c r="Z20" s="14">
        <f>IF(+Profit!$J$73&gt;Y20,Z19,0)</f>
        <v>0</v>
      </c>
      <c r="AA20" s="317"/>
    </row>
    <row r="21" spans="1:27" x14ac:dyDescent="0.25">
      <c r="A21" s="12">
        <v>45888</v>
      </c>
      <c r="B21" s="14">
        <v>64.739999999999995</v>
      </c>
      <c r="C21" s="317"/>
      <c r="D21" s="12">
        <f t="shared" si="7"/>
        <v>45877</v>
      </c>
      <c r="E21" s="14">
        <f>IF(+Profit!$J$73&gt;D21,E20,0)</f>
        <v>805.21</v>
      </c>
      <c r="F21" s="317"/>
      <c r="G21" s="12">
        <f t="shared" si="1"/>
        <v>46046</v>
      </c>
      <c r="H21" s="468" t="str">
        <f>IF(_xlfn.DAYS(G21,$G$5)&lt;180,H20,IF(+Profit!$J$73&gt;G21,H20,""))</f>
        <v/>
      </c>
      <c r="I21" s="317"/>
      <c r="J21" s="12">
        <f t="shared" si="2"/>
        <v>46046</v>
      </c>
      <c r="K21" s="14">
        <f>IF(+Profit!$J$73&gt;J21,K20,0)</f>
        <v>0</v>
      </c>
      <c r="L21" s="317"/>
      <c r="M21" s="12">
        <f t="shared" si="3"/>
        <v>46046</v>
      </c>
      <c r="N21" s="14">
        <f>IF(+Profit!$J$73&gt;M21,N20,0)</f>
        <v>0</v>
      </c>
      <c r="O21" s="317"/>
      <c r="P21" s="12">
        <f t="shared" si="4"/>
        <v>46046</v>
      </c>
      <c r="Q21" s="14">
        <f>IF(+Profit!$J$73&gt;P21,Q20,0)</f>
        <v>0</v>
      </c>
      <c r="R21" s="317"/>
      <c r="S21" s="12">
        <f t="shared" si="5"/>
        <v>46046</v>
      </c>
      <c r="T21" s="14">
        <f>IF(+Profit!$J$73&gt;S21,T20,0)</f>
        <v>0</v>
      </c>
      <c r="U21" s="317"/>
      <c r="V21" s="12">
        <f t="shared" si="9"/>
        <v>51092</v>
      </c>
      <c r="W21" s="14">
        <f>IF(+Profit!$J$73&gt;V21,W20,0)</f>
        <v>0</v>
      </c>
      <c r="X21" s="321">
        <f t="shared" si="6"/>
        <v>0</v>
      </c>
      <c r="Y21" s="12">
        <f t="shared" si="8"/>
        <v>45893</v>
      </c>
      <c r="Z21" s="14">
        <f>IF(+Profit!$J$73&gt;Y21,Z20,0)</f>
        <v>0</v>
      </c>
      <c r="AA21" s="317"/>
    </row>
    <row r="22" spans="1:27" x14ac:dyDescent="0.25">
      <c r="A22" s="12">
        <f t="shared" si="0"/>
        <v>45918</v>
      </c>
      <c r="B22" s="14">
        <v>61.66</v>
      </c>
      <c r="C22" s="317"/>
      <c r="D22" s="12">
        <f t="shared" si="7"/>
        <v>45907</v>
      </c>
      <c r="E22" s="14">
        <f>IF(+Profit!$J$73&gt;D22,E21,0)</f>
        <v>805.21</v>
      </c>
      <c r="F22" s="317"/>
      <c r="G22" s="12">
        <f t="shared" si="1"/>
        <v>46076</v>
      </c>
      <c r="H22" s="468" t="str">
        <f>IF(_xlfn.DAYS(G22,$G$5)&lt;180,H21,IF(+Profit!$J$73&gt;G22,H21,""))</f>
        <v/>
      </c>
      <c r="I22" s="317"/>
      <c r="J22" s="12">
        <f t="shared" si="2"/>
        <v>46076</v>
      </c>
      <c r="K22" s="14">
        <f>IF(+Profit!$J$73&gt;J22,K21,0)</f>
        <v>0</v>
      </c>
      <c r="L22" s="317"/>
      <c r="M22" s="12">
        <f t="shared" si="3"/>
        <v>46076</v>
      </c>
      <c r="N22" s="14">
        <f>IF(+Profit!$J$73&gt;M22,N21,0)</f>
        <v>0</v>
      </c>
      <c r="O22" s="317"/>
      <c r="P22" s="12">
        <f t="shared" si="4"/>
        <v>46076</v>
      </c>
      <c r="Q22" s="14">
        <f>IF(+Profit!$J$73&gt;P22,Q21,0)</f>
        <v>0</v>
      </c>
      <c r="R22" s="317"/>
      <c r="S22" s="12">
        <f t="shared" si="5"/>
        <v>46076</v>
      </c>
      <c r="T22" s="14">
        <f>IF(+Profit!$J$73&gt;S22,T21,0)</f>
        <v>0</v>
      </c>
      <c r="U22" s="317"/>
      <c r="V22" s="12">
        <f t="shared" si="9"/>
        <v>51457</v>
      </c>
      <c r="W22" s="14">
        <f>IF(+Profit!$J$73&gt;V22,W21,0)</f>
        <v>0</v>
      </c>
      <c r="X22" s="321">
        <f t="shared" si="6"/>
        <v>0</v>
      </c>
      <c r="Y22" s="12">
        <f t="shared" si="8"/>
        <v>45923</v>
      </c>
      <c r="Z22" s="14">
        <f>IF(+Profit!$J$73&gt;Y22,Z21,0)</f>
        <v>0</v>
      </c>
      <c r="AA22" s="317"/>
    </row>
    <row r="23" spans="1:27" x14ac:dyDescent="0.25">
      <c r="A23" s="12">
        <v>45950</v>
      </c>
      <c r="B23" s="14">
        <v>60.29</v>
      </c>
      <c r="C23" s="317"/>
      <c r="D23" s="12">
        <f t="shared" si="7"/>
        <v>45937</v>
      </c>
      <c r="E23" s="14">
        <f>IF(+Profit!$J$73&gt;D23,E22,0)</f>
        <v>805.21</v>
      </c>
      <c r="F23" s="317"/>
      <c r="G23" s="12">
        <f t="shared" si="1"/>
        <v>46106</v>
      </c>
      <c r="H23" s="468" t="str">
        <f>IF(_xlfn.DAYS(G23,$G$5)&lt;180,H22,IF(+Profit!$J$73&gt;G23,H22,""))</f>
        <v/>
      </c>
      <c r="I23" s="317"/>
      <c r="J23" s="12">
        <f t="shared" si="2"/>
        <v>46106</v>
      </c>
      <c r="K23" s="14">
        <f>IF(+Profit!$J$73&gt;J23,K22,0)</f>
        <v>0</v>
      </c>
      <c r="L23" s="317"/>
      <c r="M23" s="12">
        <f t="shared" si="3"/>
        <v>46106</v>
      </c>
      <c r="N23" s="14">
        <f>IF(+Profit!$J$73&gt;M23,N22,0)</f>
        <v>0</v>
      </c>
      <c r="O23" s="317"/>
      <c r="P23" s="12">
        <f t="shared" si="4"/>
        <v>46106</v>
      </c>
      <c r="Q23" s="14">
        <f>IF(+Profit!$J$73&gt;P23,Q22,0)</f>
        <v>0</v>
      </c>
      <c r="R23" s="317"/>
      <c r="S23" s="12">
        <f t="shared" si="5"/>
        <v>46106</v>
      </c>
      <c r="T23" s="14">
        <f>IF(+Profit!$J$73&gt;S23,T22,0)</f>
        <v>0</v>
      </c>
      <c r="U23" s="317"/>
      <c r="V23" s="12">
        <f t="shared" si="9"/>
        <v>51822</v>
      </c>
      <c r="W23" s="14">
        <f>IF(+Profit!$J$73&gt;V23,W22,0)</f>
        <v>0</v>
      </c>
      <c r="X23" s="321">
        <f t="shared" si="6"/>
        <v>0</v>
      </c>
      <c r="Y23" s="12">
        <f t="shared" si="8"/>
        <v>45953</v>
      </c>
      <c r="Z23" s="14">
        <f>IF(+Profit!$J$73&gt;Y23,Z22,0)</f>
        <v>0</v>
      </c>
      <c r="AA23" s="317"/>
    </row>
    <row r="24" spans="1:27" ht="15.75" thickBot="1" x14ac:dyDescent="0.3">
      <c r="A24" s="12">
        <v>45981</v>
      </c>
      <c r="B24" s="23">
        <v>40.07</v>
      </c>
      <c r="C24" s="318"/>
      <c r="D24" s="320"/>
      <c r="F24" s="318"/>
      <c r="G24" s="320"/>
      <c r="I24" s="318"/>
      <c r="K24" s="23"/>
      <c r="L24" s="318"/>
      <c r="N24" s="23"/>
      <c r="O24" s="318"/>
      <c r="Q24" s="23"/>
      <c r="R24" s="318"/>
      <c r="T24" s="23"/>
      <c r="U24" s="318"/>
      <c r="W24" s="23"/>
      <c r="X24" s="318"/>
      <c r="Y24" s="320"/>
      <c r="AA24" s="318"/>
    </row>
    <row r="25" spans="1:27" ht="15.75" thickBot="1" x14ac:dyDescent="0.3">
      <c r="A25" s="23"/>
      <c r="B25" s="21"/>
      <c r="C25" s="323">
        <f>SUM(B4:B24)</f>
        <v>386.08000000000004</v>
      </c>
      <c r="D25" s="322"/>
      <c r="E25" s="23"/>
      <c r="F25" s="323">
        <f>SUM(E4:E24)</f>
        <v>15078.539999999994</v>
      </c>
      <c r="G25" s="322"/>
      <c r="H25" s="23"/>
      <c r="I25" s="323">
        <f>SUM(H4:H24)</f>
        <v>8125</v>
      </c>
      <c r="J25" s="23"/>
      <c r="K25" s="21"/>
      <c r="L25" s="323">
        <f>SUM(K4:K27)</f>
        <v>0</v>
      </c>
      <c r="M25" s="23"/>
      <c r="N25" s="21"/>
      <c r="O25" s="323">
        <f>SUM(N4:N23)</f>
        <v>0</v>
      </c>
      <c r="P25" s="23"/>
      <c r="Q25" s="21"/>
      <c r="R25" s="323">
        <f>SUM(Q4:Q23)</f>
        <v>0</v>
      </c>
      <c r="S25" s="23"/>
      <c r="T25" s="21"/>
      <c r="U25" s="323">
        <f>SUM(T4:T23)</f>
        <v>0</v>
      </c>
      <c r="V25" s="23"/>
      <c r="W25" s="21"/>
      <c r="X25" s="323">
        <f>SUM(W4:X23)</f>
        <v>0</v>
      </c>
      <c r="Y25" s="322"/>
      <c r="Z25" s="23"/>
      <c r="AA25" s="323">
        <f>SUM(Z4:Z24)</f>
        <v>10615.629999999997</v>
      </c>
    </row>
  </sheetData>
  <mergeCells count="10">
    <mergeCell ref="Y1:AA1"/>
    <mergeCell ref="V1:X1"/>
    <mergeCell ref="X2:X3"/>
    <mergeCell ref="S1:U1"/>
    <mergeCell ref="A1:C1"/>
    <mergeCell ref="D1:F1"/>
    <mergeCell ref="J1:L1"/>
    <mergeCell ref="M1:O1"/>
    <mergeCell ref="G1:I1"/>
    <mergeCell ref="P1:R1"/>
  </mergeCells>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4E5F9F1-54EC-40FF-95C4-C14CCDEB7581}">
  <sheetPr codeName="Sheet61">
    <tabColor theme="5" tint="0.59999389629810485"/>
  </sheetPr>
  <dimension ref="A1:M98"/>
  <sheetViews>
    <sheetView zoomScaleNormal="100" workbookViewId="0">
      <pane ySplit="11" topLeftCell="A63" activePane="bottomLeft" state="frozen"/>
      <selection activeCell="H28" sqref="H28"/>
      <selection pane="bottomLeft" activeCell="C73" sqref="C73"/>
    </sheetView>
  </sheetViews>
  <sheetFormatPr defaultRowHeight="15" x14ac:dyDescent="0.25"/>
  <cols>
    <col min="1" max="1" width="21.42578125" style="55" bestFit="1" customWidth="1"/>
    <col min="2" max="2" width="24.5703125" style="55" bestFit="1" customWidth="1"/>
    <col min="3" max="3" width="97.85546875" style="55" bestFit="1" customWidth="1"/>
    <col min="4" max="4" width="7.5703125" style="56" customWidth="1"/>
    <col min="5" max="5" width="14.140625" style="57" customWidth="1"/>
    <col min="6" max="6" width="9.140625" style="55"/>
    <col min="7" max="7" width="18.7109375" style="55" bestFit="1" customWidth="1"/>
    <col min="8" max="8" width="27.7109375" style="55" bestFit="1" customWidth="1"/>
    <col min="9" max="9" width="81.140625" style="55" bestFit="1" customWidth="1"/>
    <col min="10" max="10" width="6.28515625" style="55" bestFit="1" customWidth="1"/>
    <col min="11" max="12" width="12" style="55" bestFit="1" customWidth="1"/>
    <col min="13" max="254" width="9.140625" style="55"/>
    <col min="255" max="255" width="21.85546875" style="55" customWidth="1"/>
    <col min="256" max="256" width="35.85546875" style="55" customWidth="1"/>
    <col min="257" max="257" width="97.7109375" style="55" customWidth="1"/>
    <col min="258" max="258" width="31.7109375" style="55" customWidth="1"/>
    <col min="259" max="259" width="13.7109375" style="55" bestFit="1" customWidth="1"/>
    <col min="260" max="510" width="9.140625" style="55"/>
    <col min="511" max="511" width="21.85546875" style="55" customWidth="1"/>
    <col min="512" max="512" width="35.85546875" style="55" customWidth="1"/>
    <col min="513" max="513" width="97.7109375" style="55" customWidth="1"/>
    <col min="514" max="514" width="31.7109375" style="55" customWidth="1"/>
    <col min="515" max="515" width="13.7109375" style="55" bestFit="1" customWidth="1"/>
    <col min="516" max="766" width="9.140625" style="55"/>
    <col min="767" max="767" width="21.85546875" style="55" customWidth="1"/>
    <col min="768" max="768" width="35.85546875" style="55" customWidth="1"/>
    <col min="769" max="769" width="97.7109375" style="55" customWidth="1"/>
    <col min="770" max="770" width="31.7109375" style="55" customWidth="1"/>
    <col min="771" max="771" width="13.7109375" style="55" bestFit="1" customWidth="1"/>
    <col min="772" max="1022" width="9.140625" style="55"/>
    <col min="1023" max="1023" width="21.85546875" style="55" customWidth="1"/>
    <col min="1024" max="1024" width="35.85546875" style="55" customWidth="1"/>
    <col min="1025" max="1025" width="97.7109375" style="55" customWidth="1"/>
    <col min="1026" max="1026" width="31.7109375" style="55" customWidth="1"/>
    <col min="1027" max="1027" width="13.7109375" style="55" bestFit="1" customWidth="1"/>
    <col min="1028" max="1278" width="9.140625" style="55"/>
    <col min="1279" max="1279" width="21.85546875" style="55" customWidth="1"/>
    <col min="1280" max="1280" width="35.85546875" style="55" customWidth="1"/>
    <col min="1281" max="1281" width="97.7109375" style="55" customWidth="1"/>
    <col min="1282" max="1282" width="31.7109375" style="55" customWidth="1"/>
    <col min="1283" max="1283" width="13.7109375" style="55" bestFit="1" customWidth="1"/>
    <col min="1284" max="1534" width="9.140625" style="55"/>
    <col min="1535" max="1535" width="21.85546875" style="55" customWidth="1"/>
    <col min="1536" max="1536" width="35.85546875" style="55" customWidth="1"/>
    <col min="1537" max="1537" width="97.7109375" style="55" customWidth="1"/>
    <col min="1538" max="1538" width="31.7109375" style="55" customWidth="1"/>
    <col min="1539" max="1539" width="13.7109375" style="55" bestFit="1" customWidth="1"/>
    <col min="1540" max="1790" width="9.140625" style="55"/>
    <col min="1791" max="1791" width="21.85546875" style="55" customWidth="1"/>
    <col min="1792" max="1792" width="35.85546875" style="55" customWidth="1"/>
    <col min="1793" max="1793" width="97.7109375" style="55" customWidth="1"/>
    <col min="1794" max="1794" width="31.7109375" style="55" customWidth="1"/>
    <col min="1795" max="1795" width="13.7109375" style="55" bestFit="1" customWidth="1"/>
    <col min="1796" max="2046" width="9.140625" style="55"/>
    <col min="2047" max="2047" width="21.85546875" style="55" customWidth="1"/>
    <col min="2048" max="2048" width="35.85546875" style="55" customWidth="1"/>
    <col min="2049" max="2049" width="97.7109375" style="55" customWidth="1"/>
    <col min="2050" max="2050" width="31.7109375" style="55" customWidth="1"/>
    <col min="2051" max="2051" width="13.7109375" style="55" bestFit="1" customWidth="1"/>
    <col min="2052" max="2302" width="9.140625" style="55"/>
    <col min="2303" max="2303" width="21.85546875" style="55" customWidth="1"/>
    <col min="2304" max="2304" width="35.85546875" style="55" customWidth="1"/>
    <col min="2305" max="2305" width="97.7109375" style="55" customWidth="1"/>
    <col min="2306" max="2306" width="31.7109375" style="55" customWidth="1"/>
    <col min="2307" max="2307" width="13.7109375" style="55" bestFit="1" customWidth="1"/>
    <col min="2308" max="2558" width="9.140625" style="55"/>
    <col min="2559" max="2559" width="21.85546875" style="55" customWidth="1"/>
    <col min="2560" max="2560" width="35.85546875" style="55" customWidth="1"/>
    <col min="2561" max="2561" width="97.7109375" style="55" customWidth="1"/>
    <col min="2562" max="2562" width="31.7109375" style="55" customWidth="1"/>
    <col min="2563" max="2563" width="13.7109375" style="55" bestFit="1" customWidth="1"/>
    <col min="2564" max="2814" width="9.140625" style="55"/>
    <col min="2815" max="2815" width="21.85546875" style="55" customWidth="1"/>
    <col min="2816" max="2816" width="35.85546875" style="55" customWidth="1"/>
    <col min="2817" max="2817" width="97.7109375" style="55" customWidth="1"/>
    <col min="2818" max="2818" width="31.7109375" style="55" customWidth="1"/>
    <col min="2819" max="2819" width="13.7109375" style="55" bestFit="1" customWidth="1"/>
    <col min="2820" max="3070" width="9.140625" style="55"/>
    <col min="3071" max="3071" width="21.85546875" style="55" customWidth="1"/>
    <col min="3072" max="3072" width="35.85546875" style="55" customWidth="1"/>
    <col min="3073" max="3073" width="97.7109375" style="55" customWidth="1"/>
    <col min="3074" max="3074" width="31.7109375" style="55" customWidth="1"/>
    <col min="3075" max="3075" width="13.7109375" style="55" bestFit="1" customWidth="1"/>
    <col min="3076" max="3326" width="9.140625" style="55"/>
    <col min="3327" max="3327" width="21.85546875" style="55" customWidth="1"/>
    <col min="3328" max="3328" width="35.85546875" style="55" customWidth="1"/>
    <col min="3329" max="3329" width="97.7109375" style="55" customWidth="1"/>
    <col min="3330" max="3330" width="31.7109375" style="55" customWidth="1"/>
    <col min="3331" max="3331" width="13.7109375" style="55" bestFit="1" customWidth="1"/>
    <col min="3332" max="3582" width="9.140625" style="55"/>
    <col min="3583" max="3583" width="21.85546875" style="55" customWidth="1"/>
    <col min="3584" max="3584" width="35.85546875" style="55" customWidth="1"/>
    <col min="3585" max="3585" width="97.7109375" style="55" customWidth="1"/>
    <col min="3586" max="3586" width="31.7109375" style="55" customWidth="1"/>
    <col min="3587" max="3587" width="13.7109375" style="55" bestFit="1" customWidth="1"/>
    <col min="3588" max="3838" width="9.140625" style="55"/>
    <col min="3839" max="3839" width="21.85546875" style="55" customWidth="1"/>
    <col min="3840" max="3840" width="35.85546875" style="55" customWidth="1"/>
    <col min="3841" max="3841" width="97.7109375" style="55" customWidth="1"/>
    <col min="3842" max="3842" width="31.7109375" style="55" customWidth="1"/>
    <col min="3843" max="3843" width="13.7109375" style="55" bestFit="1" customWidth="1"/>
    <col min="3844" max="4094" width="9.140625" style="55"/>
    <col min="4095" max="4095" width="21.85546875" style="55" customWidth="1"/>
    <col min="4096" max="4096" width="35.85546875" style="55" customWidth="1"/>
    <col min="4097" max="4097" width="97.7109375" style="55" customWidth="1"/>
    <col min="4098" max="4098" width="31.7109375" style="55" customWidth="1"/>
    <col min="4099" max="4099" width="13.7109375" style="55" bestFit="1" customWidth="1"/>
    <col min="4100" max="4350" width="9.140625" style="55"/>
    <col min="4351" max="4351" width="21.85546875" style="55" customWidth="1"/>
    <col min="4352" max="4352" width="35.85546875" style="55" customWidth="1"/>
    <col min="4353" max="4353" width="97.7109375" style="55" customWidth="1"/>
    <col min="4354" max="4354" width="31.7109375" style="55" customWidth="1"/>
    <col min="4355" max="4355" width="13.7109375" style="55" bestFit="1" customWidth="1"/>
    <col min="4356" max="4606" width="9.140625" style="55"/>
    <col min="4607" max="4607" width="21.85546875" style="55" customWidth="1"/>
    <col min="4608" max="4608" width="35.85546875" style="55" customWidth="1"/>
    <col min="4609" max="4609" width="97.7109375" style="55" customWidth="1"/>
    <col min="4610" max="4610" width="31.7109375" style="55" customWidth="1"/>
    <col min="4611" max="4611" width="13.7109375" style="55" bestFit="1" customWidth="1"/>
    <col min="4612" max="4862" width="9.140625" style="55"/>
    <col min="4863" max="4863" width="21.85546875" style="55" customWidth="1"/>
    <col min="4864" max="4864" width="35.85546875" style="55" customWidth="1"/>
    <col min="4865" max="4865" width="97.7109375" style="55" customWidth="1"/>
    <col min="4866" max="4866" width="31.7109375" style="55" customWidth="1"/>
    <col min="4867" max="4867" width="13.7109375" style="55" bestFit="1" customWidth="1"/>
    <col min="4868" max="5118" width="9.140625" style="55"/>
    <col min="5119" max="5119" width="21.85546875" style="55" customWidth="1"/>
    <col min="5120" max="5120" width="35.85546875" style="55" customWidth="1"/>
    <col min="5121" max="5121" width="97.7109375" style="55" customWidth="1"/>
    <col min="5122" max="5122" width="31.7109375" style="55" customWidth="1"/>
    <col min="5123" max="5123" width="13.7109375" style="55" bestFit="1" customWidth="1"/>
    <col min="5124" max="5374" width="9.140625" style="55"/>
    <col min="5375" max="5375" width="21.85546875" style="55" customWidth="1"/>
    <col min="5376" max="5376" width="35.85546875" style="55" customWidth="1"/>
    <col min="5377" max="5377" width="97.7109375" style="55" customWidth="1"/>
    <col min="5378" max="5378" width="31.7109375" style="55" customWidth="1"/>
    <col min="5379" max="5379" width="13.7109375" style="55" bestFit="1" customWidth="1"/>
    <col min="5380" max="5630" width="9.140625" style="55"/>
    <col min="5631" max="5631" width="21.85546875" style="55" customWidth="1"/>
    <col min="5632" max="5632" width="35.85546875" style="55" customWidth="1"/>
    <col min="5633" max="5633" width="97.7109375" style="55" customWidth="1"/>
    <col min="5634" max="5634" width="31.7109375" style="55" customWidth="1"/>
    <col min="5635" max="5635" width="13.7109375" style="55" bestFit="1" customWidth="1"/>
    <col min="5636" max="5886" width="9.140625" style="55"/>
    <col min="5887" max="5887" width="21.85546875" style="55" customWidth="1"/>
    <col min="5888" max="5888" width="35.85546875" style="55" customWidth="1"/>
    <col min="5889" max="5889" width="97.7109375" style="55" customWidth="1"/>
    <col min="5890" max="5890" width="31.7109375" style="55" customWidth="1"/>
    <col min="5891" max="5891" width="13.7109375" style="55" bestFit="1" customWidth="1"/>
    <col min="5892" max="6142" width="9.140625" style="55"/>
    <col min="6143" max="6143" width="21.85546875" style="55" customWidth="1"/>
    <col min="6144" max="6144" width="35.85546875" style="55" customWidth="1"/>
    <col min="6145" max="6145" width="97.7109375" style="55" customWidth="1"/>
    <col min="6146" max="6146" width="31.7109375" style="55" customWidth="1"/>
    <col min="6147" max="6147" width="13.7109375" style="55" bestFit="1" customWidth="1"/>
    <col min="6148" max="6398" width="9.140625" style="55"/>
    <col min="6399" max="6399" width="21.85546875" style="55" customWidth="1"/>
    <col min="6400" max="6400" width="35.85546875" style="55" customWidth="1"/>
    <col min="6401" max="6401" width="97.7109375" style="55" customWidth="1"/>
    <col min="6402" max="6402" width="31.7109375" style="55" customWidth="1"/>
    <col min="6403" max="6403" width="13.7109375" style="55" bestFit="1" customWidth="1"/>
    <col min="6404" max="6654" width="9.140625" style="55"/>
    <col min="6655" max="6655" width="21.85546875" style="55" customWidth="1"/>
    <col min="6656" max="6656" width="35.85546875" style="55" customWidth="1"/>
    <col min="6657" max="6657" width="97.7109375" style="55" customWidth="1"/>
    <col min="6658" max="6658" width="31.7109375" style="55" customWidth="1"/>
    <col min="6659" max="6659" width="13.7109375" style="55" bestFit="1" customWidth="1"/>
    <col min="6660" max="6910" width="9.140625" style="55"/>
    <col min="6911" max="6911" width="21.85546875" style="55" customWidth="1"/>
    <col min="6912" max="6912" width="35.85546875" style="55" customWidth="1"/>
    <col min="6913" max="6913" width="97.7109375" style="55" customWidth="1"/>
    <col min="6914" max="6914" width="31.7109375" style="55" customWidth="1"/>
    <col min="6915" max="6915" width="13.7109375" style="55" bestFit="1" customWidth="1"/>
    <col min="6916" max="7166" width="9.140625" style="55"/>
    <col min="7167" max="7167" width="21.85546875" style="55" customWidth="1"/>
    <col min="7168" max="7168" width="35.85546875" style="55" customWidth="1"/>
    <col min="7169" max="7169" width="97.7109375" style="55" customWidth="1"/>
    <col min="7170" max="7170" width="31.7109375" style="55" customWidth="1"/>
    <col min="7171" max="7171" width="13.7109375" style="55" bestFit="1" customWidth="1"/>
    <col min="7172" max="7422" width="9.140625" style="55"/>
    <col min="7423" max="7423" width="21.85546875" style="55" customWidth="1"/>
    <col min="7424" max="7424" width="35.85546875" style="55" customWidth="1"/>
    <col min="7425" max="7425" width="97.7109375" style="55" customWidth="1"/>
    <col min="7426" max="7426" width="31.7109375" style="55" customWidth="1"/>
    <col min="7427" max="7427" width="13.7109375" style="55" bestFit="1" customWidth="1"/>
    <col min="7428" max="7678" width="9.140625" style="55"/>
    <col min="7679" max="7679" width="21.85546875" style="55" customWidth="1"/>
    <col min="7680" max="7680" width="35.85546875" style="55" customWidth="1"/>
    <col min="7681" max="7681" width="97.7109375" style="55" customWidth="1"/>
    <col min="7682" max="7682" width="31.7109375" style="55" customWidth="1"/>
    <col min="7683" max="7683" width="13.7109375" style="55" bestFit="1" customWidth="1"/>
    <col min="7684" max="7934" width="9.140625" style="55"/>
    <col min="7935" max="7935" width="21.85546875" style="55" customWidth="1"/>
    <col min="7936" max="7936" width="35.85546875" style="55" customWidth="1"/>
    <col min="7937" max="7937" width="97.7109375" style="55" customWidth="1"/>
    <col min="7938" max="7938" width="31.7109375" style="55" customWidth="1"/>
    <col min="7939" max="7939" width="13.7109375" style="55" bestFit="1" customWidth="1"/>
    <col min="7940" max="8190" width="9.140625" style="55"/>
    <col min="8191" max="8191" width="21.85546875" style="55" customWidth="1"/>
    <col min="8192" max="8192" width="35.85546875" style="55" customWidth="1"/>
    <col min="8193" max="8193" width="97.7109375" style="55" customWidth="1"/>
    <col min="8194" max="8194" width="31.7109375" style="55" customWidth="1"/>
    <col min="8195" max="8195" width="13.7109375" style="55" bestFit="1" customWidth="1"/>
    <col min="8196" max="8446" width="9.140625" style="55"/>
    <col min="8447" max="8447" width="21.85546875" style="55" customWidth="1"/>
    <col min="8448" max="8448" width="35.85546875" style="55" customWidth="1"/>
    <col min="8449" max="8449" width="97.7109375" style="55" customWidth="1"/>
    <col min="8450" max="8450" width="31.7109375" style="55" customWidth="1"/>
    <col min="8451" max="8451" width="13.7109375" style="55" bestFit="1" customWidth="1"/>
    <col min="8452" max="8702" width="9.140625" style="55"/>
    <col min="8703" max="8703" width="21.85546875" style="55" customWidth="1"/>
    <col min="8704" max="8704" width="35.85546875" style="55" customWidth="1"/>
    <col min="8705" max="8705" width="97.7109375" style="55" customWidth="1"/>
    <col min="8706" max="8706" width="31.7109375" style="55" customWidth="1"/>
    <col min="8707" max="8707" width="13.7109375" style="55" bestFit="1" customWidth="1"/>
    <col min="8708" max="8958" width="9.140625" style="55"/>
    <col min="8959" max="8959" width="21.85546875" style="55" customWidth="1"/>
    <col min="8960" max="8960" width="35.85546875" style="55" customWidth="1"/>
    <col min="8961" max="8961" width="97.7109375" style="55" customWidth="1"/>
    <col min="8962" max="8962" width="31.7109375" style="55" customWidth="1"/>
    <col min="8963" max="8963" width="13.7109375" style="55" bestFit="1" customWidth="1"/>
    <col min="8964" max="9214" width="9.140625" style="55"/>
    <col min="9215" max="9215" width="21.85546875" style="55" customWidth="1"/>
    <col min="9216" max="9216" width="35.85546875" style="55" customWidth="1"/>
    <col min="9217" max="9217" width="97.7109375" style="55" customWidth="1"/>
    <col min="9218" max="9218" width="31.7109375" style="55" customWidth="1"/>
    <col min="9219" max="9219" width="13.7109375" style="55" bestFit="1" customWidth="1"/>
    <col min="9220" max="9470" width="9.140625" style="55"/>
    <col min="9471" max="9471" width="21.85546875" style="55" customWidth="1"/>
    <col min="9472" max="9472" width="35.85546875" style="55" customWidth="1"/>
    <col min="9473" max="9473" width="97.7109375" style="55" customWidth="1"/>
    <col min="9474" max="9474" width="31.7109375" style="55" customWidth="1"/>
    <col min="9475" max="9475" width="13.7109375" style="55" bestFit="1" customWidth="1"/>
    <col min="9476" max="9726" width="9.140625" style="55"/>
    <col min="9727" max="9727" width="21.85546875" style="55" customWidth="1"/>
    <col min="9728" max="9728" width="35.85546875" style="55" customWidth="1"/>
    <col min="9729" max="9729" width="97.7109375" style="55" customWidth="1"/>
    <col min="9730" max="9730" width="31.7109375" style="55" customWidth="1"/>
    <col min="9731" max="9731" width="13.7109375" style="55" bestFit="1" customWidth="1"/>
    <col min="9732" max="9982" width="9.140625" style="55"/>
    <col min="9983" max="9983" width="21.85546875" style="55" customWidth="1"/>
    <col min="9984" max="9984" width="35.85546875" style="55" customWidth="1"/>
    <col min="9985" max="9985" width="97.7109375" style="55" customWidth="1"/>
    <col min="9986" max="9986" width="31.7109375" style="55" customWidth="1"/>
    <col min="9987" max="9987" width="13.7109375" style="55" bestFit="1" customWidth="1"/>
    <col min="9988" max="10238" width="9.140625" style="55"/>
    <col min="10239" max="10239" width="21.85546875" style="55" customWidth="1"/>
    <col min="10240" max="10240" width="35.85546875" style="55" customWidth="1"/>
    <col min="10241" max="10241" width="97.7109375" style="55" customWidth="1"/>
    <col min="10242" max="10242" width="31.7109375" style="55" customWidth="1"/>
    <col min="10243" max="10243" width="13.7109375" style="55" bestFit="1" customWidth="1"/>
    <col min="10244" max="10494" width="9.140625" style="55"/>
    <col min="10495" max="10495" width="21.85546875" style="55" customWidth="1"/>
    <col min="10496" max="10496" width="35.85546875" style="55" customWidth="1"/>
    <col min="10497" max="10497" width="97.7109375" style="55" customWidth="1"/>
    <col min="10498" max="10498" width="31.7109375" style="55" customWidth="1"/>
    <col min="10499" max="10499" width="13.7109375" style="55" bestFit="1" customWidth="1"/>
    <col min="10500" max="10750" width="9.140625" style="55"/>
    <col min="10751" max="10751" width="21.85546875" style="55" customWidth="1"/>
    <col min="10752" max="10752" width="35.85546875" style="55" customWidth="1"/>
    <col min="10753" max="10753" width="97.7109375" style="55" customWidth="1"/>
    <col min="10754" max="10754" width="31.7109375" style="55" customWidth="1"/>
    <col min="10755" max="10755" width="13.7109375" style="55" bestFit="1" customWidth="1"/>
    <col min="10756" max="11006" width="9.140625" style="55"/>
    <col min="11007" max="11007" width="21.85546875" style="55" customWidth="1"/>
    <col min="11008" max="11008" width="35.85546875" style="55" customWidth="1"/>
    <col min="11009" max="11009" width="97.7109375" style="55" customWidth="1"/>
    <col min="11010" max="11010" width="31.7109375" style="55" customWidth="1"/>
    <col min="11011" max="11011" width="13.7109375" style="55" bestFit="1" customWidth="1"/>
    <col min="11012" max="11262" width="9.140625" style="55"/>
    <col min="11263" max="11263" width="21.85546875" style="55" customWidth="1"/>
    <col min="11264" max="11264" width="35.85546875" style="55" customWidth="1"/>
    <col min="11265" max="11265" width="97.7109375" style="55" customWidth="1"/>
    <col min="11266" max="11266" width="31.7109375" style="55" customWidth="1"/>
    <col min="11267" max="11267" width="13.7109375" style="55" bestFit="1" customWidth="1"/>
    <col min="11268" max="11518" width="9.140625" style="55"/>
    <col min="11519" max="11519" width="21.85546875" style="55" customWidth="1"/>
    <col min="11520" max="11520" width="35.85546875" style="55" customWidth="1"/>
    <col min="11521" max="11521" width="97.7109375" style="55" customWidth="1"/>
    <col min="11522" max="11522" width="31.7109375" style="55" customWidth="1"/>
    <col min="11523" max="11523" width="13.7109375" style="55" bestFit="1" customWidth="1"/>
    <col min="11524" max="11774" width="9.140625" style="55"/>
    <col min="11775" max="11775" width="21.85546875" style="55" customWidth="1"/>
    <col min="11776" max="11776" width="35.85546875" style="55" customWidth="1"/>
    <col min="11777" max="11777" width="97.7109375" style="55" customWidth="1"/>
    <col min="11778" max="11778" width="31.7109375" style="55" customWidth="1"/>
    <col min="11779" max="11779" width="13.7109375" style="55" bestFit="1" customWidth="1"/>
    <col min="11780" max="12030" width="9.140625" style="55"/>
    <col min="12031" max="12031" width="21.85546875" style="55" customWidth="1"/>
    <col min="12032" max="12032" width="35.85546875" style="55" customWidth="1"/>
    <col min="12033" max="12033" width="97.7109375" style="55" customWidth="1"/>
    <col min="12034" max="12034" width="31.7109375" style="55" customWidth="1"/>
    <col min="12035" max="12035" width="13.7109375" style="55" bestFit="1" customWidth="1"/>
    <col min="12036" max="12286" width="9.140625" style="55"/>
    <col min="12287" max="12287" width="21.85546875" style="55" customWidth="1"/>
    <col min="12288" max="12288" width="35.85546875" style="55" customWidth="1"/>
    <col min="12289" max="12289" width="97.7109375" style="55" customWidth="1"/>
    <col min="12290" max="12290" width="31.7109375" style="55" customWidth="1"/>
    <col min="12291" max="12291" width="13.7109375" style="55" bestFit="1" customWidth="1"/>
    <col min="12292" max="12542" width="9.140625" style="55"/>
    <col min="12543" max="12543" width="21.85546875" style="55" customWidth="1"/>
    <col min="12544" max="12544" width="35.85546875" style="55" customWidth="1"/>
    <col min="12545" max="12545" width="97.7109375" style="55" customWidth="1"/>
    <col min="12546" max="12546" width="31.7109375" style="55" customWidth="1"/>
    <col min="12547" max="12547" width="13.7109375" style="55" bestFit="1" customWidth="1"/>
    <col min="12548" max="12798" width="9.140625" style="55"/>
    <col min="12799" max="12799" width="21.85546875" style="55" customWidth="1"/>
    <col min="12800" max="12800" width="35.85546875" style="55" customWidth="1"/>
    <col min="12801" max="12801" width="97.7109375" style="55" customWidth="1"/>
    <col min="12802" max="12802" width="31.7109375" style="55" customWidth="1"/>
    <col min="12803" max="12803" width="13.7109375" style="55" bestFit="1" customWidth="1"/>
    <col min="12804" max="13054" width="9.140625" style="55"/>
    <col min="13055" max="13055" width="21.85546875" style="55" customWidth="1"/>
    <col min="13056" max="13056" width="35.85546875" style="55" customWidth="1"/>
    <col min="13057" max="13057" width="97.7109375" style="55" customWidth="1"/>
    <col min="13058" max="13058" width="31.7109375" style="55" customWidth="1"/>
    <col min="13059" max="13059" width="13.7109375" style="55" bestFit="1" customWidth="1"/>
    <col min="13060" max="13310" width="9.140625" style="55"/>
    <col min="13311" max="13311" width="21.85546875" style="55" customWidth="1"/>
    <col min="13312" max="13312" width="35.85546875" style="55" customWidth="1"/>
    <col min="13313" max="13313" width="97.7109375" style="55" customWidth="1"/>
    <col min="13314" max="13314" width="31.7109375" style="55" customWidth="1"/>
    <col min="13315" max="13315" width="13.7109375" style="55" bestFit="1" customWidth="1"/>
    <col min="13316" max="13566" width="9.140625" style="55"/>
    <col min="13567" max="13567" width="21.85546875" style="55" customWidth="1"/>
    <col min="13568" max="13568" width="35.85546875" style="55" customWidth="1"/>
    <col min="13569" max="13569" width="97.7109375" style="55" customWidth="1"/>
    <col min="13570" max="13570" width="31.7109375" style="55" customWidth="1"/>
    <col min="13571" max="13571" width="13.7109375" style="55" bestFit="1" customWidth="1"/>
    <col min="13572" max="13822" width="9.140625" style="55"/>
    <col min="13823" max="13823" width="21.85546875" style="55" customWidth="1"/>
    <col min="13824" max="13824" width="35.85546875" style="55" customWidth="1"/>
    <col min="13825" max="13825" width="97.7109375" style="55" customWidth="1"/>
    <col min="13826" max="13826" width="31.7109375" style="55" customWidth="1"/>
    <col min="13827" max="13827" width="13.7109375" style="55" bestFit="1" customWidth="1"/>
    <col min="13828" max="14078" width="9.140625" style="55"/>
    <col min="14079" max="14079" width="21.85546875" style="55" customWidth="1"/>
    <col min="14080" max="14080" width="35.85546875" style="55" customWidth="1"/>
    <col min="14081" max="14081" width="97.7109375" style="55" customWidth="1"/>
    <col min="14082" max="14082" width="31.7109375" style="55" customWidth="1"/>
    <col min="14083" max="14083" width="13.7109375" style="55" bestFit="1" customWidth="1"/>
    <col min="14084" max="14334" width="9.140625" style="55"/>
    <col min="14335" max="14335" width="21.85546875" style="55" customWidth="1"/>
    <col min="14336" max="14336" width="35.85546875" style="55" customWidth="1"/>
    <col min="14337" max="14337" width="97.7109375" style="55" customWidth="1"/>
    <col min="14338" max="14338" width="31.7109375" style="55" customWidth="1"/>
    <col min="14339" max="14339" width="13.7109375" style="55" bestFit="1" customWidth="1"/>
    <col min="14340" max="14590" width="9.140625" style="55"/>
    <col min="14591" max="14591" width="21.85546875" style="55" customWidth="1"/>
    <col min="14592" max="14592" width="35.85546875" style="55" customWidth="1"/>
    <col min="14593" max="14593" width="97.7109375" style="55" customWidth="1"/>
    <col min="14594" max="14594" width="31.7109375" style="55" customWidth="1"/>
    <col min="14595" max="14595" width="13.7109375" style="55" bestFit="1" customWidth="1"/>
    <col min="14596" max="14846" width="9.140625" style="55"/>
    <col min="14847" max="14847" width="21.85546875" style="55" customWidth="1"/>
    <col min="14848" max="14848" width="35.85546875" style="55" customWidth="1"/>
    <col min="14849" max="14849" width="97.7109375" style="55" customWidth="1"/>
    <col min="14850" max="14850" width="31.7109375" style="55" customWidth="1"/>
    <col min="14851" max="14851" width="13.7109375" style="55" bestFit="1" customWidth="1"/>
    <col min="14852" max="15102" width="9.140625" style="55"/>
    <col min="15103" max="15103" width="21.85546875" style="55" customWidth="1"/>
    <col min="15104" max="15104" width="35.85546875" style="55" customWidth="1"/>
    <col min="15105" max="15105" width="97.7109375" style="55" customWidth="1"/>
    <col min="15106" max="15106" width="31.7109375" style="55" customWidth="1"/>
    <col min="15107" max="15107" width="13.7109375" style="55" bestFit="1" customWidth="1"/>
    <col min="15108" max="15358" width="9.140625" style="55"/>
    <col min="15359" max="15359" width="21.85546875" style="55" customWidth="1"/>
    <col min="15360" max="15360" width="35.85546875" style="55" customWidth="1"/>
    <col min="15361" max="15361" width="97.7109375" style="55" customWidth="1"/>
    <col min="15362" max="15362" width="31.7109375" style="55" customWidth="1"/>
    <col min="15363" max="15363" width="13.7109375" style="55" bestFit="1" customWidth="1"/>
    <col min="15364" max="15614" width="9.140625" style="55"/>
    <col min="15615" max="15615" width="21.85546875" style="55" customWidth="1"/>
    <col min="15616" max="15616" width="35.85546875" style="55" customWidth="1"/>
    <col min="15617" max="15617" width="97.7109375" style="55" customWidth="1"/>
    <col min="15618" max="15618" width="31.7109375" style="55" customWidth="1"/>
    <col min="15619" max="15619" width="13.7109375" style="55" bestFit="1" customWidth="1"/>
    <col min="15620" max="15870" width="9.140625" style="55"/>
    <col min="15871" max="15871" width="21.85546875" style="55" customWidth="1"/>
    <col min="15872" max="15872" width="35.85546875" style="55" customWidth="1"/>
    <col min="15873" max="15873" width="97.7109375" style="55" customWidth="1"/>
    <col min="15874" max="15874" width="31.7109375" style="55" customWidth="1"/>
    <col min="15875" max="15875" width="13.7109375" style="55" bestFit="1" customWidth="1"/>
    <col min="15876" max="16126" width="9.140625" style="55"/>
    <col min="16127" max="16127" width="21.85546875" style="55" customWidth="1"/>
    <col min="16128" max="16128" width="35.85546875" style="55" customWidth="1"/>
    <col min="16129" max="16129" width="97.7109375" style="55" customWidth="1"/>
    <col min="16130" max="16130" width="31.7109375" style="55" customWidth="1"/>
    <col min="16131" max="16131" width="13.7109375" style="55" bestFit="1" customWidth="1"/>
    <col min="16132" max="16384" width="9.140625" style="55"/>
  </cols>
  <sheetData>
    <row r="1" spans="1:13" ht="15.75" hidden="1" thickBot="1" x14ac:dyDescent="0.3"/>
    <row r="2" spans="1:13" hidden="1" x14ac:dyDescent="0.25">
      <c r="B2" s="806" t="str">
        <f>"Preassigned Rows Indicating Payment or Scheduling by " &amp;Profit!E1&amp;" Your Home"</f>
        <v>Preassigned Rows Indicating Payment or Scheduling by Sell Your Home</v>
      </c>
      <c r="C2" s="807"/>
      <c r="E2" s="55"/>
    </row>
    <row r="3" spans="1:13" ht="15.75" hidden="1" thickBot="1" x14ac:dyDescent="0.3">
      <c r="B3" s="808"/>
      <c r="C3" s="809"/>
      <c r="E3" s="55"/>
    </row>
    <row r="4" spans="1:13" hidden="1" x14ac:dyDescent="0.25">
      <c r="B4" s="814" t="s">
        <v>195</v>
      </c>
      <c r="C4" s="815"/>
      <c r="E4" s="55"/>
    </row>
    <row r="5" spans="1:13" ht="15.75" hidden="1" thickBot="1" x14ac:dyDescent="0.3">
      <c r="B5" s="816"/>
      <c r="C5" s="817"/>
      <c r="E5" s="55"/>
    </row>
    <row r="6" spans="1:13" hidden="1" x14ac:dyDescent="0.25">
      <c r="B6" s="810" t="s">
        <v>196</v>
      </c>
      <c r="C6" s="811"/>
      <c r="E6" s="55"/>
    </row>
    <row r="7" spans="1:13" ht="15.75" hidden="1" thickBot="1" x14ac:dyDescent="0.3">
      <c r="B7" s="812"/>
      <c r="C7" s="813"/>
    </row>
    <row r="8" spans="1:13" hidden="1" x14ac:dyDescent="0.25">
      <c r="B8" s="818" t="s">
        <v>197</v>
      </c>
      <c r="C8" s="819"/>
    </row>
    <row r="9" spans="1:13" ht="15.75" hidden="1" thickBot="1" x14ac:dyDescent="0.3">
      <c r="B9" s="820"/>
      <c r="C9" s="821"/>
    </row>
    <row r="10" spans="1:13" hidden="1" x14ac:dyDescent="0.25"/>
    <row r="11" spans="1:13" s="49" customFormat="1" ht="15.75" thickBot="1" x14ac:dyDescent="0.3">
      <c r="A11" s="48" t="s">
        <v>198</v>
      </c>
      <c r="B11" s="48" t="s">
        <v>199</v>
      </c>
      <c r="C11" s="542" t="s">
        <v>200</v>
      </c>
      <c r="D11" s="65" t="s">
        <v>201</v>
      </c>
      <c r="E11" s="66" t="s">
        <v>202</v>
      </c>
      <c r="G11" s="55"/>
      <c r="H11" s="55"/>
      <c r="I11" s="55"/>
      <c r="J11" s="55"/>
      <c r="K11" s="55"/>
      <c r="L11" s="55"/>
      <c r="M11" s="55"/>
    </row>
    <row r="12" spans="1:13" s="49" customFormat="1" ht="15.75" thickTop="1" x14ac:dyDescent="0.25">
      <c r="A12" s="51" t="s">
        <v>203</v>
      </c>
      <c r="B12" s="51" t="s">
        <v>203</v>
      </c>
      <c r="C12" s="51" t="s">
        <v>204</v>
      </c>
      <c r="D12" s="63">
        <v>0</v>
      </c>
      <c r="E12" s="64"/>
      <c r="G12" s="55"/>
      <c r="H12" s="55"/>
      <c r="I12" s="55"/>
      <c r="J12" s="55"/>
      <c r="K12" s="55"/>
      <c r="L12" s="55"/>
      <c r="M12" s="55"/>
    </row>
    <row r="13" spans="1:13" s="49" customFormat="1" x14ac:dyDescent="0.25">
      <c r="A13" s="51" t="s">
        <v>205</v>
      </c>
      <c r="B13" s="51" t="s">
        <v>206</v>
      </c>
      <c r="C13" s="51" t="s">
        <v>980</v>
      </c>
      <c r="D13" s="63">
        <v>0</v>
      </c>
      <c r="E13" s="64">
        <v>2525.1</v>
      </c>
      <c r="G13" s="55"/>
      <c r="H13" s="55"/>
      <c r="I13" s="55"/>
      <c r="J13" s="55"/>
      <c r="K13" s="55"/>
      <c r="L13" s="55"/>
      <c r="M13" s="55"/>
    </row>
    <row r="14" spans="1:13" s="49" customFormat="1" x14ac:dyDescent="0.25">
      <c r="A14" s="51" t="s">
        <v>205</v>
      </c>
      <c r="B14" s="51" t="s">
        <v>208</v>
      </c>
      <c r="C14" s="51" t="s">
        <v>994</v>
      </c>
      <c r="D14" s="63">
        <v>0</v>
      </c>
      <c r="E14" s="64">
        <f>657.5+60</f>
        <v>717.5</v>
      </c>
      <c r="G14" s="55"/>
      <c r="H14" s="55"/>
      <c r="I14" s="55"/>
      <c r="J14" s="55"/>
      <c r="K14" s="55"/>
      <c r="L14" s="55"/>
      <c r="M14" s="55"/>
    </row>
    <row r="15" spans="1:13" s="49" customFormat="1" x14ac:dyDescent="0.25">
      <c r="A15" s="51"/>
      <c r="B15" s="51" t="s">
        <v>209</v>
      </c>
      <c r="C15" s="51" t="s">
        <v>210</v>
      </c>
      <c r="D15" s="63">
        <v>6</v>
      </c>
      <c r="E15" s="64"/>
      <c r="G15" s="55"/>
      <c r="H15" s="55"/>
      <c r="I15" s="55"/>
      <c r="J15" s="55"/>
      <c r="K15" s="55"/>
      <c r="L15" s="55"/>
      <c r="M15" s="55"/>
    </row>
    <row r="16" spans="1:13" s="49" customFormat="1" x14ac:dyDescent="0.25">
      <c r="A16" s="52" t="s">
        <v>211</v>
      </c>
      <c r="B16" s="52" t="s">
        <v>212</v>
      </c>
      <c r="C16" s="52" t="s">
        <v>529</v>
      </c>
      <c r="D16" s="53">
        <v>0</v>
      </c>
      <c r="E16" s="54">
        <v>0</v>
      </c>
      <c r="G16" s="55"/>
      <c r="H16" s="55"/>
      <c r="I16" s="55"/>
      <c r="J16" s="55"/>
      <c r="K16" s="55"/>
      <c r="L16" s="55"/>
      <c r="M16" s="55"/>
    </row>
    <row r="17" spans="1:13" s="49" customFormat="1" x14ac:dyDescent="0.25">
      <c r="A17" s="52" t="s">
        <v>213</v>
      </c>
      <c r="B17" s="52" t="s">
        <v>212</v>
      </c>
      <c r="C17" s="52" t="s">
        <v>524</v>
      </c>
      <c r="D17" s="53">
        <v>0</v>
      </c>
      <c r="E17" s="54">
        <v>0</v>
      </c>
      <c r="G17" s="55"/>
      <c r="H17" s="55"/>
      <c r="I17" s="55"/>
      <c r="J17" s="55"/>
      <c r="K17" s="55"/>
      <c r="L17" s="55"/>
      <c r="M17" s="55"/>
    </row>
    <row r="18" spans="1:13" s="49" customFormat="1" x14ac:dyDescent="0.25">
      <c r="A18" s="52" t="s">
        <v>214</v>
      </c>
      <c r="B18" s="52" t="s">
        <v>212</v>
      </c>
      <c r="C18" s="52" t="s">
        <v>525</v>
      </c>
      <c r="D18" s="53">
        <v>0</v>
      </c>
      <c r="E18" s="54">
        <v>0</v>
      </c>
      <c r="G18" s="55"/>
      <c r="H18" s="55"/>
      <c r="I18" s="55"/>
      <c r="J18" s="55"/>
      <c r="K18" s="55"/>
      <c r="L18" s="55"/>
      <c r="M18" s="55"/>
    </row>
    <row r="19" spans="1:13" s="49" customFormat="1" x14ac:dyDescent="0.25">
      <c r="A19" s="52" t="s">
        <v>216</v>
      </c>
      <c r="B19" s="52" t="s">
        <v>212</v>
      </c>
      <c r="C19" s="52" t="s">
        <v>526</v>
      </c>
      <c r="D19" s="53">
        <v>0</v>
      </c>
      <c r="E19" s="54">
        <v>0</v>
      </c>
      <c r="G19" s="55"/>
      <c r="H19" s="55"/>
      <c r="I19" s="55"/>
      <c r="J19" s="55"/>
      <c r="K19" s="55"/>
      <c r="L19" s="55"/>
      <c r="M19" s="55"/>
    </row>
    <row r="20" spans="1:13" s="49" customFormat="1" x14ac:dyDescent="0.25">
      <c r="A20" s="52" t="s">
        <v>217</v>
      </c>
      <c r="B20" s="52" t="s">
        <v>212</v>
      </c>
      <c r="C20" s="52" t="s">
        <v>527</v>
      </c>
      <c r="D20" s="53">
        <v>0</v>
      </c>
      <c r="E20" s="54">
        <v>0</v>
      </c>
      <c r="G20" s="50"/>
    </row>
    <row r="21" spans="1:13" x14ac:dyDescent="0.25">
      <c r="A21" s="244"/>
      <c r="B21" s="244" t="s">
        <v>888</v>
      </c>
      <c r="C21" s="244" t="s">
        <v>887</v>
      </c>
      <c r="D21" s="265">
        <v>6</v>
      </c>
      <c r="E21" s="266">
        <v>35</v>
      </c>
    </row>
    <row r="22" spans="1:13" x14ac:dyDescent="0.25">
      <c r="A22" s="248"/>
      <c r="B22" s="248" t="s">
        <v>889</v>
      </c>
      <c r="C22" s="248" t="s">
        <v>890</v>
      </c>
      <c r="D22" s="250">
        <v>7</v>
      </c>
      <c r="E22" s="251">
        <v>10</v>
      </c>
    </row>
    <row r="23" spans="1:13" x14ac:dyDescent="0.25">
      <c r="A23" s="248"/>
      <c r="B23" s="248" t="s">
        <v>879</v>
      </c>
      <c r="C23" s="248" t="s">
        <v>880</v>
      </c>
      <c r="D23" s="265">
        <v>0</v>
      </c>
      <c r="E23" s="266"/>
    </row>
    <row r="24" spans="1:13" x14ac:dyDescent="0.25">
      <c r="A24" s="244"/>
      <c r="B24" s="244" t="s">
        <v>886</v>
      </c>
      <c r="C24" s="244" t="s">
        <v>936</v>
      </c>
      <c r="D24" s="265">
        <v>0</v>
      </c>
      <c r="E24" s="266"/>
    </row>
    <row r="25" spans="1:13" x14ac:dyDescent="0.25">
      <c r="A25" s="244"/>
      <c r="B25" s="244" t="s">
        <v>885</v>
      </c>
      <c r="C25" s="543" t="s">
        <v>934</v>
      </c>
      <c r="D25" s="265">
        <v>6</v>
      </c>
      <c r="E25" s="266">
        <v>25</v>
      </c>
    </row>
    <row r="26" spans="1:13" x14ac:dyDescent="0.25">
      <c r="A26" s="244"/>
      <c r="B26" s="244" t="s">
        <v>883</v>
      </c>
      <c r="C26" s="244" t="s">
        <v>884</v>
      </c>
      <c r="D26" s="265">
        <v>5</v>
      </c>
      <c r="E26" s="266">
        <v>65</v>
      </c>
    </row>
    <row r="27" spans="1:13" x14ac:dyDescent="0.25">
      <c r="A27" s="244"/>
      <c r="B27" s="244" t="s">
        <v>882</v>
      </c>
      <c r="C27" s="244" t="s">
        <v>881</v>
      </c>
      <c r="D27" s="265">
        <v>6</v>
      </c>
      <c r="E27" s="266">
        <v>10</v>
      </c>
    </row>
    <row r="28" spans="1:13" x14ac:dyDescent="0.25">
      <c r="A28" s="244"/>
      <c r="B28" s="244" t="s">
        <v>891</v>
      </c>
      <c r="C28" s="244" t="s">
        <v>892</v>
      </c>
      <c r="D28" s="265">
        <v>8</v>
      </c>
      <c r="E28" s="266">
        <v>5</v>
      </c>
    </row>
    <row r="29" spans="1:13" x14ac:dyDescent="0.25">
      <c r="A29" s="244"/>
      <c r="B29" s="244" t="s">
        <v>893</v>
      </c>
      <c r="C29" s="244" t="s">
        <v>894</v>
      </c>
      <c r="D29" s="265">
        <v>3</v>
      </c>
      <c r="E29" s="266"/>
    </row>
    <row r="30" spans="1:13" x14ac:dyDescent="0.25">
      <c r="A30" s="244"/>
      <c r="B30" s="244" t="s">
        <v>938</v>
      </c>
      <c r="C30" s="244" t="s">
        <v>937</v>
      </c>
      <c r="D30" s="265">
        <v>6</v>
      </c>
      <c r="E30" s="266">
        <v>10</v>
      </c>
    </row>
    <row r="31" spans="1:13" x14ac:dyDescent="0.25">
      <c r="A31" s="244"/>
      <c r="B31" s="244" t="s">
        <v>895</v>
      </c>
      <c r="C31" s="244" t="s">
        <v>939</v>
      </c>
      <c r="D31" s="265">
        <v>3</v>
      </c>
      <c r="E31" s="266">
        <v>35</v>
      </c>
    </row>
    <row r="32" spans="1:13" x14ac:dyDescent="0.25">
      <c r="A32" s="244"/>
      <c r="B32" s="244" t="s">
        <v>896</v>
      </c>
      <c r="C32" s="244" t="s">
        <v>897</v>
      </c>
      <c r="D32" s="265">
        <v>1</v>
      </c>
      <c r="E32" s="266">
        <v>20</v>
      </c>
    </row>
    <row r="33" spans="1:7" x14ac:dyDescent="0.25">
      <c r="A33" s="244"/>
      <c r="B33" s="244" t="s">
        <v>898</v>
      </c>
      <c r="C33" s="244" t="s">
        <v>899</v>
      </c>
      <c r="D33" s="265">
        <v>1</v>
      </c>
      <c r="E33" s="266">
        <v>95</v>
      </c>
    </row>
    <row r="34" spans="1:7" x14ac:dyDescent="0.25">
      <c r="A34" s="244"/>
      <c r="B34" s="244" t="s">
        <v>900</v>
      </c>
      <c r="C34" s="248" t="s">
        <v>901</v>
      </c>
      <c r="D34" s="265">
        <v>1</v>
      </c>
      <c r="E34" s="266">
        <v>160</v>
      </c>
    </row>
    <row r="35" spans="1:7" x14ac:dyDescent="0.25">
      <c r="A35" s="539"/>
      <c r="B35" s="539" t="s">
        <v>903</v>
      </c>
      <c r="C35" s="539" t="s">
        <v>902</v>
      </c>
      <c r="D35" s="540">
        <v>4</v>
      </c>
      <c r="E35" s="541">
        <v>45</v>
      </c>
    </row>
    <row r="36" spans="1:7" x14ac:dyDescent="0.25">
      <c r="A36" s="539"/>
      <c r="B36" s="539" t="s">
        <v>904</v>
      </c>
      <c r="C36" s="244" t="s">
        <v>935</v>
      </c>
      <c r="D36" s="540">
        <v>2</v>
      </c>
      <c r="E36" s="541">
        <v>75</v>
      </c>
    </row>
    <row r="37" spans="1:7" x14ac:dyDescent="0.25">
      <c r="A37" s="539"/>
      <c r="B37" s="539" t="s">
        <v>905</v>
      </c>
      <c r="C37" s="539" t="s">
        <v>906</v>
      </c>
      <c r="D37" s="540">
        <v>3</v>
      </c>
      <c r="E37" s="541">
        <v>45</v>
      </c>
    </row>
    <row r="38" spans="1:7" x14ac:dyDescent="0.25">
      <c r="A38" s="539"/>
      <c r="B38" s="539" t="s">
        <v>310</v>
      </c>
      <c r="C38" s="244" t="s">
        <v>940</v>
      </c>
      <c r="D38" s="540">
        <v>2</v>
      </c>
      <c r="E38" s="541">
        <v>10</v>
      </c>
    </row>
    <row r="39" spans="1:7" x14ac:dyDescent="0.25">
      <c r="A39" s="539"/>
      <c r="B39" s="539" t="s">
        <v>907</v>
      </c>
      <c r="C39" s="244" t="s">
        <v>941</v>
      </c>
      <c r="D39" s="540">
        <v>2</v>
      </c>
      <c r="E39" s="541">
        <v>45</v>
      </c>
    </row>
    <row r="40" spans="1:7" x14ac:dyDescent="0.25">
      <c r="A40" s="539"/>
      <c r="B40" s="244" t="s">
        <v>908</v>
      </c>
      <c r="C40" s="244" t="s">
        <v>909</v>
      </c>
      <c r="D40" s="540">
        <v>1</v>
      </c>
      <c r="E40" s="541">
        <v>55</v>
      </c>
    </row>
    <row r="41" spans="1:7" x14ac:dyDescent="0.25">
      <c r="A41" s="539"/>
      <c r="B41" s="244" t="s">
        <v>910</v>
      </c>
      <c r="C41" s="244" t="s">
        <v>911</v>
      </c>
      <c r="D41" s="540">
        <v>5</v>
      </c>
      <c r="E41" s="541">
        <v>8</v>
      </c>
    </row>
    <row r="42" spans="1:7" x14ac:dyDescent="0.25">
      <c r="A42" s="539"/>
      <c r="B42" s="244" t="s">
        <v>912</v>
      </c>
      <c r="C42" s="244" t="s">
        <v>944</v>
      </c>
      <c r="D42" s="540">
        <v>4</v>
      </c>
      <c r="E42" s="541">
        <v>20</v>
      </c>
    </row>
    <row r="43" spans="1:7" x14ac:dyDescent="0.25">
      <c r="A43" s="539"/>
      <c r="B43" s="244" t="s">
        <v>913</v>
      </c>
      <c r="C43" s="244" t="s">
        <v>914</v>
      </c>
      <c r="D43" s="540"/>
      <c r="E43" s="541">
        <v>1</v>
      </c>
    </row>
    <row r="44" spans="1:7" x14ac:dyDescent="0.25">
      <c r="A44" s="539"/>
      <c r="B44" s="244" t="s">
        <v>908</v>
      </c>
      <c r="C44" s="244" t="s">
        <v>942</v>
      </c>
      <c r="D44" s="540">
        <v>1</v>
      </c>
      <c r="E44" s="541">
        <v>95</v>
      </c>
    </row>
    <row r="45" spans="1:7" x14ac:dyDescent="0.25">
      <c r="A45" s="244"/>
      <c r="B45" s="244" t="s">
        <v>946</v>
      </c>
      <c r="C45" s="244" t="s">
        <v>943</v>
      </c>
      <c r="D45" s="265">
        <v>1</v>
      </c>
      <c r="E45" s="266">
        <v>65</v>
      </c>
    </row>
    <row r="46" spans="1:7" x14ac:dyDescent="0.25">
      <c r="A46" s="244"/>
      <c r="B46" s="244" t="s">
        <v>946</v>
      </c>
      <c r="C46" s="244" t="s">
        <v>945</v>
      </c>
      <c r="D46" s="265">
        <v>1</v>
      </c>
      <c r="E46" s="266">
        <v>10</v>
      </c>
    </row>
    <row r="47" spans="1:7" s="49" customFormat="1" x14ac:dyDescent="0.25">
      <c r="A47" s="52"/>
      <c r="B47" s="52" t="s">
        <v>907</v>
      </c>
      <c r="C47" s="244" t="s">
        <v>959</v>
      </c>
      <c r="D47" s="250"/>
      <c r="E47" s="251">
        <v>1</v>
      </c>
      <c r="G47" s="50"/>
    </row>
    <row r="48" spans="1:7" x14ac:dyDescent="0.25">
      <c r="A48" s="244"/>
      <c r="B48" s="244" t="s">
        <v>950</v>
      </c>
      <c r="C48" s="244" t="s">
        <v>947</v>
      </c>
      <c r="D48" s="265">
        <v>4</v>
      </c>
      <c r="E48" s="266">
        <v>1</v>
      </c>
    </row>
    <row r="49" spans="1:5" x14ac:dyDescent="0.25">
      <c r="A49" s="244"/>
      <c r="B49" s="244" t="s">
        <v>950</v>
      </c>
      <c r="C49" s="244" t="s">
        <v>948</v>
      </c>
      <c r="D49" s="265">
        <v>1</v>
      </c>
      <c r="E49" s="266">
        <v>55</v>
      </c>
    </row>
    <row r="50" spans="1:5" x14ac:dyDescent="0.25">
      <c r="A50" s="244"/>
      <c r="B50" s="244" t="s">
        <v>950</v>
      </c>
      <c r="C50" s="244" t="s">
        <v>949</v>
      </c>
      <c r="D50" s="265">
        <v>1</v>
      </c>
      <c r="E50" s="266">
        <v>65</v>
      </c>
    </row>
    <row r="51" spans="1:5" x14ac:dyDescent="0.25">
      <c r="A51" s="244"/>
      <c r="B51" s="244" t="s">
        <v>950</v>
      </c>
      <c r="C51" s="244" t="s">
        <v>951</v>
      </c>
      <c r="D51" s="265">
        <v>1</v>
      </c>
      <c r="E51" s="266">
        <v>10</v>
      </c>
    </row>
    <row r="52" spans="1:5" x14ac:dyDescent="0.25">
      <c r="A52" s="244"/>
      <c r="B52" s="244" t="s">
        <v>950</v>
      </c>
      <c r="C52" s="244" t="s">
        <v>952</v>
      </c>
      <c r="D52" s="265">
        <v>1</v>
      </c>
      <c r="E52" s="266">
        <v>10</v>
      </c>
    </row>
    <row r="53" spans="1:5" x14ac:dyDescent="0.25">
      <c r="A53" s="244"/>
      <c r="B53" s="244" t="s">
        <v>954</v>
      </c>
      <c r="C53" s="244" t="s">
        <v>953</v>
      </c>
      <c r="D53" s="265">
        <v>1</v>
      </c>
      <c r="E53" s="266">
        <v>75</v>
      </c>
    </row>
    <row r="54" spans="1:5" x14ac:dyDescent="0.25">
      <c r="A54" s="244"/>
      <c r="B54" s="244" t="s">
        <v>956</v>
      </c>
      <c r="C54" s="244" t="s">
        <v>955</v>
      </c>
      <c r="D54" s="265">
        <v>0</v>
      </c>
      <c r="E54" s="266"/>
    </row>
    <row r="55" spans="1:5" x14ac:dyDescent="0.25">
      <c r="A55" s="244"/>
      <c r="B55" s="244" t="s">
        <v>957</v>
      </c>
      <c r="C55" s="244" t="s">
        <v>958</v>
      </c>
      <c r="D55" s="265">
        <v>1</v>
      </c>
      <c r="E55" s="266">
        <v>65</v>
      </c>
    </row>
    <row r="56" spans="1:5" x14ac:dyDescent="0.25">
      <c r="A56" s="244"/>
      <c r="B56" s="244" t="s">
        <v>950</v>
      </c>
      <c r="C56" s="244" t="s">
        <v>960</v>
      </c>
      <c r="D56" s="265">
        <v>1</v>
      </c>
      <c r="E56" s="266"/>
    </row>
    <row r="57" spans="1:5" x14ac:dyDescent="0.25">
      <c r="A57" s="244"/>
      <c r="B57" s="244" t="s">
        <v>950</v>
      </c>
      <c r="C57" s="244" t="s">
        <v>961</v>
      </c>
      <c r="D57" s="265">
        <v>1</v>
      </c>
      <c r="E57" s="266">
        <v>25</v>
      </c>
    </row>
    <row r="58" spans="1:5" x14ac:dyDescent="0.25">
      <c r="A58" s="244"/>
      <c r="B58" s="244" t="s">
        <v>962</v>
      </c>
      <c r="C58" s="244" t="s">
        <v>963</v>
      </c>
      <c r="D58" s="265">
        <v>0</v>
      </c>
      <c r="E58" s="266"/>
    </row>
    <row r="59" spans="1:5" x14ac:dyDescent="0.25">
      <c r="A59" s="244"/>
      <c r="B59" s="244" t="s">
        <v>885</v>
      </c>
      <c r="C59" s="244" t="s">
        <v>964</v>
      </c>
      <c r="D59" s="265">
        <v>1</v>
      </c>
      <c r="E59" s="266">
        <v>35</v>
      </c>
    </row>
    <row r="60" spans="1:5" x14ac:dyDescent="0.25">
      <c r="A60" s="555"/>
      <c r="B60" s="555" t="s">
        <v>956</v>
      </c>
      <c r="C60" s="555" t="s">
        <v>967</v>
      </c>
      <c r="D60" s="556">
        <v>1</v>
      </c>
      <c r="E60" s="557">
        <v>40</v>
      </c>
    </row>
    <row r="61" spans="1:5" x14ac:dyDescent="0.25">
      <c r="A61" s="555"/>
      <c r="B61" s="555" t="s">
        <v>885</v>
      </c>
      <c r="C61" s="555" t="s">
        <v>968</v>
      </c>
      <c r="D61" s="556">
        <v>1</v>
      </c>
      <c r="E61" s="557">
        <v>95</v>
      </c>
    </row>
    <row r="62" spans="1:5" x14ac:dyDescent="0.25">
      <c r="A62" s="555"/>
      <c r="B62" s="555" t="s">
        <v>969</v>
      </c>
      <c r="C62" s="555" t="s">
        <v>970</v>
      </c>
      <c r="D62" s="556">
        <v>1</v>
      </c>
      <c r="E62" s="557">
        <v>59.97</v>
      </c>
    </row>
    <row r="63" spans="1:5" x14ac:dyDescent="0.25">
      <c r="A63" s="555"/>
      <c r="B63" s="555" t="s">
        <v>969</v>
      </c>
      <c r="C63" s="555" t="s">
        <v>978</v>
      </c>
      <c r="D63" s="556">
        <v>1</v>
      </c>
      <c r="E63" s="557">
        <v>47.13</v>
      </c>
    </row>
    <row r="64" spans="1:5" x14ac:dyDescent="0.25">
      <c r="A64" s="558"/>
      <c r="B64" s="558" t="s">
        <v>969</v>
      </c>
      <c r="C64" s="558" t="s">
        <v>971</v>
      </c>
      <c r="D64" s="556">
        <v>1</v>
      </c>
      <c r="E64" s="557">
        <v>82</v>
      </c>
    </row>
    <row r="65" spans="1:5" x14ac:dyDescent="0.25">
      <c r="A65" s="558"/>
      <c r="B65" s="558" t="s">
        <v>969</v>
      </c>
      <c r="C65" s="558" t="s">
        <v>972</v>
      </c>
      <c r="D65" s="559">
        <v>1</v>
      </c>
      <c r="E65" s="560">
        <v>22</v>
      </c>
    </row>
    <row r="66" spans="1:5" x14ac:dyDescent="0.25">
      <c r="A66" s="558"/>
      <c r="B66" s="558" t="s">
        <v>910</v>
      </c>
      <c r="C66" s="558" t="s">
        <v>973</v>
      </c>
      <c r="D66" s="556">
        <v>1</v>
      </c>
      <c r="E66" s="557"/>
    </row>
    <row r="67" spans="1:5" x14ac:dyDescent="0.25">
      <c r="A67" s="558"/>
      <c r="B67" s="558" t="s">
        <v>956</v>
      </c>
      <c r="C67" s="558" t="s">
        <v>974</v>
      </c>
      <c r="D67" s="559"/>
      <c r="E67" s="560"/>
    </row>
    <row r="68" spans="1:5" x14ac:dyDescent="0.25">
      <c r="A68" s="558"/>
      <c r="B68" s="558" t="s">
        <v>950</v>
      </c>
      <c r="C68" s="558" t="s">
        <v>975</v>
      </c>
      <c r="D68" s="556">
        <v>1</v>
      </c>
      <c r="E68" s="557">
        <v>25</v>
      </c>
    </row>
    <row r="69" spans="1:5" x14ac:dyDescent="0.25">
      <c r="A69" s="558"/>
      <c r="B69" s="558" t="s">
        <v>977</v>
      </c>
      <c r="C69" s="248" t="s">
        <v>976</v>
      </c>
      <c r="D69" s="559">
        <v>1</v>
      </c>
      <c r="E69" s="560"/>
    </row>
    <row r="70" spans="1:5" x14ac:dyDescent="0.25">
      <c r="A70" s="562"/>
      <c r="B70" s="562" t="s">
        <v>985</v>
      </c>
      <c r="C70" s="562" t="s">
        <v>993</v>
      </c>
      <c r="D70" s="563">
        <v>5</v>
      </c>
      <c r="E70" s="564">
        <v>62.5</v>
      </c>
    </row>
    <row r="71" spans="1:5" x14ac:dyDescent="0.25">
      <c r="A71" s="562" t="s">
        <v>1077</v>
      </c>
      <c r="B71" s="562" t="s">
        <v>679</v>
      </c>
      <c r="C71" s="562" t="s">
        <v>1080</v>
      </c>
      <c r="D71" s="563">
        <v>1</v>
      </c>
      <c r="E71" s="564">
        <v>184.22</v>
      </c>
    </row>
    <row r="72" spans="1:5" x14ac:dyDescent="0.25">
      <c r="A72" s="562" t="s">
        <v>1077</v>
      </c>
      <c r="B72" s="562" t="s">
        <v>1040</v>
      </c>
      <c r="C72" s="562" t="s">
        <v>1079</v>
      </c>
      <c r="D72" s="563">
        <v>1</v>
      </c>
      <c r="E72" s="564">
        <v>54</v>
      </c>
    </row>
    <row r="73" spans="1:5" x14ac:dyDescent="0.25">
      <c r="A73" s="562" t="s">
        <v>1077</v>
      </c>
      <c r="B73" s="562" t="s">
        <v>1042</v>
      </c>
      <c r="C73" s="562" t="s">
        <v>1041</v>
      </c>
      <c r="D73" s="563">
        <v>1</v>
      </c>
      <c r="E73" s="564"/>
    </row>
    <row r="74" spans="1:5" x14ac:dyDescent="0.25">
      <c r="A74" s="562" t="s">
        <v>1077</v>
      </c>
      <c r="B74" s="562" t="s">
        <v>1044</v>
      </c>
      <c r="C74" s="562" t="s">
        <v>1043</v>
      </c>
      <c r="D74" s="563">
        <v>1</v>
      </c>
      <c r="E74" s="564"/>
    </row>
    <row r="75" spans="1:5" x14ac:dyDescent="0.25">
      <c r="A75" s="562" t="s">
        <v>1077</v>
      </c>
      <c r="B75" s="562" t="s">
        <v>950</v>
      </c>
      <c r="C75" s="562" t="s">
        <v>1045</v>
      </c>
      <c r="D75" s="563">
        <v>1</v>
      </c>
      <c r="E75" s="564"/>
    </row>
    <row r="76" spans="1:5" x14ac:dyDescent="0.25">
      <c r="A76" s="562" t="s">
        <v>1077</v>
      </c>
      <c r="B76" s="562" t="s">
        <v>950</v>
      </c>
      <c r="C76" s="562" t="s">
        <v>1046</v>
      </c>
      <c r="D76" s="563">
        <v>1</v>
      </c>
      <c r="E76" s="564"/>
    </row>
    <row r="77" spans="1:5" x14ac:dyDescent="0.25">
      <c r="A77" s="562" t="s">
        <v>1077</v>
      </c>
      <c r="B77" s="562" t="s">
        <v>950</v>
      </c>
      <c r="C77" s="562" t="s">
        <v>1062</v>
      </c>
      <c r="D77" s="563">
        <v>1</v>
      </c>
      <c r="E77" s="564"/>
    </row>
    <row r="78" spans="1:5" x14ac:dyDescent="0.25">
      <c r="A78" s="562" t="s">
        <v>1077</v>
      </c>
      <c r="B78" s="562" t="s">
        <v>950</v>
      </c>
      <c r="C78" s="562" t="s">
        <v>1047</v>
      </c>
      <c r="D78" s="563">
        <v>1</v>
      </c>
      <c r="E78" s="564"/>
    </row>
    <row r="79" spans="1:5" x14ac:dyDescent="0.25">
      <c r="A79" s="562" t="s">
        <v>1077</v>
      </c>
      <c r="B79" s="562" t="s">
        <v>950</v>
      </c>
      <c r="C79" s="562" t="s">
        <v>1048</v>
      </c>
      <c r="D79" s="563">
        <v>1</v>
      </c>
      <c r="E79" s="564"/>
    </row>
    <row r="80" spans="1:5" x14ac:dyDescent="0.25">
      <c r="A80" s="562" t="s">
        <v>1077</v>
      </c>
      <c r="B80" s="562" t="s">
        <v>1061</v>
      </c>
      <c r="C80" s="562" t="s">
        <v>1049</v>
      </c>
      <c r="D80" s="563">
        <v>1</v>
      </c>
      <c r="E80" s="564">
        <v>1598.03</v>
      </c>
    </row>
    <row r="81" spans="1:5" x14ac:dyDescent="0.25">
      <c r="A81" s="562" t="s">
        <v>1077</v>
      </c>
      <c r="B81" s="562" t="s">
        <v>1060</v>
      </c>
      <c r="C81" s="562" t="s">
        <v>1050</v>
      </c>
      <c r="D81" s="563">
        <v>1</v>
      </c>
      <c r="E81" s="564"/>
    </row>
    <row r="82" spans="1:5" x14ac:dyDescent="0.25">
      <c r="A82" s="562" t="s">
        <v>1077</v>
      </c>
      <c r="B82" s="562" t="s">
        <v>1060</v>
      </c>
      <c r="C82" s="562" t="s">
        <v>1051</v>
      </c>
      <c r="D82" s="563">
        <v>1</v>
      </c>
      <c r="E82" s="564"/>
    </row>
    <row r="83" spans="1:5" x14ac:dyDescent="0.25">
      <c r="A83" s="562" t="s">
        <v>1077</v>
      </c>
      <c r="B83" s="562" t="s">
        <v>1060</v>
      </c>
      <c r="C83" s="562" t="s">
        <v>1052</v>
      </c>
      <c r="D83" s="563">
        <v>1</v>
      </c>
      <c r="E83" s="564"/>
    </row>
    <row r="84" spans="1:5" x14ac:dyDescent="0.25">
      <c r="A84" s="562" t="s">
        <v>1077</v>
      </c>
      <c r="B84" s="562" t="s">
        <v>1059</v>
      </c>
      <c r="C84" s="562" t="s">
        <v>1053</v>
      </c>
      <c r="D84" s="563">
        <v>1</v>
      </c>
      <c r="E84" s="564"/>
    </row>
    <row r="85" spans="1:5" x14ac:dyDescent="0.25">
      <c r="A85" s="562" t="s">
        <v>1077</v>
      </c>
      <c r="B85" s="562" t="s">
        <v>1058</v>
      </c>
      <c r="C85" s="562" t="s">
        <v>1054</v>
      </c>
      <c r="D85" s="563">
        <v>1</v>
      </c>
      <c r="E85" s="564"/>
    </row>
    <row r="86" spans="1:5" x14ac:dyDescent="0.25">
      <c r="A86" s="562" t="s">
        <v>1077</v>
      </c>
      <c r="B86" s="562" t="s">
        <v>211</v>
      </c>
      <c r="C86" s="562" t="s">
        <v>1055</v>
      </c>
      <c r="D86" s="563">
        <v>1</v>
      </c>
      <c r="E86" s="564"/>
    </row>
    <row r="87" spans="1:5" x14ac:dyDescent="0.25">
      <c r="A87" s="562" t="s">
        <v>1077</v>
      </c>
      <c r="B87" s="562" t="s">
        <v>1071</v>
      </c>
      <c r="C87" s="562" t="s">
        <v>1067</v>
      </c>
      <c r="D87" s="563">
        <v>1</v>
      </c>
      <c r="E87" s="564"/>
    </row>
    <row r="88" spans="1:5" x14ac:dyDescent="0.25">
      <c r="A88" s="562" t="s">
        <v>1077</v>
      </c>
      <c r="B88" s="562" t="s">
        <v>1072</v>
      </c>
      <c r="C88" s="562" t="s">
        <v>1068</v>
      </c>
      <c r="D88" s="563">
        <v>1</v>
      </c>
      <c r="E88" s="564"/>
    </row>
    <row r="89" spans="1:5" x14ac:dyDescent="0.25">
      <c r="A89" s="562" t="s">
        <v>1077</v>
      </c>
      <c r="B89" s="562" t="s">
        <v>1044</v>
      </c>
      <c r="C89" s="562" t="s">
        <v>1069</v>
      </c>
      <c r="D89" s="563">
        <v>1</v>
      </c>
      <c r="E89" s="564"/>
    </row>
    <row r="90" spans="1:5" x14ac:dyDescent="0.25">
      <c r="A90" s="562" t="s">
        <v>1077</v>
      </c>
      <c r="B90" s="562" t="s">
        <v>1044</v>
      </c>
      <c r="C90" s="562" t="s">
        <v>1070</v>
      </c>
      <c r="D90" s="563">
        <v>1</v>
      </c>
      <c r="E90" s="564"/>
    </row>
    <row r="91" spans="1:5" x14ac:dyDescent="0.25">
      <c r="A91" s="562" t="s">
        <v>1077</v>
      </c>
      <c r="B91" s="562" t="s">
        <v>1073</v>
      </c>
      <c r="C91" s="562" t="s">
        <v>1063</v>
      </c>
      <c r="D91" s="563">
        <v>1</v>
      </c>
      <c r="E91" s="564"/>
    </row>
    <row r="92" spans="1:5" x14ac:dyDescent="0.25">
      <c r="A92" s="562" t="s">
        <v>1077</v>
      </c>
      <c r="B92" s="562" t="s">
        <v>1073</v>
      </c>
      <c r="C92" s="562" t="s">
        <v>1065</v>
      </c>
      <c r="D92" s="563">
        <v>1</v>
      </c>
      <c r="E92" s="564"/>
    </row>
    <row r="93" spans="1:5" x14ac:dyDescent="0.25">
      <c r="A93" s="562" t="s">
        <v>1077</v>
      </c>
      <c r="B93" s="562" t="s">
        <v>1073</v>
      </c>
      <c r="C93" s="562" t="s">
        <v>1064</v>
      </c>
      <c r="D93" s="563">
        <v>1</v>
      </c>
      <c r="E93" s="564"/>
    </row>
    <row r="94" spans="1:5" x14ac:dyDescent="0.25">
      <c r="A94" s="562" t="s">
        <v>1077</v>
      </c>
      <c r="B94" s="562" t="s">
        <v>1057</v>
      </c>
      <c r="C94" s="562" t="s">
        <v>1056</v>
      </c>
      <c r="D94" s="563">
        <v>1</v>
      </c>
      <c r="E94" s="564">
        <v>1595</v>
      </c>
    </row>
    <row r="95" spans="1:5" x14ac:dyDescent="0.25">
      <c r="A95" s="562" t="s">
        <v>1077</v>
      </c>
      <c r="B95" s="562" t="s">
        <v>1073</v>
      </c>
      <c r="C95" s="562" t="s">
        <v>1066</v>
      </c>
      <c r="D95" s="563">
        <v>1</v>
      </c>
      <c r="E95" s="564"/>
    </row>
    <row r="96" spans="1:5" x14ac:dyDescent="0.25">
      <c r="A96" s="562" t="s">
        <v>1077</v>
      </c>
      <c r="B96" s="562" t="s">
        <v>1074</v>
      </c>
      <c r="C96" s="562" t="s">
        <v>1075</v>
      </c>
      <c r="D96" s="563">
        <v>1</v>
      </c>
      <c r="E96" s="564">
        <v>250</v>
      </c>
    </row>
    <row r="97" spans="1:5" x14ac:dyDescent="0.25">
      <c r="A97" s="289"/>
      <c r="B97" s="289"/>
      <c r="C97" s="289"/>
      <c r="D97" s="284"/>
      <c r="E97" s="285"/>
    </row>
    <row r="98" spans="1:5" x14ac:dyDescent="0.25">
      <c r="A98" s="289"/>
      <c r="B98" s="289"/>
      <c r="C98" s="289"/>
      <c r="D98" s="290"/>
      <c r="E98" s="291"/>
    </row>
  </sheetData>
  <mergeCells count="4">
    <mergeCell ref="B2:C3"/>
    <mergeCell ref="B6:C7"/>
    <mergeCell ref="B4:C5"/>
    <mergeCell ref="B8:C9"/>
  </mergeCells>
  <phoneticPr fontId="26" type="noConversion"/>
  <pageMargins left="0.7" right="0.7" top="0.75" bottom="0.75" header="0.3" footer="0.3"/>
  <pageSetup orientation="landscape" r:id="rId1"/>
  <tableParts count="1">
    <tablePart r:id="rId2"/>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4D33F0-34DE-4F30-89D5-7C62DA75027F}">
  <sheetPr codeName="Sheet7">
    <tabColor theme="5" tint="0.59999389629810485"/>
    <pageSetUpPr fitToPage="1"/>
  </sheetPr>
  <dimension ref="A1:S231"/>
  <sheetViews>
    <sheetView topLeftCell="B1" workbookViewId="0">
      <pane ySplit="4" topLeftCell="A47" activePane="bottomLeft" state="frozen"/>
      <selection activeCell="H28" sqref="H28"/>
      <selection pane="bottomLeft" activeCell="M88" sqref="M88"/>
    </sheetView>
  </sheetViews>
  <sheetFormatPr defaultRowHeight="15" x14ac:dyDescent="0.25"/>
  <cols>
    <col min="1" max="1" width="14.140625" style="73" bestFit="1" customWidth="1"/>
    <col min="2" max="2" width="9.7109375" style="71" bestFit="1" customWidth="1"/>
    <col min="3" max="3" width="18.5703125" style="73" bestFit="1" customWidth="1"/>
    <col min="4" max="4" width="20.5703125" style="73" bestFit="1" customWidth="1"/>
    <col min="5" max="5" width="81.140625" style="73" bestFit="1" customWidth="1"/>
    <col min="6" max="6" width="8.7109375" style="73" bestFit="1" customWidth="1"/>
    <col min="7" max="7" width="14.28515625" style="112" bestFit="1" customWidth="1"/>
    <col min="8" max="8" width="10" style="112" bestFit="1" customWidth="1"/>
    <col min="9" max="9" width="10.28515625" style="247" bestFit="1" customWidth="1"/>
    <col min="10" max="10" width="11.140625" style="71" bestFit="1" customWidth="1"/>
    <col min="11" max="11" width="14.28515625" style="108" bestFit="1" customWidth="1"/>
    <col min="12" max="12" width="9.7109375" style="72" bestFit="1" customWidth="1"/>
    <col min="13" max="13" width="9.42578125" style="71" bestFit="1" customWidth="1"/>
    <col min="14" max="14" width="29.85546875" style="73" bestFit="1" customWidth="1"/>
    <col min="16" max="16" width="15.85546875" bestFit="1" customWidth="1"/>
    <col min="17" max="17" width="1.85546875" bestFit="1" customWidth="1"/>
    <col min="18" max="18" width="12.7109375" bestFit="1" customWidth="1"/>
    <col min="19" max="19" width="1.85546875" bestFit="1" customWidth="1"/>
  </cols>
  <sheetData>
    <row r="1" spans="1:19" ht="15.75" thickTop="1" x14ac:dyDescent="0.25">
      <c r="A1" s="831" t="s">
        <v>219</v>
      </c>
      <c r="B1" s="832"/>
      <c r="C1" s="832"/>
      <c r="D1" s="832"/>
      <c r="E1" s="832"/>
      <c r="F1" s="832"/>
      <c r="G1" s="832"/>
      <c r="H1" s="833"/>
      <c r="I1" s="822" t="s">
        <v>220</v>
      </c>
      <c r="J1" s="823"/>
      <c r="K1" s="823"/>
      <c r="L1" s="823"/>
      <c r="M1" s="823"/>
      <c r="N1" s="824"/>
      <c r="P1" s="30" t="s">
        <v>221</v>
      </c>
      <c r="Q1" s="15">
        <v>1</v>
      </c>
      <c r="R1" s="60" t="s">
        <v>222</v>
      </c>
      <c r="S1" s="15">
        <v>4</v>
      </c>
    </row>
    <row r="2" spans="1:19" x14ac:dyDescent="0.25">
      <c r="A2" s="834"/>
      <c r="B2" s="746"/>
      <c r="C2" s="746"/>
      <c r="D2" s="746"/>
      <c r="E2" s="746"/>
      <c r="F2" s="746"/>
      <c r="G2" s="746"/>
      <c r="H2" s="835"/>
      <c r="I2" s="825"/>
      <c r="J2" s="826"/>
      <c r="K2" s="826"/>
      <c r="L2" s="826"/>
      <c r="M2" s="826"/>
      <c r="N2" s="827"/>
      <c r="P2" s="30" t="s">
        <v>223</v>
      </c>
      <c r="Q2" s="15">
        <v>2</v>
      </c>
      <c r="R2" s="30" t="s">
        <v>224</v>
      </c>
      <c r="S2" s="15">
        <v>0</v>
      </c>
    </row>
    <row r="3" spans="1:19" ht="15.75" thickBot="1" x14ac:dyDescent="0.3">
      <c r="A3" s="836"/>
      <c r="B3" s="837"/>
      <c r="C3" s="837"/>
      <c r="D3" s="837"/>
      <c r="E3" s="837"/>
      <c r="F3" s="837"/>
      <c r="G3" s="837"/>
      <c r="H3" s="838"/>
      <c r="I3" s="828"/>
      <c r="J3" s="829"/>
      <c r="K3" s="829"/>
      <c r="L3" s="829"/>
      <c r="M3" s="829"/>
      <c r="N3" s="830"/>
      <c r="P3" s="30" t="s">
        <v>528</v>
      </c>
      <c r="Q3" s="15">
        <v>3</v>
      </c>
      <c r="R3" s="15" t="s">
        <v>225</v>
      </c>
      <c r="S3" s="15">
        <v>5</v>
      </c>
    </row>
    <row r="4" spans="1:19" s="62" customFormat="1" ht="30.75" thickTop="1" x14ac:dyDescent="0.25">
      <c r="A4" s="109" t="s">
        <v>226</v>
      </c>
      <c r="B4" s="110" t="s">
        <v>227</v>
      </c>
      <c r="C4" s="109" t="s">
        <v>228</v>
      </c>
      <c r="D4" s="109" t="s">
        <v>229</v>
      </c>
      <c r="E4" s="109" t="s">
        <v>230</v>
      </c>
      <c r="F4" s="109" t="s">
        <v>201</v>
      </c>
      <c r="G4" s="111" t="s">
        <v>202</v>
      </c>
      <c r="H4" s="111" t="s">
        <v>231</v>
      </c>
      <c r="I4" s="245" t="s">
        <v>232</v>
      </c>
      <c r="J4" s="68" t="s">
        <v>233</v>
      </c>
      <c r="K4" s="260" t="s">
        <v>234</v>
      </c>
      <c r="L4" s="68" t="s">
        <v>235</v>
      </c>
      <c r="M4" s="68" t="s">
        <v>236</v>
      </c>
      <c r="N4" s="68" t="s">
        <v>141</v>
      </c>
    </row>
    <row r="5" spans="1:19" x14ac:dyDescent="0.25">
      <c r="A5" s="73" t="str">
        <f>+IF(FromProposal[[#This Row],[Cost Code]]&lt;&gt;0,+'Gnatt Chart'!$A$2,"")</f>
        <v xml:space="preserve">Tim Flemming </v>
      </c>
      <c r="B5" s="71">
        <v>1</v>
      </c>
      <c r="C5" s="73" t="s">
        <v>203</v>
      </c>
      <c r="D5" s="73" t="s">
        <v>203</v>
      </c>
      <c r="E5" s="73" t="s">
        <v>204</v>
      </c>
      <c r="F5" s="73">
        <v>0</v>
      </c>
      <c r="G5" s="297"/>
      <c r="H5" s="297"/>
      <c r="I5" s="246"/>
      <c r="J5" s="69">
        <v>4</v>
      </c>
      <c r="K5" s="264">
        <v>45363</v>
      </c>
      <c r="L5" s="69"/>
      <c r="M5" s="263"/>
      <c r="N5" s="70"/>
    </row>
    <row r="6" spans="1:19" x14ac:dyDescent="0.25">
      <c r="A6" s="73" t="str">
        <f>+IF(FromProposal[[#This Row],[Cost Code]]&lt;&gt;0,+'Gnatt Chart'!$A$2,"")</f>
        <v xml:space="preserve">Tim Flemming </v>
      </c>
      <c r="B6" s="71">
        <v>2</v>
      </c>
      <c r="C6" s="73" t="s">
        <v>205</v>
      </c>
      <c r="D6" s="73" t="s">
        <v>206</v>
      </c>
      <c r="E6" s="73" t="s">
        <v>980</v>
      </c>
      <c r="F6" s="73">
        <v>0</v>
      </c>
      <c r="G6" s="297">
        <v>2525.1</v>
      </c>
      <c r="H6" s="297">
        <v>0</v>
      </c>
      <c r="I6" s="246"/>
      <c r="J6" s="69">
        <v>4</v>
      </c>
      <c r="K6" s="264"/>
      <c r="L6" s="69"/>
      <c r="M6" s="263">
        <v>2525.1</v>
      </c>
      <c r="N6" s="70"/>
    </row>
    <row r="7" spans="1:19" x14ac:dyDescent="0.25">
      <c r="A7" s="73" t="str">
        <f>+IF(FromProposal[[#This Row],[Cost Code]]&lt;&gt;0,+'Gnatt Chart'!$A$2,"")</f>
        <v xml:space="preserve">Tim Flemming </v>
      </c>
      <c r="B7" s="71">
        <v>3</v>
      </c>
      <c r="C7" s="73" t="s">
        <v>205</v>
      </c>
      <c r="D7" s="73" t="s">
        <v>208</v>
      </c>
      <c r="E7" s="73" t="s">
        <v>994</v>
      </c>
      <c r="F7" s="73">
        <v>0</v>
      </c>
      <c r="G7" s="297">
        <v>717.5</v>
      </c>
      <c r="H7" s="297">
        <v>0</v>
      </c>
      <c r="I7" s="246"/>
      <c r="J7" s="69">
        <v>4</v>
      </c>
      <c r="K7" s="264"/>
      <c r="L7" s="69"/>
      <c r="M7" s="263">
        <v>717.5</v>
      </c>
      <c r="N7" s="70"/>
    </row>
    <row r="8" spans="1:19" x14ac:dyDescent="0.25">
      <c r="A8" s="73" t="str">
        <f>+IF(FromProposal[[#This Row],[Cost Code]]&lt;&gt;0,+'Gnatt Chart'!$A$2,"")</f>
        <v/>
      </c>
      <c r="B8" s="71">
        <v>4</v>
      </c>
      <c r="D8" s="73" t="s">
        <v>209</v>
      </c>
      <c r="E8" s="73" t="s">
        <v>210</v>
      </c>
      <c r="F8" s="73">
        <v>6</v>
      </c>
      <c r="G8" s="297"/>
      <c r="H8" s="297"/>
      <c r="I8" s="246"/>
      <c r="J8" s="69">
        <v>5</v>
      </c>
      <c r="K8" s="264"/>
      <c r="L8" s="69"/>
      <c r="M8" s="263"/>
      <c r="N8" s="70"/>
    </row>
    <row r="9" spans="1:19" x14ac:dyDescent="0.25">
      <c r="A9" s="73" t="str">
        <f>+IF(FromProposal[[#This Row],[Cost Code]]&lt;&gt;0,+'Gnatt Chart'!$A$2,"")</f>
        <v xml:space="preserve">Tim Flemming </v>
      </c>
      <c r="B9" s="71">
        <v>5</v>
      </c>
      <c r="C9" s="73" t="s">
        <v>211</v>
      </c>
      <c r="D9" s="73" t="s">
        <v>212</v>
      </c>
      <c r="E9" s="73" t="s">
        <v>529</v>
      </c>
      <c r="F9" s="73">
        <v>0</v>
      </c>
      <c r="G9" s="297">
        <v>0</v>
      </c>
      <c r="H9" s="297">
        <v>0</v>
      </c>
      <c r="I9" s="246"/>
      <c r="J9" s="69">
        <v>3</v>
      </c>
      <c r="K9" s="264"/>
      <c r="L9" s="69"/>
      <c r="M9" s="263"/>
      <c r="N9" s="70"/>
    </row>
    <row r="10" spans="1:19" x14ac:dyDescent="0.25">
      <c r="A10" s="73" t="str">
        <f>+IF(FromProposal[[#This Row],[Cost Code]]&lt;&gt;0,+'Gnatt Chart'!$A$2,"")</f>
        <v xml:space="preserve">Tim Flemming </v>
      </c>
      <c r="B10" s="71">
        <v>6</v>
      </c>
      <c r="C10" s="73" t="s">
        <v>213</v>
      </c>
      <c r="D10" s="73" t="s">
        <v>212</v>
      </c>
      <c r="E10" s="73" t="s">
        <v>524</v>
      </c>
      <c r="F10" s="73">
        <v>0</v>
      </c>
      <c r="G10" s="297">
        <v>0</v>
      </c>
      <c r="H10" s="297">
        <v>0</v>
      </c>
      <c r="I10" s="246"/>
      <c r="J10" s="69">
        <v>3</v>
      </c>
      <c r="K10" s="264"/>
      <c r="L10" s="69"/>
      <c r="M10" s="263"/>
      <c r="N10" s="70"/>
    </row>
    <row r="11" spans="1:19" x14ac:dyDescent="0.25">
      <c r="A11" s="73" t="str">
        <f>+IF(FromProposal[[#This Row],[Cost Code]]&lt;&gt;0,+'Gnatt Chart'!$A$2,"")</f>
        <v xml:space="preserve">Tim Flemming </v>
      </c>
      <c r="B11" s="71">
        <v>7</v>
      </c>
      <c r="C11" s="73" t="s">
        <v>214</v>
      </c>
      <c r="D11" s="73" t="s">
        <v>212</v>
      </c>
      <c r="E11" s="73" t="s">
        <v>525</v>
      </c>
      <c r="F11" s="73">
        <v>0</v>
      </c>
      <c r="G11" s="297">
        <v>0</v>
      </c>
      <c r="H11" s="297">
        <v>0</v>
      </c>
      <c r="I11" s="246"/>
      <c r="J11" s="69">
        <v>3</v>
      </c>
      <c r="K11" s="264"/>
      <c r="L11" s="69"/>
      <c r="M11" s="263"/>
      <c r="N11" s="70"/>
    </row>
    <row r="12" spans="1:19" x14ac:dyDescent="0.25">
      <c r="A12" s="73" t="str">
        <f>+IF(FromProposal[[#This Row],[Cost Code]]&lt;&gt;0,+'Gnatt Chart'!$A$2,"")</f>
        <v xml:space="preserve">Tim Flemming </v>
      </c>
      <c r="B12" s="71">
        <v>8</v>
      </c>
      <c r="C12" s="73" t="s">
        <v>216</v>
      </c>
      <c r="D12" s="73" t="s">
        <v>212</v>
      </c>
      <c r="E12" s="73" t="s">
        <v>526</v>
      </c>
      <c r="F12" s="73">
        <v>0</v>
      </c>
      <c r="G12" s="297">
        <v>0</v>
      </c>
      <c r="H12" s="297">
        <v>0</v>
      </c>
      <c r="I12" s="246"/>
      <c r="J12" s="69">
        <v>3</v>
      </c>
      <c r="K12" s="264"/>
      <c r="L12" s="69"/>
      <c r="M12" s="263"/>
      <c r="N12" s="70"/>
    </row>
    <row r="13" spans="1:19" x14ac:dyDescent="0.25">
      <c r="A13" s="73" t="str">
        <f>+IF(FromProposal[[#This Row],[Cost Code]]&lt;&gt;0,+'Gnatt Chart'!$A$2,"")</f>
        <v xml:space="preserve">Tim Flemming </v>
      </c>
      <c r="B13" s="71">
        <v>9</v>
      </c>
      <c r="C13" s="73" t="s">
        <v>217</v>
      </c>
      <c r="D13" s="73" t="s">
        <v>212</v>
      </c>
      <c r="E13" s="73" t="s">
        <v>527</v>
      </c>
      <c r="F13" s="73">
        <v>0</v>
      </c>
      <c r="G13" s="297">
        <v>0</v>
      </c>
      <c r="H13" s="297">
        <v>0</v>
      </c>
      <c r="I13" s="246"/>
      <c r="J13" s="69">
        <v>3</v>
      </c>
      <c r="K13" s="264"/>
      <c r="L13" s="69"/>
      <c r="M13" s="263"/>
      <c r="N13" s="70"/>
    </row>
    <row r="14" spans="1:19" x14ac:dyDescent="0.25">
      <c r="A14" s="73" t="str">
        <f>+IF(FromProposal[[#This Row],[Cost Code]]&lt;&gt;0,+'Gnatt Chart'!$A$2,"")</f>
        <v/>
      </c>
      <c r="B14" s="71">
        <v>10</v>
      </c>
      <c r="D14" s="73" t="s">
        <v>888</v>
      </c>
      <c r="E14" s="73" t="s">
        <v>887</v>
      </c>
      <c r="F14" s="73">
        <v>6</v>
      </c>
      <c r="G14" s="296">
        <v>35</v>
      </c>
      <c r="H14" s="296">
        <v>210</v>
      </c>
      <c r="I14" s="246" t="s">
        <v>3</v>
      </c>
      <c r="J14" s="69">
        <v>1</v>
      </c>
      <c r="K14" s="264"/>
      <c r="L14" s="69"/>
      <c r="M14" s="263"/>
      <c r="N14" s="70"/>
    </row>
    <row r="15" spans="1:19" x14ac:dyDescent="0.25">
      <c r="A15" s="73" t="str">
        <f>+IF(FromProposal[[#This Row],[Cost Code]]&lt;&gt;0,+'Gnatt Chart'!$A$2,"")</f>
        <v/>
      </c>
      <c r="B15" s="71">
        <v>11</v>
      </c>
      <c r="D15" s="73" t="s">
        <v>889</v>
      </c>
      <c r="E15" s="73" t="s">
        <v>890</v>
      </c>
      <c r="F15" s="73">
        <v>7</v>
      </c>
      <c r="G15" s="297">
        <v>10</v>
      </c>
      <c r="H15" s="297">
        <v>70</v>
      </c>
      <c r="I15" s="246" t="s">
        <v>3</v>
      </c>
      <c r="J15" s="69">
        <v>1</v>
      </c>
      <c r="K15" s="264"/>
      <c r="L15" s="69"/>
      <c r="M15" s="263"/>
      <c r="N15" s="70"/>
    </row>
    <row r="16" spans="1:19" x14ac:dyDescent="0.25">
      <c r="A16" s="73" t="str">
        <f>+IF(FromProposal[[#This Row],[Cost Code]]&lt;&gt;0,+'Gnatt Chart'!$A$2,"")</f>
        <v/>
      </c>
      <c r="B16" s="71">
        <v>12</v>
      </c>
      <c r="D16" s="73" t="s">
        <v>879</v>
      </c>
      <c r="E16" s="73" t="s">
        <v>880</v>
      </c>
      <c r="F16" s="73">
        <v>0</v>
      </c>
      <c r="G16" s="297"/>
      <c r="H16" s="297"/>
      <c r="I16" s="246"/>
      <c r="J16" s="69">
        <v>1</v>
      </c>
      <c r="K16" s="264"/>
      <c r="L16" s="69"/>
      <c r="M16" s="263"/>
      <c r="N16" s="70"/>
    </row>
    <row r="17" spans="1:14" x14ac:dyDescent="0.25">
      <c r="A17" s="73" t="str">
        <f>+IF(FromProposal[[#This Row],[Cost Code]]&lt;&gt;0,+'Gnatt Chart'!$A$2,"")</f>
        <v/>
      </c>
      <c r="B17" s="71">
        <v>13</v>
      </c>
      <c r="D17" s="73" t="s">
        <v>886</v>
      </c>
      <c r="E17" s="73" t="s">
        <v>936</v>
      </c>
      <c r="F17" s="73">
        <v>0</v>
      </c>
      <c r="G17" s="297"/>
      <c r="H17" s="297"/>
      <c r="I17" s="246"/>
      <c r="J17" s="69">
        <v>1</v>
      </c>
      <c r="K17" s="264"/>
      <c r="L17" s="69"/>
      <c r="M17" s="263"/>
      <c r="N17" s="70"/>
    </row>
    <row r="18" spans="1:14" x14ac:dyDescent="0.25">
      <c r="A18" s="73" t="str">
        <f>+IF(FromProposal[[#This Row],[Cost Code]]&lt;&gt;0,+'Gnatt Chart'!$A$2,"")</f>
        <v/>
      </c>
      <c r="B18" s="71">
        <v>14</v>
      </c>
      <c r="D18" s="73" t="s">
        <v>885</v>
      </c>
      <c r="E18" s="73" t="s">
        <v>934</v>
      </c>
      <c r="F18" s="73">
        <v>6</v>
      </c>
      <c r="G18" s="297">
        <v>25</v>
      </c>
      <c r="H18" s="297">
        <v>150</v>
      </c>
      <c r="I18" s="246" t="s">
        <v>3</v>
      </c>
      <c r="J18" s="69">
        <v>1</v>
      </c>
      <c r="K18" s="264"/>
      <c r="L18" s="69"/>
      <c r="M18" s="263"/>
      <c r="N18" s="70"/>
    </row>
    <row r="19" spans="1:14" x14ac:dyDescent="0.25">
      <c r="A19" s="73" t="str">
        <f>+IF(FromProposal[[#This Row],[Cost Code]]&lt;&gt;0,+'Gnatt Chart'!$A$2,"")</f>
        <v/>
      </c>
      <c r="B19" s="71">
        <v>15</v>
      </c>
      <c r="D19" s="73" t="s">
        <v>883</v>
      </c>
      <c r="E19" s="73" t="s">
        <v>884</v>
      </c>
      <c r="F19" s="73">
        <v>5</v>
      </c>
      <c r="G19" s="297">
        <v>65</v>
      </c>
      <c r="H19" s="297">
        <v>325</v>
      </c>
      <c r="I19" s="246" t="s">
        <v>3</v>
      </c>
      <c r="J19" s="69">
        <v>1</v>
      </c>
      <c r="K19" s="264"/>
      <c r="L19" s="69"/>
      <c r="M19" s="263"/>
      <c r="N19" s="70"/>
    </row>
    <row r="20" spans="1:14" x14ac:dyDescent="0.25">
      <c r="A20" s="73" t="str">
        <f>+IF(FromProposal[[#This Row],[Cost Code]]&lt;&gt;0,+'Gnatt Chart'!$A$2,"")</f>
        <v/>
      </c>
      <c r="B20" s="71">
        <v>16</v>
      </c>
      <c r="D20" s="73" t="s">
        <v>882</v>
      </c>
      <c r="E20" s="73" t="s">
        <v>881</v>
      </c>
      <c r="F20" s="73">
        <v>6</v>
      </c>
      <c r="G20" s="297">
        <v>10</v>
      </c>
      <c r="H20" s="297">
        <v>60</v>
      </c>
      <c r="I20" s="246" t="s">
        <v>3</v>
      </c>
      <c r="J20" s="69">
        <v>1</v>
      </c>
      <c r="K20" s="264"/>
      <c r="L20" s="69"/>
      <c r="M20" s="263"/>
      <c r="N20" s="70" t="s">
        <v>979</v>
      </c>
    </row>
    <row r="21" spans="1:14" x14ac:dyDescent="0.25">
      <c r="A21" s="73" t="str">
        <f>+IF(FromProposal[[#This Row],[Cost Code]]&lt;&gt;0,+'Gnatt Chart'!$A$2,"")</f>
        <v/>
      </c>
      <c r="B21" s="71">
        <v>17</v>
      </c>
      <c r="D21" s="73" t="s">
        <v>891</v>
      </c>
      <c r="E21" s="73" t="s">
        <v>892</v>
      </c>
      <c r="F21" s="73">
        <v>8</v>
      </c>
      <c r="G21" s="297">
        <v>5</v>
      </c>
      <c r="H21" s="297">
        <v>40</v>
      </c>
      <c r="I21" s="246" t="s">
        <v>3</v>
      </c>
      <c r="J21" s="69">
        <v>1</v>
      </c>
      <c r="K21" s="264"/>
      <c r="L21" s="69"/>
      <c r="M21" s="263"/>
      <c r="N21" s="70"/>
    </row>
    <row r="22" spans="1:14" x14ac:dyDescent="0.25">
      <c r="A22" s="73" t="str">
        <f>+IF(FromProposal[[#This Row],[Cost Code]]&lt;&gt;0,+'Gnatt Chart'!$A$2,"")</f>
        <v/>
      </c>
      <c r="B22" s="71">
        <v>18</v>
      </c>
      <c r="D22" s="73" t="s">
        <v>893</v>
      </c>
      <c r="E22" s="73" t="s">
        <v>894</v>
      </c>
      <c r="F22" s="73">
        <v>3</v>
      </c>
      <c r="G22" s="297"/>
      <c r="H22" s="297"/>
      <c r="I22" s="246" t="s">
        <v>3</v>
      </c>
      <c r="J22" s="69">
        <v>1</v>
      </c>
      <c r="K22" s="264"/>
      <c r="L22" s="69"/>
      <c r="M22" s="263"/>
      <c r="N22" s="70"/>
    </row>
    <row r="23" spans="1:14" x14ac:dyDescent="0.25">
      <c r="A23" s="73" t="str">
        <f>+IF(FromProposal[[#This Row],[Cost Code]]&lt;&gt;0,+'Gnatt Chart'!$A$2,"")</f>
        <v/>
      </c>
      <c r="B23" s="71">
        <v>19</v>
      </c>
      <c r="D23" s="73" t="s">
        <v>938</v>
      </c>
      <c r="E23" s="73" t="s">
        <v>937</v>
      </c>
      <c r="F23" s="73">
        <v>6</v>
      </c>
      <c r="G23" s="297">
        <v>10</v>
      </c>
      <c r="H23" s="297">
        <v>60</v>
      </c>
      <c r="I23" s="246" t="s">
        <v>3</v>
      </c>
      <c r="J23" s="69">
        <v>1</v>
      </c>
      <c r="K23" s="264"/>
      <c r="L23" s="69"/>
      <c r="M23" s="263"/>
      <c r="N23" s="70"/>
    </row>
    <row r="24" spans="1:14" x14ac:dyDescent="0.25">
      <c r="A24" s="73" t="str">
        <f>+IF(FromProposal[[#This Row],[Cost Code]]&lt;&gt;0,+'Gnatt Chart'!$A$2,"")</f>
        <v/>
      </c>
      <c r="B24" s="71">
        <v>20</v>
      </c>
      <c r="D24" s="73" t="s">
        <v>895</v>
      </c>
      <c r="E24" s="73" t="s">
        <v>939</v>
      </c>
      <c r="F24" s="73">
        <v>3</v>
      </c>
      <c r="G24" s="297">
        <v>35</v>
      </c>
      <c r="H24" s="297">
        <v>105</v>
      </c>
      <c r="I24" s="246" t="s">
        <v>3</v>
      </c>
      <c r="J24" s="69">
        <v>1</v>
      </c>
      <c r="K24" s="264"/>
      <c r="L24" s="69"/>
      <c r="M24" s="263"/>
      <c r="N24" s="70"/>
    </row>
    <row r="25" spans="1:14" x14ac:dyDescent="0.25">
      <c r="A25" s="73" t="str">
        <f>+IF(FromProposal[[#This Row],[Cost Code]]&lt;&gt;0,+'Gnatt Chart'!$A$2,"")</f>
        <v/>
      </c>
      <c r="B25" s="71">
        <v>21</v>
      </c>
      <c r="D25" s="73" t="s">
        <v>896</v>
      </c>
      <c r="E25" s="73" t="s">
        <v>897</v>
      </c>
      <c r="F25" s="73">
        <v>1</v>
      </c>
      <c r="G25" s="297">
        <v>20</v>
      </c>
      <c r="H25" s="297">
        <v>20</v>
      </c>
      <c r="I25" s="246" t="s">
        <v>3</v>
      </c>
      <c r="J25" s="69">
        <v>1</v>
      </c>
      <c r="K25" s="264"/>
      <c r="L25" s="69"/>
      <c r="M25" s="263"/>
      <c r="N25" s="70"/>
    </row>
    <row r="26" spans="1:14" x14ac:dyDescent="0.25">
      <c r="A26" s="73" t="str">
        <f>+IF(FromProposal[[#This Row],[Cost Code]]&lt;&gt;0,+'Gnatt Chart'!$A$2,"")</f>
        <v/>
      </c>
      <c r="B26" s="71">
        <v>22</v>
      </c>
      <c r="D26" s="73" t="s">
        <v>898</v>
      </c>
      <c r="E26" s="276" t="s">
        <v>899</v>
      </c>
      <c r="F26" s="276">
        <v>1</v>
      </c>
      <c r="G26" s="298">
        <v>95</v>
      </c>
      <c r="H26" s="298">
        <v>95</v>
      </c>
      <c r="I26" s="246" t="s">
        <v>3</v>
      </c>
      <c r="J26" s="69">
        <v>1</v>
      </c>
      <c r="K26" s="264"/>
      <c r="L26" s="69"/>
      <c r="M26" s="263"/>
      <c r="N26" s="70"/>
    </row>
    <row r="27" spans="1:14" x14ac:dyDescent="0.25">
      <c r="A27" s="73" t="str">
        <f>+IF(FromProposal[[#This Row],[Cost Code]]&lt;&gt;0,+'Gnatt Chart'!$A$2,"")</f>
        <v/>
      </c>
      <c r="B27" s="71">
        <v>23</v>
      </c>
      <c r="D27" s="73" t="s">
        <v>900</v>
      </c>
      <c r="E27" s="73" t="s">
        <v>901</v>
      </c>
      <c r="F27" s="73">
        <v>1</v>
      </c>
      <c r="G27" s="297">
        <v>160</v>
      </c>
      <c r="H27" s="297">
        <v>160</v>
      </c>
      <c r="I27" s="246" t="s">
        <v>3</v>
      </c>
      <c r="J27" s="69">
        <v>1</v>
      </c>
      <c r="K27" s="264"/>
      <c r="L27" s="69"/>
      <c r="M27" s="263"/>
      <c r="N27" s="70"/>
    </row>
    <row r="28" spans="1:14" x14ac:dyDescent="0.25">
      <c r="A28" s="73" t="str">
        <f>+IF(FromProposal[[#This Row],[Cost Code]]&lt;&gt;0,+'Gnatt Chart'!$A$2,"")</f>
        <v/>
      </c>
      <c r="B28" s="71">
        <v>24</v>
      </c>
      <c r="D28" s="73" t="s">
        <v>903</v>
      </c>
      <c r="E28" s="73" t="s">
        <v>902</v>
      </c>
      <c r="F28" s="73">
        <v>4</v>
      </c>
      <c r="G28" s="297">
        <v>45</v>
      </c>
      <c r="H28" s="297">
        <v>180</v>
      </c>
      <c r="I28" s="246" t="s">
        <v>3</v>
      </c>
      <c r="J28" s="69">
        <v>1</v>
      </c>
      <c r="K28" s="264"/>
      <c r="L28" s="69"/>
      <c r="M28" s="263"/>
      <c r="N28" s="70"/>
    </row>
    <row r="29" spans="1:14" x14ac:dyDescent="0.25">
      <c r="A29" s="73" t="str">
        <f>+IF(FromProposal[[#This Row],[Cost Code]]&lt;&gt;0,+'Gnatt Chart'!$A$2,"")</f>
        <v/>
      </c>
      <c r="B29" s="71">
        <v>25</v>
      </c>
      <c r="D29" s="73" t="s">
        <v>904</v>
      </c>
      <c r="E29" s="73" t="s">
        <v>935</v>
      </c>
      <c r="F29" s="73">
        <v>2</v>
      </c>
      <c r="G29" s="297">
        <v>75</v>
      </c>
      <c r="H29" s="297">
        <v>150</v>
      </c>
      <c r="I29" s="246" t="s">
        <v>3</v>
      </c>
      <c r="J29" s="69">
        <v>1</v>
      </c>
      <c r="K29" s="264"/>
      <c r="L29" s="69"/>
      <c r="M29" s="263"/>
      <c r="N29" s="70"/>
    </row>
    <row r="30" spans="1:14" x14ac:dyDescent="0.25">
      <c r="A30" s="73" t="str">
        <f>+IF(FromProposal[[#This Row],[Cost Code]]&lt;&gt;0,+'Gnatt Chart'!$A$2,"")</f>
        <v/>
      </c>
      <c r="B30" s="71">
        <v>26</v>
      </c>
      <c r="D30" s="73" t="s">
        <v>905</v>
      </c>
      <c r="E30" s="73" t="s">
        <v>906</v>
      </c>
      <c r="F30" s="73">
        <v>3</v>
      </c>
      <c r="G30" s="297">
        <v>45</v>
      </c>
      <c r="H30" s="297">
        <v>135</v>
      </c>
      <c r="I30" s="246" t="s">
        <v>3</v>
      </c>
      <c r="J30" s="69">
        <v>1</v>
      </c>
      <c r="K30" s="264"/>
      <c r="L30" s="69"/>
      <c r="M30" s="263"/>
      <c r="N30" s="70"/>
    </row>
    <row r="31" spans="1:14" x14ac:dyDescent="0.25">
      <c r="A31" s="73" t="str">
        <f>+IF(FromProposal[[#This Row],[Cost Code]]&lt;&gt;0,+'Gnatt Chart'!$A$2,"")</f>
        <v/>
      </c>
      <c r="B31" s="71">
        <v>27</v>
      </c>
      <c r="D31" s="73" t="s">
        <v>310</v>
      </c>
      <c r="E31" s="73" t="s">
        <v>940</v>
      </c>
      <c r="F31" s="73">
        <v>2</v>
      </c>
      <c r="G31" s="297">
        <v>10</v>
      </c>
      <c r="H31" s="297">
        <v>20</v>
      </c>
      <c r="I31" s="246" t="s">
        <v>3</v>
      </c>
      <c r="J31" s="69">
        <v>1</v>
      </c>
      <c r="K31" s="264"/>
      <c r="L31" s="69"/>
      <c r="M31" s="263"/>
      <c r="N31" s="70"/>
    </row>
    <row r="32" spans="1:14" x14ac:dyDescent="0.25">
      <c r="A32" s="73" t="str">
        <f>+IF(FromProposal[[#This Row],[Cost Code]]&lt;&gt;0,+'Gnatt Chart'!$A$2,"")</f>
        <v/>
      </c>
      <c r="B32" s="71">
        <v>28</v>
      </c>
      <c r="D32" s="73" t="s">
        <v>907</v>
      </c>
      <c r="E32" s="73" t="s">
        <v>941</v>
      </c>
      <c r="F32" s="73">
        <v>2</v>
      </c>
      <c r="G32" s="297">
        <v>45</v>
      </c>
      <c r="H32" s="297">
        <v>90</v>
      </c>
      <c r="I32" s="246" t="s">
        <v>3</v>
      </c>
      <c r="J32" s="69">
        <v>1</v>
      </c>
      <c r="K32" s="264"/>
      <c r="L32" s="69"/>
      <c r="M32" s="263"/>
      <c r="N32" s="70"/>
    </row>
    <row r="33" spans="1:14" x14ac:dyDescent="0.25">
      <c r="A33" s="73" t="str">
        <f>+IF(FromProposal[[#This Row],[Cost Code]]&lt;&gt;0,+'Gnatt Chart'!$A$2,"")</f>
        <v/>
      </c>
      <c r="B33" s="71">
        <v>29</v>
      </c>
      <c r="D33" s="73" t="s">
        <v>908</v>
      </c>
      <c r="E33" s="73" t="s">
        <v>909</v>
      </c>
      <c r="F33" s="73">
        <v>1</v>
      </c>
      <c r="G33" s="297">
        <v>55</v>
      </c>
      <c r="H33" s="297">
        <v>55</v>
      </c>
      <c r="I33" s="246" t="s">
        <v>3</v>
      </c>
      <c r="J33" s="69">
        <v>1</v>
      </c>
      <c r="K33" s="264"/>
      <c r="L33" s="69"/>
      <c r="M33" s="263"/>
      <c r="N33" s="70"/>
    </row>
    <row r="34" spans="1:14" x14ac:dyDescent="0.25">
      <c r="A34" s="73" t="str">
        <f>+IF(FromProposal[[#This Row],[Cost Code]]&lt;&gt;0,+'Gnatt Chart'!$A$2,"")</f>
        <v/>
      </c>
      <c r="B34" s="71">
        <v>30</v>
      </c>
      <c r="D34" s="73" t="s">
        <v>910</v>
      </c>
      <c r="E34" s="73" t="s">
        <v>911</v>
      </c>
      <c r="F34" s="73">
        <v>5</v>
      </c>
      <c r="G34" s="297">
        <v>8</v>
      </c>
      <c r="H34" s="297">
        <v>40</v>
      </c>
      <c r="I34" s="246" t="s">
        <v>3</v>
      </c>
      <c r="J34" s="69">
        <v>1</v>
      </c>
      <c r="K34" s="264"/>
      <c r="L34" s="69"/>
      <c r="M34" s="263"/>
      <c r="N34" s="70"/>
    </row>
    <row r="35" spans="1:14" x14ac:dyDescent="0.25">
      <c r="A35" s="73" t="str">
        <f>+IF(FromProposal[[#This Row],[Cost Code]]&lt;&gt;0,+'Gnatt Chart'!$A$2,"")</f>
        <v/>
      </c>
      <c r="B35" s="71">
        <v>31</v>
      </c>
      <c r="D35" s="73" t="s">
        <v>912</v>
      </c>
      <c r="E35" s="73" t="s">
        <v>944</v>
      </c>
      <c r="F35" s="73">
        <v>4</v>
      </c>
      <c r="G35" s="297">
        <v>20</v>
      </c>
      <c r="H35" s="297">
        <v>80</v>
      </c>
      <c r="I35" s="246" t="s">
        <v>3</v>
      </c>
      <c r="J35" s="69">
        <v>1</v>
      </c>
      <c r="K35" s="264"/>
      <c r="L35" s="69"/>
      <c r="M35" s="263"/>
      <c r="N35" s="70"/>
    </row>
    <row r="36" spans="1:14" x14ac:dyDescent="0.25">
      <c r="A36" s="73" t="str">
        <f>+IF(FromProposal[[#This Row],[Cost Code]]&lt;&gt;0,+'Gnatt Chart'!$A$2,"")</f>
        <v/>
      </c>
      <c r="B36" s="71">
        <v>32</v>
      </c>
      <c r="D36" s="73" t="s">
        <v>913</v>
      </c>
      <c r="E36" s="73" t="s">
        <v>914</v>
      </c>
      <c r="G36" s="297">
        <v>1</v>
      </c>
      <c r="H36" s="297"/>
      <c r="I36" s="246" t="s">
        <v>3</v>
      </c>
      <c r="J36" s="69">
        <v>1</v>
      </c>
      <c r="K36" s="264"/>
      <c r="L36" s="69"/>
      <c r="M36" s="263"/>
      <c r="N36" s="70"/>
    </row>
    <row r="37" spans="1:14" x14ac:dyDescent="0.25">
      <c r="A37" s="73" t="str">
        <f>+IF(FromProposal[[#This Row],[Cost Code]]&lt;&gt;0,+'Gnatt Chart'!$A$2,"")</f>
        <v/>
      </c>
      <c r="B37" s="71">
        <v>33</v>
      </c>
      <c r="D37" s="73" t="s">
        <v>908</v>
      </c>
      <c r="E37" s="73" t="s">
        <v>942</v>
      </c>
      <c r="F37" s="73">
        <v>1</v>
      </c>
      <c r="G37" s="297">
        <v>95</v>
      </c>
      <c r="H37" s="297">
        <v>95</v>
      </c>
      <c r="I37" s="246" t="s">
        <v>3</v>
      </c>
      <c r="J37" s="69">
        <v>1</v>
      </c>
      <c r="K37" s="264"/>
      <c r="L37" s="69"/>
      <c r="M37" s="263"/>
      <c r="N37" s="70"/>
    </row>
    <row r="38" spans="1:14" x14ac:dyDescent="0.25">
      <c r="A38" s="73" t="str">
        <f>+IF(FromProposal[[#This Row],[Cost Code]]&lt;&gt;0,+'Gnatt Chart'!$A$2,"")</f>
        <v/>
      </c>
      <c r="B38" s="71">
        <v>34</v>
      </c>
      <c r="D38" s="73" t="s">
        <v>946</v>
      </c>
      <c r="E38" s="73" t="s">
        <v>943</v>
      </c>
      <c r="F38" s="73">
        <v>1</v>
      </c>
      <c r="G38" s="297">
        <v>65</v>
      </c>
      <c r="H38" s="297">
        <v>65</v>
      </c>
      <c r="I38" s="246" t="s">
        <v>3</v>
      </c>
      <c r="J38" s="69">
        <v>1</v>
      </c>
      <c r="K38" s="264"/>
      <c r="L38" s="69"/>
      <c r="M38" s="263"/>
      <c r="N38" s="70"/>
    </row>
    <row r="39" spans="1:14" x14ac:dyDescent="0.25">
      <c r="A39" s="73" t="str">
        <f>+IF(FromProposal[[#This Row],[Cost Code]]&lt;&gt;0,+'Gnatt Chart'!$A$2,"")</f>
        <v/>
      </c>
      <c r="B39" s="71">
        <v>35</v>
      </c>
      <c r="D39" s="73" t="s">
        <v>946</v>
      </c>
      <c r="E39" s="73" t="s">
        <v>945</v>
      </c>
      <c r="F39" s="73">
        <v>1</v>
      </c>
      <c r="G39" s="297">
        <v>10</v>
      </c>
      <c r="H39" s="297">
        <v>10</v>
      </c>
      <c r="I39" s="246" t="s">
        <v>3</v>
      </c>
      <c r="J39" s="69">
        <v>1</v>
      </c>
      <c r="K39" s="264"/>
      <c r="L39" s="69"/>
      <c r="M39" s="263"/>
      <c r="N39" s="70"/>
    </row>
    <row r="40" spans="1:14" x14ac:dyDescent="0.25">
      <c r="A40" s="73" t="str">
        <f>+IF(FromProposal[[#This Row],[Cost Code]]&lt;&gt;0,+'Gnatt Chart'!$A$2,"")</f>
        <v/>
      </c>
      <c r="B40" s="71">
        <v>36</v>
      </c>
      <c r="D40" s="73" t="s">
        <v>907</v>
      </c>
      <c r="E40" s="73" t="s">
        <v>959</v>
      </c>
      <c r="G40" s="297">
        <v>1</v>
      </c>
      <c r="H40" s="297"/>
      <c r="I40" s="246" t="s">
        <v>3</v>
      </c>
      <c r="J40" s="69">
        <v>1</v>
      </c>
      <c r="K40" s="264"/>
      <c r="L40" s="69"/>
      <c r="M40" s="263"/>
      <c r="N40" s="70"/>
    </row>
    <row r="41" spans="1:14" x14ac:dyDescent="0.25">
      <c r="A41" s="73" t="str">
        <f>+IF(FromProposal[[#This Row],[Cost Code]]&lt;&gt;0,+'Gnatt Chart'!$A$2,"")</f>
        <v/>
      </c>
      <c r="B41" s="71">
        <v>37</v>
      </c>
      <c r="D41" s="73" t="s">
        <v>950</v>
      </c>
      <c r="E41" s="73" t="s">
        <v>947</v>
      </c>
      <c r="F41" s="73">
        <v>4</v>
      </c>
      <c r="G41" s="297">
        <v>1</v>
      </c>
      <c r="H41" s="297">
        <v>4</v>
      </c>
      <c r="I41" s="246" t="s">
        <v>3</v>
      </c>
      <c r="J41" s="69">
        <v>1</v>
      </c>
      <c r="K41" s="264"/>
      <c r="L41" s="69"/>
      <c r="M41" s="263"/>
      <c r="N41" s="70"/>
    </row>
    <row r="42" spans="1:14" x14ac:dyDescent="0.25">
      <c r="A42" s="73" t="str">
        <f>+IF(FromProposal[[#This Row],[Cost Code]]&lt;&gt;0,+'Gnatt Chart'!$A$2,"")</f>
        <v/>
      </c>
      <c r="B42" s="71">
        <v>38</v>
      </c>
      <c r="D42" s="73" t="s">
        <v>950</v>
      </c>
      <c r="E42" s="73" t="s">
        <v>948</v>
      </c>
      <c r="F42" s="73">
        <v>1</v>
      </c>
      <c r="G42" s="297">
        <v>55</v>
      </c>
      <c r="H42" s="297">
        <v>55</v>
      </c>
      <c r="I42" s="246" t="s">
        <v>3</v>
      </c>
      <c r="J42" s="69">
        <v>1</v>
      </c>
      <c r="K42" s="264"/>
      <c r="L42" s="69"/>
      <c r="M42" s="263"/>
      <c r="N42" s="70"/>
    </row>
    <row r="43" spans="1:14" x14ac:dyDescent="0.25">
      <c r="A43" s="73" t="str">
        <f>+IF(FromProposal[[#This Row],[Cost Code]]&lt;&gt;0,+'Gnatt Chart'!$A$2,"")</f>
        <v/>
      </c>
      <c r="B43" s="71">
        <v>39</v>
      </c>
      <c r="D43" s="73" t="s">
        <v>950</v>
      </c>
      <c r="E43" s="73" t="s">
        <v>949</v>
      </c>
      <c r="F43" s="73">
        <v>1</v>
      </c>
      <c r="G43" s="297">
        <v>65</v>
      </c>
      <c r="H43" s="297">
        <v>65</v>
      </c>
      <c r="I43" s="246" t="s">
        <v>3</v>
      </c>
      <c r="J43" s="69">
        <v>1</v>
      </c>
      <c r="K43" s="264"/>
      <c r="L43" s="69"/>
      <c r="M43" s="263"/>
      <c r="N43" s="70"/>
    </row>
    <row r="44" spans="1:14" x14ac:dyDescent="0.25">
      <c r="A44" s="73" t="str">
        <f>+IF(FromProposal[[#This Row],[Cost Code]]&lt;&gt;0,+'Gnatt Chart'!$A$2,"")</f>
        <v/>
      </c>
      <c r="B44" s="71">
        <v>40</v>
      </c>
      <c r="D44" s="73" t="s">
        <v>950</v>
      </c>
      <c r="E44" s="73" t="s">
        <v>951</v>
      </c>
      <c r="F44" s="73">
        <v>1</v>
      </c>
      <c r="G44" s="297">
        <v>10</v>
      </c>
      <c r="H44" s="297">
        <v>10</v>
      </c>
      <c r="I44" s="246" t="s">
        <v>3</v>
      </c>
      <c r="J44" s="69">
        <v>1</v>
      </c>
      <c r="K44" s="264"/>
      <c r="L44" s="69"/>
      <c r="M44" s="263"/>
      <c r="N44" s="70"/>
    </row>
    <row r="45" spans="1:14" x14ac:dyDescent="0.25">
      <c r="A45" s="73" t="str">
        <f>+IF(FromProposal[[#This Row],[Cost Code]]&lt;&gt;0,+'Gnatt Chart'!$A$2,"")</f>
        <v/>
      </c>
      <c r="B45" s="71">
        <v>41</v>
      </c>
      <c r="D45" s="73" t="s">
        <v>950</v>
      </c>
      <c r="E45" s="73" t="s">
        <v>952</v>
      </c>
      <c r="F45" s="73">
        <v>1</v>
      </c>
      <c r="G45" s="297">
        <v>10</v>
      </c>
      <c r="H45" s="297">
        <v>10</v>
      </c>
      <c r="I45" s="246" t="s">
        <v>3</v>
      </c>
      <c r="J45" s="69">
        <v>1</v>
      </c>
      <c r="K45" s="264"/>
      <c r="L45" s="69"/>
      <c r="M45" s="263"/>
      <c r="N45" s="70"/>
    </row>
    <row r="46" spans="1:14" x14ac:dyDescent="0.25">
      <c r="A46" s="73" t="str">
        <f>+IF(FromProposal[[#This Row],[Cost Code]]&lt;&gt;0,+'Gnatt Chart'!$A$2,"")</f>
        <v/>
      </c>
      <c r="B46" s="71">
        <v>42</v>
      </c>
      <c r="D46" s="73" t="s">
        <v>954</v>
      </c>
      <c r="E46" s="73" t="s">
        <v>953</v>
      </c>
      <c r="F46" s="73">
        <v>1</v>
      </c>
      <c r="G46" s="297">
        <v>75</v>
      </c>
      <c r="H46" s="297">
        <v>75</v>
      </c>
      <c r="I46" s="246" t="s">
        <v>3</v>
      </c>
      <c r="J46" s="69">
        <v>1</v>
      </c>
      <c r="K46" s="264"/>
      <c r="L46" s="69"/>
      <c r="M46" s="263"/>
      <c r="N46" s="70"/>
    </row>
    <row r="47" spans="1:14" x14ac:dyDescent="0.25">
      <c r="A47" s="73" t="str">
        <f>+IF(FromProposal[[#This Row],[Cost Code]]&lt;&gt;0,+'Gnatt Chart'!$A$2,"")</f>
        <v/>
      </c>
      <c r="B47" s="71">
        <v>43</v>
      </c>
      <c r="D47" s="73" t="s">
        <v>956</v>
      </c>
      <c r="E47" s="73" t="s">
        <v>955</v>
      </c>
      <c r="F47" s="73">
        <v>0</v>
      </c>
      <c r="G47" s="297"/>
      <c r="H47" s="297"/>
      <c r="I47" s="246"/>
      <c r="J47" s="69">
        <v>1</v>
      </c>
      <c r="K47" s="264"/>
      <c r="L47" s="69"/>
      <c r="M47" s="263"/>
      <c r="N47" s="70"/>
    </row>
    <row r="48" spans="1:14" x14ac:dyDescent="0.25">
      <c r="A48" s="73" t="str">
        <f>+IF(FromProposal[[#This Row],[Cost Code]]&lt;&gt;0,+'Gnatt Chart'!$A$2,"")</f>
        <v/>
      </c>
      <c r="B48" s="71">
        <v>44</v>
      </c>
      <c r="D48" s="73" t="s">
        <v>957</v>
      </c>
      <c r="E48" s="73" t="s">
        <v>958</v>
      </c>
      <c r="F48" s="73">
        <v>1</v>
      </c>
      <c r="G48" s="297">
        <v>65</v>
      </c>
      <c r="H48" s="297">
        <v>65</v>
      </c>
      <c r="I48" s="246" t="s">
        <v>3</v>
      </c>
      <c r="J48" s="69">
        <v>1</v>
      </c>
      <c r="K48" s="264"/>
      <c r="L48" s="69"/>
      <c r="M48" s="263"/>
      <c r="N48" s="70"/>
    </row>
    <row r="49" spans="1:14" x14ac:dyDescent="0.25">
      <c r="A49" s="73" t="str">
        <f>+IF(FromProposal[[#This Row],[Cost Code]]&lt;&gt;0,+'Gnatt Chart'!$A$2,"")</f>
        <v/>
      </c>
      <c r="B49" s="71">
        <v>45</v>
      </c>
      <c r="D49" s="73" t="s">
        <v>950</v>
      </c>
      <c r="E49" s="73" t="s">
        <v>960</v>
      </c>
      <c r="F49" s="73">
        <v>1</v>
      </c>
      <c r="G49" s="297"/>
      <c r="H49" s="297"/>
      <c r="I49" s="246" t="s">
        <v>3</v>
      </c>
      <c r="J49" s="69">
        <v>1</v>
      </c>
      <c r="K49" s="264"/>
      <c r="L49" s="69"/>
      <c r="M49" s="263"/>
      <c r="N49" s="70"/>
    </row>
    <row r="50" spans="1:14" x14ac:dyDescent="0.25">
      <c r="A50" s="73" t="str">
        <f>+IF(FromProposal[[#This Row],[Cost Code]]&lt;&gt;0,+'Gnatt Chart'!$A$2,"")</f>
        <v/>
      </c>
      <c r="B50" s="71">
        <v>46</v>
      </c>
      <c r="D50" s="73" t="s">
        <v>950</v>
      </c>
      <c r="E50" s="73" t="s">
        <v>961</v>
      </c>
      <c r="F50" s="73">
        <v>1</v>
      </c>
      <c r="G50" s="297">
        <v>25</v>
      </c>
      <c r="H50" s="297">
        <v>25</v>
      </c>
      <c r="I50" s="246" t="s">
        <v>3</v>
      </c>
      <c r="J50" s="69">
        <v>1</v>
      </c>
      <c r="K50" s="264"/>
      <c r="L50" s="69"/>
      <c r="M50" s="263"/>
      <c r="N50" s="70"/>
    </row>
    <row r="51" spans="1:14" x14ac:dyDescent="0.25">
      <c r="A51" s="73" t="str">
        <f>+IF(FromProposal[[#This Row],[Cost Code]]&lt;&gt;0,+'Gnatt Chart'!$A$2,"")</f>
        <v/>
      </c>
      <c r="B51" s="71">
        <v>47</v>
      </c>
      <c r="D51" s="73" t="s">
        <v>962</v>
      </c>
      <c r="E51" s="73" t="s">
        <v>963</v>
      </c>
      <c r="F51" s="73">
        <v>0</v>
      </c>
      <c r="G51" s="297"/>
      <c r="H51" s="297"/>
      <c r="I51" s="246"/>
      <c r="J51" s="69">
        <v>1</v>
      </c>
      <c r="K51" s="264"/>
      <c r="L51" s="69"/>
      <c r="M51" s="263"/>
      <c r="N51" s="70"/>
    </row>
    <row r="52" spans="1:14" x14ac:dyDescent="0.25">
      <c r="A52" s="73" t="str">
        <f>+IF(FromProposal[[#This Row],[Cost Code]]&lt;&gt;0,+'Gnatt Chart'!$A$2,"")</f>
        <v/>
      </c>
      <c r="B52" s="71">
        <v>48</v>
      </c>
      <c r="D52" s="73" t="s">
        <v>885</v>
      </c>
      <c r="E52" s="73" t="s">
        <v>964</v>
      </c>
      <c r="F52" s="73">
        <v>1</v>
      </c>
      <c r="G52" s="297">
        <v>35</v>
      </c>
      <c r="H52" s="297">
        <v>35</v>
      </c>
      <c r="I52" s="246" t="s">
        <v>3</v>
      </c>
      <c r="J52" s="69">
        <v>1</v>
      </c>
      <c r="K52" s="264"/>
      <c r="L52" s="69"/>
      <c r="M52" s="263"/>
      <c r="N52" s="70"/>
    </row>
    <row r="53" spans="1:14" x14ac:dyDescent="0.25">
      <c r="A53" s="73" t="str">
        <f>+IF(FromProposal[[#This Row],[Cost Code]]&lt;&gt;0,+'Gnatt Chart'!$A$2,"")</f>
        <v/>
      </c>
      <c r="B53" s="71">
        <v>49</v>
      </c>
      <c r="D53" s="73" t="s">
        <v>956</v>
      </c>
      <c r="E53" s="73" t="s">
        <v>967</v>
      </c>
      <c r="F53" s="73">
        <v>1</v>
      </c>
      <c r="G53" s="297">
        <v>40</v>
      </c>
      <c r="H53" s="297">
        <v>40</v>
      </c>
      <c r="I53" s="246" t="s">
        <v>3</v>
      </c>
      <c r="J53" s="69">
        <v>1</v>
      </c>
      <c r="K53" s="264"/>
      <c r="L53" s="69"/>
      <c r="M53" s="263"/>
      <c r="N53" s="70"/>
    </row>
    <row r="54" spans="1:14" x14ac:dyDescent="0.25">
      <c r="A54" s="73" t="str">
        <f>+IF(FromProposal[[#This Row],[Cost Code]]&lt;&gt;0,+'Gnatt Chart'!$A$2,"")</f>
        <v/>
      </c>
      <c r="B54" s="71">
        <v>50</v>
      </c>
      <c r="D54" s="73" t="s">
        <v>885</v>
      </c>
      <c r="E54" s="73" t="s">
        <v>968</v>
      </c>
      <c r="F54" s="73">
        <v>1</v>
      </c>
      <c r="G54" s="297">
        <v>95</v>
      </c>
      <c r="H54" s="297">
        <v>95</v>
      </c>
      <c r="I54" s="246" t="s">
        <v>3</v>
      </c>
      <c r="J54" s="69">
        <v>1</v>
      </c>
      <c r="K54" s="264"/>
      <c r="L54" s="69"/>
      <c r="M54" s="263"/>
      <c r="N54" s="70"/>
    </row>
    <row r="55" spans="1:14" x14ac:dyDescent="0.25">
      <c r="A55" s="73" t="str">
        <f>+IF(FromProposal[[#This Row],[Cost Code]]&lt;&gt;0,+'Gnatt Chart'!$A$2,"")</f>
        <v/>
      </c>
      <c r="B55" s="71">
        <v>51</v>
      </c>
      <c r="D55" s="73" t="s">
        <v>969</v>
      </c>
      <c r="E55" s="73" t="s">
        <v>970</v>
      </c>
      <c r="F55" s="73">
        <v>1</v>
      </c>
      <c r="G55" s="297">
        <v>59.97</v>
      </c>
      <c r="H55" s="297">
        <v>59.97</v>
      </c>
      <c r="I55" s="246" t="s">
        <v>3</v>
      </c>
      <c r="J55" s="69">
        <v>1</v>
      </c>
      <c r="K55" s="264"/>
      <c r="L55" s="69"/>
      <c r="M55" s="263"/>
      <c r="N55" s="70"/>
    </row>
    <row r="56" spans="1:14" x14ac:dyDescent="0.25">
      <c r="A56" s="73" t="str">
        <f>+IF(FromProposal[[#This Row],[Cost Code]]&lt;&gt;0,+'Gnatt Chart'!$A$2,"")</f>
        <v/>
      </c>
      <c r="B56" s="71">
        <v>52</v>
      </c>
      <c r="D56" s="73" t="s">
        <v>969</v>
      </c>
      <c r="E56" s="73" t="s">
        <v>978</v>
      </c>
      <c r="F56" s="73">
        <v>1</v>
      </c>
      <c r="G56" s="297">
        <v>47.13</v>
      </c>
      <c r="H56" s="297">
        <v>47.13</v>
      </c>
      <c r="I56" s="246" t="s">
        <v>3</v>
      </c>
      <c r="J56" s="69">
        <v>1</v>
      </c>
      <c r="K56" s="264"/>
      <c r="L56" s="69"/>
      <c r="M56" s="263"/>
      <c r="N56" s="70"/>
    </row>
    <row r="57" spans="1:14" x14ac:dyDescent="0.25">
      <c r="A57" s="73" t="str">
        <f>+IF(FromProposal[[#This Row],[Cost Code]]&lt;&gt;0,+'Gnatt Chart'!$A$2,"")</f>
        <v/>
      </c>
      <c r="B57" s="71">
        <v>53</v>
      </c>
      <c r="D57" s="73" t="s">
        <v>969</v>
      </c>
      <c r="E57" s="73" t="s">
        <v>971</v>
      </c>
      <c r="F57" s="73">
        <v>1</v>
      </c>
      <c r="G57" s="297">
        <v>82</v>
      </c>
      <c r="H57" s="297">
        <v>82</v>
      </c>
      <c r="I57" s="246" t="s">
        <v>3</v>
      </c>
      <c r="J57" s="69">
        <v>1</v>
      </c>
      <c r="K57" s="264"/>
      <c r="L57" s="69"/>
      <c r="M57" s="263"/>
      <c r="N57" s="70"/>
    </row>
    <row r="58" spans="1:14" x14ac:dyDescent="0.25">
      <c r="A58" s="73" t="str">
        <f>+IF(FromProposal[[#This Row],[Cost Code]]&lt;&gt;0,+'Gnatt Chart'!$A$2,"")</f>
        <v/>
      </c>
      <c r="B58" s="71">
        <v>54</v>
      </c>
      <c r="D58" s="73" t="s">
        <v>969</v>
      </c>
      <c r="E58" s="73" t="s">
        <v>972</v>
      </c>
      <c r="F58" s="73">
        <v>1</v>
      </c>
      <c r="G58" s="297">
        <v>22</v>
      </c>
      <c r="H58" s="297">
        <v>22</v>
      </c>
      <c r="I58" s="246" t="s">
        <v>3</v>
      </c>
      <c r="J58" s="69">
        <v>1</v>
      </c>
      <c r="K58" s="264"/>
      <c r="L58" s="69"/>
      <c r="M58" s="263"/>
      <c r="N58" s="70"/>
    </row>
    <row r="59" spans="1:14" x14ac:dyDescent="0.25">
      <c r="A59" s="73" t="str">
        <f>+IF(FromProposal[[#This Row],[Cost Code]]&lt;&gt;0,+'Gnatt Chart'!$A$2,"")</f>
        <v/>
      </c>
      <c r="B59" s="71">
        <v>55</v>
      </c>
      <c r="D59" s="73" t="s">
        <v>910</v>
      </c>
      <c r="E59" s="73" t="s">
        <v>973</v>
      </c>
      <c r="F59" s="73">
        <v>1</v>
      </c>
      <c r="G59" s="297"/>
      <c r="H59" s="297"/>
      <c r="I59" s="246" t="s">
        <v>3</v>
      </c>
      <c r="J59" s="69">
        <v>1</v>
      </c>
      <c r="K59" s="264"/>
      <c r="L59" s="69"/>
      <c r="M59" s="263"/>
      <c r="N59" s="70"/>
    </row>
    <row r="60" spans="1:14" x14ac:dyDescent="0.25">
      <c r="A60" s="73" t="str">
        <f>+IF(FromProposal[[#This Row],[Cost Code]]&lt;&gt;0,+'Gnatt Chart'!$A$2,"")</f>
        <v/>
      </c>
      <c r="B60" s="71">
        <v>56</v>
      </c>
      <c r="D60" s="73" t="s">
        <v>956</v>
      </c>
      <c r="E60" s="73" t="s">
        <v>974</v>
      </c>
      <c r="G60" s="297"/>
      <c r="H60" s="297"/>
      <c r="I60" s="246" t="s">
        <v>3</v>
      </c>
      <c r="J60" s="69">
        <v>1</v>
      </c>
      <c r="K60" s="264"/>
      <c r="L60" s="69"/>
      <c r="M60" s="263"/>
      <c r="N60" s="70"/>
    </row>
    <row r="61" spans="1:14" x14ac:dyDescent="0.25">
      <c r="A61" s="73" t="str">
        <f>+IF(FromProposal[[#This Row],[Cost Code]]&lt;&gt;0,+'Gnatt Chart'!$A$2,"")</f>
        <v/>
      </c>
      <c r="B61" s="71">
        <v>57</v>
      </c>
      <c r="D61" s="73" t="s">
        <v>950</v>
      </c>
      <c r="E61" s="73" t="s">
        <v>975</v>
      </c>
      <c r="F61" s="73">
        <v>1</v>
      </c>
      <c r="G61" s="297">
        <v>25</v>
      </c>
      <c r="H61" s="297">
        <v>25</v>
      </c>
      <c r="I61" s="246" t="s">
        <v>3</v>
      </c>
      <c r="J61" s="69">
        <v>1</v>
      </c>
      <c r="K61" s="264"/>
      <c r="L61" s="69"/>
      <c r="M61" s="263"/>
      <c r="N61" s="70"/>
    </row>
    <row r="62" spans="1:14" x14ac:dyDescent="0.25">
      <c r="A62" s="73" t="str">
        <f>+IF(FromProposal[[#This Row],[Cost Code]]&lt;&gt;0,+'Gnatt Chart'!$A$2,"")</f>
        <v/>
      </c>
      <c r="B62" s="71">
        <v>58</v>
      </c>
      <c r="D62" s="73" t="s">
        <v>977</v>
      </c>
      <c r="E62" s="73" t="s">
        <v>976</v>
      </c>
      <c r="F62" s="73">
        <v>1</v>
      </c>
      <c r="G62" s="297"/>
      <c r="H62" s="297"/>
      <c r="I62" s="246" t="s">
        <v>3</v>
      </c>
      <c r="J62" s="69">
        <v>1</v>
      </c>
      <c r="K62" s="264"/>
      <c r="L62" s="69"/>
      <c r="M62" s="263"/>
      <c r="N62" s="70"/>
    </row>
    <row r="63" spans="1:14" x14ac:dyDescent="0.25">
      <c r="A63" s="73" t="str">
        <f>+IF(FromProposal[[#This Row],[Cost Code]]&lt;&gt;0,+'Gnatt Chart'!$A$2,"")</f>
        <v/>
      </c>
      <c r="B63" s="71">
        <v>59</v>
      </c>
      <c r="D63" s="73" t="s">
        <v>985</v>
      </c>
      <c r="E63" s="73" t="s">
        <v>993</v>
      </c>
      <c r="F63" s="73">
        <v>5</v>
      </c>
      <c r="G63" s="297">
        <v>62.5</v>
      </c>
      <c r="H63" s="297">
        <v>312.5</v>
      </c>
      <c r="I63" s="246" t="s">
        <v>3</v>
      </c>
      <c r="J63" s="69">
        <v>1</v>
      </c>
      <c r="K63" s="264"/>
      <c r="L63" s="69"/>
      <c r="M63" s="263"/>
      <c r="N63" s="70"/>
    </row>
    <row r="64" spans="1:14" x14ac:dyDescent="0.25">
      <c r="A64" s="73" t="str">
        <f>+IF(FromProposal[[#This Row],[Cost Code]]&lt;&gt;0,+'Gnatt Chart'!$A$2,"")</f>
        <v xml:space="preserve">Tim Flemming </v>
      </c>
      <c r="B64" s="71">
        <v>60</v>
      </c>
      <c r="C64" s="73" t="s">
        <v>1077</v>
      </c>
      <c r="D64" s="73" t="s">
        <v>679</v>
      </c>
      <c r="E64" s="73" t="s">
        <v>1080</v>
      </c>
      <c r="F64" s="73">
        <v>1</v>
      </c>
      <c r="G64" s="297">
        <v>184.22</v>
      </c>
      <c r="H64" s="297">
        <v>184.22</v>
      </c>
      <c r="I64" s="246" t="s">
        <v>3</v>
      </c>
      <c r="J64" s="69">
        <v>2</v>
      </c>
      <c r="K64" s="264"/>
      <c r="L64" s="69"/>
      <c r="M64" s="263">
        <v>184.22</v>
      </c>
      <c r="N64" s="70"/>
    </row>
    <row r="65" spans="1:14" x14ac:dyDescent="0.25">
      <c r="A65" s="73" t="str">
        <f>+IF(FromProposal[[#This Row],[Cost Code]]&lt;&gt;0,+'Gnatt Chart'!$A$2,"")</f>
        <v xml:space="preserve">Tim Flemming </v>
      </c>
      <c r="B65" s="71">
        <v>61</v>
      </c>
      <c r="C65" s="73" t="s">
        <v>1077</v>
      </c>
      <c r="D65" s="73" t="s">
        <v>1040</v>
      </c>
      <c r="E65" s="73" t="s">
        <v>1079</v>
      </c>
      <c r="F65" s="73">
        <v>1</v>
      </c>
      <c r="G65" s="297">
        <v>54</v>
      </c>
      <c r="H65" s="297">
        <v>54</v>
      </c>
      <c r="I65" s="246" t="s">
        <v>3</v>
      </c>
      <c r="J65" s="69">
        <v>2</v>
      </c>
      <c r="K65" s="264"/>
      <c r="L65" s="69"/>
      <c r="M65" s="263">
        <v>54</v>
      </c>
      <c r="N65" s="70"/>
    </row>
    <row r="66" spans="1:14" x14ac:dyDescent="0.25">
      <c r="A66" s="73" t="str">
        <f>+IF(FromProposal[[#This Row],[Cost Code]]&lt;&gt;0,+'Gnatt Chart'!$A$2,"")</f>
        <v xml:space="preserve">Tim Flemming </v>
      </c>
      <c r="B66" s="71">
        <v>62</v>
      </c>
      <c r="C66" s="73" t="s">
        <v>1077</v>
      </c>
      <c r="D66" s="73" t="s">
        <v>1042</v>
      </c>
      <c r="E66" s="73" t="s">
        <v>1041</v>
      </c>
      <c r="F66" s="73">
        <v>1</v>
      </c>
      <c r="G66" s="297"/>
      <c r="H66" s="297"/>
      <c r="I66" s="246" t="s">
        <v>3</v>
      </c>
      <c r="J66" s="69">
        <v>2</v>
      </c>
      <c r="K66" s="264"/>
      <c r="L66" s="69"/>
      <c r="M66" s="263"/>
      <c r="N66" s="70"/>
    </row>
    <row r="67" spans="1:14" x14ac:dyDescent="0.25">
      <c r="A67" s="73" t="str">
        <f>+IF(FromProposal[[#This Row],[Cost Code]]&lt;&gt;0,+'Gnatt Chart'!$A$2,"")</f>
        <v xml:space="preserve">Tim Flemming </v>
      </c>
      <c r="B67" s="71">
        <v>63</v>
      </c>
      <c r="C67" s="73" t="s">
        <v>1077</v>
      </c>
      <c r="D67" s="73" t="s">
        <v>1044</v>
      </c>
      <c r="E67" s="73" t="s">
        <v>1043</v>
      </c>
      <c r="F67" s="73">
        <v>1</v>
      </c>
      <c r="G67" s="297"/>
      <c r="H67" s="297"/>
      <c r="I67" s="246" t="s">
        <v>3</v>
      </c>
      <c r="J67" s="69">
        <v>2</v>
      </c>
      <c r="K67" s="264"/>
      <c r="L67" s="69"/>
      <c r="M67" s="263"/>
      <c r="N67" s="70"/>
    </row>
    <row r="68" spans="1:14" x14ac:dyDescent="0.25">
      <c r="A68" s="73" t="str">
        <f>+IF(FromProposal[[#This Row],[Cost Code]]&lt;&gt;0,+'Gnatt Chart'!$A$2,"")</f>
        <v xml:space="preserve">Tim Flemming </v>
      </c>
      <c r="B68" s="71">
        <v>64</v>
      </c>
      <c r="C68" s="73" t="s">
        <v>1077</v>
      </c>
      <c r="D68" s="73" t="s">
        <v>950</v>
      </c>
      <c r="E68" s="73" t="s">
        <v>1045</v>
      </c>
      <c r="F68" s="73">
        <v>1</v>
      </c>
      <c r="G68" s="297"/>
      <c r="H68" s="297"/>
      <c r="I68" s="246" t="s">
        <v>3</v>
      </c>
      <c r="J68" s="69">
        <v>2</v>
      </c>
      <c r="K68" s="264"/>
      <c r="L68" s="69"/>
      <c r="M68" s="263"/>
      <c r="N68" s="70"/>
    </row>
    <row r="69" spans="1:14" x14ac:dyDescent="0.25">
      <c r="A69" s="73" t="str">
        <f>+IF(FromProposal[[#This Row],[Cost Code]]&lt;&gt;0,+'Gnatt Chart'!$A$2,"")</f>
        <v xml:space="preserve">Tim Flemming </v>
      </c>
      <c r="B69" s="71">
        <v>65</v>
      </c>
      <c r="C69" s="73" t="s">
        <v>1077</v>
      </c>
      <c r="D69" s="73" t="s">
        <v>950</v>
      </c>
      <c r="E69" s="73" t="s">
        <v>1046</v>
      </c>
      <c r="F69" s="73">
        <v>1</v>
      </c>
      <c r="G69" s="297"/>
      <c r="H69" s="297"/>
      <c r="I69" s="246" t="s">
        <v>3</v>
      </c>
      <c r="J69" s="69">
        <v>2</v>
      </c>
      <c r="K69" s="264"/>
      <c r="L69" s="69"/>
      <c r="M69" s="263"/>
      <c r="N69" s="70"/>
    </row>
    <row r="70" spans="1:14" x14ac:dyDescent="0.25">
      <c r="A70" s="73" t="str">
        <f>+IF(FromProposal[[#This Row],[Cost Code]]&lt;&gt;0,+'Gnatt Chart'!$A$2,"")</f>
        <v xml:space="preserve">Tim Flemming </v>
      </c>
      <c r="B70" s="71">
        <v>66</v>
      </c>
      <c r="C70" s="73" t="s">
        <v>1077</v>
      </c>
      <c r="D70" s="73" t="s">
        <v>950</v>
      </c>
      <c r="E70" s="73" t="s">
        <v>1062</v>
      </c>
      <c r="F70" s="73">
        <v>1</v>
      </c>
      <c r="G70" s="297"/>
      <c r="H70" s="297"/>
      <c r="I70" s="246" t="s">
        <v>3</v>
      </c>
      <c r="J70" s="69">
        <v>2</v>
      </c>
      <c r="K70" s="264"/>
      <c r="L70" s="69"/>
      <c r="M70" s="263"/>
      <c r="N70" s="70"/>
    </row>
    <row r="71" spans="1:14" x14ac:dyDescent="0.25">
      <c r="A71" s="73" t="str">
        <f>+IF(FromProposal[[#This Row],[Cost Code]]&lt;&gt;0,+'Gnatt Chart'!$A$2,"")</f>
        <v xml:space="preserve">Tim Flemming </v>
      </c>
      <c r="B71" s="71">
        <v>67</v>
      </c>
      <c r="C71" s="73" t="s">
        <v>1077</v>
      </c>
      <c r="D71" s="73" t="s">
        <v>950</v>
      </c>
      <c r="E71" s="73" t="s">
        <v>1047</v>
      </c>
      <c r="F71" s="73">
        <v>1</v>
      </c>
      <c r="G71" s="297"/>
      <c r="H71" s="297"/>
      <c r="I71" s="246" t="s">
        <v>3</v>
      </c>
      <c r="J71" s="69">
        <v>2</v>
      </c>
      <c r="K71" s="264"/>
      <c r="L71" s="69"/>
      <c r="M71" s="263"/>
      <c r="N71" s="70"/>
    </row>
    <row r="72" spans="1:14" x14ac:dyDescent="0.25">
      <c r="A72" s="73" t="str">
        <f>+IF(FromProposal[[#This Row],[Cost Code]]&lt;&gt;0,+'Gnatt Chart'!$A$2,"")</f>
        <v xml:space="preserve">Tim Flemming </v>
      </c>
      <c r="B72" s="71">
        <v>68</v>
      </c>
      <c r="C72" s="73" t="s">
        <v>1077</v>
      </c>
      <c r="D72" s="73" t="s">
        <v>950</v>
      </c>
      <c r="E72" s="73" t="s">
        <v>1048</v>
      </c>
      <c r="F72" s="73">
        <v>1</v>
      </c>
      <c r="G72" s="297"/>
      <c r="H72" s="297"/>
      <c r="I72" s="246" t="s">
        <v>3</v>
      </c>
      <c r="J72" s="69">
        <v>2</v>
      </c>
      <c r="K72" s="264"/>
      <c r="L72" s="69"/>
      <c r="M72" s="263"/>
      <c r="N72" s="70"/>
    </row>
    <row r="73" spans="1:14" x14ac:dyDescent="0.25">
      <c r="A73" s="73" t="str">
        <f>+IF(FromProposal[[#This Row],[Cost Code]]&lt;&gt;0,+'Gnatt Chart'!$A$2,"")</f>
        <v xml:space="preserve">Tim Flemming </v>
      </c>
      <c r="B73" s="71">
        <v>69</v>
      </c>
      <c r="C73" s="73" t="s">
        <v>1077</v>
      </c>
      <c r="D73" s="73" t="s">
        <v>1061</v>
      </c>
      <c r="E73" s="73" t="s">
        <v>1049</v>
      </c>
      <c r="F73" s="73">
        <v>1</v>
      </c>
      <c r="G73" s="297">
        <v>1598.03</v>
      </c>
      <c r="H73" s="297">
        <v>1598.03</v>
      </c>
      <c r="I73" s="246" t="s">
        <v>3</v>
      </c>
      <c r="J73" s="69">
        <v>2</v>
      </c>
      <c r="K73" s="264"/>
      <c r="L73" s="69"/>
      <c r="M73" s="263">
        <v>1598.03</v>
      </c>
      <c r="N73" s="70"/>
    </row>
    <row r="74" spans="1:14" x14ac:dyDescent="0.25">
      <c r="A74" s="73" t="str">
        <f>+IF(FromProposal[[#This Row],[Cost Code]]&lt;&gt;0,+'Gnatt Chart'!$A$2,"")</f>
        <v xml:space="preserve">Tim Flemming </v>
      </c>
      <c r="B74" s="71">
        <v>70</v>
      </c>
      <c r="C74" s="73" t="s">
        <v>1077</v>
      </c>
      <c r="D74" s="73" t="s">
        <v>1060</v>
      </c>
      <c r="E74" s="73" t="s">
        <v>1050</v>
      </c>
      <c r="F74" s="73">
        <v>1</v>
      </c>
      <c r="G74" s="297"/>
      <c r="H74" s="297"/>
      <c r="I74" s="246" t="s">
        <v>3</v>
      </c>
      <c r="J74" s="69">
        <v>2</v>
      </c>
      <c r="K74" s="264"/>
      <c r="L74" s="69"/>
      <c r="M74" s="263"/>
      <c r="N74" s="70"/>
    </row>
    <row r="75" spans="1:14" x14ac:dyDescent="0.25">
      <c r="A75" s="73" t="str">
        <f>+IF(FromProposal[[#This Row],[Cost Code]]&lt;&gt;0,+'Gnatt Chart'!$A$2,"")</f>
        <v xml:space="preserve">Tim Flemming </v>
      </c>
      <c r="B75" s="71">
        <v>71</v>
      </c>
      <c r="C75" s="73" t="s">
        <v>1077</v>
      </c>
      <c r="D75" s="73" t="s">
        <v>1060</v>
      </c>
      <c r="E75" s="73" t="s">
        <v>1051</v>
      </c>
      <c r="F75" s="73">
        <v>1</v>
      </c>
      <c r="G75" s="297"/>
      <c r="H75" s="297"/>
      <c r="I75" s="246" t="s">
        <v>3</v>
      </c>
      <c r="J75" s="69">
        <v>2</v>
      </c>
      <c r="K75" s="264"/>
      <c r="L75" s="69"/>
      <c r="M75" s="263"/>
      <c r="N75" s="70"/>
    </row>
    <row r="76" spans="1:14" x14ac:dyDescent="0.25">
      <c r="A76" s="73" t="str">
        <f>+IF(FromProposal[[#This Row],[Cost Code]]&lt;&gt;0,+'Gnatt Chart'!$A$2,"")</f>
        <v xml:space="preserve">Tim Flemming </v>
      </c>
      <c r="B76" s="71">
        <v>72</v>
      </c>
      <c r="C76" s="73" t="s">
        <v>1077</v>
      </c>
      <c r="D76" s="73" t="s">
        <v>1060</v>
      </c>
      <c r="E76" s="73" t="s">
        <v>1052</v>
      </c>
      <c r="F76" s="73">
        <v>1</v>
      </c>
      <c r="G76" s="297"/>
      <c r="H76" s="297"/>
      <c r="I76" s="246" t="s">
        <v>3</v>
      </c>
      <c r="J76" s="69">
        <v>2</v>
      </c>
      <c r="K76" s="264"/>
      <c r="L76" s="69"/>
      <c r="M76" s="263"/>
      <c r="N76" s="70"/>
    </row>
    <row r="77" spans="1:14" x14ac:dyDescent="0.25">
      <c r="A77" s="73" t="str">
        <f>+IF(FromProposal[[#This Row],[Cost Code]]&lt;&gt;0,+'Gnatt Chart'!$A$2,"")</f>
        <v xml:space="preserve">Tim Flemming </v>
      </c>
      <c r="B77" s="71">
        <v>73</v>
      </c>
      <c r="C77" s="73" t="s">
        <v>1077</v>
      </c>
      <c r="D77" s="73" t="s">
        <v>1059</v>
      </c>
      <c r="E77" s="73" t="s">
        <v>1053</v>
      </c>
      <c r="F77" s="73">
        <v>1</v>
      </c>
      <c r="G77" s="297"/>
      <c r="H77" s="297"/>
      <c r="I77" s="246" t="s">
        <v>3</v>
      </c>
      <c r="J77" s="69">
        <v>2</v>
      </c>
      <c r="K77" s="264"/>
      <c r="L77" s="69"/>
      <c r="M77" s="263"/>
      <c r="N77" s="70"/>
    </row>
    <row r="78" spans="1:14" x14ac:dyDescent="0.25">
      <c r="A78" s="73" t="str">
        <f>+IF(FromProposal[[#This Row],[Cost Code]]&lt;&gt;0,+'Gnatt Chart'!$A$2,"")</f>
        <v xml:space="preserve">Tim Flemming </v>
      </c>
      <c r="B78" s="71">
        <v>74</v>
      </c>
      <c r="C78" s="73" t="s">
        <v>1077</v>
      </c>
      <c r="D78" s="73" t="s">
        <v>1058</v>
      </c>
      <c r="E78" s="73" t="s">
        <v>1054</v>
      </c>
      <c r="F78" s="73">
        <v>1</v>
      </c>
      <c r="G78" s="297"/>
      <c r="H78" s="297"/>
      <c r="I78" s="246" t="s">
        <v>3</v>
      </c>
      <c r="J78" s="69">
        <v>2</v>
      </c>
      <c r="K78" s="264"/>
      <c r="L78" s="69"/>
      <c r="M78" s="263"/>
      <c r="N78" s="70"/>
    </row>
    <row r="79" spans="1:14" x14ac:dyDescent="0.25">
      <c r="A79" s="73" t="str">
        <f>+IF(FromProposal[[#This Row],[Cost Code]]&lt;&gt;0,+'Gnatt Chart'!$A$2,"")</f>
        <v xml:space="preserve">Tim Flemming </v>
      </c>
      <c r="B79" s="71">
        <v>75</v>
      </c>
      <c r="C79" s="73" t="s">
        <v>1077</v>
      </c>
      <c r="D79" s="73" t="s">
        <v>211</v>
      </c>
      <c r="E79" s="73" t="s">
        <v>1055</v>
      </c>
      <c r="F79" s="73">
        <v>1</v>
      </c>
      <c r="G79" s="297"/>
      <c r="H79" s="297"/>
      <c r="I79" s="246" t="s">
        <v>3</v>
      </c>
      <c r="J79" s="69">
        <v>2</v>
      </c>
      <c r="K79" s="264"/>
      <c r="L79" s="69"/>
      <c r="M79" s="263"/>
      <c r="N79" s="70"/>
    </row>
    <row r="80" spans="1:14" x14ac:dyDescent="0.25">
      <c r="A80" s="73" t="str">
        <f>+IF(FromProposal[[#This Row],[Cost Code]]&lt;&gt;0,+'Gnatt Chart'!$A$2,"")</f>
        <v xml:space="preserve">Tim Flemming </v>
      </c>
      <c r="B80" s="71">
        <v>76</v>
      </c>
      <c r="C80" s="73" t="s">
        <v>1077</v>
      </c>
      <c r="D80" s="73" t="s">
        <v>1071</v>
      </c>
      <c r="E80" s="73" t="s">
        <v>1067</v>
      </c>
      <c r="F80" s="73">
        <v>1</v>
      </c>
      <c r="G80" s="297"/>
      <c r="H80" s="297"/>
      <c r="I80" s="246" t="s">
        <v>3</v>
      </c>
      <c r="J80" s="69">
        <v>2</v>
      </c>
      <c r="K80" s="264"/>
      <c r="L80" s="69"/>
      <c r="M80" s="263"/>
      <c r="N80" s="70"/>
    </row>
    <row r="81" spans="1:14" x14ac:dyDescent="0.25">
      <c r="A81" s="73" t="str">
        <f>+IF(FromProposal[[#This Row],[Cost Code]]&lt;&gt;0,+'Gnatt Chart'!$A$2,"")</f>
        <v xml:space="preserve">Tim Flemming </v>
      </c>
      <c r="B81" s="71">
        <v>77</v>
      </c>
      <c r="C81" s="73" t="s">
        <v>1077</v>
      </c>
      <c r="D81" s="73" t="s">
        <v>1072</v>
      </c>
      <c r="E81" s="73" t="s">
        <v>1068</v>
      </c>
      <c r="F81" s="73">
        <v>1</v>
      </c>
      <c r="G81" s="297"/>
      <c r="H81" s="297"/>
      <c r="I81" s="246" t="s">
        <v>3</v>
      </c>
      <c r="J81" s="69">
        <v>2</v>
      </c>
      <c r="K81" s="264"/>
      <c r="L81" s="69"/>
      <c r="M81" s="263"/>
      <c r="N81" s="70"/>
    </row>
    <row r="82" spans="1:14" x14ac:dyDescent="0.25">
      <c r="A82" s="73" t="str">
        <f>+IF(FromProposal[[#This Row],[Cost Code]]&lt;&gt;0,+'Gnatt Chart'!$A$2,"")</f>
        <v xml:space="preserve">Tim Flemming </v>
      </c>
      <c r="B82" s="71">
        <v>78</v>
      </c>
      <c r="C82" s="73" t="s">
        <v>1077</v>
      </c>
      <c r="D82" s="73" t="s">
        <v>1044</v>
      </c>
      <c r="E82" s="73" t="s">
        <v>1069</v>
      </c>
      <c r="F82" s="73">
        <v>1</v>
      </c>
      <c r="G82" s="297"/>
      <c r="H82" s="297"/>
      <c r="I82" s="246" t="s">
        <v>3</v>
      </c>
      <c r="J82" s="69">
        <v>2</v>
      </c>
      <c r="K82" s="264"/>
      <c r="L82" s="69"/>
      <c r="M82" s="263"/>
      <c r="N82" s="70"/>
    </row>
    <row r="83" spans="1:14" x14ac:dyDescent="0.25">
      <c r="A83" s="73" t="str">
        <f>+IF(FromProposal[[#This Row],[Cost Code]]&lt;&gt;0,+'Gnatt Chart'!$A$2,"")</f>
        <v xml:space="preserve">Tim Flemming </v>
      </c>
      <c r="B83" s="71">
        <v>79</v>
      </c>
      <c r="C83" s="73" t="s">
        <v>1077</v>
      </c>
      <c r="D83" s="73" t="s">
        <v>1044</v>
      </c>
      <c r="E83" s="73" t="s">
        <v>1070</v>
      </c>
      <c r="F83" s="73">
        <v>1</v>
      </c>
      <c r="G83" s="297"/>
      <c r="H83" s="297"/>
      <c r="I83" s="246" t="s">
        <v>3</v>
      </c>
      <c r="J83" s="69">
        <v>2</v>
      </c>
      <c r="K83" s="264"/>
      <c r="L83" s="69"/>
      <c r="M83" s="263"/>
      <c r="N83" s="70"/>
    </row>
    <row r="84" spans="1:14" x14ac:dyDescent="0.25">
      <c r="A84" s="73" t="str">
        <f>+IF(FromProposal[[#This Row],[Cost Code]]&lt;&gt;0,+'Gnatt Chart'!$A$2,"")</f>
        <v xml:space="preserve">Tim Flemming </v>
      </c>
      <c r="B84" s="71">
        <v>80</v>
      </c>
      <c r="C84" s="73" t="s">
        <v>1077</v>
      </c>
      <c r="D84" s="73" t="s">
        <v>1073</v>
      </c>
      <c r="E84" s="73" t="s">
        <v>1063</v>
      </c>
      <c r="F84" s="73">
        <v>1</v>
      </c>
      <c r="G84" s="297"/>
      <c r="H84" s="297"/>
      <c r="I84" s="246" t="s">
        <v>3</v>
      </c>
      <c r="J84" s="69">
        <v>2</v>
      </c>
      <c r="K84" s="264"/>
      <c r="L84" s="69"/>
      <c r="M84" s="263"/>
      <c r="N84" s="70"/>
    </row>
    <row r="85" spans="1:14" x14ac:dyDescent="0.25">
      <c r="A85" s="73" t="str">
        <f>+IF(FromProposal[[#This Row],[Cost Code]]&lt;&gt;0,+'Gnatt Chart'!$A$2,"")</f>
        <v xml:space="preserve">Tim Flemming </v>
      </c>
      <c r="B85" s="71">
        <v>81</v>
      </c>
      <c r="C85" s="73" t="s">
        <v>1077</v>
      </c>
      <c r="D85" s="73" t="s">
        <v>1073</v>
      </c>
      <c r="E85" s="73" t="s">
        <v>1065</v>
      </c>
      <c r="F85" s="73">
        <v>1</v>
      </c>
      <c r="G85" s="297"/>
      <c r="H85" s="297"/>
      <c r="I85" s="246" t="s">
        <v>3</v>
      </c>
      <c r="J85" s="69">
        <v>2</v>
      </c>
      <c r="K85" s="264"/>
      <c r="L85" s="69"/>
      <c r="M85" s="263"/>
      <c r="N85" s="70"/>
    </row>
    <row r="86" spans="1:14" x14ac:dyDescent="0.25">
      <c r="A86" s="73" t="str">
        <f>+IF(FromProposal[[#This Row],[Cost Code]]&lt;&gt;0,+'Gnatt Chart'!$A$2,"")</f>
        <v xml:space="preserve">Tim Flemming </v>
      </c>
      <c r="B86" s="71">
        <v>82</v>
      </c>
      <c r="C86" s="73" t="s">
        <v>1077</v>
      </c>
      <c r="D86" s="73" t="s">
        <v>1073</v>
      </c>
      <c r="E86" s="73" t="s">
        <v>1064</v>
      </c>
      <c r="F86" s="73">
        <v>1</v>
      </c>
      <c r="G86" s="297"/>
      <c r="H86" s="297"/>
      <c r="I86" s="246" t="s">
        <v>3</v>
      </c>
      <c r="J86" s="69">
        <v>2</v>
      </c>
      <c r="K86" s="264"/>
      <c r="L86" s="69"/>
      <c r="M86" s="263"/>
      <c r="N86" s="70"/>
    </row>
    <row r="87" spans="1:14" x14ac:dyDescent="0.25">
      <c r="A87" s="73" t="str">
        <f>+IF(FromProposal[[#This Row],[Cost Code]]&lt;&gt;0,+'Gnatt Chart'!$A$2,"")</f>
        <v xml:space="preserve">Tim Flemming </v>
      </c>
      <c r="B87" s="71">
        <v>83</v>
      </c>
      <c r="C87" s="73" t="s">
        <v>1077</v>
      </c>
      <c r="D87" s="73" t="s">
        <v>1057</v>
      </c>
      <c r="E87" s="73" t="s">
        <v>1056</v>
      </c>
      <c r="F87" s="73">
        <v>1</v>
      </c>
      <c r="G87" s="297">
        <v>1595</v>
      </c>
      <c r="H87" s="297">
        <v>1595</v>
      </c>
      <c r="I87" s="246" t="s">
        <v>3</v>
      </c>
      <c r="J87" s="69">
        <v>2</v>
      </c>
      <c r="K87" s="264"/>
      <c r="L87" s="69"/>
      <c r="M87" s="263">
        <v>1595</v>
      </c>
      <c r="N87" s="70"/>
    </row>
    <row r="88" spans="1:14" x14ac:dyDescent="0.25">
      <c r="A88" s="73" t="str">
        <f>+IF(FromProposal[[#This Row],[Cost Code]]&lt;&gt;0,+'Gnatt Chart'!$A$2,"")</f>
        <v xml:space="preserve">Tim Flemming </v>
      </c>
      <c r="B88" s="71">
        <v>84</v>
      </c>
      <c r="C88" s="73" t="s">
        <v>1077</v>
      </c>
      <c r="D88" s="73" t="s">
        <v>1073</v>
      </c>
      <c r="E88" s="73" t="s">
        <v>1066</v>
      </c>
      <c r="F88" s="73">
        <v>1</v>
      </c>
      <c r="G88" s="297"/>
      <c r="H88" s="297"/>
      <c r="I88" s="246" t="s">
        <v>3</v>
      </c>
      <c r="J88" s="69">
        <v>2</v>
      </c>
      <c r="K88" s="264"/>
      <c r="L88" s="69"/>
      <c r="M88" s="263"/>
      <c r="N88" s="70"/>
    </row>
    <row r="89" spans="1:14" x14ac:dyDescent="0.25">
      <c r="A89" s="73" t="str">
        <f>+IF(FromProposal[[#This Row],[Cost Code]]&lt;&gt;0,+'Gnatt Chart'!$A$2,"")</f>
        <v xml:space="preserve">Tim Flemming </v>
      </c>
      <c r="B89" s="71">
        <v>85</v>
      </c>
      <c r="C89" s="73" t="s">
        <v>1077</v>
      </c>
      <c r="D89" s="73" t="s">
        <v>1074</v>
      </c>
      <c r="E89" s="73" t="s">
        <v>1075</v>
      </c>
      <c r="F89" s="73">
        <v>1</v>
      </c>
      <c r="G89" s="297">
        <v>250</v>
      </c>
      <c r="H89" s="297">
        <v>250</v>
      </c>
      <c r="I89" s="246" t="s">
        <v>3</v>
      </c>
      <c r="J89" s="69">
        <v>2</v>
      </c>
      <c r="K89" s="264"/>
      <c r="L89" s="69"/>
      <c r="M89" s="263">
        <v>250</v>
      </c>
      <c r="N89" s="70"/>
    </row>
    <row r="90" spans="1:14" x14ac:dyDescent="0.25">
      <c r="G90" s="73"/>
      <c r="H90" s="73"/>
      <c r="K90" s="261"/>
    </row>
    <row r="91" spans="1:14" x14ac:dyDescent="0.25">
      <c r="G91" s="73"/>
      <c r="H91" s="73"/>
      <c r="K91" s="261"/>
    </row>
    <row r="92" spans="1:14" x14ac:dyDescent="0.25">
      <c r="G92" s="73"/>
      <c r="H92" s="73"/>
      <c r="K92" s="261"/>
    </row>
    <row r="93" spans="1:14" x14ac:dyDescent="0.25">
      <c r="G93" s="73"/>
      <c r="H93" s="73"/>
      <c r="K93" s="261"/>
    </row>
    <row r="94" spans="1:14" x14ac:dyDescent="0.25">
      <c r="G94" s="73"/>
      <c r="H94" s="73"/>
      <c r="K94" s="261"/>
    </row>
    <row r="95" spans="1:14" x14ac:dyDescent="0.25">
      <c r="G95" s="73"/>
      <c r="H95" s="73"/>
      <c r="K95" s="261"/>
    </row>
    <row r="96" spans="1:14" x14ac:dyDescent="0.25">
      <c r="G96" s="73"/>
      <c r="H96" s="73"/>
      <c r="K96" s="261"/>
    </row>
    <row r="97" spans="7:11" x14ac:dyDescent="0.25">
      <c r="G97" s="73"/>
      <c r="H97" s="73"/>
      <c r="K97" s="261"/>
    </row>
    <row r="98" spans="7:11" x14ac:dyDescent="0.25">
      <c r="G98" s="73"/>
      <c r="H98" s="73"/>
      <c r="K98" s="261"/>
    </row>
    <row r="99" spans="7:11" x14ac:dyDescent="0.25">
      <c r="G99" s="73"/>
      <c r="H99" s="73"/>
      <c r="K99" s="261"/>
    </row>
    <row r="100" spans="7:11" x14ac:dyDescent="0.25">
      <c r="G100" s="73"/>
      <c r="H100" s="73"/>
      <c r="K100" s="261"/>
    </row>
    <row r="101" spans="7:11" x14ac:dyDescent="0.25">
      <c r="G101" s="73"/>
      <c r="H101" s="73"/>
      <c r="K101" s="261"/>
    </row>
    <row r="102" spans="7:11" x14ac:dyDescent="0.25">
      <c r="G102" s="73"/>
      <c r="H102" s="73"/>
      <c r="K102" s="261"/>
    </row>
    <row r="103" spans="7:11" x14ac:dyDescent="0.25">
      <c r="G103" s="73"/>
      <c r="H103" s="73"/>
      <c r="K103" s="261"/>
    </row>
    <row r="104" spans="7:11" x14ac:dyDescent="0.25">
      <c r="G104" s="73"/>
      <c r="H104" s="73"/>
      <c r="K104" s="261"/>
    </row>
    <row r="105" spans="7:11" x14ac:dyDescent="0.25">
      <c r="G105" s="73"/>
      <c r="H105" s="73"/>
      <c r="K105" s="261"/>
    </row>
    <row r="106" spans="7:11" x14ac:dyDescent="0.25">
      <c r="G106" s="73"/>
      <c r="H106" s="73"/>
      <c r="K106" s="261"/>
    </row>
    <row r="107" spans="7:11" x14ac:dyDescent="0.25">
      <c r="G107" s="73"/>
      <c r="H107" s="73"/>
      <c r="K107" s="261"/>
    </row>
    <row r="108" spans="7:11" x14ac:dyDescent="0.25">
      <c r="G108" s="73"/>
      <c r="H108" s="73"/>
      <c r="K108" s="261"/>
    </row>
    <row r="109" spans="7:11" x14ac:dyDescent="0.25">
      <c r="G109" s="73"/>
      <c r="H109" s="73"/>
      <c r="K109" s="261"/>
    </row>
    <row r="110" spans="7:11" x14ac:dyDescent="0.25">
      <c r="G110" s="73"/>
      <c r="H110" s="73"/>
      <c r="K110" s="261"/>
    </row>
    <row r="111" spans="7:11" x14ac:dyDescent="0.25">
      <c r="G111" s="73"/>
      <c r="H111" s="73"/>
      <c r="K111" s="261"/>
    </row>
    <row r="112" spans="7:11" x14ac:dyDescent="0.25">
      <c r="G112" s="73"/>
      <c r="H112" s="73"/>
      <c r="K112" s="261"/>
    </row>
    <row r="113" spans="7:11" x14ac:dyDescent="0.25">
      <c r="G113" s="73"/>
      <c r="H113" s="73"/>
      <c r="K113" s="261"/>
    </row>
    <row r="114" spans="7:11" x14ac:dyDescent="0.25">
      <c r="G114" s="73"/>
      <c r="H114" s="73"/>
      <c r="K114" s="261"/>
    </row>
    <row r="115" spans="7:11" x14ac:dyDescent="0.25">
      <c r="G115" s="73"/>
      <c r="H115" s="73"/>
      <c r="K115" s="261"/>
    </row>
    <row r="116" spans="7:11" x14ac:dyDescent="0.25">
      <c r="G116" s="73"/>
      <c r="H116" s="73"/>
      <c r="K116" s="261"/>
    </row>
    <row r="117" spans="7:11" x14ac:dyDescent="0.25">
      <c r="G117" s="73"/>
      <c r="H117" s="73"/>
      <c r="K117" s="261"/>
    </row>
    <row r="118" spans="7:11" x14ac:dyDescent="0.25">
      <c r="G118" s="73"/>
      <c r="H118" s="73"/>
      <c r="K118" s="261"/>
    </row>
    <row r="119" spans="7:11" x14ac:dyDescent="0.25">
      <c r="G119" s="73"/>
      <c r="H119" s="73"/>
      <c r="K119" s="261"/>
    </row>
    <row r="120" spans="7:11" x14ac:dyDescent="0.25">
      <c r="G120" s="73"/>
      <c r="H120" s="73"/>
      <c r="K120" s="261"/>
    </row>
    <row r="121" spans="7:11" x14ac:dyDescent="0.25">
      <c r="G121" s="73"/>
      <c r="H121" s="73"/>
      <c r="K121" s="261"/>
    </row>
    <row r="122" spans="7:11" x14ac:dyDescent="0.25">
      <c r="G122" s="73"/>
      <c r="H122" s="73"/>
      <c r="K122" s="261"/>
    </row>
    <row r="123" spans="7:11" x14ac:dyDescent="0.25">
      <c r="G123" s="73"/>
      <c r="H123" s="73"/>
      <c r="K123" s="261"/>
    </row>
    <row r="124" spans="7:11" x14ac:dyDescent="0.25">
      <c r="G124" s="73"/>
      <c r="H124" s="73"/>
      <c r="K124" s="261"/>
    </row>
    <row r="125" spans="7:11" x14ac:dyDescent="0.25">
      <c r="G125" s="73"/>
      <c r="H125" s="73"/>
      <c r="K125" s="261"/>
    </row>
    <row r="126" spans="7:11" x14ac:dyDescent="0.25">
      <c r="G126" s="73"/>
      <c r="H126" s="73"/>
      <c r="K126" s="261"/>
    </row>
    <row r="127" spans="7:11" x14ac:dyDescent="0.25">
      <c r="G127" s="73"/>
      <c r="H127" s="73"/>
      <c r="K127" s="261"/>
    </row>
    <row r="128" spans="7:11" x14ac:dyDescent="0.25">
      <c r="G128" s="73"/>
      <c r="H128" s="73"/>
      <c r="K128" s="261"/>
    </row>
    <row r="129" spans="7:11" x14ac:dyDescent="0.25">
      <c r="G129" s="73"/>
      <c r="H129" s="73"/>
      <c r="K129" s="261"/>
    </row>
    <row r="130" spans="7:11" x14ac:dyDescent="0.25">
      <c r="G130" s="73"/>
      <c r="H130" s="73"/>
      <c r="K130" s="261"/>
    </row>
    <row r="131" spans="7:11" x14ac:dyDescent="0.25">
      <c r="K131" s="261"/>
    </row>
    <row r="132" spans="7:11" x14ac:dyDescent="0.25">
      <c r="K132" s="261"/>
    </row>
    <row r="133" spans="7:11" x14ac:dyDescent="0.25">
      <c r="K133" s="261"/>
    </row>
    <row r="134" spans="7:11" x14ac:dyDescent="0.25">
      <c r="K134" s="261"/>
    </row>
    <row r="135" spans="7:11" x14ac:dyDescent="0.25">
      <c r="K135" s="261"/>
    </row>
    <row r="136" spans="7:11" x14ac:dyDescent="0.25">
      <c r="K136" s="261"/>
    </row>
    <row r="137" spans="7:11" x14ac:dyDescent="0.25">
      <c r="K137" s="261"/>
    </row>
    <row r="138" spans="7:11" x14ac:dyDescent="0.25">
      <c r="K138" s="261"/>
    </row>
    <row r="139" spans="7:11" x14ac:dyDescent="0.25">
      <c r="K139" s="261"/>
    </row>
    <row r="140" spans="7:11" x14ac:dyDescent="0.25">
      <c r="K140" s="261"/>
    </row>
    <row r="141" spans="7:11" x14ac:dyDescent="0.25">
      <c r="K141" s="261"/>
    </row>
    <row r="142" spans="7:11" x14ac:dyDescent="0.25">
      <c r="K142" s="261"/>
    </row>
    <row r="143" spans="7:11" x14ac:dyDescent="0.25">
      <c r="K143" s="261"/>
    </row>
    <row r="144" spans="7:11" x14ac:dyDescent="0.25">
      <c r="K144" s="261"/>
    </row>
    <row r="145" spans="11:11" x14ac:dyDescent="0.25">
      <c r="K145" s="261"/>
    </row>
    <row r="146" spans="11:11" x14ac:dyDescent="0.25">
      <c r="K146" s="261"/>
    </row>
    <row r="147" spans="11:11" x14ac:dyDescent="0.25">
      <c r="K147" s="261"/>
    </row>
    <row r="148" spans="11:11" x14ac:dyDescent="0.25">
      <c r="K148" s="261"/>
    </row>
    <row r="149" spans="11:11" x14ac:dyDescent="0.25">
      <c r="K149" s="261"/>
    </row>
    <row r="150" spans="11:11" x14ac:dyDescent="0.25">
      <c r="K150" s="261"/>
    </row>
    <row r="151" spans="11:11" x14ac:dyDescent="0.25">
      <c r="K151" s="261"/>
    </row>
    <row r="152" spans="11:11" x14ac:dyDescent="0.25">
      <c r="K152" s="261"/>
    </row>
    <row r="153" spans="11:11" x14ac:dyDescent="0.25">
      <c r="K153" s="261"/>
    </row>
    <row r="154" spans="11:11" x14ac:dyDescent="0.25">
      <c r="K154" s="261"/>
    </row>
    <row r="155" spans="11:11" x14ac:dyDescent="0.25">
      <c r="K155" s="261"/>
    </row>
    <row r="156" spans="11:11" x14ac:dyDescent="0.25">
      <c r="K156" s="261"/>
    </row>
    <row r="157" spans="11:11" x14ac:dyDescent="0.25">
      <c r="K157" s="261"/>
    </row>
    <row r="158" spans="11:11" x14ac:dyDescent="0.25">
      <c r="K158" s="261"/>
    </row>
    <row r="159" spans="11:11" x14ac:dyDescent="0.25">
      <c r="K159" s="261"/>
    </row>
    <row r="160" spans="11:11" x14ac:dyDescent="0.25">
      <c r="K160" s="261"/>
    </row>
    <row r="161" spans="11:11" x14ac:dyDescent="0.25">
      <c r="K161" s="261"/>
    </row>
    <row r="162" spans="11:11" x14ac:dyDescent="0.25">
      <c r="K162" s="261"/>
    </row>
    <row r="163" spans="11:11" x14ac:dyDescent="0.25">
      <c r="K163" s="261"/>
    </row>
    <row r="164" spans="11:11" x14ac:dyDescent="0.25">
      <c r="K164" s="261"/>
    </row>
    <row r="165" spans="11:11" x14ac:dyDescent="0.25">
      <c r="K165" s="261"/>
    </row>
    <row r="166" spans="11:11" x14ac:dyDescent="0.25">
      <c r="K166" s="261"/>
    </row>
    <row r="167" spans="11:11" x14ac:dyDescent="0.25">
      <c r="K167" s="261"/>
    </row>
    <row r="168" spans="11:11" x14ac:dyDescent="0.25">
      <c r="K168" s="261"/>
    </row>
    <row r="169" spans="11:11" x14ac:dyDescent="0.25">
      <c r="K169" s="261"/>
    </row>
    <row r="170" spans="11:11" x14ac:dyDescent="0.25">
      <c r="K170" s="261"/>
    </row>
    <row r="171" spans="11:11" x14ac:dyDescent="0.25">
      <c r="K171" s="261"/>
    </row>
    <row r="172" spans="11:11" x14ac:dyDescent="0.25">
      <c r="K172" s="261"/>
    </row>
    <row r="173" spans="11:11" x14ac:dyDescent="0.25">
      <c r="K173" s="261"/>
    </row>
    <row r="174" spans="11:11" x14ac:dyDescent="0.25">
      <c r="K174" s="261"/>
    </row>
    <row r="175" spans="11:11" x14ac:dyDescent="0.25">
      <c r="K175" s="261"/>
    </row>
    <row r="176" spans="11:11" x14ac:dyDescent="0.25">
      <c r="K176" s="261"/>
    </row>
    <row r="177" spans="11:11" x14ac:dyDescent="0.25">
      <c r="K177" s="261"/>
    </row>
    <row r="178" spans="11:11" x14ac:dyDescent="0.25">
      <c r="K178" s="261"/>
    </row>
    <row r="179" spans="11:11" x14ac:dyDescent="0.25">
      <c r="K179" s="261"/>
    </row>
    <row r="180" spans="11:11" x14ac:dyDescent="0.25">
      <c r="K180" s="261"/>
    </row>
    <row r="181" spans="11:11" x14ac:dyDescent="0.25">
      <c r="K181" s="261"/>
    </row>
    <row r="182" spans="11:11" x14ac:dyDescent="0.25">
      <c r="K182" s="261"/>
    </row>
    <row r="183" spans="11:11" x14ac:dyDescent="0.25">
      <c r="K183" s="261"/>
    </row>
    <row r="184" spans="11:11" x14ac:dyDescent="0.25">
      <c r="K184" s="261"/>
    </row>
    <row r="185" spans="11:11" x14ac:dyDescent="0.25">
      <c r="K185" s="261"/>
    </row>
    <row r="186" spans="11:11" x14ac:dyDescent="0.25">
      <c r="K186" s="261"/>
    </row>
    <row r="187" spans="11:11" x14ac:dyDescent="0.25">
      <c r="K187" s="261"/>
    </row>
    <row r="188" spans="11:11" x14ac:dyDescent="0.25">
      <c r="K188" s="261"/>
    </row>
    <row r="189" spans="11:11" x14ac:dyDescent="0.25">
      <c r="K189" s="261"/>
    </row>
    <row r="190" spans="11:11" x14ac:dyDescent="0.25">
      <c r="K190" s="261"/>
    </row>
    <row r="191" spans="11:11" x14ac:dyDescent="0.25">
      <c r="K191" s="261"/>
    </row>
    <row r="192" spans="11:11" x14ac:dyDescent="0.25">
      <c r="K192" s="261"/>
    </row>
    <row r="193" spans="11:11" x14ac:dyDescent="0.25">
      <c r="K193" s="261"/>
    </row>
    <row r="194" spans="11:11" x14ac:dyDescent="0.25">
      <c r="K194" s="261"/>
    </row>
    <row r="195" spans="11:11" x14ac:dyDescent="0.25">
      <c r="K195" s="261"/>
    </row>
    <row r="196" spans="11:11" x14ac:dyDescent="0.25">
      <c r="K196" s="261"/>
    </row>
    <row r="197" spans="11:11" x14ac:dyDescent="0.25">
      <c r="K197" s="261"/>
    </row>
    <row r="198" spans="11:11" x14ac:dyDescent="0.25">
      <c r="K198" s="261"/>
    </row>
    <row r="199" spans="11:11" x14ac:dyDescent="0.25">
      <c r="K199" s="261"/>
    </row>
    <row r="200" spans="11:11" x14ac:dyDescent="0.25">
      <c r="K200" s="261"/>
    </row>
    <row r="201" spans="11:11" x14ac:dyDescent="0.25">
      <c r="K201" s="261"/>
    </row>
    <row r="202" spans="11:11" x14ac:dyDescent="0.25">
      <c r="K202" s="261"/>
    </row>
    <row r="203" spans="11:11" x14ac:dyDescent="0.25">
      <c r="K203" s="261"/>
    </row>
    <row r="204" spans="11:11" x14ac:dyDescent="0.25">
      <c r="K204" s="261"/>
    </row>
    <row r="205" spans="11:11" x14ac:dyDescent="0.25">
      <c r="K205" s="261"/>
    </row>
    <row r="206" spans="11:11" x14ac:dyDescent="0.25">
      <c r="K206" s="261"/>
    </row>
    <row r="207" spans="11:11" x14ac:dyDescent="0.25">
      <c r="K207" s="261"/>
    </row>
    <row r="208" spans="11:11" x14ac:dyDescent="0.25">
      <c r="K208" s="261"/>
    </row>
    <row r="209" spans="11:11" x14ac:dyDescent="0.25">
      <c r="K209" s="261"/>
    </row>
    <row r="210" spans="11:11" x14ac:dyDescent="0.25">
      <c r="K210" s="261"/>
    </row>
    <row r="211" spans="11:11" x14ac:dyDescent="0.25">
      <c r="K211" s="261"/>
    </row>
    <row r="212" spans="11:11" x14ac:dyDescent="0.25">
      <c r="K212" s="261"/>
    </row>
    <row r="213" spans="11:11" x14ac:dyDescent="0.25">
      <c r="K213" s="261"/>
    </row>
    <row r="214" spans="11:11" x14ac:dyDescent="0.25">
      <c r="K214" s="261"/>
    </row>
    <row r="215" spans="11:11" x14ac:dyDescent="0.25">
      <c r="K215" s="261"/>
    </row>
    <row r="216" spans="11:11" x14ac:dyDescent="0.25">
      <c r="K216" s="261"/>
    </row>
    <row r="217" spans="11:11" x14ac:dyDescent="0.25">
      <c r="K217" s="261"/>
    </row>
    <row r="218" spans="11:11" x14ac:dyDescent="0.25">
      <c r="K218" s="261"/>
    </row>
    <row r="219" spans="11:11" x14ac:dyDescent="0.25">
      <c r="K219" s="261"/>
    </row>
    <row r="220" spans="11:11" x14ac:dyDescent="0.25">
      <c r="K220" s="261"/>
    </row>
    <row r="221" spans="11:11" x14ac:dyDescent="0.25">
      <c r="K221" s="261"/>
    </row>
    <row r="222" spans="11:11" x14ac:dyDescent="0.25">
      <c r="K222" s="261"/>
    </row>
    <row r="223" spans="11:11" x14ac:dyDescent="0.25">
      <c r="K223" s="261"/>
    </row>
    <row r="224" spans="11:11" x14ac:dyDescent="0.25">
      <c r="K224" s="261"/>
    </row>
    <row r="225" spans="11:11" x14ac:dyDescent="0.25">
      <c r="K225" s="261"/>
    </row>
    <row r="226" spans="11:11" x14ac:dyDescent="0.25">
      <c r="K226" s="261"/>
    </row>
    <row r="227" spans="11:11" x14ac:dyDescent="0.25">
      <c r="K227" s="261"/>
    </row>
    <row r="228" spans="11:11" x14ac:dyDescent="0.25">
      <c r="K228" s="261"/>
    </row>
    <row r="229" spans="11:11" x14ac:dyDescent="0.25">
      <c r="K229" s="261"/>
    </row>
    <row r="230" spans="11:11" x14ac:dyDescent="0.25">
      <c r="K230" s="261"/>
    </row>
    <row r="231" spans="11:11" x14ac:dyDescent="0.25">
      <c r="K231" s="261"/>
    </row>
  </sheetData>
  <mergeCells count="2">
    <mergeCell ref="I1:N3"/>
    <mergeCell ref="A1:H3"/>
  </mergeCells>
  <phoneticPr fontId="26" type="noConversion"/>
  <pageMargins left="0.7" right="0.7" top="0.75" bottom="0.75" header="0.3" footer="0.3"/>
  <pageSetup scale="39" fitToHeight="0" orientation="landscape" r:id="rId1"/>
  <tableParts count="1">
    <tablePart r:id="rId2"/>
  </tableParts>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B20EC7B-E7C7-4307-98D4-CF9375F22C8A}">
  <sheetPr codeName="Sheet8">
    <tabColor theme="5" tint="0.59999389629810485"/>
    <pageSetUpPr fitToPage="1"/>
  </sheetPr>
  <dimension ref="A1:DU112"/>
  <sheetViews>
    <sheetView workbookViewId="0">
      <pane ySplit="7" topLeftCell="A102" activePane="bottomLeft" state="frozen"/>
      <selection activeCell="H28" sqref="H28"/>
      <selection pane="bottomLeft" activeCell="M14" sqref="M14"/>
    </sheetView>
  </sheetViews>
  <sheetFormatPr defaultColWidth="9.140625" defaultRowHeight="18" customHeight="1" x14ac:dyDescent="0.25"/>
  <cols>
    <col min="1" max="1" width="17.28515625" style="74" bestFit="1" customWidth="1"/>
    <col min="2" max="2" width="5.28515625" style="75" customWidth="1"/>
    <col min="3" max="3" width="18.5703125" style="76" bestFit="1" customWidth="1"/>
    <col min="4" max="4" width="21.140625" style="74" customWidth="1"/>
    <col min="5" max="5" width="69.140625" style="25" customWidth="1"/>
    <col min="6" max="6" width="5.5703125" style="35" customWidth="1"/>
    <col min="7" max="7" width="9.140625" style="299" bestFit="1" customWidth="1"/>
    <col min="8" max="8" width="10.140625" style="299" bestFit="1" customWidth="1"/>
    <col min="9" max="9" width="5.5703125" style="35" customWidth="1"/>
    <col min="10" max="10" width="6.28515625" style="35" customWidth="1"/>
    <col min="11" max="11" width="13" style="35" customWidth="1"/>
    <col min="12" max="12" width="5.28515625" style="35" customWidth="1"/>
    <col min="13" max="13" width="9.42578125" style="299" customWidth="1"/>
    <col min="14" max="14" width="9" style="299" customWidth="1"/>
    <col min="15" max="15" width="33.28515625" style="35" customWidth="1"/>
    <col min="16" max="26" width="2.7109375" style="35" customWidth="1"/>
    <col min="27" max="28" width="6" style="35" bestFit="1" customWidth="1"/>
    <col min="29" max="38" width="2.7109375" style="35" customWidth="1"/>
    <col min="39" max="99" width="2.7109375" customWidth="1"/>
    <col min="100" max="121" width="3.5703125" customWidth="1"/>
    <col min="122" max="125" width="2" bestFit="1" customWidth="1"/>
  </cols>
  <sheetData>
    <row r="1" spans="1:125" ht="21.75" thickBot="1" x14ac:dyDescent="0.4">
      <c r="A1" s="160"/>
      <c r="B1" s="161"/>
      <c r="C1" s="162"/>
      <c r="D1" s="163"/>
      <c r="E1" s="164"/>
      <c r="F1" s="165"/>
      <c r="G1" s="165"/>
      <c r="H1" s="165"/>
      <c r="I1" s="165"/>
      <c r="J1" s="861" t="s">
        <v>237</v>
      </c>
      <c r="K1" s="861"/>
      <c r="L1" s="165"/>
      <c r="M1" s="857" t="s">
        <v>238</v>
      </c>
      <c r="N1" s="858"/>
      <c r="O1" s="277" t="s">
        <v>239</v>
      </c>
    </row>
    <row r="2" spans="1:125" ht="30" customHeight="1" thickBot="1" x14ac:dyDescent="0.35">
      <c r="A2" s="856" t="s">
        <v>523</v>
      </c>
      <c r="B2" s="751"/>
      <c r="C2" s="854" t="str">
        <f>Profit!E1&amp; " Your Home"</f>
        <v>Sell Your Home</v>
      </c>
      <c r="D2" s="855"/>
      <c r="E2" s="174" t="s">
        <v>240</v>
      </c>
      <c r="F2" s="852">
        <f>+MIN(ProposalToGnatt[Start Date])</f>
        <v>45363</v>
      </c>
      <c r="G2" s="853"/>
      <c r="H2" s="864" t="s">
        <v>241</v>
      </c>
      <c r="I2" s="865"/>
      <c r="J2" s="842">
        <f>+SUM(H8:H20)</f>
        <v>52746.835549999996</v>
      </c>
      <c r="K2" s="843"/>
      <c r="L2" s="166"/>
      <c r="M2" s="842">
        <f>+SUM(N8:N20)</f>
        <v>-4.4500000030893716E-3</v>
      </c>
      <c r="N2" s="870"/>
      <c r="O2" s="278">
        <f>+SUM(H8:H20)-SUM(M8:M20)</f>
        <v>-4.4500000003608875E-3</v>
      </c>
      <c r="R2" s="59"/>
      <c r="S2" s="59"/>
      <c r="T2" s="59"/>
      <c r="U2" s="59"/>
      <c r="V2" s="59"/>
      <c r="W2" s="59"/>
      <c r="X2" s="59"/>
      <c r="Y2" s="59"/>
      <c r="Z2" s="59"/>
      <c r="AA2" s="59"/>
      <c r="AB2" s="59"/>
      <c r="AC2" s="59"/>
      <c r="AD2" s="59"/>
      <c r="AE2" s="59"/>
      <c r="AF2" s="59"/>
      <c r="AG2" s="59"/>
      <c r="AH2" s="59"/>
      <c r="AI2" s="59"/>
      <c r="AJ2" s="60"/>
      <c r="AK2" s="60"/>
      <c r="AP2" s="15"/>
      <c r="AQ2" s="15"/>
      <c r="AR2" s="15"/>
    </row>
    <row r="3" spans="1:125" ht="30" customHeight="1" x14ac:dyDescent="0.3">
      <c r="A3" s="839"/>
      <c r="B3" s="840"/>
      <c r="C3" s="840"/>
      <c r="D3" s="840"/>
      <c r="E3" s="175"/>
      <c r="G3" s="35"/>
      <c r="H3" s="866" t="s">
        <v>242</v>
      </c>
      <c r="I3" s="867"/>
      <c r="J3" s="846">
        <f>SUM(H22:H25)</f>
        <v>0</v>
      </c>
      <c r="K3" s="847"/>
      <c r="L3" s="167"/>
      <c r="M3" s="846">
        <f>+J3-SUM(M22:M25)</f>
        <v>0</v>
      </c>
      <c r="N3" s="870"/>
      <c r="O3" s="279">
        <f>+SUM(H22:H25)-SUM(M22:M25)</f>
        <v>0</v>
      </c>
      <c r="AP3" s="15"/>
      <c r="AQ3" s="15"/>
      <c r="AR3" s="15"/>
    </row>
    <row r="4" spans="1:125" ht="30" customHeight="1" x14ac:dyDescent="0.3">
      <c r="A4" s="839" t="str">
        <f>+Profit!B2</f>
        <v>1343 Old Buckhorn Rd</v>
      </c>
      <c r="B4" s="840" t="str">
        <f>+Profit!B2</f>
        <v>1343 Old Buckhorn Rd</v>
      </c>
      <c r="C4" s="840"/>
      <c r="D4" s="840"/>
      <c r="E4" s="862" t="s">
        <v>243</v>
      </c>
      <c r="F4" s="863"/>
      <c r="G4" s="77">
        <v>1</v>
      </c>
      <c r="H4" s="868" t="str">
        <f>+A2 &amp; "Total:"</f>
        <v>Tim Flemming Total:</v>
      </c>
      <c r="I4" s="869"/>
      <c r="J4" s="848">
        <f>SUM(ProposalToGnatt[Price])</f>
        <v>6923.8499999999995</v>
      </c>
      <c r="K4" s="849"/>
      <c r="L4" s="168"/>
      <c r="M4" s="848" cm="1">
        <f t="array" ref="M4">+SUM(ProposalToGnatt[Due]-ProposalToGnatt[Paid])</f>
        <v>0</v>
      </c>
      <c r="N4" s="870"/>
      <c r="O4" s="280">
        <f>+SUM(ProposalToGnatt[Price])-SUM(ProposalToGnatt[Paid])</f>
        <v>0</v>
      </c>
      <c r="AP4" s="15"/>
      <c r="AQ4" s="15"/>
      <c r="AR4" s="15"/>
    </row>
    <row r="5" spans="1:125" ht="18" customHeight="1" thickBot="1" x14ac:dyDescent="0.3">
      <c r="A5" s="169"/>
      <c r="B5" s="170" t="s">
        <v>244</v>
      </c>
      <c r="C5" s="171"/>
      <c r="D5" s="172"/>
      <c r="E5" s="844" t="s">
        <v>245</v>
      </c>
      <c r="F5" s="845"/>
      <c r="G5" s="173">
        <v>2</v>
      </c>
      <c r="H5" s="841" t="s">
        <v>246</v>
      </c>
      <c r="I5" s="841"/>
      <c r="J5" s="850">
        <f>+SUM(J2:K4)</f>
        <v>59670.685549999995</v>
      </c>
      <c r="K5" s="851"/>
      <c r="L5" s="24"/>
      <c r="M5" s="871">
        <f>+SUM(M2:M4)</f>
        <v>-4.4500000030893716E-3</v>
      </c>
      <c r="N5" s="872"/>
      <c r="O5" s="283">
        <f>+SUM(O2:Q4)</f>
        <v>-4.4500000003608875E-3</v>
      </c>
      <c r="BB5" s="15"/>
      <c r="BC5" s="15"/>
      <c r="BD5" s="15"/>
    </row>
    <row r="6" spans="1:125" s="22" customFormat="1" ht="30.75" customHeight="1" thickBot="1" x14ac:dyDescent="0.4">
      <c r="A6" s="78"/>
      <c r="B6" s="79"/>
      <c r="C6" s="80"/>
      <c r="D6" s="78"/>
      <c r="E6" s="81" t="str">
        <f>Profit!E1&amp;" Your Home Supplied Materials"</f>
        <v>Sell Your Home Supplied Materials</v>
      </c>
      <c r="F6" s="78"/>
      <c r="G6" s="82"/>
      <c r="H6" s="82"/>
      <c r="I6" s="78"/>
      <c r="J6" s="78"/>
      <c r="K6" s="83"/>
      <c r="L6" s="78"/>
      <c r="M6" s="78"/>
      <c r="N6" s="78"/>
      <c r="O6" s="78"/>
      <c r="P6" s="22" t="str">
        <f ca="1">+P26</f>
        <v/>
      </c>
      <c r="Q6" s="22" t="str">
        <f t="shared" ref="Q6:BR6" ca="1" si="0">+Q26</f>
        <v/>
      </c>
      <c r="R6" s="22" t="str">
        <f t="shared" ca="1" si="0"/>
        <v/>
      </c>
      <c r="S6" s="22" t="str">
        <f t="shared" ca="1" si="0"/>
        <v/>
      </c>
      <c r="T6" s="22" t="str">
        <f t="shared" ca="1" si="0"/>
        <v/>
      </c>
      <c r="U6" s="22" t="str">
        <f t="shared" ca="1" si="0"/>
        <v/>
      </c>
      <c r="V6" s="22" t="str">
        <f t="shared" ca="1" si="0"/>
        <v/>
      </c>
      <c r="W6" s="22" t="str">
        <f t="shared" ca="1" si="0"/>
        <v/>
      </c>
      <c r="X6" s="22" t="str">
        <f t="shared" ca="1" si="0"/>
        <v/>
      </c>
      <c r="Y6" s="22" t="str">
        <f t="shared" ca="1" si="0"/>
        <v/>
      </c>
      <c r="Z6" s="22" t="str">
        <f t="shared" ca="1" si="0"/>
        <v/>
      </c>
      <c r="AA6" s="22" t="str">
        <f t="shared" ca="1" si="0"/>
        <v/>
      </c>
      <c r="AB6" s="22" t="str">
        <f t="shared" ca="1" si="0"/>
        <v/>
      </c>
      <c r="AC6" s="22" t="str">
        <f t="shared" ca="1" si="0"/>
        <v/>
      </c>
      <c r="AD6" s="22" t="str">
        <f t="shared" ca="1" si="0"/>
        <v/>
      </c>
      <c r="AE6" s="22" t="str">
        <f t="shared" ca="1" si="0"/>
        <v/>
      </c>
      <c r="AF6" s="22" t="str">
        <f t="shared" ca="1" si="0"/>
        <v/>
      </c>
      <c r="AG6" s="22" t="str">
        <f t="shared" ca="1" si="0"/>
        <v>April</v>
      </c>
      <c r="AH6" s="22" t="str">
        <f t="shared" ca="1" si="0"/>
        <v/>
      </c>
      <c r="AI6" s="22" t="str">
        <f t="shared" ca="1" si="0"/>
        <v/>
      </c>
      <c r="AJ6" s="22" t="str">
        <f t="shared" ca="1" si="0"/>
        <v/>
      </c>
      <c r="AK6" s="22" t="str">
        <f t="shared" ca="1" si="0"/>
        <v/>
      </c>
      <c r="AL6" s="22" t="str">
        <f t="shared" ca="1" si="0"/>
        <v/>
      </c>
      <c r="AM6" s="22" t="str">
        <f t="shared" ca="1" si="0"/>
        <v/>
      </c>
      <c r="AN6" s="22" t="str">
        <f t="shared" ca="1" si="0"/>
        <v/>
      </c>
      <c r="AO6" s="22" t="str">
        <f t="shared" ca="1" si="0"/>
        <v/>
      </c>
      <c r="AP6" s="22" t="str">
        <f t="shared" ca="1" si="0"/>
        <v/>
      </c>
      <c r="AQ6" s="22" t="str">
        <f t="shared" ca="1" si="0"/>
        <v/>
      </c>
      <c r="AR6" s="22" t="str">
        <f t="shared" ca="1" si="0"/>
        <v/>
      </c>
      <c r="AS6" s="22" t="str">
        <f t="shared" ca="1" si="0"/>
        <v/>
      </c>
      <c r="AT6" s="22" t="str">
        <f t="shared" ca="1" si="0"/>
        <v/>
      </c>
      <c r="AU6" s="22" t="str">
        <f t="shared" ca="1" si="0"/>
        <v/>
      </c>
      <c r="AV6" s="22" t="str">
        <f t="shared" ca="1" si="0"/>
        <v/>
      </c>
      <c r="AW6" s="22" t="str">
        <f t="shared" ca="1" si="0"/>
        <v/>
      </c>
      <c r="AX6" s="22" t="str">
        <f t="shared" ca="1" si="0"/>
        <v/>
      </c>
      <c r="AY6" s="22" t="str">
        <f t="shared" ca="1" si="0"/>
        <v/>
      </c>
      <c r="AZ6" s="22" t="str">
        <f t="shared" ca="1" si="0"/>
        <v/>
      </c>
      <c r="BA6" s="22" t="str">
        <f t="shared" ca="1" si="0"/>
        <v/>
      </c>
      <c r="BB6" s="22" t="str">
        <f t="shared" ca="1" si="0"/>
        <v/>
      </c>
      <c r="BC6" s="22" t="str">
        <f t="shared" ca="1" si="0"/>
        <v/>
      </c>
      <c r="BD6" s="22" t="str">
        <f t="shared" ca="1" si="0"/>
        <v/>
      </c>
      <c r="BE6" s="22" t="str">
        <f t="shared" ca="1" si="0"/>
        <v/>
      </c>
      <c r="BF6" s="22" t="str">
        <f t="shared" ca="1" si="0"/>
        <v/>
      </c>
      <c r="BG6" s="22" t="str">
        <f t="shared" ca="1" si="0"/>
        <v/>
      </c>
      <c r="BH6" s="22" t="str">
        <f t="shared" ca="1" si="0"/>
        <v/>
      </c>
      <c r="BI6" s="22" t="str">
        <f t="shared" ca="1" si="0"/>
        <v/>
      </c>
      <c r="BJ6" s="22" t="str">
        <f t="shared" ca="1" si="0"/>
        <v/>
      </c>
      <c r="BK6" s="22" t="str">
        <f t="shared" ca="1" si="0"/>
        <v>May</v>
      </c>
      <c r="BL6" s="22" t="str">
        <f t="shared" ca="1" si="0"/>
        <v/>
      </c>
      <c r="BM6" s="22" t="str">
        <f t="shared" ca="1" si="0"/>
        <v/>
      </c>
      <c r="BN6" s="22" t="str">
        <f t="shared" ca="1" si="0"/>
        <v/>
      </c>
      <c r="BO6" s="22" t="str">
        <f t="shared" ca="1" si="0"/>
        <v/>
      </c>
      <c r="BP6" s="22" t="str">
        <f t="shared" ca="1" si="0"/>
        <v/>
      </c>
      <c r="BQ6" s="22" t="str">
        <f t="shared" ca="1" si="0"/>
        <v/>
      </c>
      <c r="BR6" s="22" t="str">
        <f t="shared" ca="1" si="0"/>
        <v/>
      </c>
    </row>
    <row r="7" spans="1:125" s="41" customFormat="1" ht="32.25" customHeight="1" x14ac:dyDescent="0.25">
      <c r="A7" s="78" t="s">
        <v>247</v>
      </c>
      <c r="B7" s="79" t="s">
        <v>248</v>
      </c>
      <c r="C7" s="80" t="s">
        <v>228</v>
      </c>
      <c r="D7" s="78" t="s">
        <v>229</v>
      </c>
      <c r="E7" s="78" t="s">
        <v>230</v>
      </c>
      <c r="F7" s="78" t="s">
        <v>201</v>
      </c>
      <c r="G7" s="82" t="s">
        <v>202</v>
      </c>
      <c r="H7" s="82" t="s">
        <v>231</v>
      </c>
      <c r="I7" s="78" t="s">
        <v>232</v>
      </c>
      <c r="J7" s="78" t="s">
        <v>233</v>
      </c>
      <c r="K7" s="83" t="s">
        <v>234</v>
      </c>
      <c r="L7" s="78" t="s">
        <v>235</v>
      </c>
      <c r="M7" s="78" t="s">
        <v>236</v>
      </c>
      <c r="N7" s="78" t="s">
        <v>238</v>
      </c>
      <c r="O7" s="78" t="s">
        <v>141</v>
      </c>
      <c r="P7" s="61">
        <f t="shared" ref="P7:BR7" ca="1" si="1">+P27</f>
        <v>45366</v>
      </c>
      <c r="Q7" s="61">
        <f t="shared" ca="1" si="1"/>
        <v>45367</v>
      </c>
      <c r="R7" s="61">
        <f t="shared" ca="1" si="1"/>
        <v>45368</v>
      </c>
      <c r="S7" s="61">
        <f t="shared" ca="1" si="1"/>
        <v>45369</v>
      </c>
      <c r="T7" s="61">
        <f t="shared" ca="1" si="1"/>
        <v>45370</v>
      </c>
      <c r="U7" s="61">
        <f t="shared" ca="1" si="1"/>
        <v>45371</v>
      </c>
      <c r="V7" s="61">
        <f t="shared" ca="1" si="1"/>
        <v>45372</v>
      </c>
      <c r="W7" s="61">
        <f t="shared" ca="1" si="1"/>
        <v>45373</v>
      </c>
      <c r="X7" s="61">
        <f t="shared" ca="1" si="1"/>
        <v>45374</v>
      </c>
      <c r="Y7" s="61">
        <f t="shared" ca="1" si="1"/>
        <v>45375</v>
      </c>
      <c r="Z7" s="61">
        <f t="shared" ca="1" si="1"/>
        <v>45376</v>
      </c>
      <c r="AA7" s="61">
        <f t="shared" ca="1" si="1"/>
        <v>45377</v>
      </c>
      <c r="AB7" s="61">
        <f t="shared" ca="1" si="1"/>
        <v>45378</v>
      </c>
      <c r="AC7" s="61">
        <f t="shared" ca="1" si="1"/>
        <v>45379</v>
      </c>
      <c r="AD7" s="61">
        <f t="shared" ca="1" si="1"/>
        <v>45380</v>
      </c>
      <c r="AE7" s="61">
        <f t="shared" ca="1" si="1"/>
        <v>45381</v>
      </c>
      <c r="AF7" s="61">
        <f t="shared" ca="1" si="1"/>
        <v>45382</v>
      </c>
      <c r="AG7" s="61">
        <f t="shared" ca="1" si="1"/>
        <v>45383</v>
      </c>
      <c r="AH7" s="61">
        <f t="shared" ca="1" si="1"/>
        <v>45384</v>
      </c>
      <c r="AI7" s="61">
        <f t="shared" ca="1" si="1"/>
        <v>45385</v>
      </c>
      <c r="AJ7" s="61">
        <f t="shared" ca="1" si="1"/>
        <v>45386</v>
      </c>
      <c r="AK7" s="61">
        <f t="shared" ca="1" si="1"/>
        <v>45387</v>
      </c>
      <c r="AL7" s="61">
        <f t="shared" ca="1" si="1"/>
        <v>45388</v>
      </c>
      <c r="AM7" s="61">
        <f t="shared" ca="1" si="1"/>
        <v>45389</v>
      </c>
      <c r="AN7" s="61">
        <f t="shared" ca="1" si="1"/>
        <v>45390</v>
      </c>
      <c r="AO7" s="61">
        <f t="shared" ca="1" si="1"/>
        <v>45391</v>
      </c>
      <c r="AP7" s="61">
        <f t="shared" ca="1" si="1"/>
        <v>45392</v>
      </c>
      <c r="AQ7" s="61">
        <f t="shared" ca="1" si="1"/>
        <v>45393</v>
      </c>
      <c r="AR7" s="61">
        <f t="shared" ca="1" si="1"/>
        <v>45394</v>
      </c>
      <c r="AS7" s="61">
        <f t="shared" ca="1" si="1"/>
        <v>45395</v>
      </c>
      <c r="AT7" s="61">
        <f t="shared" ca="1" si="1"/>
        <v>45396</v>
      </c>
      <c r="AU7" s="61">
        <f t="shared" ca="1" si="1"/>
        <v>45397</v>
      </c>
      <c r="AV7" s="61">
        <f t="shared" ca="1" si="1"/>
        <v>45398</v>
      </c>
      <c r="AW7" s="61">
        <f t="shared" ca="1" si="1"/>
        <v>45399</v>
      </c>
      <c r="AX7" s="61">
        <f t="shared" ca="1" si="1"/>
        <v>45400</v>
      </c>
      <c r="AY7" s="61">
        <f t="shared" ca="1" si="1"/>
        <v>45401</v>
      </c>
      <c r="AZ7" s="61">
        <f t="shared" ca="1" si="1"/>
        <v>45402</v>
      </c>
      <c r="BA7" s="61">
        <f t="shared" ca="1" si="1"/>
        <v>45403</v>
      </c>
      <c r="BB7" s="61">
        <f t="shared" ca="1" si="1"/>
        <v>45404</v>
      </c>
      <c r="BC7" s="61">
        <f t="shared" ca="1" si="1"/>
        <v>45405</v>
      </c>
      <c r="BD7" s="61">
        <f t="shared" ca="1" si="1"/>
        <v>45406</v>
      </c>
      <c r="BE7" s="61">
        <f t="shared" ca="1" si="1"/>
        <v>45407</v>
      </c>
      <c r="BF7" s="61">
        <f t="shared" ca="1" si="1"/>
        <v>45408</v>
      </c>
      <c r="BG7" s="61">
        <f t="shared" ca="1" si="1"/>
        <v>45409</v>
      </c>
      <c r="BH7" s="61">
        <f t="shared" ca="1" si="1"/>
        <v>45410</v>
      </c>
      <c r="BI7" s="61">
        <f t="shared" ca="1" si="1"/>
        <v>45411</v>
      </c>
      <c r="BJ7" s="61">
        <f t="shared" ca="1" si="1"/>
        <v>45412</v>
      </c>
      <c r="BK7" s="61">
        <f t="shared" ca="1" si="1"/>
        <v>45413</v>
      </c>
      <c r="BL7" s="61">
        <f t="shared" ca="1" si="1"/>
        <v>45414</v>
      </c>
      <c r="BM7" s="61">
        <f t="shared" ca="1" si="1"/>
        <v>45415</v>
      </c>
      <c r="BN7" s="61">
        <f t="shared" ca="1" si="1"/>
        <v>45416</v>
      </c>
      <c r="BO7" s="61">
        <f t="shared" ca="1" si="1"/>
        <v>45417</v>
      </c>
      <c r="BP7" s="61">
        <f t="shared" ca="1" si="1"/>
        <v>45418</v>
      </c>
      <c r="BQ7" s="61">
        <f t="shared" ca="1" si="1"/>
        <v>45419</v>
      </c>
      <c r="BR7" s="61">
        <f t="shared" ca="1" si="1"/>
        <v>45420</v>
      </c>
      <c r="BS7" s="36"/>
      <c r="BT7" s="36"/>
      <c r="BU7" s="36"/>
      <c r="BV7" s="36"/>
      <c r="BW7" s="36"/>
      <c r="BX7" s="36"/>
      <c r="BY7" s="36"/>
      <c r="BZ7" s="36"/>
      <c r="CA7" s="36"/>
      <c r="CB7" s="36"/>
      <c r="CC7" s="36"/>
      <c r="CD7" s="36"/>
      <c r="CE7" s="36"/>
      <c r="CF7" s="36"/>
      <c r="CG7" s="36"/>
      <c r="CH7" s="36"/>
      <c r="CI7" s="36"/>
      <c r="CJ7" s="36"/>
      <c r="CK7" s="36"/>
      <c r="CL7" s="36"/>
      <c r="CM7" s="36"/>
      <c r="CN7" s="36"/>
      <c r="CO7" s="36"/>
      <c r="CP7" s="36"/>
      <c r="CQ7" s="36"/>
      <c r="CR7" s="36"/>
      <c r="CS7" s="36"/>
      <c r="CT7" s="36"/>
      <c r="CU7" s="36"/>
      <c r="CV7" s="36"/>
      <c r="CW7" s="36"/>
      <c r="CX7" s="36"/>
      <c r="CY7" s="36"/>
      <c r="CZ7" s="36"/>
      <c r="DA7" s="36"/>
      <c r="DB7" s="36"/>
      <c r="DC7" s="36"/>
      <c r="DD7" s="36"/>
      <c r="DE7" s="36"/>
      <c r="DF7" s="36"/>
      <c r="DG7" s="36"/>
      <c r="DH7" s="36"/>
      <c r="DI7" s="36"/>
      <c r="DJ7" s="36"/>
      <c r="DK7" s="36"/>
      <c r="DL7" s="36"/>
      <c r="DM7" s="36"/>
      <c r="DN7" s="36"/>
      <c r="DO7" s="36"/>
      <c r="DP7" s="36"/>
      <c r="DQ7" s="36"/>
      <c r="DR7" s="36"/>
      <c r="DS7" s="36"/>
      <c r="DT7" s="36"/>
    </row>
    <row r="8" spans="1:125" s="41" customFormat="1" ht="20.100000000000001" customHeight="1" x14ac:dyDescent="0.25">
      <c r="A8" s="84" t="str">
        <f>Profit!$E$1&amp;" Your Home"</f>
        <v>Sell Your Home</v>
      </c>
      <c r="B8" s="85">
        <v>1</v>
      </c>
      <c r="C8" s="86"/>
      <c r="D8" s="84"/>
      <c r="E8" s="84" t="s">
        <v>249</v>
      </c>
      <c r="F8" s="85">
        <v>0</v>
      </c>
      <c r="G8" s="87">
        <f>+'Demo &amp; Trash Haul'!G24</f>
        <v>350</v>
      </c>
      <c r="H8" s="87">
        <f t="shared" ref="H8:H20" si="2">+F8*G8</f>
        <v>0</v>
      </c>
      <c r="I8" s="88"/>
      <c r="J8" s="87"/>
      <c r="K8" s="89"/>
      <c r="L8" s="87"/>
      <c r="M8" s="87"/>
      <c r="N8" s="87">
        <f t="shared" ref="N8:N10" si="3">IF(I8="Yes",H8-M8,0)</f>
        <v>0</v>
      </c>
      <c r="O8" s="88"/>
      <c r="R8" s="35"/>
      <c r="S8" s="35"/>
      <c r="T8" s="35"/>
      <c r="U8" s="35"/>
      <c r="V8" s="35"/>
      <c r="W8" s="35"/>
      <c r="X8" s="35"/>
      <c r="Y8" s="35"/>
      <c r="Z8" s="35"/>
      <c r="AA8" s="35"/>
      <c r="AB8" s="35"/>
      <c r="AC8" s="35"/>
      <c r="AD8" s="35"/>
      <c r="AE8" s="35"/>
      <c r="AF8" s="35"/>
      <c r="AG8" s="35"/>
      <c r="AH8" s="35"/>
      <c r="AI8" s="35"/>
      <c r="AP8" s="34"/>
      <c r="AQ8" s="36"/>
      <c r="AR8" s="36"/>
      <c r="AS8" s="36"/>
      <c r="AT8" s="36"/>
      <c r="AU8" s="36"/>
      <c r="AV8" s="36"/>
      <c r="AW8" s="36"/>
      <c r="AX8" s="36"/>
      <c r="AY8" s="36"/>
      <c r="AZ8" s="36"/>
      <c r="BA8" s="36"/>
      <c r="BB8" s="36"/>
      <c r="BC8" s="36"/>
      <c r="BD8" s="36"/>
      <c r="BE8" s="36"/>
      <c r="BF8" s="36"/>
      <c r="BG8" s="36"/>
      <c r="BH8" s="36"/>
      <c r="BI8" s="36"/>
      <c r="BJ8" s="36"/>
      <c r="BK8" s="36"/>
      <c r="BL8" s="36"/>
      <c r="BM8" s="36"/>
      <c r="BN8" s="36"/>
      <c r="BO8" s="36"/>
      <c r="BP8" s="36"/>
      <c r="BQ8" s="36"/>
      <c r="BR8" s="36"/>
      <c r="BS8" s="36"/>
      <c r="BT8" s="36"/>
      <c r="BU8" s="36"/>
      <c r="BV8" s="36"/>
      <c r="BW8" s="36"/>
      <c r="BX8" s="36"/>
      <c r="BY8" s="36"/>
      <c r="BZ8" s="36"/>
      <c r="CA8" s="36"/>
      <c r="CB8" s="36"/>
      <c r="CC8" s="36"/>
      <c r="CD8" s="36"/>
      <c r="CE8" s="36"/>
      <c r="CF8" s="36"/>
      <c r="CG8" s="36"/>
      <c r="CH8" s="36"/>
      <c r="CI8" s="36"/>
      <c r="CJ8" s="36"/>
      <c r="CK8" s="36"/>
      <c r="CL8" s="36"/>
      <c r="CM8" s="36"/>
      <c r="CN8" s="36"/>
      <c r="CO8" s="36"/>
      <c r="CP8" s="36"/>
      <c r="CQ8" s="36"/>
      <c r="CR8" s="36"/>
      <c r="CS8" s="36"/>
      <c r="CT8" s="36"/>
      <c r="CU8" s="36"/>
      <c r="CV8" s="36"/>
      <c r="CW8" s="36"/>
      <c r="CX8" s="36"/>
      <c r="CY8" s="36"/>
      <c r="CZ8" s="36"/>
      <c r="DA8" s="36"/>
      <c r="DB8" s="36"/>
      <c r="DC8" s="36"/>
      <c r="DD8" s="36"/>
      <c r="DE8" s="36"/>
      <c r="DF8" s="36"/>
      <c r="DG8" s="36"/>
      <c r="DH8" s="36"/>
      <c r="DI8" s="36"/>
      <c r="DJ8" s="36"/>
      <c r="DK8" s="36"/>
      <c r="DL8" s="36"/>
      <c r="DM8" s="36"/>
      <c r="DN8" s="36"/>
      <c r="DO8" s="36"/>
      <c r="DP8" s="36"/>
      <c r="DQ8" s="36"/>
      <c r="DR8" s="36"/>
      <c r="DS8" s="36"/>
      <c r="DT8" s="36"/>
      <c r="DU8" s="36"/>
    </row>
    <row r="9" spans="1:125" s="41" customFormat="1" ht="20.100000000000001" customHeight="1" x14ac:dyDescent="0.25">
      <c r="A9" s="84" t="str">
        <f>Profit!$E$1&amp;" Your Home"</f>
        <v>Sell Your Home</v>
      </c>
      <c r="B9" s="85">
        <f>+B8+1</f>
        <v>2</v>
      </c>
      <c r="C9" s="86"/>
      <c r="D9" s="84"/>
      <c r="E9" s="84" t="s">
        <v>250</v>
      </c>
      <c r="F9" s="85">
        <v>1</v>
      </c>
      <c r="G9" s="87">
        <f>+Appliances!H31</f>
        <v>0</v>
      </c>
      <c r="H9" s="87">
        <f t="shared" si="2"/>
        <v>0</v>
      </c>
      <c r="I9" s="88"/>
      <c r="J9" s="87"/>
      <c r="K9" s="89"/>
      <c r="L9" s="87"/>
      <c r="M9" s="87"/>
      <c r="N9" s="87">
        <f t="shared" si="3"/>
        <v>0</v>
      </c>
      <c r="O9" s="88"/>
      <c r="R9" s="35"/>
      <c r="S9" s="35"/>
      <c r="T9" s="35"/>
      <c r="U9" s="35"/>
      <c r="V9" s="35"/>
      <c r="W9" s="35"/>
      <c r="X9" s="35"/>
      <c r="Y9" s="35"/>
      <c r="Z9" s="35"/>
      <c r="AA9" s="35"/>
      <c r="AB9" s="35"/>
      <c r="AC9" s="35"/>
      <c r="AD9" s="35"/>
      <c r="AE9" s="35"/>
      <c r="AF9" s="35"/>
      <c r="AG9" s="35"/>
      <c r="AH9" s="35"/>
      <c r="AI9" s="35"/>
      <c r="AP9" s="34"/>
      <c r="AQ9" s="36"/>
      <c r="AR9" s="36"/>
      <c r="AS9" s="36"/>
      <c r="AT9" s="36"/>
      <c r="AU9" s="36"/>
      <c r="AV9" s="36"/>
      <c r="AW9" s="36"/>
      <c r="AX9" s="36"/>
      <c r="AY9" s="36"/>
      <c r="AZ9" s="36"/>
      <c r="BA9" s="36"/>
      <c r="BB9" s="36"/>
      <c r="BC9" s="36"/>
      <c r="BD9" s="36"/>
      <c r="BE9" s="36"/>
      <c r="BF9" s="36"/>
      <c r="BG9" s="36"/>
      <c r="BH9" s="36"/>
      <c r="BI9" s="36"/>
      <c r="BJ9" s="36"/>
      <c r="BK9" s="36"/>
      <c r="BL9" s="36"/>
      <c r="BM9" s="36"/>
      <c r="BN9" s="36"/>
      <c r="BO9" s="36"/>
      <c r="BP9" s="36"/>
      <c r="BQ9" s="36"/>
      <c r="BR9" s="36"/>
      <c r="BS9" s="36"/>
      <c r="BT9" s="36"/>
      <c r="BU9" s="36"/>
      <c r="BV9" s="36"/>
      <c r="BW9" s="36"/>
      <c r="BX9" s="36"/>
      <c r="BY9" s="36"/>
      <c r="BZ9" s="36"/>
      <c r="CA9" s="36"/>
      <c r="CB9" s="36"/>
      <c r="CC9" s="36"/>
      <c r="CD9" s="36"/>
      <c r="CE9" s="36"/>
      <c r="CF9" s="36"/>
      <c r="CG9" s="36"/>
      <c r="CH9" s="36"/>
      <c r="CI9" s="36"/>
      <c r="CJ9" s="36"/>
      <c r="CK9" s="36"/>
      <c r="CL9" s="36"/>
      <c r="CM9" s="36"/>
      <c r="CN9" s="36"/>
      <c r="CO9" s="36"/>
      <c r="CP9" s="36"/>
      <c r="CQ9" s="36"/>
      <c r="CR9" s="36"/>
      <c r="CS9" s="36"/>
      <c r="CT9" s="36"/>
      <c r="CU9" s="36"/>
      <c r="CV9" s="36"/>
      <c r="CW9" s="36"/>
      <c r="CX9" s="36"/>
      <c r="CY9" s="36"/>
      <c r="CZ9" s="36"/>
      <c r="DA9" s="36"/>
      <c r="DB9" s="36"/>
      <c r="DC9" s="36"/>
      <c r="DD9" s="36"/>
      <c r="DE9" s="36"/>
      <c r="DF9" s="36"/>
      <c r="DG9" s="36"/>
      <c r="DH9" s="36"/>
      <c r="DI9" s="36"/>
      <c r="DJ9" s="36"/>
      <c r="DK9" s="36"/>
      <c r="DL9" s="36"/>
      <c r="DM9" s="36"/>
      <c r="DN9" s="36"/>
      <c r="DO9" s="36"/>
      <c r="DP9" s="36"/>
      <c r="DQ9" s="36"/>
      <c r="DR9" s="36"/>
      <c r="DS9" s="36"/>
      <c r="DT9" s="36"/>
      <c r="DU9" s="36"/>
    </row>
    <row r="10" spans="1:125" s="41" customFormat="1" ht="20.100000000000001" customHeight="1" x14ac:dyDescent="0.25">
      <c r="A10" s="84" t="str">
        <f>Profit!$E$1&amp;" Your Home"</f>
        <v>Sell Your Home</v>
      </c>
      <c r="B10" s="85">
        <f t="shared" ref="B10:B20" si="4">+B9+1</f>
        <v>3</v>
      </c>
      <c r="C10" s="86"/>
      <c r="D10" s="84"/>
      <c r="E10" s="84" t="s">
        <v>251</v>
      </c>
      <c r="F10" s="85">
        <v>1</v>
      </c>
      <c r="G10" s="87">
        <f>+'Plumbing Fixtures'!I32</f>
        <v>2264.1869249999995</v>
      </c>
      <c r="H10" s="87">
        <f t="shared" si="2"/>
        <v>2264.1869249999995</v>
      </c>
      <c r="I10" s="88" t="s">
        <v>3</v>
      </c>
      <c r="J10" s="87"/>
      <c r="K10" s="89"/>
      <c r="L10" s="87"/>
      <c r="M10" s="87">
        <v>2264.19</v>
      </c>
      <c r="N10" s="87">
        <f t="shared" si="3"/>
        <v>-3.0750000005355105E-3</v>
      </c>
      <c r="O10" s="88"/>
      <c r="R10" s="35"/>
      <c r="S10" s="35"/>
      <c r="T10" s="35"/>
      <c r="U10" s="35"/>
      <c r="V10" s="35"/>
      <c r="W10" s="35"/>
      <c r="X10" s="35"/>
      <c r="Y10" s="35"/>
      <c r="Z10" s="35"/>
      <c r="AA10" s="35"/>
      <c r="AB10" s="35"/>
      <c r="AC10" s="35"/>
      <c r="AD10" s="35"/>
      <c r="AE10" s="35"/>
      <c r="AF10" s="35"/>
      <c r="AG10" s="35"/>
      <c r="AH10" s="35"/>
      <c r="AI10" s="35"/>
      <c r="AP10" s="34"/>
      <c r="AQ10" s="36"/>
      <c r="AR10" s="36"/>
      <c r="AS10" s="36"/>
      <c r="AT10" s="36"/>
      <c r="AU10" s="36"/>
      <c r="AV10" s="36"/>
      <c r="AW10" s="36"/>
      <c r="AX10" s="36"/>
      <c r="AY10" s="36"/>
      <c r="AZ10" s="36"/>
      <c r="BA10" s="36"/>
      <c r="BB10" s="36"/>
      <c r="BC10" s="36"/>
      <c r="BD10" s="36"/>
      <c r="BE10" s="36"/>
      <c r="BF10" s="36"/>
      <c r="BG10" s="36"/>
      <c r="BH10" s="36"/>
      <c r="BI10" s="36"/>
      <c r="BJ10" s="36"/>
      <c r="BK10" s="36"/>
      <c r="BL10" s="36"/>
      <c r="BM10" s="36"/>
      <c r="BN10" s="36"/>
      <c r="BO10" s="36"/>
      <c r="BP10" s="36"/>
      <c r="BQ10" s="36"/>
      <c r="BR10" s="36"/>
      <c r="BS10" s="36"/>
      <c r="BT10" s="36"/>
      <c r="BU10" s="36"/>
      <c r="BV10" s="36"/>
      <c r="BW10" s="36"/>
      <c r="BX10" s="36"/>
      <c r="BY10" s="36"/>
      <c r="BZ10" s="36"/>
      <c r="CA10" s="36"/>
      <c r="CB10" s="36"/>
      <c r="CC10" s="36"/>
      <c r="CD10" s="36"/>
      <c r="CE10" s="36"/>
      <c r="CF10" s="36"/>
      <c r="CG10" s="36"/>
      <c r="CH10" s="36"/>
      <c r="CI10" s="36"/>
      <c r="CJ10" s="36"/>
      <c r="CK10" s="36"/>
      <c r="CL10" s="36"/>
      <c r="CM10" s="36"/>
      <c r="CN10" s="36"/>
      <c r="CO10" s="36"/>
      <c r="CP10" s="36"/>
      <c r="CQ10" s="36"/>
      <c r="CR10" s="36"/>
      <c r="CS10" s="36"/>
      <c r="CT10" s="36"/>
      <c r="CU10" s="36"/>
      <c r="CV10" s="36"/>
      <c r="CW10" s="36"/>
      <c r="CX10" s="36"/>
      <c r="CY10" s="36"/>
      <c r="CZ10" s="36"/>
      <c r="DA10" s="36"/>
      <c r="DB10" s="36"/>
      <c r="DC10" s="36"/>
      <c r="DD10" s="36"/>
      <c r="DE10" s="36"/>
      <c r="DF10" s="36"/>
      <c r="DG10" s="36"/>
      <c r="DH10" s="36"/>
      <c r="DI10" s="36"/>
      <c r="DJ10" s="36"/>
      <c r="DK10" s="36"/>
      <c r="DL10" s="36"/>
      <c r="DM10" s="36"/>
      <c r="DN10" s="36"/>
      <c r="DO10" s="36"/>
      <c r="DP10" s="36"/>
      <c r="DQ10" s="36"/>
      <c r="DR10" s="36"/>
      <c r="DS10" s="36"/>
      <c r="DT10" s="36"/>
      <c r="DU10" s="36"/>
    </row>
    <row r="11" spans="1:125" s="41" customFormat="1" ht="20.100000000000001" customHeight="1" x14ac:dyDescent="0.25">
      <c r="A11" s="84" t="str">
        <f>Profit!$E$1&amp;" Your Home"</f>
        <v>Sell Your Home</v>
      </c>
      <c r="B11" s="85">
        <f t="shared" si="4"/>
        <v>4</v>
      </c>
      <c r="C11" s="86"/>
      <c r="D11" s="84"/>
      <c r="E11" s="84" t="s">
        <v>252</v>
      </c>
      <c r="F11" s="85">
        <v>1</v>
      </c>
      <c r="G11" s="87">
        <f>+'Windows &amp; Doors'!H39</f>
        <v>2754.7080250000004</v>
      </c>
      <c r="H11" s="87">
        <f t="shared" si="2"/>
        <v>2754.7080250000004</v>
      </c>
      <c r="I11" s="88" t="s">
        <v>3</v>
      </c>
      <c r="J11" s="87"/>
      <c r="K11" s="89"/>
      <c r="L11" s="87"/>
      <c r="M11" s="87">
        <v>2754.71</v>
      </c>
      <c r="N11" s="87">
        <f>IF(I11="Yes",H11-M11,0)</f>
        <v>-1.9749999996747647E-3</v>
      </c>
      <c r="O11" s="88"/>
      <c r="R11" s="35"/>
      <c r="S11" s="35"/>
      <c r="T11" s="35"/>
      <c r="U11" s="35"/>
      <c r="V11" s="35"/>
      <c r="W11" s="35"/>
      <c r="X11" s="35"/>
      <c r="Y11" s="35"/>
      <c r="Z11" s="35"/>
      <c r="AA11" s="35"/>
      <c r="AB11" s="35"/>
      <c r="AC11" s="35"/>
      <c r="AD11" s="35"/>
      <c r="AE11" s="35"/>
      <c r="AF11" s="35"/>
      <c r="AG11" s="35"/>
      <c r="AH11" s="35"/>
      <c r="AI11" s="35"/>
      <c r="AP11" s="34"/>
      <c r="AQ11" s="36"/>
      <c r="AR11" s="36"/>
      <c r="AS11" s="36"/>
      <c r="AT11" s="36"/>
      <c r="AU11" s="36"/>
      <c r="AV11" s="36"/>
      <c r="AW11" s="36"/>
      <c r="AX11" s="36"/>
      <c r="AY11" s="36"/>
      <c r="AZ11" s="36"/>
      <c r="BA11" s="36"/>
      <c r="BB11" s="36"/>
      <c r="BC11" s="36"/>
      <c r="BD11" s="36"/>
      <c r="BE11" s="36"/>
      <c r="BF11" s="36"/>
      <c r="BG11" s="36"/>
      <c r="BH11" s="36"/>
      <c r="BI11" s="36"/>
      <c r="BJ11" s="36"/>
      <c r="BK11" s="36"/>
      <c r="BL11" s="36"/>
      <c r="BM11" s="36"/>
      <c r="BN11" s="36"/>
      <c r="BO11" s="36"/>
      <c r="BP11" s="36"/>
      <c r="BQ11" s="36"/>
      <c r="BR11" s="36"/>
      <c r="BS11" s="36"/>
      <c r="BT11" s="36"/>
      <c r="BU11" s="36"/>
      <c r="BV11" s="36"/>
      <c r="BW11" s="36"/>
      <c r="BX11" s="36"/>
      <c r="BY11" s="36"/>
      <c r="BZ11" s="36"/>
      <c r="CA11" s="36"/>
      <c r="CB11" s="36"/>
      <c r="CC11" s="36"/>
      <c r="CD11" s="36"/>
      <c r="CE11" s="36"/>
      <c r="CF11" s="36"/>
      <c r="CG11" s="36"/>
      <c r="CH11" s="36"/>
      <c r="CI11" s="36"/>
      <c r="CJ11" s="36"/>
      <c r="CK11" s="36"/>
      <c r="CL11" s="36"/>
      <c r="CM11" s="36"/>
      <c r="CN11" s="36"/>
      <c r="CO11" s="36"/>
      <c r="CP11" s="36"/>
      <c r="CQ11" s="36"/>
      <c r="CR11" s="36"/>
      <c r="CS11" s="36"/>
      <c r="CT11" s="36"/>
      <c r="CU11" s="36"/>
      <c r="CV11" s="36"/>
      <c r="CW11" s="36"/>
      <c r="CX11" s="36"/>
      <c r="CY11" s="36"/>
      <c r="CZ11" s="36"/>
      <c r="DA11" s="36"/>
      <c r="DB11" s="36"/>
      <c r="DC11" s="36"/>
      <c r="DD11" s="36"/>
      <c r="DE11" s="36"/>
      <c r="DF11" s="36"/>
      <c r="DG11" s="36"/>
      <c r="DH11" s="36"/>
      <c r="DI11" s="36"/>
      <c r="DJ11" s="36"/>
      <c r="DK11" s="36"/>
      <c r="DL11" s="36"/>
      <c r="DM11" s="36"/>
      <c r="DN11" s="36"/>
      <c r="DO11" s="36"/>
      <c r="DP11" s="36"/>
      <c r="DQ11" s="36"/>
      <c r="DR11" s="36"/>
      <c r="DS11" s="36"/>
      <c r="DT11" s="36"/>
      <c r="DU11" s="36"/>
    </row>
    <row r="12" spans="1:125" ht="20.100000000000001" customHeight="1" x14ac:dyDescent="0.25">
      <c r="A12" s="84" t="str">
        <f>Profit!$E$1&amp;" Your Home"</f>
        <v>Sell Your Home</v>
      </c>
      <c r="B12" s="85">
        <f t="shared" si="4"/>
        <v>5</v>
      </c>
      <c r="C12" s="86"/>
      <c r="D12" s="84"/>
      <c r="E12" s="84" t="s">
        <v>253</v>
      </c>
      <c r="F12" s="85">
        <v>1</v>
      </c>
      <c r="G12" s="87">
        <f>+Cabinets!I46</f>
        <v>357.98977500000001</v>
      </c>
      <c r="H12" s="87">
        <f t="shared" si="2"/>
        <v>357.98977500000001</v>
      </c>
      <c r="I12" s="88" t="s">
        <v>3</v>
      </c>
      <c r="J12" s="87"/>
      <c r="K12" s="89"/>
      <c r="L12" s="87"/>
      <c r="M12" s="87">
        <v>357.99</v>
      </c>
      <c r="N12" s="87">
        <f t="shared" ref="N12:N19" si="5">IF(I12="Yes",H12-M12,0)</f>
        <v>-2.250000000003638E-4</v>
      </c>
      <c r="O12" s="88"/>
      <c r="AQ12" s="36"/>
    </row>
    <row r="13" spans="1:125" s="41" customFormat="1" ht="20.100000000000001" customHeight="1" x14ac:dyDescent="0.25">
      <c r="A13" s="84" t="str">
        <f>Profit!$E$1&amp;" Your Home"</f>
        <v>Sell Your Home</v>
      </c>
      <c r="B13" s="85">
        <f t="shared" si="4"/>
        <v>6</v>
      </c>
      <c r="C13" s="86"/>
      <c r="D13" s="84"/>
      <c r="E13" s="84" t="s">
        <v>254</v>
      </c>
      <c r="F13" s="85">
        <v>1</v>
      </c>
      <c r="G13" s="87">
        <f>+Paint!N67</f>
        <v>15068.488600000001</v>
      </c>
      <c r="H13" s="87">
        <f t="shared" si="2"/>
        <v>15068.488600000001</v>
      </c>
      <c r="I13" s="88" t="s">
        <v>3</v>
      </c>
      <c r="J13" s="87"/>
      <c r="K13" s="89"/>
      <c r="L13" s="87"/>
      <c r="M13" s="87">
        <v>15068.49</v>
      </c>
      <c r="N13" s="87">
        <f t="shared" si="5"/>
        <v>-1.3999999991938239E-3</v>
      </c>
      <c r="O13" s="88"/>
      <c r="R13" s="35"/>
      <c r="S13" s="35"/>
      <c r="T13" s="35"/>
      <c r="U13" s="35"/>
      <c r="V13" s="35"/>
      <c r="W13" s="35"/>
      <c r="X13" s="35"/>
      <c r="Y13" s="35"/>
      <c r="Z13" s="35"/>
      <c r="AA13" s="35"/>
      <c r="AB13" s="35"/>
      <c r="AC13" s="35"/>
      <c r="AD13" s="35"/>
      <c r="AE13" s="35"/>
      <c r="AF13" s="35"/>
      <c r="AG13" s="35"/>
      <c r="AH13" s="35"/>
      <c r="AI13" s="35"/>
      <c r="AP13" s="34"/>
      <c r="AQ13" s="36"/>
      <c r="AR13" s="36"/>
      <c r="AS13" s="36"/>
      <c r="AT13" s="36"/>
      <c r="AU13" s="36"/>
      <c r="AV13" s="36"/>
      <c r="AW13" s="36"/>
      <c r="AX13" s="36"/>
      <c r="AY13" s="36"/>
      <c r="AZ13" s="36"/>
      <c r="BA13" s="36"/>
      <c r="BB13" s="36"/>
      <c r="BC13" s="36"/>
      <c r="BD13" s="36"/>
      <c r="BE13" s="36"/>
      <c r="BF13" s="36"/>
      <c r="BG13" s="36"/>
      <c r="BH13" s="36"/>
      <c r="BI13" s="36"/>
      <c r="BJ13" s="36"/>
      <c r="BK13" s="36"/>
      <c r="BL13" s="36"/>
      <c r="BM13" s="36"/>
      <c r="BN13" s="36"/>
      <c r="BO13" s="36"/>
      <c r="BP13" s="36"/>
      <c r="BQ13" s="36"/>
      <c r="BR13" s="36"/>
      <c r="BS13" s="36"/>
      <c r="BT13" s="36"/>
      <c r="BU13" s="36"/>
      <c r="BV13" s="36"/>
      <c r="BW13" s="36"/>
      <c r="BX13" s="36"/>
      <c r="BY13" s="36"/>
      <c r="BZ13" s="36"/>
      <c r="CA13" s="36"/>
      <c r="CB13" s="36"/>
      <c r="CC13" s="36"/>
      <c r="CD13" s="36"/>
      <c r="CE13" s="36"/>
      <c r="CF13" s="36"/>
      <c r="CG13" s="36"/>
      <c r="CH13" s="36"/>
      <c r="CI13" s="36"/>
      <c r="CJ13" s="36"/>
      <c r="CK13" s="36"/>
      <c r="CL13" s="36"/>
      <c r="CM13" s="36"/>
      <c r="CN13" s="36"/>
      <c r="CO13" s="36"/>
      <c r="CP13" s="36"/>
      <c r="CQ13" s="36"/>
      <c r="CR13" s="36"/>
      <c r="CS13" s="36"/>
      <c r="CT13" s="36"/>
      <c r="CU13" s="36"/>
      <c r="CV13" s="36"/>
      <c r="CW13" s="36"/>
      <c r="CX13" s="36"/>
      <c r="CY13" s="36"/>
      <c r="CZ13" s="36"/>
      <c r="DA13" s="36"/>
      <c r="DB13" s="36"/>
      <c r="DC13" s="36"/>
      <c r="DD13" s="36"/>
      <c r="DE13" s="36"/>
      <c r="DF13" s="36"/>
      <c r="DG13" s="36"/>
      <c r="DH13" s="36"/>
      <c r="DI13" s="36"/>
      <c r="DJ13" s="36"/>
      <c r="DK13" s="36"/>
      <c r="DL13" s="36"/>
      <c r="DM13" s="36"/>
      <c r="DN13" s="36"/>
      <c r="DO13" s="36"/>
      <c r="DP13" s="36"/>
      <c r="DQ13" s="36"/>
      <c r="DR13" s="36"/>
      <c r="DS13" s="36"/>
      <c r="DT13" s="36"/>
      <c r="DU13" s="36"/>
    </row>
    <row r="14" spans="1:125" s="41" customFormat="1" ht="20.100000000000001" customHeight="1" x14ac:dyDescent="0.25">
      <c r="A14" s="84" t="str">
        <f>Profit!$E$1&amp;" Your Home"</f>
        <v>Sell Your Home</v>
      </c>
      <c r="B14" s="85">
        <f t="shared" si="4"/>
        <v>7</v>
      </c>
      <c r="C14" s="86"/>
      <c r="D14" s="84"/>
      <c r="E14" s="84" t="s">
        <v>255</v>
      </c>
      <c r="F14" s="85">
        <v>1</v>
      </c>
      <c r="G14" s="87">
        <f>+Flooring!J31</f>
        <v>8966.9904999999962</v>
      </c>
      <c r="H14" s="87">
        <f t="shared" si="2"/>
        <v>8966.9904999999962</v>
      </c>
      <c r="I14" s="88" t="s">
        <v>3</v>
      </c>
      <c r="J14" s="87"/>
      <c r="K14" s="89"/>
      <c r="L14" s="87"/>
      <c r="M14" s="87">
        <v>8966.99</v>
      </c>
      <c r="N14" s="87">
        <f t="shared" si="5"/>
        <v>4.999999964638846E-4</v>
      </c>
      <c r="O14" s="88"/>
      <c r="R14" s="35"/>
      <c r="S14" s="35"/>
      <c r="T14" s="35"/>
      <c r="U14" s="35"/>
      <c r="V14" s="35"/>
      <c r="W14" s="35"/>
      <c r="X14" s="35"/>
      <c r="Y14" s="35"/>
      <c r="Z14" s="35"/>
      <c r="AA14" s="35"/>
      <c r="AB14" s="35"/>
      <c r="AC14" s="35"/>
      <c r="AD14" s="35"/>
      <c r="AE14" s="35"/>
      <c r="AF14" s="35"/>
      <c r="AG14" s="35"/>
      <c r="AH14" s="35"/>
      <c r="AI14" s="35"/>
      <c r="AP14" s="36" t="str">
        <f>IFERROR(IF(LEN(#REF!)=0,"",IF(P$27=#REF!,Milestone_Marker_Old,"")),"")</f>
        <v/>
      </c>
      <c r="AQ14" s="36" t="str">
        <f>IFERROR(IF(LEN(#REF!)=0,"",IF(Q$27=#REF!,Milestone_Marker_Old,"")),"")</f>
        <v/>
      </c>
      <c r="AR14" s="36" t="str">
        <f>IFERROR(IF(LEN(#REF!)=0,"",IF(R$27=#REF!,Milestone_Marker_Old,"")),"")</f>
        <v/>
      </c>
      <c r="AS14" s="36" t="str">
        <f>IFERROR(IF(LEN(#REF!)=0,"",IF(S$27=#REF!,Milestone_Marker_Old,"")),"")</f>
        <v/>
      </c>
      <c r="AT14" s="36" t="str">
        <f>IFERROR(IF(LEN(#REF!)=0,"",IF(T$27=#REF!,Milestone_Marker_Old,"")),"")</f>
        <v/>
      </c>
      <c r="AU14" s="36" t="str">
        <f>IFERROR(IF(LEN(#REF!)=0,"",IF(U$27=#REF!,Milestone_Marker_Old,"")),"")</f>
        <v/>
      </c>
      <c r="AV14" s="36" t="str">
        <f>IFERROR(IF(LEN(#REF!)=0,"",IF(V$27=#REF!,Milestone_Marker_Old,"")),"")</f>
        <v/>
      </c>
      <c r="AW14" s="36" t="str">
        <f>IFERROR(IF(LEN(#REF!)=0,"",IF(W$27=#REF!,Milestone_Marker_Old,"")),"")</f>
        <v/>
      </c>
      <c r="AX14" s="36" t="str">
        <f>IFERROR(IF(LEN(#REF!)=0,"",IF(X$27=#REF!,Milestone_Marker_Old,"")),"")</f>
        <v/>
      </c>
      <c r="AY14" s="36" t="str">
        <f>IFERROR(IF(LEN(#REF!)=0,"",IF(Y$27=#REF!,Milestone_Marker_Old,"")),"")</f>
        <v/>
      </c>
      <c r="AZ14" s="36" t="str">
        <f>IFERROR(IF(LEN(#REF!)=0,"",IF(Z$27=#REF!,Milestone_Marker_Old,"")),"")</f>
        <v/>
      </c>
      <c r="BA14" s="36" t="str">
        <f>IFERROR(IF(LEN(#REF!)=0,"",IF(AA$27=#REF!,Milestone_Marker_Old,"")),"")</f>
        <v/>
      </c>
      <c r="BB14" s="36" t="str">
        <f>IFERROR(IF(LEN(#REF!)=0,"",IF(AB$27=#REF!,Milestone_Marker_Old,"")),"")</f>
        <v/>
      </c>
      <c r="BC14" s="36" t="str">
        <f>IFERROR(IF(LEN(#REF!)=0,"",IF(AC$27=#REF!,Milestone_Marker_Old,"")),"")</f>
        <v/>
      </c>
      <c r="BD14" s="36" t="str">
        <f>IFERROR(IF(LEN(#REF!)=0,"",IF(AD$27=#REF!,Milestone_Marker_Old,"")),"")</f>
        <v/>
      </c>
      <c r="BE14" s="36" t="str">
        <f>IFERROR(IF(LEN(#REF!)=0,"",IF(AE$27=#REF!,Milestone_Marker_Old,"")),"")</f>
        <v/>
      </c>
      <c r="BF14" s="36" t="str">
        <f>IFERROR(IF(LEN(#REF!)=0,"",IF(AF$27=#REF!,Milestone_Marker_Old,"")),"")</f>
        <v/>
      </c>
      <c r="BG14" s="36" t="str">
        <f>IFERROR(IF(LEN(#REF!)=0,"",IF(AG$27=#REF!,Milestone_Marker_Old,"")),"")</f>
        <v/>
      </c>
      <c r="BH14" s="36" t="str">
        <f>IFERROR(IF(LEN(#REF!)=0,"",IF(AH$27=#REF!,Milestone_Marker_Old,"")),"")</f>
        <v/>
      </c>
      <c r="BI14" s="36" t="str">
        <f>IFERROR(IF(LEN(#REF!)=0,"",IF(AI$27=#REF!,Milestone_Marker_Old,"")),"")</f>
        <v/>
      </c>
      <c r="BJ14" s="36" t="str">
        <f>IFERROR(IF(LEN(#REF!)=0,"",IF(AJ$27=#REF!,Milestone_Marker_Old,"")),"")</f>
        <v/>
      </c>
      <c r="BK14" s="36" t="str">
        <f>IFERROR(IF(LEN(#REF!)=0,"",IF(AK$27=#REF!,Milestone_Marker_Old,"")),"")</f>
        <v/>
      </c>
      <c r="BL14" s="36" t="str">
        <f>IFERROR(IF(LEN(#REF!)=0,"",IF(AL$27=#REF!,Milestone_Marker_Old,"")),"")</f>
        <v/>
      </c>
      <c r="BM14" s="36" t="str">
        <f>IFERROR(IF(LEN(#REF!)=0,"",IF(AM$27=#REF!,Milestone_Marker_Old,"")),"")</f>
        <v/>
      </c>
      <c r="BN14" s="36" t="str">
        <f>IFERROR(IF(LEN(#REF!)=0,"",IF(AN$27=#REF!,Milestone_Marker_Old,"")),"")</f>
        <v/>
      </c>
      <c r="BO14" s="36" t="str">
        <f>IFERROR(IF(LEN(#REF!)=0,"",IF(AO$27=#REF!,Milestone_Marker_Old,"")),"")</f>
        <v/>
      </c>
      <c r="BP14" s="36" t="str">
        <f>IFERROR(IF(LEN(#REF!)=0,"",IF(AP$27=#REF!,Milestone_Marker_Old,"")),"")</f>
        <v/>
      </c>
      <c r="BQ14" s="36" t="str">
        <f>IFERROR(IF(LEN(#REF!)=0,"",IF(AQ$27=#REF!,Milestone_Marker_Old,"")),"")</f>
        <v/>
      </c>
      <c r="BR14" s="36" t="str">
        <f>IFERROR(IF(LEN(#REF!)=0,"",IF(AR$27=#REF!,Milestone_Marker_Old,"")),"")</f>
        <v/>
      </c>
      <c r="BS14" s="36" t="str">
        <f>IFERROR(IF(LEN(#REF!)=0,"",IF(AS$27=#REF!,Milestone_Marker_Old,"")),"")</f>
        <v/>
      </c>
      <c r="BT14" s="36" t="str">
        <f>IFERROR(IF(LEN(#REF!)=0,"",IF(AT$27=#REF!,Milestone_Marker_Old,"")),"")</f>
        <v/>
      </c>
      <c r="BU14" s="36" t="str">
        <f>IFERROR(IF(LEN(#REF!)=0,"",IF(AU$27=#REF!,Milestone_Marker_Old,"")),"")</f>
        <v/>
      </c>
      <c r="BV14" s="36" t="str">
        <f>IFERROR(IF(LEN(#REF!)=0,"",IF(AV$27=#REF!,Milestone_Marker_Old,"")),"")</f>
        <v/>
      </c>
      <c r="BW14" s="36" t="str">
        <f>IFERROR(IF(LEN(#REF!)=0,"",IF(AW$27=#REF!,Milestone_Marker_Old,"")),"")</f>
        <v/>
      </c>
      <c r="BX14" s="36" t="str">
        <f>IFERROR(IF(LEN(#REF!)=0,"",IF(AX$27=#REF!,Milestone_Marker_Old,"")),"")</f>
        <v/>
      </c>
      <c r="BY14" s="36" t="str">
        <f>IFERROR(IF(LEN(#REF!)=0,"",IF(AY$27=#REF!,Milestone_Marker_Old,"")),"")</f>
        <v/>
      </c>
      <c r="BZ14" s="36" t="str">
        <f>IFERROR(IF(LEN(#REF!)=0,"",IF(AZ$27=#REF!,Milestone_Marker_Old,"")),"")</f>
        <v/>
      </c>
      <c r="CA14" s="36" t="str">
        <f>IFERROR(IF(LEN(#REF!)=0,"",IF(BA$27=#REF!,Milestone_Marker_Old,"")),"")</f>
        <v/>
      </c>
      <c r="CB14" s="36" t="str">
        <f>IFERROR(IF(LEN(#REF!)=0,"",IF(BB$27=#REF!,Milestone_Marker_Old,"")),"")</f>
        <v/>
      </c>
      <c r="CC14" s="36" t="str">
        <f>IFERROR(IF(LEN(#REF!)=0,"",IF(BC$27=#REF!,Milestone_Marker_Old,"")),"")</f>
        <v/>
      </c>
      <c r="CD14" s="36" t="str">
        <f>IFERROR(IF(LEN(#REF!)=0,"",IF(BD$27=#REF!,Milestone_Marker_Old,"")),"")</f>
        <v/>
      </c>
      <c r="CE14" s="36" t="str">
        <f>IFERROR(IF(LEN(#REF!)=0,"",IF(BE$27=#REF!,Milestone_Marker_Old,"")),"")</f>
        <v/>
      </c>
      <c r="CF14" s="36" t="str">
        <f>IFERROR(IF(LEN(#REF!)=0,"",IF(BF$27=#REF!,Milestone_Marker_Old,"")),"")</f>
        <v/>
      </c>
      <c r="CG14" s="36" t="str">
        <f>IFERROR(IF(LEN(#REF!)=0,"",IF(BG$27=#REF!,Milestone_Marker_Old,"")),"")</f>
        <v/>
      </c>
      <c r="CH14" s="36" t="str">
        <f>IFERROR(IF(LEN(#REF!)=0,"",IF(BH$27=#REF!,Milestone_Marker_Old,"")),"")</f>
        <v/>
      </c>
      <c r="CI14" s="36" t="str">
        <f>IFERROR(IF(LEN(#REF!)=0,"",IF(BI$27=#REF!,Milestone_Marker_Old,"")),"")</f>
        <v/>
      </c>
      <c r="CJ14" s="36" t="str">
        <f>IFERROR(IF(LEN(#REF!)=0,"",IF(BJ$27=#REF!,Milestone_Marker_Old,"")),"")</f>
        <v/>
      </c>
      <c r="CK14" s="36" t="str">
        <f>IFERROR(IF(LEN(#REF!)=0,"",IF(BK$27=#REF!,Milestone_Marker_Old,"")),"")</f>
        <v/>
      </c>
      <c r="CL14" s="36" t="str">
        <f>IFERROR(IF(LEN(#REF!)=0,"",IF(BL$27=#REF!,Milestone_Marker_Old,"")),"")</f>
        <v/>
      </c>
      <c r="CM14" s="36" t="str">
        <f>IFERROR(IF(LEN(#REF!)=0,"",IF(BM$27=#REF!,Milestone_Marker_Old,"")),"")</f>
        <v/>
      </c>
      <c r="CN14" s="36" t="str">
        <f>IFERROR(IF(LEN(#REF!)=0,"",IF(BN$27=#REF!,Milestone_Marker_Old,"")),"")</f>
        <v/>
      </c>
      <c r="CO14" s="36" t="str">
        <f>IFERROR(IF(LEN(#REF!)=0,"",IF(BO$27=#REF!,Milestone_Marker_Old,"")),"")</f>
        <v/>
      </c>
      <c r="CP14" s="36" t="str">
        <f>IFERROR(IF(LEN(#REF!)=0,"",IF(BP$27=#REF!,Milestone_Marker_Old,"")),"")</f>
        <v/>
      </c>
      <c r="CQ14" s="36" t="str">
        <f>IFERROR(IF(LEN(#REF!)=0,"",IF(BQ$27=#REF!,Milestone_Marker_Old,"")),"")</f>
        <v/>
      </c>
      <c r="CR14" s="36" t="str">
        <f>IFERROR(IF(LEN(#REF!)=0,"",IF(BR$27=#REF!,Milestone_Marker_Old,"")),"")</f>
        <v/>
      </c>
      <c r="CS14" s="36" t="str">
        <f>IFERROR(IF(LEN(#REF!)=0,"",IF(BS$27=#REF!,Milestone_Marker_Old,"")),"")</f>
        <v/>
      </c>
      <c r="CT14" s="36" t="str">
        <f>IFERROR(IF(LEN(#REF!)=0,"",IF(BT$27=#REF!,Milestone_Marker_Old,"")),"")</f>
        <v/>
      </c>
      <c r="CU14" s="36" t="str">
        <f>IFERROR(IF(LEN(#REF!)=0,"",IF(BU$27=#REF!,Milestone_Marker_Old,"")),"")</f>
        <v/>
      </c>
      <c r="CV14" s="36" t="str">
        <f>IFERROR(IF(LEN(#REF!)=0,"",IF(BV$27=#REF!,Milestone_Marker_Old,"")),"")</f>
        <v/>
      </c>
      <c r="CW14" s="36" t="str">
        <f>IFERROR(IF(LEN(#REF!)=0,"",IF(BW$27=#REF!,Milestone_Marker_Old,"")),"")</f>
        <v/>
      </c>
      <c r="CX14" s="36" t="str">
        <f>IFERROR(IF(LEN(#REF!)=0,"",IF(BX$27=#REF!,Milestone_Marker_Old,"")),"")</f>
        <v/>
      </c>
      <c r="CY14" s="36" t="str">
        <f>IFERROR(IF(LEN(#REF!)=0,"",IF(BY$27=#REF!,Milestone_Marker_Old,"")),"")</f>
        <v/>
      </c>
      <c r="CZ14" s="36" t="str">
        <f>IFERROR(IF(LEN(#REF!)=0,"",IF(BZ$27=#REF!,Milestone_Marker_Old,"")),"")</f>
        <v/>
      </c>
      <c r="DA14" s="36" t="str">
        <f>IFERROR(IF(LEN(#REF!)=0,"",IF(CA$27=#REF!,Milestone_Marker_Old,"")),"")</f>
        <v/>
      </c>
      <c r="DB14" s="36" t="str">
        <f>IFERROR(IF(LEN(#REF!)=0,"",IF(CB$27=#REF!,Milestone_Marker_Old,"")),"")</f>
        <v/>
      </c>
      <c r="DC14" s="36" t="str">
        <f>IFERROR(IF(LEN(#REF!)=0,"",IF(CC$27=#REF!,Milestone_Marker_Old,"")),"")</f>
        <v/>
      </c>
      <c r="DD14" s="36" t="str">
        <f>IFERROR(IF(LEN(#REF!)=0,"",IF(CD$27=#REF!,Milestone_Marker_Old,"")),"")</f>
        <v/>
      </c>
      <c r="DE14" s="36" t="str">
        <f>IFERROR(IF(LEN(#REF!)=0,"",IF(CE$27=#REF!,Milestone_Marker_Old,"")),"")</f>
        <v/>
      </c>
      <c r="DF14" s="36" t="str">
        <f>IFERROR(IF(LEN(#REF!)=0,"",IF(CF$27=#REF!,Milestone_Marker_Old,"")),"")</f>
        <v/>
      </c>
      <c r="DG14" s="36" t="str">
        <f>IFERROR(IF(LEN(#REF!)=0,"",IF(CG$27=#REF!,Milestone_Marker_Old,"")),"")</f>
        <v/>
      </c>
      <c r="DH14" s="36" t="str">
        <f>IFERROR(IF(LEN(#REF!)=0,"",IF(CH$27=#REF!,Milestone_Marker_Old,"")),"")</f>
        <v/>
      </c>
      <c r="DI14" s="36" t="str">
        <f>IFERROR(IF(LEN(#REF!)=0,"",IF(CI$27=#REF!,Milestone_Marker_Old,"")),"")</f>
        <v/>
      </c>
      <c r="DJ14" s="36" t="str">
        <f>IFERROR(IF(LEN(#REF!)=0,"",IF(CJ$27=#REF!,Milestone_Marker_Old,"")),"")</f>
        <v/>
      </c>
      <c r="DK14" s="36" t="str">
        <f>IFERROR(IF(LEN(#REF!)=0,"",IF(CK$27=#REF!,Milestone_Marker_Old,"")),"")</f>
        <v/>
      </c>
      <c r="DL14" s="36" t="str">
        <f>IFERROR(IF(LEN(#REF!)=0,"",IF(CL$27=#REF!,Milestone_Marker_Old,"")),"")</f>
        <v/>
      </c>
      <c r="DM14" s="36" t="str">
        <f>IFERROR(IF(LEN(#REF!)=0,"",IF(CM$27=#REF!,Milestone_Marker_Old,"")),"")</f>
        <v/>
      </c>
      <c r="DN14" s="36" t="str">
        <f>IFERROR(IF(LEN(#REF!)=0,"",IF(CN$27=#REF!,Milestone_Marker_Old,"")),"")</f>
        <v/>
      </c>
      <c r="DO14" s="36" t="str">
        <f>IFERROR(IF(LEN(#REF!)=0,"",IF(CO$27=#REF!,Milestone_Marker_Old,"")),"")</f>
        <v/>
      </c>
      <c r="DP14" s="36" t="str">
        <f>IFERROR(IF(LEN(#REF!)=0,"",IF(CP$27=#REF!,Milestone_Marker_Old,"")),"")</f>
        <v/>
      </c>
      <c r="DQ14" s="36" t="str">
        <f>IFERROR(IF(LEN(#REF!)=0,"",IF(CQ$27=#REF!,Milestone_Marker_Old,"")),"")</f>
        <v/>
      </c>
      <c r="DR14" s="36" t="str">
        <f>IFERROR(IF(LEN(#REF!)=0,"",IF(CR$27=#REF!,Milestone_Marker_Old,"")),"")</f>
        <v/>
      </c>
      <c r="DS14" s="36" t="str">
        <f>IFERROR(IF(LEN(#REF!)=0,"",IF(CS$27=#REF!,Milestone_Marker_Old,"")),"")</f>
        <v/>
      </c>
      <c r="DT14" s="36" t="str">
        <f>IFERROR(IF(LEN(#REF!)=0,"",IF(CT$27=#REF!,Milestone_Marker_Old,"")),"")</f>
        <v/>
      </c>
      <c r="DU14" s="36" t="str">
        <f>IFERROR(IF(LEN(#REF!)=0,"",IF(CU$27=#REF!,Milestone_Marker_Old,"")),"")</f>
        <v/>
      </c>
    </row>
    <row r="15" spans="1:125" s="41" customFormat="1" ht="20.100000000000001" customHeight="1" x14ac:dyDescent="0.25">
      <c r="A15" s="84" t="str">
        <f>Profit!$E$1&amp;" Your Home"</f>
        <v>Sell Your Home</v>
      </c>
      <c r="B15" s="85">
        <f t="shared" si="4"/>
        <v>8</v>
      </c>
      <c r="C15" s="86"/>
      <c r="D15" s="84"/>
      <c r="E15" s="84" t="s">
        <v>256</v>
      </c>
      <c r="F15" s="85">
        <v>1</v>
      </c>
      <c r="G15" s="87">
        <f>+'Electrical Fixtures'!I47</f>
        <v>1758.4817249999999</v>
      </c>
      <c r="H15" s="87">
        <f t="shared" si="2"/>
        <v>1758.4817249999999</v>
      </c>
      <c r="I15" s="88" t="s">
        <v>3</v>
      </c>
      <c r="J15" s="87"/>
      <c r="K15" s="89"/>
      <c r="L15" s="87"/>
      <c r="M15" s="87">
        <v>1758.48</v>
      </c>
      <c r="N15" s="87">
        <f t="shared" si="5"/>
        <v>1.7249999998512067E-3</v>
      </c>
      <c r="O15" s="88"/>
      <c r="R15" s="35"/>
      <c r="S15" s="35"/>
      <c r="T15" s="35"/>
      <c r="U15" s="35"/>
      <c r="V15" s="35"/>
      <c r="W15" s="35"/>
      <c r="X15" s="35"/>
      <c r="Y15" s="35"/>
      <c r="Z15" s="35"/>
      <c r="AA15" s="35"/>
      <c r="AB15" s="35"/>
      <c r="AC15" s="35"/>
      <c r="AD15" s="35"/>
      <c r="AE15" s="35"/>
      <c r="AF15" s="35"/>
      <c r="AG15" s="35"/>
      <c r="AH15" s="35"/>
      <c r="AI15" s="35"/>
      <c r="AP15" s="36" t="str">
        <f>IFERROR(IF(LEN(#REF!)=0,"",IF(P$27=#REF!,Milestone_Marker_Old,"")),"")</f>
        <v/>
      </c>
      <c r="AQ15" s="36" t="str">
        <f>IFERROR(IF(LEN(#REF!)=0,"",IF(Q$27=#REF!,Milestone_Marker_Old,"")),"")</f>
        <v/>
      </c>
      <c r="AR15" s="36" t="str">
        <f>IFERROR(IF(LEN(#REF!)=0,"",IF(R$27=#REF!,Milestone_Marker_Old,"")),"")</f>
        <v/>
      </c>
      <c r="AS15" s="36" t="str">
        <f>IFERROR(IF(LEN(#REF!)=0,"",IF(S$27=#REF!,Milestone_Marker_Old,"")),"")</f>
        <v/>
      </c>
      <c r="AT15" s="36" t="str">
        <f>IFERROR(IF(LEN(#REF!)=0,"",IF(T$27=#REF!,Milestone_Marker_Old,"")),"")</f>
        <v/>
      </c>
      <c r="AU15" s="36" t="str">
        <f>IFERROR(IF(LEN(#REF!)=0,"",IF(U$27=#REF!,Milestone_Marker_Old,"")),"")</f>
        <v/>
      </c>
      <c r="AV15" s="36" t="str">
        <f>IFERROR(IF(LEN(#REF!)=0,"",IF(V$27=#REF!,Milestone_Marker_Old,"")),"")</f>
        <v/>
      </c>
      <c r="AW15" s="36" t="str">
        <f>IFERROR(IF(LEN(#REF!)=0,"",IF(W$27=#REF!,Milestone_Marker_Old,"")),"")</f>
        <v/>
      </c>
      <c r="AX15" s="36" t="str">
        <f>IFERROR(IF(LEN(#REF!)=0,"",IF(X$27=#REF!,Milestone_Marker_Old,"")),"")</f>
        <v/>
      </c>
      <c r="AY15" s="36" t="str">
        <f>IFERROR(IF(LEN(#REF!)=0,"",IF(Y$27=#REF!,Milestone_Marker_Old,"")),"")</f>
        <v/>
      </c>
      <c r="AZ15" s="36" t="str">
        <f>IFERROR(IF(LEN(#REF!)=0,"",IF(Z$27=#REF!,Milestone_Marker_Old,"")),"")</f>
        <v/>
      </c>
      <c r="BA15" s="36" t="str">
        <f>IFERROR(IF(LEN(#REF!)=0,"",IF(AA$27=#REF!,Milestone_Marker_Old,"")),"")</f>
        <v/>
      </c>
      <c r="BB15" s="36" t="str">
        <f>IFERROR(IF(LEN(#REF!)=0,"",IF(AB$27=#REF!,Milestone_Marker_Old,"")),"")</f>
        <v/>
      </c>
      <c r="BC15" s="36" t="str">
        <f>IFERROR(IF(LEN(#REF!)=0,"",IF(AC$27=#REF!,Milestone_Marker_Old,"")),"")</f>
        <v/>
      </c>
      <c r="BD15" s="36" t="str">
        <f>IFERROR(IF(LEN(#REF!)=0,"",IF(AD$27=#REF!,Milestone_Marker_Old,"")),"")</f>
        <v/>
      </c>
      <c r="BE15" s="36" t="str">
        <f>IFERROR(IF(LEN(#REF!)=0,"",IF(AE$27=#REF!,Milestone_Marker_Old,"")),"")</f>
        <v/>
      </c>
      <c r="BF15" s="36" t="str">
        <f>IFERROR(IF(LEN(#REF!)=0,"",IF(AF$27=#REF!,Milestone_Marker_Old,"")),"")</f>
        <v/>
      </c>
      <c r="BG15" s="36" t="str">
        <f>IFERROR(IF(LEN(#REF!)=0,"",IF(AG$27=#REF!,Milestone_Marker_Old,"")),"")</f>
        <v/>
      </c>
      <c r="BH15" s="36" t="str">
        <f>IFERROR(IF(LEN(#REF!)=0,"",IF(AH$27=#REF!,Milestone_Marker_Old,"")),"")</f>
        <v/>
      </c>
      <c r="BI15" s="36" t="str">
        <f>IFERROR(IF(LEN(#REF!)=0,"",IF(AI$27=#REF!,Milestone_Marker_Old,"")),"")</f>
        <v/>
      </c>
      <c r="BJ15" s="36" t="str">
        <f>IFERROR(IF(LEN(#REF!)=0,"",IF(AJ$27=#REF!,Milestone_Marker_Old,"")),"")</f>
        <v/>
      </c>
      <c r="BK15" s="36" t="str">
        <f>IFERROR(IF(LEN(#REF!)=0,"",IF(AK$27=#REF!,Milestone_Marker_Old,"")),"")</f>
        <v/>
      </c>
      <c r="BL15" s="36" t="str">
        <f>IFERROR(IF(LEN(#REF!)=0,"",IF(AL$27=#REF!,Milestone_Marker_Old,"")),"")</f>
        <v/>
      </c>
      <c r="BM15" s="36" t="str">
        <f>IFERROR(IF(LEN(#REF!)=0,"",IF(AM$27=#REF!,Milestone_Marker_Old,"")),"")</f>
        <v/>
      </c>
      <c r="BN15" s="36" t="str">
        <f>IFERROR(IF(LEN(#REF!)=0,"",IF(AN$27=#REF!,Milestone_Marker_Old,"")),"")</f>
        <v/>
      </c>
      <c r="BO15" s="36" t="str">
        <f>IFERROR(IF(LEN(#REF!)=0,"",IF(AO$27=#REF!,Milestone_Marker_Old,"")),"")</f>
        <v/>
      </c>
      <c r="BP15" s="36" t="str">
        <f>IFERROR(IF(LEN(#REF!)=0,"",IF(AP$27=#REF!,Milestone_Marker_Old,"")),"")</f>
        <v/>
      </c>
      <c r="BQ15" s="36" t="str">
        <f>IFERROR(IF(LEN(#REF!)=0,"",IF(AQ$27=#REF!,Milestone_Marker_Old,"")),"")</f>
        <v/>
      </c>
      <c r="BR15" s="36" t="str">
        <f>IFERROR(IF(LEN(#REF!)=0,"",IF(AR$27=#REF!,Milestone_Marker_Old,"")),"")</f>
        <v/>
      </c>
      <c r="BS15" s="36" t="str">
        <f>IFERROR(IF(LEN(#REF!)=0,"",IF(AS$27=#REF!,Milestone_Marker_Old,"")),"")</f>
        <v/>
      </c>
      <c r="BT15" s="36" t="str">
        <f>IFERROR(IF(LEN(#REF!)=0,"",IF(AT$27=#REF!,Milestone_Marker_Old,"")),"")</f>
        <v/>
      </c>
      <c r="BU15" s="36" t="str">
        <f>IFERROR(IF(LEN(#REF!)=0,"",IF(AU$27=#REF!,Milestone_Marker_Old,"")),"")</f>
        <v/>
      </c>
      <c r="BV15" s="36" t="str">
        <f>IFERROR(IF(LEN(#REF!)=0,"",IF(AV$27=#REF!,Milestone_Marker_Old,"")),"")</f>
        <v/>
      </c>
      <c r="BW15" s="36" t="str">
        <f>IFERROR(IF(LEN(#REF!)=0,"",IF(AW$27=#REF!,Milestone_Marker_Old,"")),"")</f>
        <v/>
      </c>
      <c r="BX15" s="36" t="str">
        <f>IFERROR(IF(LEN(#REF!)=0,"",IF(AX$27=#REF!,Milestone_Marker_Old,"")),"")</f>
        <v/>
      </c>
      <c r="BY15" s="36" t="str">
        <f>IFERROR(IF(LEN(#REF!)=0,"",IF(AY$27=#REF!,Milestone_Marker_Old,"")),"")</f>
        <v/>
      </c>
      <c r="BZ15" s="36" t="str">
        <f>IFERROR(IF(LEN(#REF!)=0,"",IF(AZ$27=#REF!,Milestone_Marker_Old,"")),"")</f>
        <v/>
      </c>
      <c r="CA15" s="36" t="str">
        <f>IFERROR(IF(LEN(#REF!)=0,"",IF(BA$27=#REF!,Milestone_Marker_Old,"")),"")</f>
        <v/>
      </c>
      <c r="CB15" s="36" t="str">
        <f>IFERROR(IF(LEN(#REF!)=0,"",IF(BB$27=#REF!,Milestone_Marker_Old,"")),"")</f>
        <v/>
      </c>
      <c r="CC15" s="36" t="str">
        <f>IFERROR(IF(LEN(#REF!)=0,"",IF(BC$27=#REF!,Milestone_Marker_Old,"")),"")</f>
        <v/>
      </c>
      <c r="CD15" s="36" t="str">
        <f>IFERROR(IF(LEN(#REF!)=0,"",IF(BD$27=#REF!,Milestone_Marker_Old,"")),"")</f>
        <v/>
      </c>
      <c r="CE15" s="36" t="str">
        <f>IFERROR(IF(LEN(#REF!)=0,"",IF(BE$27=#REF!,Milestone_Marker_Old,"")),"")</f>
        <v/>
      </c>
      <c r="CF15" s="36" t="str">
        <f>IFERROR(IF(LEN(#REF!)=0,"",IF(BF$27=#REF!,Milestone_Marker_Old,"")),"")</f>
        <v/>
      </c>
      <c r="CG15" s="36" t="str">
        <f>IFERROR(IF(LEN(#REF!)=0,"",IF(BG$27=#REF!,Milestone_Marker_Old,"")),"")</f>
        <v/>
      </c>
      <c r="CH15" s="36" t="str">
        <f>IFERROR(IF(LEN(#REF!)=0,"",IF(BH$27=#REF!,Milestone_Marker_Old,"")),"")</f>
        <v/>
      </c>
      <c r="CI15" s="36" t="str">
        <f>IFERROR(IF(LEN(#REF!)=0,"",IF(BI$27=#REF!,Milestone_Marker_Old,"")),"")</f>
        <v/>
      </c>
      <c r="CJ15" s="36" t="str">
        <f>IFERROR(IF(LEN(#REF!)=0,"",IF(BJ$27=#REF!,Milestone_Marker_Old,"")),"")</f>
        <v/>
      </c>
      <c r="CK15" s="36" t="str">
        <f>IFERROR(IF(LEN(#REF!)=0,"",IF(BK$27=#REF!,Milestone_Marker_Old,"")),"")</f>
        <v/>
      </c>
      <c r="CL15" s="36" t="str">
        <f>IFERROR(IF(LEN(#REF!)=0,"",IF(BL$27=#REF!,Milestone_Marker_Old,"")),"")</f>
        <v/>
      </c>
      <c r="CM15" s="36" t="str">
        <f>IFERROR(IF(LEN(#REF!)=0,"",IF(BM$27=#REF!,Milestone_Marker_Old,"")),"")</f>
        <v/>
      </c>
      <c r="CN15" s="36" t="str">
        <f>IFERROR(IF(LEN(#REF!)=0,"",IF(BN$27=#REF!,Milestone_Marker_Old,"")),"")</f>
        <v/>
      </c>
      <c r="CO15" s="36" t="str">
        <f>IFERROR(IF(LEN(#REF!)=0,"",IF(BO$27=#REF!,Milestone_Marker_Old,"")),"")</f>
        <v/>
      </c>
      <c r="CP15" s="36" t="str">
        <f>IFERROR(IF(LEN(#REF!)=0,"",IF(BP$27=#REF!,Milestone_Marker_Old,"")),"")</f>
        <v/>
      </c>
      <c r="CQ15" s="36" t="str">
        <f>IFERROR(IF(LEN(#REF!)=0,"",IF(BQ$27=#REF!,Milestone_Marker_Old,"")),"")</f>
        <v/>
      </c>
      <c r="CR15" s="36" t="str">
        <f>IFERROR(IF(LEN(#REF!)=0,"",IF(BR$27=#REF!,Milestone_Marker_Old,"")),"")</f>
        <v/>
      </c>
      <c r="CS15" s="36" t="str">
        <f>IFERROR(IF(LEN(#REF!)=0,"",IF(BS$27=#REF!,Milestone_Marker_Old,"")),"")</f>
        <v/>
      </c>
      <c r="CT15" s="36" t="str">
        <f>IFERROR(IF(LEN(#REF!)=0,"",IF(BT$27=#REF!,Milestone_Marker_Old,"")),"")</f>
        <v/>
      </c>
      <c r="CU15" s="36" t="str">
        <f>IFERROR(IF(LEN(#REF!)=0,"",IF(BU$27=#REF!,Milestone_Marker_Old,"")),"")</f>
        <v/>
      </c>
      <c r="CV15" s="36" t="str">
        <f>IFERROR(IF(LEN(#REF!)=0,"",IF(BV$27=#REF!,Milestone_Marker_Old,"")),"")</f>
        <v/>
      </c>
      <c r="CW15" s="36" t="str">
        <f>IFERROR(IF(LEN(#REF!)=0,"",IF(BW$27=#REF!,Milestone_Marker_Old,"")),"")</f>
        <v/>
      </c>
      <c r="CX15" s="36" t="str">
        <f>IFERROR(IF(LEN(#REF!)=0,"",IF(BX$27=#REF!,Milestone_Marker_Old,"")),"")</f>
        <v/>
      </c>
      <c r="CY15" s="36" t="str">
        <f>IFERROR(IF(LEN(#REF!)=0,"",IF(BY$27=#REF!,Milestone_Marker_Old,"")),"")</f>
        <v/>
      </c>
      <c r="CZ15" s="36" t="str">
        <f>IFERROR(IF(LEN(#REF!)=0,"",IF(BZ$27=#REF!,Milestone_Marker_Old,"")),"")</f>
        <v/>
      </c>
      <c r="DA15" s="36" t="str">
        <f>IFERROR(IF(LEN(#REF!)=0,"",IF(CA$27=#REF!,Milestone_Marker_Old,"")),"")</f>
        <v/>
      </c>
      <c r="DB15" s="36" t="str">
        <f>IFERROR(IF(LEN(#REF!)=0,"",IF(CB$27=#REF!,Milestone_Marker_Old,"")),"")</f>
        <v/>
      </c>
      <c r="DC15" s="36" t="str">
        <f>IFERROR(IF(LEN(#REF!)=0,"",IF(CC$27=#REF!,Milestone_Marker_Old,"")),"")</f>
        <v/>
      </c>
      <c r="DD15" s="36" t="str">
        <f>IFERROR(IF(LEN(#REF!)=0,"",IF(CD$27=#REF!,Milestone_Marker_Old,"")),"")</f>
        <v/>
      </c>
      <c r="DE15" s="36" t="str">
        <f>IFERROR(IF(LEN(#REF!)=0,"",IF(CE$27=#REF!,Milestone_Marker_Old,"")),"")</f>
        <v/>
      </c>
      <c r="DF15" s="36" t="str">
        <f>IFERROR(IF(LEN(#REF!)=0,"",IF(CF$27=#REF!,Milestone_Marker_Old,"")),"")</f>
        <v/>
      </c>
      <c r="DG15" s="36" t="str">
        <f>IFERROR(IF(LEN(#REF!)=0,"",IF(CG$27=#REF!,Milestone_Marker_Old,"")),"")</f>
        <v/>
      </c>
      <c r="DH15" s="36" t="str">
        <f>IFERROR(IF(LEN(#REF!)=0,"",IF(CH$27=#REF!,Milestone_Marker_Old,"")),"")</f>
        <v/>
      </c>
      <c r="DI15" s="36" t="str">
        <f>IFERROR(IF(LEN(#REF!)=0,"",IF(CI$27=#REF!,Milestone_Marker_Old,"")),"")</f>
        <v/>
      </c>
      <c r="DJ15" s="36" t="str">
        <f>IFERROR(IF(LEN(#REF!)=0,"",IF(CJ$27=#REF!,Milestone_Marker_Old,"")),"")</f>
        <v/>
      </c>
      <c r="DK15" s="36" t="str">
        <f>IFERROR(IF(LEN(#REF!)=0,"",IF(CK$27=#REF!,Milestone_Marker_Old,"")),"")</f>
        <v/>
      </c>
      <c r="DL15" s="36" t="str">
        <f>IFERROR(IF(LEN(#REF!)=0,"",IF(CL$27=#REF!,Milestone_Marker_Old,"")),"")</f>
        <v/>
      </c>
      <c r="DM15" s="36" t="str">
        <f>IFERROR(IF(LEN(#REF!)=0,"",IF(CM$27=#REF!,Milestone_Marker_Old,"")),"")</f>
        <v/>
      </c>
      <c r="DN15" s="36" t="str">
        <f>IFERROR(IF(LEN(#REF!)=0,"",IF(CN$27=#REF!,Milestone_Marker_Old,"")),"")</f>
        <v/>
      </c>
      <c r="DO15" s="36" t="str">
        <f>IFERROR(IF(LEN(#REF!)=0,"",IF(CO$27=#REF!,Milestone_Marker_Old,"")),"")</f>
        <v/>
      </c>
      <c r="DP15" s="36" t="str">
        <f>IFERROR(IF(LEN(#REF!)=0,"",IF(CP$27=#REF!,Milestone_Marker_Old,"")),"")</f>
        <v/>
      </c>
      <c r="DQ15" s="36" t="str">
        <f>IFERROR(IF(LEN(#REF!)=0,"",IF(CQ$27=#REF!,Milestone_Marker_Old,"")),"")</f>
        <v/>
      </c>
      <c r="DR15" s="36" t="str">
        <f>IFERROR(IF(LEN(#REF!)=0,"",IF(CR$27=#REF!,Milestone_Marker_Old,"")),"")</f>
        <v/>
      </c>
      <c r="DS15" s="36" t="str">
        <f>IFERROR(IF(LEN(#REF!)=0,"",IF(CS$27=#REF!,Milestone_Marker_Old,"")),"")</f>
        <v/>
      </c>
      <c r="DT15" s="36" t="str">
        <f>IFERROR(IF(LEN(#REF!)=0,"",IF(CT$27=#REF!,Milestone_Marker_Old,"")),"")</f>
        <v/>
      </c>
      <c r="DU15" s="36" t="str">
        <f>IFERROR(IF(LEN(#REF!)=0,"",IF(CU$27=#REF!,Milestone_Marker_Old,"")),"")</f>
        <v/>
      </c>
    </row>
    <row r="16" spans="1:125" s="41" customFormat="1" ht="20.100000000000001" customHeight="1" x14ac:dyDescent="0.25">
      <c r="A16" s="84" t="str">
        <f>Profit!$E$1&amp;" Your Home"</f>
        <v>Sell Your Home</v>
      </c>
      <c r="B16" s="85">
        <f t="shared" si="4"/>
        <v>9</v>
      </c>
      <c r="C16" s="86"/>
      <c r="D16" s="84"/>
      <c r="E16" s="84" t="s">
        <v>502</v>
      </c>
      <c r="F16" s="85">
        <v>1</v>
      </c>
      <c r="G16" s="87">
        <f>+Legal!G24</f>
        <v>0</v>
      </c>
      <c r="H16" s="87">
        <f>+F16*G16</f>
        <v>0</v>
      </c>
      <c r="I16" s="88"/>
      <c r="J16" s="87"/>
      <c r="K16" s="89"/>
      <c r="L16" s="87"/>
      <c r="M16" s="87"/>
      <c r="N16" s="87">
        <f t="shared" si="5"/>
        <v>0</v>
      </c>
      <c r="O16" s="88"/>
      <c r="R16" s="35"/>
      <c r="S16" s="35"/>
      <c r="T16" s="35"/>
      <c r="U16" s="35"/>
      <c r="V16" s="35"/>
      <c r="W16" s="35"/>
      <c r="X16" s="35"/>
      <c r="Y16" s="35"/>
      <c r="Z16" s="35"/>
      <c r="AA16" s="35"/>
      <c r="AB16" s="35"/>
      <c r="AC16" s="35"/>
      <c r="AD16" s="35"/>
      <c r="AE16" s="35"/>
      <c r="AF16" s="35"/>
      <c r="AG16" s="35"/>
      <c r="AH16" s="35"/>
      <c r="AI16" s="35"/>
      <c r="AP16" s="36" t="str">
        <f>IFERROR(IF(LEN(#REF!)=0,"",IF(P$27=#REF!,Milestone_Marker_Old,"")),"")</f>
        <v/>
      </c>
      <c r="AQ16" s="36" t="str">
        <f>IFERROR(IF(LEN(#REF!)=0,"",IF(Q$27=#REF!,Milestone_Marker_Old,"")),"")</f>
        <v/>
      </c>
      <c r="AR16" s="36" t="str">
        <f>IFERROR(IF(LEN(#REF!)=0,"",IF(R$27=#REF!,Milestone_Marker_Old,"")),"")</f>
        <v/>
      </c>
      <c r="AS16" s="36" t="str">
        <f>IFERROR(IF(LEN(#REF!)=0,"",IF(S$27=#REF!,Milestone_Marker_Old,"")),"")</f>
        <v/>
      </c>
      <c r="AT16" s="36" t="str">
        <f>IFERROR(IF(LEN(#REF!)=0,"",IF(T$27=#REF!,Milestone_Marker_Old,"")),"")</f>
        <v/>
      </c>
      <c r="AU16" s="36" t="str">
        <f>IFERROR(IF(LEN(#REF!)=0,"",IF(U$27=#REF!,Milestone_Marker_Old,"")),"")</f>
        <v/>
      </c>
      <c r="AV16" s="36" t="str">
        <f>IFERROR(IF(LEN(#REF!)=0,"",IF(V$27=#REF!,Milestone_Marker_Old,"")),"")</f>
        <v/>
      </c>
      <c r="AW16" s="36" t="str">
        <f>IFERROR(IF(LEN(#REF!)=0,"",IF(W$27=#REF!,Milestone_Marker_Old,"")),"")</f>
        <v/>
      </c>
      <c r="AX16" s="36" t="str">
        <f>IFERROR(IF(LEN(#REF!)=0,"",IF(X$27=#REF!,Milestone_Marker_Old,"")),"")</f>
        <v/>
      </c>
      <c r="AY16" s="36" t="str">
        <f>IFERROR(IF(LEN(#REF!)=0,"",IF(Y$27=#REF!,Milestone_Marker_Old,"")),"")</f>
        <v/>
      </c>
      <c r="AZ16" s="36" t="str">
        <f>IFERROR(IF(LEN(#REF!)=0,"",IF(Z$27=#REF!,Milestone_Marker_Old,"")),"")</f>
        <v/>
      </c>
      <c r="BA16" s="36" t="str">
        <f>IFERROR(IF(LEN(#REF!)=0,"",IF(AA$27=#REF!,Milestone_Marker_Old,"")),"")</f>
        <v/>
      </c>
      <c r="BB16" s="36" t="str">
        <f>IFERROR(IF(LEN(#REF!)=0,"",IF(AB$27=#REF!,Milestone_Marker_Old,"")),"")</f>
        <v/>
      </c>
      <c r="BC16" s="36" t="str">
        <f>IFERROR(IF(LEN(#REF!)=0,"",IF(AC$27=#REF!,Milestone_Marker_Old,"")),"")</f>
        <v/>
      </c>
      <c r="BD16" s="36" t="str">
        <f>IFERROR(IF(LEN(#REF!)=0,"",IF(AD$27=#REF!,Milestone_Marker_Old,"")),"")</f>
        <v/>
      </c>
      <c r="BE16" s="36" t="str">
        <f>IFERROR(IF(LEN(#REF!)=0,"",IF(AE$27=#REF!,Milestone_Marker_Old,"")),"")</f>
        <v/>
      </c>
      <c r="BF16" s="36" t="str">
        <f>IFERROR(IF(LEN(#REF!)=0,"",IF(AF$27=#REF!,Milestone_Marker_Old,"")),"")</f>
        <v/>
      </c>
      <c r="BG16" s="36" t="str">
        <f>IFERROR(IF(LEN(#REF!)=0,"",IF(AG$27=#REF!,Milestone_Marker_Old,"")),"")</f>
        <v/>
      </c>
      <c r="BH16" s="36" t="str">
        <f>IFERROR(IF(LEN(#REF!)=0,"",IF(AH$27=#REF!,Milestone_Marker_Old,"")),"")</f>
        <v/>
      </c>
      <c r="BI16" s="36" t="str">
        <f>IFERROR(IF(LEN(#REF!)=0,"",IF(AI$27=#REF!,Milestone_Marker_Old,"")),"")</f>
        <v/>
      </c>
      <c r="BJ16" s="36" t="str">
        <f>IFERROR(IF(LEN(#REF!)=0,"",IF(AJ$27=#REF!,Milestone_Marker_Old,"")),"")</f>
        <v/>
      </c>
      <c r="BK16" s="36" t="str">
        <f>IFERROR(IF(LEN(#REF!)=0,"",IF(AK$27=#REF!,Milestone_Marker_Old,"")),"")</f>
        <v/>
      </c>
      <c r="BL16" s="36" t="str">
        <f>IFERROR(IF(LEN(#REF!)=0,"",IF(AL$27=#REF!,Milestone_Marker_Old,"")),"")</f>
        <v/>
      </c>
      <c r="BM16" s="36" t="str">
        <f>IFERROR(IF(LEN(#REF!)=0,"",IF(AM$27=#REF!,Milestone_Marker_Old,"")),"")</f>
        <v/>
      </c>
      <c r="BN16" s="36" t="str">
        <f>IFERROR(IF(LEN(#REF!)=0,"",IF(AN$27=#REF!,Milestone_Marker_Old,"")),"")</f>
        <v/>
      </c>
      <c r="BO16" s="36" t="str">
        <f>IFERROR(IF(LEN(#REF!)=0,"",IF(AO$27=#REF!,Milestone_Marker_Old,"")),"")</f>
        <v/>
      </c>
      <c r="BP16" s="36" t="str">
        <f>IFERROR(IF(LEN(#REF!)=0,"",IF(AP$27=#REF!,Milestone_Marker_Old,"")),"")</f>
        <v/>
      </c>
      <c r="BQ16" s="36" t="str">
        <f>IFERROR(IF(LEN(#REF!)=0,"",IF(AQ$27=#REF!,Milestone_Marker_Old,"")),"")</f>
        <v/>
      </c>
      <c r="BR16" s="36" t="str">
        <f>IFERROR(IF(LEN(#REF!)=0,"",IF(AR$27=#REF!,Milestone_Marker_Old,"")),"")</f>
        <v/>
      </c>
      <c r="BS16" s="36" t="str">
        <f>IFERROR(IF(LEN(#REF!)=0,"",IF(AS$27=#REF!,Milestone_Marker_Old,"")),"")</f>
        <v/>
      </c>
      <c r="BT16" s="36" t="str">
        <f>IFERROR(IF(LEN(#REF!)=0,"",IF(AT$27=#REF!,Milestone_Marker_Old,"")),"")</f>
        <v/>
      </c>
      <c r="BU16" s="36" t="str">
        <f>IFERROR(IF(LEN(#REF!)=0,"",IF(AU$27=#REF!,Milestone_Marker_Old,"")),"")</f>
        <v/>
      </c>
      <c r="BV16" s="36" t="str">
        <f>IFERROR(IF(LEN(#REF!)=0,"",IF(AV$27=#REF!,Milestone_Marker_Old,"")),"")</f>
        <v/>
      </c>
      <c r="BW16" s="36" t="str">
        <f>IFERROR(IF(LEN(#REF!)=0,"",IF(AW$27=#REF!,Milestone_Marker_Old,"")),"")</f>
        <v/>
      </c>
      <c r="BX16" s="36" t="str">
        <f>IFERROR(IF(LEN(#REF!)=0,"",IF(AX$27=#REF!,Milestone_Marker_Old,"")),"")</f>
        <v/>
      </c>
      <c r="BY16" s="36" t="str">
        <f>IFERROR(IF(LEN(#REF!)=0,"",IF(AY$27=#REF!,Milestone_Marker_Old,"")),"")</f>
        <v/>
      </c>
      <c r="BZ16" s="36" t="str">
        <f>IFERROR(IF(LEN(#REF!)=0,"",IF(AZ$27=#REF!,Milestone_Marker_Old,"")),"")</f>
        <v/>
      </c>
      <c r="CA16" s="36" t="str">
        <f>IFERROR(IF(LEN(#REF!)=0,"",IF(BA$27=#REF!,Milestone_Marker_Old,"")),"")</f>
        <v/>
      </c>
      <c r="CB16" s="36" t="str">
        <f>IFERROR(IF(LEN(#REF!)=0,"",IF(BB$27=#REF!,Milestone_Marker_Old,"")),"")</f>
        <v/>
      </c>
      <c r="CC16" s="36" t="str">
        <f>IFERROR(IF(LEN(#REF!)=0,"",IF(BC$27=#REF!,Milestone_Marker_Old,"")),"")</f>
        <v/>
      </c>
      <c r="CD16" s="36" t="str">
        <f>IFERROR(IF(LEN(#REF!)=0,"",IF(BD$27=#REF!,Milestone_Marker_Old,"")),"")</f>
        <v/>
      </c>
      <c r="CE16" s="36" t="str">
        <f>IFERROR(IF(LEN(#REF!)=0,"",IF(BE$27=#REF!,Milestone_Marker_Old,"")),"")</f>
        <v/>
      </c>
      <c r="CF16" s="36" t="str">
        <f>IFERROR(IF(LEN(#REF!)=0,"",IF(BF$27=#REF!,Milestone_Marker_Old,"")),"")</f>
        <v/>
      </c>
      <c r="CG16" s="36" t="str">
        <f>IFERROR(IF(LEN(#REF!)=0,"",IF(BG$27=#REF!,Milestone_Marker_Old,"")),"")</f>
        <v/>
      </c>
      <c r="CH16" s="36" t="str">
        <f>IFERROR(IF(LEN(#REF!)=0,"",IF(BH$27=#REF!,Milestone_Marker_Old,"")),"")</f>
        <v/>
      </c>
      <c r="CI16" s="36" t="str">
        <f>IFERROR(IF(LEN(#REF!)=0,"",IF(BI$27=#REF!,Milestone_Marker_Old,"")),"")</f>
        <v/>
      </c>
      <c r="CJ16" s="36" t="str">
        <f>IFERROR(IF(LEN(#REF!)=0,"",IF(BJ$27=#REF!,Milestone_Marker_Old,"")),"")</f>
        <v/>
      </c>
      <c r="CK16" s="36" t="str">
        <f>IFERROR(IF(LEN(#REF!)=0,"",IF(BK$27=#REF!,Milestone_Marker_Old,"")),"")</f>
        <v/>
      </c>
      <c r="CL16" s="36" t="str">
        <f>IFERROR(IF(LEN(#REF!)=0,"",IF(BL$27=#REF!,Milestone_Marker_Old,"")),"")</f>
        <v/>
      </c>
      <c r="CM16" s="36" t="str">
        <f>IFERROR(IF(LEN(#REF!)=0,"",IF(BM$27=#REF!,Milestone_Marker_Old,"")),"")</f>
        <v/>
      </c>
      <c r="CN16" s="36" t="str">
        <f>IFERROR(IF(LEN(#REF!)=0,"",IF(BN$27=#REF!,Milestone_Marker_Old,"")),"")</f>
        <v/>
      </c>
      <c r="CO16" s="36" t="str">
        <f>IFERROR(IF(LEN(#REF!)=0,"",IF(BO$27=#REF!,Milestone_Marker_Old,"")),"")</f>
        <v/>
      </c>
      <c r="CP16" s="36" t="str">
        <f>IFERROR(IF(LEN(#REF!)=0,"",IF(BP$27=#REF!,Milestone_Marker_Old,"")),"")</f>
        <v/>
      </c>
      <c r="CQ16" s="36" t="str">
        <f>IFERROR(IF(LEN(#REF!)=0,"",IF(BQ$27=#REF!,Milestone_Marker_Old,"")),"")</f>
        <v/>
      </c>
      <c r="CR16" s="36" t="str">
        <f>IFERROR(IF(LEN(#REF!)=0,"",IF(BR$27=#REF!,Milestone_Marker_Old,"")),"")</f>
        <v/>
      </c>
      <c r="CS16" s="36" t="str">
        <f>IFERROR(IF(LEN(#REF!)=0,"",IF(BS$27=#REF!,Milestone_Marker_Old,"")),"")</f>
        <v/>
      </c>
      <c r="CT16" s="36" t="str">
        <f>IFERROR(IF(LEN(#REF!)=0,"",IF(BT$27=#REF!,Milestone_Marker_Old,"")),"")</f>
        <v/>
      </c>
      <c r="CU16" s="36" t="str">
        <f>IFERROR(IF(LEN(#REF!)=0,"",IF(BU$27=#REF!,Milestone_Marker_Old,"")),"")</f>
        <v/>
      </c>
      <c r="CV16" s="36" t="str">
        <f>IFERROR(IF(LEN(#REF!)=0,"",IF(BV$27=#REF!,Milestone_Marker_Old,"")),"")</f>
        <v/>
      </c>
      <c r="CW16" s="36" t="str">
        <f>IFERROR(IF(LEN(#REF!)=0,"",IF(BW$27=#REF!,Milestone_Marker_Old,"")),"")</f>
        <v/>
      </c>
      <c r="CX16" s="36" t="str">
        <f>IFERROR(IF(LEN(#REF!)=0,"",IF(BX$27=#REF!,Milestone_Marker_Old,"")),"")</f>
        <v/>
      </c>
      <c r="CY16" s="36" t="str">
        <f>IFERROR(IF(LEN(#REF!)=0,"",IF(BY$27=#REF!,Milestone_Marker_Old,"")),"")</f>
        <v/>
      </c>
      <c r="CZ16" s="36" t="str">
        <f>IFERROR(IF(LEN(#REF!)=0,"",IF(BZ$27=#REF!,Milestone_Marker_Old,"")),"")</f>
        <v/>
      </c>
      <c r="DA16" s="36" t="str">
        <f>IFERROR(IF(LEN(#REF!)=0,"",IF(CA$27=#REF!,Milestone_Marker_Old,"")),"")</f>
        <v/>
      </c>
      <c r="DB16" s="36" t="str">
        <f>IFERROR(IF(LEN(#REF!)=0,"",IF(CB$27=#REF!,Milestone_Marker_Old,"")),"")</f>
        <v/>
      </c>
      <c r="DC16" s="36" t="str">
        <f>IFERROR(IF(LEN(#REF!)=0,"",IF(CC$27=#REF!,Milestone_Marker_Old,"")),"")</f>
        <v/>
      </c>
      <c r="DD16" s="36" t="str">
        <f>IFERROR(IF(LEN(#REF!)=0,"",IF(CD$27=#REF!,Milestone_Marker_Old,"")),"")</f>
        <v/>
      </c>
      <c r="DE16" s="36" t="str">
        <f>IFERROR(IF(LEN(#REF!)=0,"",IF(CE$27=#REF!,Milestone_Marker_Old,"")),"")</f>
        <v/>
      </c>
      <c r="DF16" s="36" t="str">
        <f>IFERROR(IF(LEN(#REF!)=0,"",IF(CF$27=#REF!,Milestone_Marker_Old,"")),"")</f>
        <v/>
      </c>
      <c r="DG16" s="36" t="str">
        <f>IFERROR(IF(LEN(#REF!)=0,"",IF(CG$27=#REF!,Milestone_Marker_Old,"")),"")</f>
        <v/>
      </c>
      <c r="DH16" s="36" t="str">
        <f>IFERROR(IF(LEN(#REF!)=0,"",IF(CH$27=#REF!,Milestone_Marker_Old,"")),"")</f>
        <v/>
      </c>
      <c r="DI16" s="36" t="str">
        <f>IFERROR(IF(LEN(#REF!)=0,"",IF(CI$27=#REF!,Milestone_Marker_Old,"")),"")</f>
        <v/>
      </c>
      <c r="DJ16" s="36" t="str">
        <f>IFERROR(IF(LEN(#REF!)=0,"",IF(CJ$27=#REF!,Milestone_Marker_Old,"")),"")</f>
        <v/>
      </c>
      <c r="DK16" s="36" t="str">
        <f>IFERROR(IF(LEN(#REF!)=0,"",IF(CK$27=#REF!,Milestone_Marker_Old,"")),"")</f>
        <v/>
      </c>
      <c r="DL16" s="36" t="str">
        <f>IFERROR(IF(LEN(#REF!)=0,"",IF(CL$27=#REF!,Milestone_Marker_Old,"")),"")</f>
        <v/>
      </c>
      <c r="DM16" s="36" t="str">
        <f>IFERROR(IF(LEN(#REF!)=0,"",IF(CM$27=#REF!,Milestone_Marker_Old,"")),"")</f>
        <v/>
      </c>
      <c r="DN16" s="36" t="str">
        <f>IFERROR(IF(LEN(#REF!)=0,"",IF(CN$27=#REF!,Milestone_Marker_Old,"")),"")</f>
        <v/>
      </c>
      <c r="DO16" s="36" t="str">
        <f>IFERROR(IF(LEN(#REF!)=0,"",IF(CO$27=#REF!,Milestone_Marker_Old,"")),"")</f>
        <v/>
      </c>
      <c r="DP16" s="36" t="str">
        <f>IFERROR(IF(LEN(#REF!)=0,"",IF(CP$27=#REF!,Milestone_Marker_Old,"")),"")</f>
        <v/>
      </c>
      <c r="DQ16" s="36" t="str">
        <f>IFERROR(IF(LEN(#REF!)=0,"",IF(CQ$27=#REF!,Milestone_Marker_Old,"")),"")</f>
        <v/>
      </c>
      <c r="DR16" s="36" t="str">
        <f>IFERROR(IF(LEN(#REF!)=0,"",IF(CR$27=#REF!,Milestone_Marker_Old,"")),"")</f>
        <v/>
      </c>
      <c r="DS16" s="36" t="str">
        <f>IFERROR(IF(LEN(#REF!)=0,"",IF(CS$27=#REF!,Milestone_Marker_Old,"")),"")</f>
        <v/>
      </c>
      <c r="DT16" s="36" t="str">
        <f>IFERROR(IF(LEN(#REF!)=0,"",IF(CT$27=#REF!,Milestone_Marker_Old,"")),"")</f>
        <v/>
      </c>
      <c r="DU16" s="36" t="str">
        <f>IFERROR(IF(LEN(#REF!)=0,"",IF(CU$27=#REF!,Milestone_Marker_Old,"")),"")</f>
        <v/>
      </c>
    </row>
    <row r="17" spans="1:125" s="41" customFormat="1" ht="20.100000000000001" customHeight="1" x14ac:dyDescent="0.25">
      <c r="A17" s="84" t="str">
        <f>Profit!$E$1&amp;" Your Home"</f>
        <v>Sell Your Home</v>
      </c>
      <c r="B17" s="85">
        <f>+B15+1</f>
        <v>9</v>
      </c>
      <c r="C17" s="86"/>
      <c r="D17" s="84"/>
      <c r="E17" s="84" t="s">
        <v>257</v>
      </c>
      <c r="F17" s="85">
        <v>1</v>
      </c>
      <c r="G17" s="87">
        <f>+Exterior!I28</f>
        <v>21372.21</v>
      </c>
      <c r="H17" s="87">
        <f t="shared" si="2"/>
        <v>21372.21</v>
      </c>
      <c r="I17" s="88" t="s">
        <v>3</v>
      </c>
      <c r="J17" s="87"/>
      <c r="K17" s="89"/>
      <c r="L17" s="87"/>
      <c r="M17" s="87">
        <v>21372.21</v>
      </c>
      <c r="N17" s="87">
        <f t="shared" si="5"/>
        <v>0</v>
      </c>
      <c r="O17" s="88"/>
      <c r="R17" s="35"/>
      <c r="S17" s="35"/>
      <c r="T17" s="35"/>
      <c r="U17" s="35"/>
      <c r="V17" s="35"/>
      <c r="W17" s="35"/>
      <c r="X17" s="35"/>
      <c r="Y17" s="35"/>
      <c r="Z17" s="35"/>
      <c r="AA17" s="35"/>
      <c r="AB17" s="35"/>
      <c r="AC17" s="35"/>
      <c r="AD17" s="35"/>
      <c r="AE17" s="35"/>
      <c r="AF17" s="35"/>
      <c r="AG17" s="35"/>
      <c r="AH17" s="35"/>
      <c r="AI17" s="35"/>
      <c r="AP17" s="36"/>
      <c r="AQ17" s="36"/>
      <c r="AR17" s="36"/>
      <c r="AS17" s="36"/>
      <c r="AT17" s="36"/>
      <c r="AU17" s="36"/>
      <c r="AV17" s="36"/>
      <c r="AW17" s="36"/>
      <c r="AX17" s="36"/>
      <c r="AY17" s="36"/>
      <c r="AZ17" s="36"/>
      <c r="BA17" s="36"/>
      <c r="BB17" s="36"/>
      <c r="BC17" s="36"/>
      <c r="BD17" s="36"/>
      <c r="BE17" s="36"/>
      <c r="BF17" s="36"/>
      <c r="BG17" s="36"/>
      <c r="BH17" s="36"/>
      <c r="BI17" s="36"/>
      <c r="BJ17" s="36"/>
      <c r="BK17" s="36"/>
      <c r="BL17" s="36"/>
      <c r="BM17" s="36"/>
      <c r="BN17" s="36"/>
      <c r="BO17" s="36"/>
      <c r="BP17" s="36"/>
      <c r="BQ17" s="36"/>
      <c r="BR17" s="36"/>
      <c r="BS17" s="36"/>
      <c r="BT17" s="36"/>
      <c r="BU17" s="36"/>
      <c r="BV17" s="36"/>
      <c r="BW17" s="36"/>
      <c r="BX17" s="36"/>
      <c r="BY17" s="36"/>
      <c r="BZ17" s="36"/>
      <c r="CA17" s="36"/>
      <c r="CB17" s="36"/>
      <c r="CC17" s="36"/>
      <c r="CD17" s="36"/>
      <c r="CE17" s="36"/>
      <c r="CF17" s="36"/>
      <c r="CG17" s="36"/>
      <c r="CH17" s="36"/>
      <c r="CI17" s="36"/>
      <c r="CJ17" s="36"/>
      <c r="CK17" s="36"/>
      <c r="CL17" s="36"/>
      <c r="CM17" s="36"/>
      <c r="CN17" s="36"/>
      <c r="CO17" s="36"/>
      <c r="CP17" s="36"/>
      <c r="CQ17" s="36"/>
      <c r="CR17" s="36"/>
      <c r="CS17" s="36"/>
      <c r="CT17" s="36"/>
      <c r="CU17" s="36"/>
      <c r="CV17" s="36"/>
      <c r="CW17" s="36"/>
      <c r="CX17" s="36"/>
      <c r="CY17" s="36"/>
      <c r="CZ17" s="36"/>
      <c r="DA17" s="36"/>
      <c r="DB17" s="36"/>
      <c r="DC17" s="36"/>
      <c r="DD17" s="36"/>
      <c r="DE17" s="36"/>
      <c r="DF17" s="36"/>
      <c r="DG17" s="36"/>
      <c r="DH17" s="36"/>
      <c r="DI17" s="36"/>
      <c r="DJ17" s="36"/>
      <c r="DK17" s="36"/>
      <c r="DL17" s="36"/>
      <c r="DM17" s="36"/>
      <c r="DN17" s="36"/>
      <c r="DO17" s="36"/>
      <c r="DP17" s="36"/>
      <c r="DQ17" s="36"/>
      <c r="DR17" s="36"/>
      <c r="DS17" s="36"/>
      <c r="DT17" s="36"/>
      <c r="DU17" s="36"/>
    </row>
    <row r="18" spans="1:125" s="41" customFormat="1" ht="20.100000000000001" customHeight="1" x14ac:dyDescent="0.25">
      <c r="A18" s="84" t="str">
        <f>Profit!$E$1&amp;" Your Home"</f>
        <v>Sell Your Home</v>
      </c>
      <c r="B18" s="85">
        <f t="shared" si="4"/>
        <v>10</v>
      </c>
      <c r="C18" s="86"/>
      <c r="D18" s="84"/>
      <c r="E18" s="84" t="s">
        <v>258</v>
      </c>
      <c r="F18" s="85">
        <v>1</v>
      </c>
      <c r="G18" s="87">
        <f>+Landscape!G17</f>
        <v>0</v>
      </c>
      <c r="H18" s="87">
        <f>+F18*G18</f>
        <v>0</v>
      </c>
      <c r="I18" s="88"/>
      <c r="J18" s="87"/>
      <c r="K18" s="89"/>
      <c r="L18" s="87"/>
      <c r="M18" s="87"/>
      <c r="N18" s="87">
        <f t="shared" si="5"/>
        <v>0</v>
      </c>
      <c r="O18" s="88"/>
      <c r="R18" s="35"/>
      <c r="S18" s="35"/>
      <c r="T18" s="35"/>
      <c r="U18" s="35"/>
      <c r="V18" s="35"/>
      <c r="W18" s="35"/>
      <c r="X18" s="35"/>
      <c r="Y18" s="35"/>
      <c r="Z18" s="35"/>
      <c r="AA18" s="35"/>
      <c r="AB18" s="35"/>
      <c r="AC18" s="35"/>
      <c r="AD18" s="35"/>
      <c r="AE18" s="35"/>
      <c r="AF18" s="35"/>
      <c r="AG18" s="35"/>
      <c r="AH18" s="35"/>
      <c r="AI18" s="35"/>
      <c r="AP18" s="36"/>
      <c r="AQ18" s="36"/>
      <c r="AR18" s="36"/>
      <c r="AS18" s="36"/>
      <c r="AT18" s="36"/>
      <c r="AU18" s="36"/>
      <c r="AV18" s="36"/>
      <c r="AW18" s="36"/>
      <c r="AX18" s="36"/>
      <c r="AY18" s="36"/>
      <c r="AZ18" s="36"/>
      <c r="BA18" s="36"/>
      <c r="BB18" s="36"/>
      <c r="BC18" s="36"/>
      <c r="BD18" s="36"/>
      <c r="BE18" s="36"/>
      <c r="BF18" s="36"/>
      <c r="BG18" s="36"/>
      <c r="BH18" s="36"/>
      <c r="BI18" s="36"/>
      <c r="BJ18" s="36"/>
      <c r="BK18" s="36"/>
      <c r="BL18" s="36"/>
      <c r="BM18" s="36"/>
      <c r="BN18" s="36"/>
      <c r="BO18" s="36"/>
      <c r="BP18" s="36"/>
      <c r="BQ18" s="36"/>
      <c r="BR18" s="36"/>
      <c r="BS18" s="36"/>
      <c r="BT18" s="36"/>
      <c r="BU18" s="36"/>
      <c r="BV18" s="36"/>
      <c r="BW18" s="36"/>
      <c r="BX18" s="36"/>
      <c r="BY18" s="36"/>
      <c r="BZ18" s="36"/>
      <c r="CA18" s="36"/>
      <c r="CB18" s="36"/>
      <c r="CC18" s="36"/>
      <c r="CD18" s="36"/>
      <c r="CE18" s="36"/>
      <c r="CF18" s="36"/>
      <c r="CG18" s="36"/>
      <c r="CH18" s="36"/>
      <c r="CI18" s="36"/>
      <c r="CJ18" s="36"/>
      <c r="CK18" s="36"/>
      <c r="CL18" s="36"/>
      <c r="CM18" s="36"/>
      <c r="CN18" s="36"/>
      <c r="CO18" s="36"/>
      <c r="CP18" s="36"/>
      <c r="CQ18" s="36"/>
      <c r="CR18" s="36"/>
      <c r="CS18" s="36"/>
      <c r="CT18" s="36"/>
      <c r="CU18" s="36"/>
      <c r="CV18" s="36"/>
      <c r="CW18" s="36"/>
      <c r="CX18" s="36"/>
      <c r="CY18" s="36"/>
      <c r="CZ18" s="36"/>
      <c r="DA18" s="36"/>
      <c r="DB18" s="36"/>
      <c r="DC18" s="36"/>
      <c r="DD18" s="36"/>
      <c r="DE18" s="36"/>
      <c r="DF18" s="36"/>
      <c r="DG18" s="36"/>
      <c r="DH18" s="36"/>
      <c r="DI18" s="36"/>
      <c r="DJ18" s="36"/>
      <c r="DK18" s="36"/>
      <c r="DL18" s="36"/>
      <c r="DM18" s="36"/>
      <c r="DN18" s="36"/>
      <c r="DO18" s="36"/>
      <c r="DP18" s="36"/>
      <c r="DQ18" s="36"/>
      <c r="DR18" s="36"/>
      <c r="DS18" s="36"/>
      <c r="DT18" s="36"/>
      <c r="DU18" s="36"/>
    </row>
    <row r="19" spans="1:125" s="41" customFormat="1" ht="20.100000000000001" customHeight="1" x14ac:dyDescent="0.25">
      <c r="A19" s="84" t="str">
        <f>Profit!$E$1&amp;" Your Home"</f>
        <v>Sell Your Home</v>
      </c>
      <c r="B19" s="85">
        <f t="shared" si="4"/>
        <v>11</v>
      </c>
      <c r="C19" s="86"/>
      <c r="D19" s="84"/>
      <c r="E19" s="84" t="s">
        <v>259</v>
      </c>
      <c r="F19" s="85">
        <v>1</v>
      </c>
      <c r="G19" s="87">
        <f>+HVAC!I18</f>
        <v>203.78</v>
      </c>
      <c r="H19" s="87">
        <f t="shared" si="2"/>
        <v>203.78</v>
      </c>
      <c r="I19" s="88" t="s">
        <v>3</v>
      </c>
      <c r="J19" s="87"/>
      <c r="K19" s="89"/>
      <c r="L19" s="87"/>
      <c r="M19" s="87">
        <v>203.78</v>
      </c>
      <c r="N19" s="87">
        <f t="shared" si="5"/>
        <v>0</v>
      </c>
      <c r="O19" s="88"/>
      <c r="R19" s="35"/>
      <c r="S19" s="35"/>
      <c r="T19" s="35"/>
      <c r="U19" s="35"/>
      <c r="V19" s="35"/>
      <c r="W19" s="35"/>
      <c r="X19" s="35"/>
      <c r="Y19" s="35"/>
      <c r="Z19" s="35"/>
      <c r="AA19" s="35"/>
      <c r="AB19" s="35"/>
      <c r="AC19" s="35"/>
      <c r="AD19" s="35"/>
      <c r="AE19" s="35"/>
      <c r="AF19" s="35"/>
      <c r="AG19" s="35"/>
      <c r="AH19" s="35"/>
      <c r="AI19" s="35"/>
      <c r="AP19" s="36" t="str">
        <f>IFERROR(IF(LEN(#REF!)=0,"",IF(P$27=#REF!,Milestone_Marker_Old,"")),"")</f>
        <v/>
      </c>
      <c r="AQ19" s="36" t="str">
        <f>IFERROR(IF(LEN(#REF!)=0,"",IF(Q$27=#REF!,Milestone_Marker_Old,"")),"")</f>
        <v/>
      </c>
      <c r="AR19" s="36" t="str">
        <f>IFERROR(IF(LEN(#REF!)=0,"",IF(R$27=#REF!,Milestone_Marker_Old,"")),"")</f>
        <v/>
      </c>
      <c r="AS19" s="36" t="str">
        <f>IFERROR(IF(LEN(#REF!)=0,"",IF(S$27=#REF!,Milestone_Marker_Old,"")),"")</f>
        <v/>
      </c>
      <c r="AT19" s="36" t="str">
        <f>IFERROR(IF(LEN(#REF!)=0,"",IF(T$27=#REF!,Milestone_Marker_Old,"")),"")</f>
        <v/>
      </c>
      <c r="AU19" s="36" t="str">
        <f>IFERROR(IF(LEN(#REF!)=0,"",IF(U$27=#REF!,Milestone_Marker_Old,"")),"")</f>
        <v/>
      </c>
      <c r="AV19" s="36" t="str">
        <f>IFERROR(IF(LEN(#REF!)=0,"",IF(V$27=#REF!,Milestone_Marker_Old,"")),"")</f>
        <v/>
      </c>
      <c r="AW19" s="36" t="str">
        <f>IFERROR(IF(LEN(#REF!)=0,"",IF(W$27=#REF!,Milestone_Marker_Old,"")),"")</f>
        <v/>
      </c>
      <c r="AX19" s="36" t="str">
        <f>IFERROR(IF(LEN(#REF!)=0,"",IF(X$27=#REF!,Milestone_Marker_Old,"")),"")</f>
        <v/>
      </c>
      <c r="AY19" s="36" t="str">
        <f>IFERROR(IF(LEN(#REF!)=0,"",IF(Y$27=#REF!,Milestone_Marker_Old,"")),"")</f>
        <v/>
      </c>
      <c r="AZ19" s="36" t="str">
        <f>IFERROR(IF(LEN(#REF!)=0,"",IF(Z$27=#REF!,Milestone_Marker_Old,"")),"")</f>
        <v/>
      </c>
      <c r="BA19" s="36" t="str">
        <f>IFERROR(IF(LEN(#REF!)=0,"",IF(AA$27=#REF!,Milestone_Marker_Old,"")),"")</f>
        <v/>
      </c>
      <c r="BB19" s="36" t="str">
        <f>IFERROR(IF(LEN(#REF!)=0,"",IF(AB$27=#REF!,Milestone_Marker_Old,"")),"")</f>
        <v/>
      </c>
      <c r="BC19" s="36" t="str">
        <f>IFERROR(IF(LEN(#REF!)=0,"",IF(AC$27=#REF!,Milestone_Marker_Old,"")),"")</f>
        <v/>
      </c>
      <c r="BD19" s="36" t="str">
        <f>IFERROR(IF(LEN(#REF!)=0,"",IF(AD$27=#REF!,Milestone_Marker_Old,"")),"")</f>
        <v/>
      </c>
      <c r="BE19" s="36" t="str">
        <f>IFERROR(IF(LEN(#REF!)=0,"",IF(AE$27=#REF!,Milestone_Marker_Old,"")),"")</f>
        <v/>
      </c>
      <c r="BF19" s="36" t="str">
        <f>IFERROR(IF(LEN(#REF!)=0,"",IF(AF$27=#REF!,Milestone_Marker_Old,"")),"")</f>
        <v/>
      </c>
      <c r="BG19" s="36" t="str">
        <f>IFERROR(IF(LEN(#REF!)=0,"",IF(AG$27=#REF!,Milestone_Marker_Old,"")),"")</f>
        <v/>
      </c>
      <c r="BH19" s="36" t="str">
        <f>IFERROR(IF(LEN(#REF!)=0,"",IF(AH$27=#REF!,Milestone_Marker_Old,"")),"")</f>
        <v/>
      </c>
      <c r="BI19" s="36" t="str">
        <f>IFERROR(IF(LEN(#REF!)=0,"",IF(AI$27=#REF!,Milestone_Marker_Old,"")),"")</f>
        <v/>
      </c>
      <c r="BJ19" s="36" t="str">
        <f>IFERROR(IF(LEN(#REF!)=0,"",IF(AJ$27=#REF!,Milestone_Marker_Old,"")),"")</f>
        <v/>
      </c>
      <c r="BK19" s="36" t="str">
        <f>IFERROR(IF(LEN(#REF!)=0,"",IF(AK$27=#REF!,Milestone_Marker_Old,"")),"")</f>
        <v/>
      </c>
      <c r="BL19" s="36" t="str">
        <f>IFERROR(IF(LEN(#REF!)=0,"",IF(AL$27=#REF!,Milestone_Marker_Old,"")),"")</f>
        <v/>
      </c>
      <c r="BM19" s="36" t="str">
        <f>IFERROR(IF(LEN(#REF!)=0,"",IF(AM$27=#REF!,Milestone_Marker_Old,"")),"")</f>
        <v/>
      </c>
      <c r="BN19" s="36" t="str">
        <f>IFERROR(IF(LEN(#REF!)=0,"",IF(AN$27=#REF!,Milestone_Marker_Old,"")),"")</f>
        <v/>
      </c>
      <c r="BO19" s="36" t="str">
        <f>IFERROR(IF(LEN(#REF!)=0,"",IF(AO$27=#REF!,Milestone_Marker_Old,"")),"")</f>
        <v/>
      </c>
      <c r="BP19" s="36" t="str">
        <f>IFERROR(IF(LEN(#REF!)=0,"",IF(AP$27=#REF!,Milestone_Marker_Old,"")),"")</f>
        <v/>
      </c>
      <c r="BQ19" s="36" t="str">
        <f>IFERROR(IF(LEN(#REF!)=0,"",IF(AQ$27=#REF!,Milestone_Marker_Old,"")),"")</f>
        <v/>
      </c>
      <c r="BR19" s="36" t="str">
        <f>IFERROR(IF(LEN(#REF!)=0,"",IF(AR$27=#REF!,Milestone_Marker_Old,"")),"")</f>
        <v/>
      </c>
      <c r="BS19" s="36" t="str">
        <f>IFERROR(IF(LEN(#REF!)=0,"",IF(AS$27=#REF!,Milestone_Marker_Old,"")),"")</f>
        <v/>
      </c>
      <c r="BT19" s="36" t="str">
        <f>IFERROR(IF(LEN(#REF!)=0,"",IF(AT$27=#REF!,Milestone_Marker_Old,"")),"")</f>
        <v/>
      </c>
      <c r="BU19" s="36" t="str">
        <f>IFERROR(IF(LEN(#REF!)=0,"",IF(AU$27=#REF!,Milestone_Marker_Old,"")),"")</f>
        <v/>
      </c>
      <c r="BV19" s="36" t="str">
        <f>IFERROR(IF(LEN(#REF!)=0,"",IF(AV$27=#REF!,Milestone_Marker_Old,"")),"")</f>
        <v/>
      </c>
      <c r="BW19" s="36" t="str">
        <f>IFERROR(IF(LEN(#REF!)=0,"",IF(AW$27=#REF!,Milestone_Marker_Old,"")),"")</f>
        <v/>
      </c>
      <c r="BX19" s="36" t="str">
        <f>IFERROR(IF(LEN(#REF!)=0,"",IF(AX$27=#REF!,Milestone_Marker_Old,"")),"")</f>
        <v/>
      </c>
      <c r="BY19" s="36" t="str">
        <f>IFERROR(IF(LEN(#REF!)=0,"",IF(AY$27=#REF!,Milestone_Marker_Old,"")),"")</f>
        <v/>
      </c>
      <c r="BZ19" s="36" t="str">
        <f>IFERROR(IF(LEN(#REF!)=0,"",IF(AZ$27=#REF!,Milestone_Marker_Old,"")),"")</f>
        <v/>
      </c>
      <c r="CA19" s="36" t="str">
        <f>IFERROR(IF(LEN(#REF!)=0,"",IF(BA$27=#REF!,Milestone_Marker_Old,"")),"")</f>
        <v/>
      </c>
      <c r="CB19" s="36" t="str">
        <f>IFERROR(IF(LEN(#REF!)=0,"",IF(BB$27=#REF!,Milestone_Marker_Old,"")),"")</f>
        <v/>
      </c>
      <c r="CC19" s="36" t="str">
        <f>IFERROR(IF(LEN(#REF!)=0,"",IF(BC$27=#REF!,Milestone_Marker_Old,"")),"")</f>
        <v/>
      </c>
      <c r="CD19" s="36" t="str">
        <f>IFERROR(IF(LEN(#REF!)=0,"",IF(BD$27=#REF!,Milestone_Marker_Old,"")),"")</f>
        <v/>
      </c>
      <c r="CE19" s="36" t="str">
        <f>IFERROR(IF(LEN(#REF!)=0,"",IF(BE$27=#REF!,Milestone_Marker_Old,"")),"")</f>
        <v/>
      </c>
      <c r="CF19" s="36" t="str">
        <f>IFERROR(IF(LEN(#REF!)=0,"",IF(BF$27=#REF!,Milestone_Marker_Old,"")),"")</f>
        <v/>
      </c>
      <c r="CG19" s="36" t="str">
        <f>IFERROR(IF(LEN(#REF!)=0,"",IF(BG$27=#REF!,Milestone_Marker_Old,"")),"")</f>
        <v/>
      </c>
      <c r="CH19" s="36" t="str">
        <f>IFERROR(IF(LEN(#REF!)=0,"",IF(BH$27=#REF!,Milestone_Marker_Old,"")),"")</f>
        <v/>
      </c>
      <c r="CI19" s="36" t="str">
        <f>IFERROR(IF(LEN(#REF!)=0,"",IF(BI$27=#REF!,Milestone_Marker_Old,"")),"")</f>
        <v/>
      </c>
      <c r="CJ19" s="36" t="str">
        <f>IFERROR(IF(LEN(#REF!)=0,"",IF(BJ$27=#REF!,Milestone_Marker_Old,"")),"")</f>
        <v/>
      </c>
      <c r="CK19" s="36" t="str">
        <f>IFERROR(IF(LEN(#REF!)=0,"",IF(BK$27=#REF!,Milestone_Marker_Old,"")),"")</f>
        <v/>
      </c>
      <c r="CL19" s="36" t="str">
        <f>IFERROR(IF(LEN(#REF!)=0,"",IF(BL$27=#REF!,Milestone_Marker_Old,"")),"")</f>
        <v/>
      </c>
      <c r="CM19" s="36" t="str">
        <f>IFERROR(IF(LEN(#REF!)=0,"",IF(BM$27=#REF!,Milestone_Marker_Old,"")),"")</f>
        <v/>
      </c>
      <c r="CN19" s="36" t="str">
        <f>IFERROR(IF(LEN(#REF!)=0,"",IF(BN$27=#REF!,Milestone_Marker_Old,"")),"")</f>
        <v/>
      </c>
      <c r="CO19" s="36" t="str">
        <f>IFERROR(IF(LEN(#REF!)=0,"",IF(BO$27=#REF!,Milestone_Marker_Old,"")),"")</f>
        <v/>
      </c>
      <c r="CP19" s="36" t="str">
        <f>IFERROR(IF(LEN(#REF!)=0,"",IF(BP$27=#REF!,Milestone_Marker_Old,"")),"")</f>
        <v/>
      </c>
      <c r="CQ19" s="36" t="str">
        <f>IFERROR(IF(LEN(#REF!)=0,"",IF(BQ$27=#REF!,Milestone_Marker_Old,"")),"")</f>
        <v/>
      </c>
      <c r="CR19" s="36" t="str">
        <f>IFERROR(IF(LEN(#REF!)=0,"",IF(BR$27=#REF!,Milestone_Marker_Old,"")),"")</f>
        <v/>
      </c>
      <c r="CS19" s="36" t="str">
        <f>IFERROR(IF(LEN(#REF!)=0,"",IF(BS$27=#REF!,Milestone_Marker_Old,"")),"")</f>
        <v/>
      </c>
      <c r="CT19" s="36" t="str">
        <f>IFERROR(IF(LEN(#REF!)=0,"",IF(BT$27=#REF!,Milestone_Marker_Old,"")),"")</f>
        <v/>
      </c>
      <c r="CU19" s="36" t="str">
        <f>IFERROR(IF(LEN(#REF!)=0,"",IF(BU$27=#REF!,Milestone_Marker_Old,"")),"")</f>
        <v/>
      </c>
      <c r="CV19" s="36" t="str">
        <f>IFERROR(IF(LEN(#REF!)=0,"",IF(BV$27=#REF!,Milestone_Marker_Old,"")),"")</f>
        <v/>
      </c>
      <c r="CW19" s="36" t="str">
        <f>IFERROR(IF(LEN(#REF!)=0,"",IF(BW$27=#REF!,Milestone_Marker_Old,"")),"")</f>
        <v/>
      </c>
      <c r="CX19" s="36" t="str">
        <f>IFERROR(IF(LEN(#REF!)=0,"",IF(BX$27=#REF!,Milestone_Marker_Old,"")),"")</f>
        <v/>
      </c>
      <c r="CY19" s="36" t="str">
        <f>IFERROR(IF(LEN(#REF!)=0,"",IF(BY$27=#REF!,Milestone_Marker_Old,"")),"")</f>
        <v/>
      </c>
      <c r="CZ19" s="36" t="str">
        <f>IFERROR(IF(LEN(#REF!)=0,"",IF(BZ$27=#REF!,Milestone_Marker_Old,"")),"")</f>
        <v/>
      </c>
      <c r="DA19" s="36" t="str">
        <f>IFERROR(IF(LEN(#REF!)=0,"",IF(CA$27=#REF!,Milestone_Marker_Old,"")),"")</f>
        <v/>
      </c>
      <c r="DB19" s="36" t="str">
        <f>IFERROR(IF(LEN(#REF!)=0,"",IF(CB$27=#REF!,Milestone_Marker_Old,"")),"")</f>
        <v/>
      </c>
      <c r="DC19" s="36" t="str">
        <f>IFERROR(IF(LEN(#REF!)=0,"",IF(CC$27=#REF!,Milestone_Marker_Old,"")),"")</f>
        <v/>
      </c>
      <c r="DD19" s="36" t="str">
        <f>IFERROR(IF(LEN(#REF!)=0,"",IF(CD$27=#REF!,Milestone_Marker_Old,"")),"")</f>
        <v/>
      </c>
      <c r="DE19" s="36" t="str">
        <f>IFERROR(IF(LEN(#REF!)=0,"",IF(CE$27=#REF!,Milestone_Marker_Old,"")),"")</f>
        <v/>
      </c>
      <c r="DF19" s="36" t="str">
        <f>IFERROR(IF(LEN(#REF!)=0,"",IF(CF$27=#REF!,Milestone_Marker_Old,"")),"")</f>
        <v/>
      </c>
      <c r="DG19" s="36" t="str">
        <f>IFERROR(IF(LEN(#REF!)=0,"",IF(CG$27=#REF!,Milestone_Marker_Old,"")),"")</f>
        <v/>
      </c>
      <c r="DH19" s="36" t="str">
        <f>IFERROR(IF(LEN(#REF!)=0,"",IF(CH$27=#REF!,Milestone_Marker_Old,"")),"")</f>
        <v/>
      </c>
      <c r="DI19" s="36" t="str">
        <f>IFERROR(IF(LEN(#REF!)=0,"",IF(CI$27=#REF!,Milestone_Marker_Old,"")),"")</f>
        <v/>
      </c>
      <c r="DJ19" s="36" t="str">
        <f>IFERROR(IF(LEN(#REF!)=0,"",IF(CJ$27=#REF!,Milestone_Marker_Old,"")),"")</f>
        <v/>
      </c>
      <c r="DK19" s="36" t="str">
        <f>IFERROR(IF(LEN(#REF!)=0,"",IF(CK$27=#REF!,Milestone_Marker_Old,"")),"")</f>
        <v/>
      </c>
      <c r="DL19" s="36" t="str">
        <f>IFERROR(IF(LEN(#REF!)=0,"",IF(CL$27=#REF!,Milestone_Marker_Old,"")),"")</f>
        <v/>
      </c>
      <c r="DM19" s="36" t="str">
        <f>IFERROR(IF(LEN(#REF!)=0,"",IF(CM$27=#REF!,Milestone_Marker_Old,"")),"")</f>
        <v/>
      </c>
      <c r="DN19" s="36" t="str">
        <f>IFERROR(IF(LEN(#REF!)=0,"",IF(CN$27=#REF!,Milestone_Marker_Old,"")),"")</f>
        <v/>
      </c>
      <c r="DO19" s="36" t="str">
        <f>IFERROR(IF(LEN(#REF!)=0,"",IF(CO$27=#REF!,Milestone_Marker_Old,"")),"")</f>
        <v/>
      </c>
      <c r="DP19" s="36" t="str">
        <f>IFERROR(IF(LEN(#REF!)=0,"",IF(CP$27=#REF!,Milestone_Marker_Old,"")),"")</f>
        <v/>
      </c>
      <c r="DQ19" s="36" t="str">
        <f>IFERROR(IF(LEN(#REF!)=0,"",IF(CQ$27=#REF!,Milestone_Marker_Old,"")),"")</f>
        <v/>
      </c>
      <c r="DR19" s="36" t="str">
        <f>IFERROR(IF(LEN(#REF!)=0,"",IF(CR$27=#REF!,Milestone_Marker_Old,"")),"")</f>
        <v/>
      </c>
      <c r="DS19" s="36" t="str">
        <f>IFERROR(IF(LEN(#REF!)=0,"",IF(CS$27=#REF!,Milestone_Marker_Old,"")),"")</f>
        <v/>
      </c>
      <c r="DT19" s="36" t="str">
        <f>IFERROR(IF(LEN(#REF!)=0,"",IF(CT$27=#REF!,Milestone_Marker_Old,"")),"")</f>
        <v/>
      </c>
      <c r="DU19" s="36" t="str">
        <f>IFERROR(IF(LEN(#REF!)=0,"",IF(CU$27=#REF!,Milestone_Marker_Old,"")),"")</f>
        <v/>
      </c>
    </row>
    <row r="20" spans="1:125" ht="20.100000000000001" customHeight="1" x14ac:dyDescent="0.25">
      <c r="A20" s="84" t="str">
        <f>Profit!$E$1&amp;" Your Home"</f>
        <v>Sell Your Home</v>
      </c>
      <c r="B20" s="85">
        <f t="shared" si="4"/>
        <v>12</v>
      </c>
      <c r="C20" s="86"/>
      <c r="D20" s="84"/>
      <c r="E20" s="84" t="s">
        <v>612</v>
      </c>
      <c r="F20" s="85">
        <v>0</v>
      </c>
      <c r="G20" s="87">
        <f>+Furnishing!G18</f>
        <v>0</v>
      </c>
      <c r="H20" s="87">
        <f t="shared" si="2"/>
        <v>0</v>
      </c>
      <c r="I20" s="88"/>
      <c r="J20" s="87"/>
      <c r="K20" s="89"/>
      <c r="L20" s="87"/>
      <c r="M20" s="87"/>
      <c r="N20" s="87"/>
      <c r="O20" s="88"/>
      <c r="AP20" s="36"/>
      <c r="AQ20" s="36"/>
      <c r="AR20" s="36"/>
      <c r="AS20" s="36"/>
      <c r="AT20" s="36"/>
      <c r="AU20" s="36"/>
      <c r="AV20" s="36"/>
      <c r="AW20" s="36"/>
      <c r="AX20" s="36"/>
      <c r="AY20" s="36"/>
      <c r="AZ20" s="36"/>
      <c r="BA20" s="36"/>
      <c r="BB20" s="36"/>
      <c r="BC20" s="36"/>
      <c r="BD20" s="36"/>
      <c r="BE20" s="36"/>
      <c r="BF20" s="36"/>
      <c r="BG20" s="36"/>
      <c r="BH20" s="36"/>
      <c r="BI20" s="36"/>
      <c r="BJ20" s="36"/>
      <c r="BK20" s="36"/>
      <c r="BL20" s="36"/>
      <c r="BM20" s="36"/>
      <c r="BN20" s="36"/>
      <c r="BO20" s="36"/>
      <c r="BP20" s="36"/>
      <c r="BQ20" s="36"/>
      <c r="BR20" s="36"/>
      <c r="BS20" s="36"/>
      <c r="BT20" s="36"/>
      <c r="BU20" s="36"/>
      <c r="BV20" s="36"/>
      <c r="BW20" s="36"/>
      <c r="BX20" s="36"/>
      <c r="BY20" s="36"/>
      <c r="BZ20" s="36"/>
      <c r="CA20" s="36"/>
      <c r="CB20" s="36"/>
      <c r="CC20" s="36"/>
      <c r="CD20" s="36"/>
      <c r="CE20" s="36"/>
      <c r="CF20" s="36"/>
      <c r="CG20" s="36"/>
      <c r="CH20" s="36"/>
      <c r="CI20" s="36"/>
      <c r="CJ20" s="36"/>
      <c r="CK20" s="36"/>
      <c r="CL20" s="36"/>
      <c r="CM20" s="36"/>
      <c r="CN20" s="36"/>
      <c r="CO20" s="36"/>
      <c r="CP20" s="36"/>
      <c r="CQ20" s="36"/>
      <c r="CR20" s="36"/>
      <c r="CS20" s="36"/>
      <c r="CT20" s="36"/>
      <c r="CU20" s="36"/>
      <c r="CV20" s="36"/>
      <c r="CW20" s="36"/>
      <c r="CX20" s="36"/>
      <c r="CY20" s="36"/>
      <c r="CZ20" s="36"/>
      <c r="DA20" s="36"/>
      <c r="DB20" s="36"/>
      <c r="DC20" s="36"/>
      <c r="DD20" s="36"/>
      <c r="DE20" s="36"/>
      <c r="DF20" s="36"/>
      <c r="DG20" s="36"/>
      <c r="DH20" s="36"/>
      <c r="DI20" s="36"/>
      <c r="DJ20" s="36"/>
      <c r="DK20" s="36"/>
      <c r="DL20" s="36"/>
      <c r="DM20" s="36"/>
      <c r="DN20" s="36"/>
      <c r="DO20" s="36"/>
      <c r="DP20" s="36"/>
      <c r="DQ20" s="36"/>
      <c r="DR20" s="36"/>
      <c r="DS20" s="36"/>
      <c r="DT20" s="36"/>
      <c r="DU20" s="36"/>
    </row>
    <row r="21" spans="1:125" s="41" customFormat="1" ht="21" x14ac:dyDescent="0.25">
      <c r="A21" s="90"/>
      <c r="B21" s="91"/>
      <c r="C21" s="92"/>
      <c r="D21" s="92"/>
      <c r="E21" s="93" t="str">
        <f>Profit!E1&amp;" Your Home's Paid Contractors"</f>
        <v>Sell Your Home's Paid Contractors</v>
      </c>
      <c r="F21" s="94"/>
      <c r="G21" s="92"/>
      <c r="H21" s="92"/>
      <c r="I21" s="92"/>
      <c r="J21" s="92"/>
      <c r="K21" s="95"/>
      <c r="L21" s="92"/>
      <c r="M21" s="92"/>
      <c r="N21" s="92"/>
      <c r="O21" s="92"/>
      <c r="R21" s="42"/>
      <c r="S21" s="42"/>
      <c r="T21" s="42"/>
      <c r="U21" s="42"/>
      <c r="V21" s="42"/>
      <c r="W21" s="42"/>
      <c r="X21" s="42"/>
      <c r="Y21" s="42"/>
      <c r="Z21" s="42"/>
      <c r="AA21" s="42"/>
      <c r="AB21" s="42"/>
      <c r="AC21" s="42"/>
      <c r="AD21" s="42"/>
      <c r="AE21" s="42"/>
      <c r="AF21" s="42"/>
      <c r="AG21" s="42"/>
      <c r="AH21" s="42"/>
      <c r="AI21" s="42"/>
      <c r="AJ21" s="42"/>
      <c r="AK21" s="42"/>
      <c r="AL21" s="42"/>
      <c r="AM21" s="42"/>
      <c r="AN21" s="42"/>
      <c r="AO21" s="42"/>
      <c r="AP21" s="36" t="str">
        <f>IFERROR(IF(LEN(#REF!)=0,"",IF(P$27=#REF!,Milestone_Marker_Old,"")),"")</f>
        <v/>
      </c>
      <c r="AQ21" s="36" t="str">
        <f>IFERROR(IF(LEN(#REF!)=0,"",IF(Q$27=#REF!,Milestone_Marker_Old,"")),"")</f>
        <v/>
      </c>
      <c r="AR21" s="36" t="str">
        <f>IFERROR(IF(LEN(#REF!)=0,"",IF(R$27=#REF!,Milestone_Marker_Old,"")),"")</f>
        <v/>
      </c>
      <c r="AS21" s="36" t="str">
        <f>IFERROR(IF(LEN(#REF!)=0,"",IF(S$27=#REF!,Milestone_Marker_Old,"")),"")</f>
        <v/>
      </c>
      <c r="AT21" s="36" t="str">
        <f>IFERROR(IF(LEN(#REF!)=0,"",IF(T$27=#REF!,Milestone_Marker_Old,"")),"")</f>
        <v/>
      </c>
      <c r="AU21" s="36" t="str">
        <f>IFERROR(IF(LEN(#REF!)=0,"",IF(U$27=#REF!,Milestone_Marker_Old,"")),"")</f>
        <v/>
      </c>
      <c r="AV21" s="36" t="str">
        <f>IFERROR(IF(LEN(#REF!)=0,"",IF(V$27=#REF!,Milestone_Marker_Old,"")),"")</f>
        <v/>
      </c>
      <c r="AW21" s="36" t="str">
        <f>IFERROR(IF(LEN(#REF!)=0,"",IF(W$27=#REF!,Milestone_Marker_Old,"")),"")</f>
        <v/>
      </c>
      <c r="AX21" s="36" t="str">
        <f>IFERROR(IF(LEN(#REF!)=0,"",IF(X$27=#REF!,Milestone_Marker_Old,"")),"")</f>
        <v/>
      </c>
      <c r="AY21" s="36" t="str">
        <f>IFERROR(IF(LEN(#REF!)=0,"",IF(Y$27=#REF!,Milestone_Marker_Old,"")),"")</f>
        <v/>
      </c>
      <c r="AZ21" s="36" t="str">
        <f>IFERROR(IF(LEN(#REF!)=0,"",IF(Z$27=#REF!,Milestone_Marker_Old,"")),"")</f>
        <v/>
      </c>
      <c r="BA21" s="36" t="str">
        <f>IFERROR(IF(LEN(#REF!)=0,"",IF(AA$27=#REF!,Milestone_Marker_Old,"")),"")</f>
        <v/>
      </c>
      <c r="BB21" s="36" t="str">
        <f>IFERROR(IF(LEN(#REF!)=0,"",IF(AB$27=#REF!,Milestone_Marker_Old,"")),"")</f>
        <v/>
      </c>
      <c r="BC21" s="36" t="str">
        <f>IFERROR(IF(LEN(#REF!)=0,"",IF(AC$27=#REF!,Milestone_Marker_Old,"")),"")</f>
        <v/>
      </c>
      <c r="BD21" s="36" t="str">
        <f>IFERROR(IF(LEN(#REF!)=0,"",IF(AD$27=#REF!,Milestone_Marker_Old,"")),"")</f>
        <v/>
      </c>
      <c r="BE21" s="36" t="str">
        <f>IFERROR(IF(LEN(#REF!)=0,"",IF(AE$27=#REF!,Milestone_Marker_Old,"")),"")</f>
        <v/>
      </c>
      <c r="BF21" s="36" t="str">
        <f>IFERROR(IF(LEN(#REF!)=0,"",IF(AF$27=#REF!,Milestone_Marker_Old,"")),"")</f>
        <v/>
      </c>
      <c r="BG21" s="36" t="str">
        <f>IFERROR(IF(LEN(#REF!)=0,"",IF(AG$27=#REF!,Milestone_Marker_Old,"")),"")</f>
        <v/>
      </c>
      <c r="BH21" s="36" t="str">
        <f>IFERROR(IF(LEN(#REF!)=0,"",IF(AH$27=#REF!,Milestone_Marker_Old,"")),"")</f>
        <v/>
      </c>
      <c r="BI21" s="36" t="str">
        <f>IFERROR(IF(LEN(#REF!)=0,"",IF(AI$27=#REF!,Milestone_Marker_Old,"")),"")</f>
        <v/>
      </c>
      <c r="BJ21" s="36" t="str">
        <f>IFERROR(IF(LEN(#REF!)=0,"",IF(AJ$27=#REF!,Milestone_Marker_Old,"")),"")</f>
        <v/>
      </c>
      <c r="BK21" s="36" t="str">
        <f>IFERROR(IF(LEN(#REF!)=0,"",IF(AK$27=#REF!,Milestone_Marker_Old,"")),"")</f>
        <v/>
      </c>
      <c r="BL21" s="36" t="str">
        <f>IFERROR(IF(LEN(#REF!)=0,"",IF(AL$27=#REF!,Milestone_Marker_Old,"")),"")</f>
        <v/>
      </c>
      <c r="BM21" s="36" t="str">
        <f>IFERROR(IF(LEN(#REF!)=0,"",IF(AM$27=#REF!,Milestone_Marker_Old,"")),"")</f>
        <v/>
      </c>
      <c r="BN21" s="36" t="str">
        <f>IFERROR(IF(LEN(#REF!)=0,"",IF(AN$27=#REF!,Milestone_Marker_Old,"")),"")</f>
        <v/>
      </c>
      <c r="BO21" s="36" t="str">
        <f>IFERROR(IF(LEN(#REF!)=0,"",IF(AO$27=#REF!,Milestone_Marker_Old,"")),"")</f>
        <v/>
      </c>
      <c r="BP21" s="36" t="str">
        <f>IFERROR(IF(LEN(#REF!)=0,"",IF(AP$27=#REF!,Milestone_Marker_Old,"")),"")</f>
        <v/>
      </c>
      <c r="BQ21" s="36" t="str">
        <f>IFERROR(IF(LEN(#REF!)=0,"",IF(AQ$27=#REF!,Milestone_Marker_Old,"")),"")</f>
        <v/>
      </c>
      <c r="BR21" s="36" t="str">
        <f>IFERROR(IF(LEN(#REF!)=0,"",IF(AR$27=#REF!,Milestone_Marker_Old,"")),"")</f>
        <v/>
      </c>
      <c r="BS21" s="36" t="str">
        <f>IFERROR(IF(LEN(#REF!)=0,"",IF(AS$27=#REF!,Milestone_Marker_Old,"")),"")</f>
        <v/>
      </c>
      <c r="BT21" s="36" t="str">
        <f>IFERROR(IF(LEN(#REF!)=0,"",IF(AT$27=#REF!,Milestone_Marker_Old,"")),"")</f>
        <v/>
      </c>
      <c r="BU21" s="36" t="str">
        <f>IFERROR(IF(LEN(#REF!)=0,"",IF(AU$27=#REF!,Milestone_Marker_Old,"")),"")</f>
        <v/>
      </c>
      <c r="BV21" s="36" t="str">
        <f>IFERROR(IF(LEN(#REF!)=0,"",IF(AV$27=#REF!,Milestone_Marker_Old,"")),"")</f>
        <v/>
      </c>
      <c r="BW21" s="36" t="str">
        <f>IFERROR(IF(LEN(#REF!)=0,"",IF(AW$27=#REF!,Milestone_Marker_Old,"")),"")</f>
        <v/>
      </c>
      <c r="BX21" s="36" t="str">
        <f>IFERROR(IF(LEN(#REF!)=0,"",IF(AX$27=#REF!,Milestone_Marker_Old,"")),"")</f>
        <v/>
      </c>
      <c r="BY21" s="36" t="str">
        <f>IFERROR(IF(LEN(#REF!)=0,"",IF(AY$27=#REF!,Milestone_Marker_Old,"")),"")</f>
        <v/>
      </c>
      <c r="BZ21" s="36" t="str">
        <f>IFERROR(IF(LEN(#REF!)=0,"",IF(AZ$27=#REF!,Milestone_Marker_Old,"")),"")</f>
        <v/>
      </c>
      <c r="CA21" s="36" t="str">
        <f>IFERROR(IF(LEN(#REF!)=0,"",IF(BA$27=#REF!,Milestone_Marker_Old,"")),"")</f>
        <v/>
      </c>
      <c r="CB21" s="36" t="str">
        <f>IFERROR(IF(LEN(#REF!)=0,"",IF(BB$27=#REF!,Milestone_Marker_Old,"")),"")</f>
        <v/>
      </c>
      <c r="CC21" s="36" t="str">
        <f>IFERROR(IF(LEN(#REF!)=0,"",IF(BC$27=#REF!,Milestone_Marker_Old,"")),"")</f>
        <v/>
      </c>
      <c r="CD21" s="36" t="str">
        <f>IFERROR(IF(LEN(#REF!)=0,"",IF(BD$27=#REF!,Milestone_Marker_Old,"")),"")</f>
        <v/>
      </c>
      <c r="CE21" s="36" t="str">
        <f>IFERROR(IF(LEN(#REF!)=0,"",IF(BE$27=#REF!,Milestone_Marker_Old,"")),"")</f>
        <v/>
      </c>
      <c r="CF21" s="36" t="str">
        <f>IFERROR(IF(LEN(#REF!)=0,"",IF(BF$27=#REF!,Milestone_Marker_Old,"")),"")</f>
        <v/>
      </c>
      <c r="CG21" s="36" t="str">
        <f>IFERROR(IF(LEN(#REF!)=0,"",IF(BG$27=#REF!,Milestone_Marker_Old,"")),"")</f>
        <v/>
      </c>
      <c r="CH21" s="36" t="str">
        <f>IFERROR(IF(LEN(#REF!)=0,"",IF(BH$27=#REF!,Milestone_Marker_Old,"")),"")</f>
        <v/>
      </c>
      <c r="CI21" s="36" t="str">
        <f>IFERROR(IF(LEN(#REF!)=0,"",IF(BI$27=#REF!,Milestone_Marker_Old,"")),"")</f>
        <v/>
      </c>
      <c r="CJ21" s="36" t="str">
        <f>IFERROR(IF(LEN(#REF!)=0,"",IF(BJ$27=#REF!,Milestone_Marker_Old,"")),"")</f>
        <v/>
      </c>
      <c r="CK21" s="36" t="str">
        <f>IFERROR(IF(LEN(#REF!)=0,"",IF(BK$27=#REF!,Milestone_Marker_Old,"")),"")</f>
        <v/>
      </c>
      <c r="CL21" s="36" t="str">
        <f>IFERROR(IF(LEN(#REF!)=0,"",IF(BL$27=#REF!,Milestone_Marker_Old,"")),"")</f>
        <v/>
      </c>
      <c r="CM21" s="36" t="str">
        <f>IFERROR(IF(LEN(#REF!)=0,"",IF(BM$27=#REF!,Milestone_Marker_Old,"")),"")</f>
        <v/>
      </c>
      <c r="CN21" s="36" t="str">
        <f>IFERROR(IF(LEN(#REF!)=0,"",IF(BN$27=#REF!,Milestone_Marker_Old,"")),"")</f>
        <v/>
      </c>
      <c r="CO21" s="36" t="str">
        <f>IFERROR(IF(LEN(#REF!)=0,"",IF(BO$27=#REF!,Milestone_Marker_Old,"")),"")</f>
        <v/>
      </c>
      <c r="CP21" s="36" t="str">
        <f>IFERROR(IF(LEN(#REF!)=0,"",IF(BP$27=#REF!,Milestone_Marker_Old,"")),"")</f>
        <v/>
      </c>
      <c r="CQ21" s="36" t="str">
        <f>IFERROR(IF(LEN(#REF!)=0,"",IF(BQ$27=#REF!,Milestone_Marker_Old,"")),"")</f>
        <v/>
      </c>
      <c r="CR21" s="36" t="str">
        <f>IFERROR(IF(LEN(#REF!)=0,"",IF(BR$27=#REF!,Milestone_Marker_Old,"")),"")</f>
        <v/>
      </c>
      <c r="CS21" s="36" t="str">
        <f>IFERROR(IF(LEN(#REF!)=0,"",IF(BS$27=#REF!,Milestone_Marker_Old,"")),"")</f>
        <v/>
      </c>
      <c r="CT21" s="36" t="str">
        <f>IFERROR(IF(LEN(#REF!)=0,"",IF(BT$27=#REF!,Milestone_Marker_Old,"")),"")</f>
        <v/>
      </c>
      <c r="CU21" s="36" t="str">
        <f>IFERROR(IF(LEN(#REF!)=0,"",IF(BU$27=#REF!,Milestone_Marker_Old,"")),"")</f>
        <v/>
      </c>
      <c r="CV21" s="36" t="str">
        <f>IFERROR(IF(LEN(#REF!)=0,"",IF(BV$27=#REF!,Milestone_Marker_Old,"")),"")</f>
        <v/>
      </c>
      <c r="CW21" s="36" t="str">
        <f>IFERROR(IF(LEN(#REF!)=0,"",IF(BW$27=#REF!,Milestone_Marker_Old,"")),"")</f>
        <v/>
      </c>
      <c r="CX21" s="36" t="str">
        <f>IFERROR(IF(LEN(#REF!)=0,"",IF(BX$27=#REF!,Milestone_Marker_Old,"")),"")</f>
        <v/>
      </c>
      <c r="CY21" s="36" t="str">
        <f>IFERROR(IF(LEN(#REF!)=0,"",IF(BY$27=#REF!,Milestone_Marker_Old,"")),"")</f>
        <v/>
      </c>
      <c r="CZ21" s="36" t="str">
        <f>IFERROR(IF(LEN(#REF!)=0,"",IF(BZ$27=#REF!,Milestone_Marker_Old,"")),"")</f>
        <v/>
      </c>
      <c r="DA21" s="36" t="str">
        <f>IFERROR(IF(LEN(#REF!)=0,"",IF(CA$27=#REF!,Milestone_Marker_Old,"")),"")</f>
        <v/>
      </c>
      <c r="DB21" s="36" t="str">
        <f>IFERROR(IF(LEN(#REF!)=0,"",IF(CB$27=#REF!,Milestone_Marker_Old,"")),"")</f>
        <v/>
      </c>
      <c r="DC21" s="36" t="str">
        <f>IFERROR(IF(LEN(#REF!)=0,"",IF(CC$27=#REF!,Milestone_Marker_Old,"")),"")</f>
        <v/>
      </c>
      <c r="DD21" s="36" t="str">
        <f>IFERROR(IF(LEN(#REF!)=0,"",IF(CD$27=#REF!,Milestone_Marker_Old,"")),"")</f>
        <v/>
      </c>
      <c r="DE21" s="36" t="str">
        <f>IFERROR(IF(LEN(#REF!)=0,"",IF(CE$27=#REF!,Milestone_Marker_Old,"")),"")</f>
        <v/>
      </c>
      <c r="DF21" s="36" t="str">
        <f>IFERROR(IF(LEN(#REF!)=0,"",IF(CF$27=#REF!,Milestone_Marker_Old,"")),"")</f>
        <v/>
      </c>
      <c r="DG21" s="36" t="str">
        <f>IFERROR(IF(LEN(#REF!)=0,"",IF(CG$27=#REF!,Milestone_Marker_Old,"")),"")</f>
        <v/>
      </c>
      <c r="DH21" s="36" t="str">
        <f>IFERROR(IF(LEN(#REF!)=0,"",IF(CH$27=#REF!,Milestone_Marker_Old,"")),"")</f>
        <v/>
      </c>
      <c r="DI21" s="36" t="str">
        <f>IFERROR(IF(LEN(#REF!)=0,"",IF(CI$27=#REF!,Milestone_Marker_Old,"")),"")</f>
        <v/>
      </c>
      <c r="DJ21" s="36" t="str">
        <f>IFERROR(IF(LEN(#REF!)=0,"",IF(CJ$27=#REF!,Milestone_Marker_Old,"")),"")</f>
        <v/>
      </c>
      <c r="DK21" s="36" t="str">
        <f>IFERROR(IF(LEN(#REF!)=0,"",IF(CK$27=#REF!,Milestone_Marker_Old,"")),"")</f>
        <v/>
      </c>
      <c r="DL21" s="36" t="str">
        <f>IFERROR(IF(LEN(#REF!)=0,"",IF(CL$27=#REF!,Milestone_Marker_Old,"")),"")</f>
        <v/>
      </c>
      <c r="DM21" s="36" t="str">
        <f>IFERROR(IF(LEN(#REF!)=0,"",IF(CM$27=#REF!,Milestone_Marker_Old,"")),"")</f>
        <v/>
      </c>
      <c r="DN21" s="36" t="str">
        <f>IFERROR(IF(LEN(#REF!)=0,"",IF(CN$27=#REF!,Milestone_Marker_Old,"")),"")</f>
        <v/>
      </c>
      <c r="DO21" s="36" t="str">
        <f>IFERROR(IF(LEN(#REF!)=0,"",IF(CO$27=#REF!,Milestone_Marker_Old,"")),"")</f>
        <v/>
      </c>
      <c r="DP21" s="36" t="str">
        <f>IFERROR(IF(LEN(#REF!)=0,"",IF(CP$27=#REF!,Milestone_Marker_Old,"")),"")</f>
        <v/>
      </c>
      <c r="DQ21" s="36" t="str">
        <f>IFERROR(IF(LEN(#REF!)=0,"",IF(CQ$27=#REF!,Milestone_Marker_Old,"")),"")</f>
        <v/>
      </c>
      <c r="DR21" s="36" t="str">
        <f>IFERROR(IF(LEN(#REF!)=0,"",IF(CR$27=#REF!,Milestone_Marker_Old,"")),"")</f>
        <v/>
      </c>
      <c r="DS21" s="36" t="str">
        <f>IFERROR(IF(LEN(#REF!)=0,"",IF(CS$27=#REF!,Milestone_Marker_Old,"")),"")</f>
        <v/>
      </c>
      <c r="DT21" s="36" t="str">
        <f>IFERROR(IF(LEN(#REF!)=0,"",IF(CT$27=#REF!,Milestone_Marker_Old,"")),"")</f>
        <v/>
      </c>
      <c r="DU21" s="36" t="str">
        <f>IFERROR(IF(LEN(#REF!)=0,"",IF(CU$27=#REF!,Milestone_Marker_Old,"")),"")</f>
        <v/>
      </c>
    </row>
    <row r="22" spans="1:125" s="41" customFormat="1" ht="20.100000000000001" customHeight="1" thickBot="1" x14ac:dyDescent="0.3">
      <c r="A22" s="96" t="s">
        <v>261</v>
      </c>
      <c r="B22" s="97">
        <f>+B20+1</f>
        <v>13</v>
      </c>
      <c r="C22" s="98"/>
      <c r="D22" s="99"/>
      <c r="E22" s="100" t="s">
        <v>262</v>
      </c>
      <c r="F22" s="101">
        <v>0</v>
      </c>
      <c r="G22" s="102">
        <v>5000</v>
      </c>
      <c r="H22" s="102">
        <f>+F22*G22</f>
        <v>0</v>
      </c>
      <c r="I22" s="103"/>
      <c r="J22" s="103"/>
      <c r="K22" s="104"/>
      <c r="L22" s="103"/>
      <c r="M22" s="103"/>
      <c r="N22" s="103">
        <f>IF(I22="Yes",H22,0)</f>
        <v>0</v>
      </c>
      <c r="O22" s="103"/>
      <c r="R22" s="43"/>
      <c r="S22" s="43"/>
      <c r="T22" s="43"/>
      <c r="U22" s="43"/>
      <c r="V22" s="43"/>
      <c r="W22" s="43"/>
      <c r="X22" s="43"/>
      <c r="Y22" s="43"/>
      <c r="Z22" s="43"/>
      <c r="AA22" s="859" t="s">
        <v>263</v>
      </c>
      <c r="AB22" s="860"/>
      <c r="AC22" s="860"/>
      <c r="AD22" s="860"/>
      <c r="AE22" s="860"/>
      <c r="AF22" s="860"/>
      <c r="AG22" s="860"/>
      <c r="AH22" s="860"/>
      <c r="AI22" s="42"/>
      <c r="AJ22" s="42"/>
      <c r="AK22" s="42"/>
      <c r="AL22" s="42"/>
      <c r="AM22" s="42"/>
      <c r="AN22" s="42"/>
      <c r="AO22" s="42"/>
      <c r="AP22" s="42" t="str">
        <f>IFERROR(IF(LEN(#REF!)=0,"",IF(P$27=#REF!,Milestone_Marker_Old,"")),"")</f>
        <v/>
      </c>
      <c r="AQ22" s="36" t="str">
        <f>IFERROR(IF(LEN(#REF!)=0,"",IF(Q$27=#REF!,Milestone_Marker_Old,"")),"")</f>
        <v/>
      </c>
      <c r="AR22" s="36" t="str">
        <f>IFERROR(IF(LEN(#REF!)=0,"",IF(R$27=#REF!,Milestone_Marker_Old,"")),"")</f>
        <v/>
      </c>
      <c r="AS22" s="36" t="str">
        <f>IFERROR(IF(LEN(#REF!)=0,"",IF(S$27=#REF!,Milestone_Marker_Old,"")),"")</f>
        <v/>
      </c>
      <c r="AT22" s="36" t="str">
        <f>IFERROR(IF(LEN(#REF!)=0,"",IF(T$27=#REF!,Milestone_Marker_Old,"")),"")</f>
        <v/>
      </c>
      <c r="AU22" s="36" t="str">
        <f>IFERROR(IF(LEN(#REF!)=0,"",IF(U$27=#REF!,Milestone_Marker_Old,"")),"")</f>
        <v/>
      </c>
      <c r="AV22" s="36" t="str">
        <f>IFERROR(IF(LEN(#REF!)=0,"",IF(V$27=#REF!,Milestone_Marker_Old,"")),"")</f>
        <v/>
      </c>
      <c r="AW22" s="36" t="str">
        <f>IFERROR(IF(LEN(#REF!)=0,"",IF(W$27=#REF!,Milestone_Marker_Old,"")),"")</f>
        <v/>
      </c>
      <c r="AX22" s="36" t="str">
        <f>IFERROR(IF(LEN(#REF!)=0,"",IF(X$27=#REF!,Milestone_Marker_Old,"")),"")</f>
        <v/>
      </c>
      <c r="AY22" s="36" t="str">
        <f>IFERROR(IF(LEN(#REF!)=0,"",IF(Y$27=#REF!,Milestone_Marker_Old,"")),"")</f>
        <v/>
      </c>
      <c r="AZ22" s="36" t="str">
        <f>IFERROR(IF(LEN(#REF!)=0,"",IF(Z$27=#REF!,Milestone_Marker_Old,"")),"")</f>
        <v/>
      </c>
      <c r="BA22" s="36" t="str">
        <f>IFERROR(IF(LEN(#REF!)=0,"",IF(AA$27=#REF!,Milestone_Marker_Old,"")),"")</f>
        <v/>
      </c>
      <c r="BB22" s="36" t="str">
        <f>IFERROR(IF(LEN(#REF!)=0,"",IF(AB$27=#REF!,Milestone_Marker_Old,"")),"")</f>
        <v/>
      </c>
      <c r="BC22" s="36" t="str">
        <f>IFERROR(IF(LEN(#REF!)=0,"",IF(AC$27=#REF!,Milestone_Marker_Old,"")),"")</f>
        <v/>
      </c>
      <c r="BD22" s="36" t="str">
        <f>IFERROR(IF(LEN(#REF!)=0,"",IF(AD$27=#REF!,Milestone_Marker_Old,"")),"")</f>
        <v/>
      </c>
      <c r="BE22" s="36" t="str">
        <f>IFERROR(IF(LEN(#REF!)=0,"",IF(AE$27=#REF!,Milestone_Marker_Old,"")),"")</f>
        <v/>
      </c>
      <c r="BF22" s="36" t="str">
        <f>IFERROR(IF(LEN(#REF!)=0,"",IF(AF$27=#REF!,Milestone_Marker_Old,"")),"")</f>
        <v/>
      </c>
      <c r="BG22" s="36" t="str">
        <f>IFERROR(IF(LEN(#REF!)=0,"",IF(AG$27=#REF!,Milestone_Marker_Old,"")),"")</f>
        <v/>
      </c>
      <c r="BH22" s="36" t="str">
        <f>IFERROR(IF(LEN(#REF!)=0,"",IF(AH$27=#REF!,Milestone_Marker_Old,"")),"")</f>
        <v/>
      </c>
      <c r="BI22" s="36" t="str">
        <f>IFERROR(IF(LEN(#REF!)=0,"",IF(AI$27=#REF!,Milestone_Marker_Old,"")),"")</f>
        <v/>
      </c>
      <c r="BJ22" s="36" t="str">
        <f>IFERROR(IF(LEN(#REF!)=0,"",IF(AJ$27=#REF!,Milestone_Marker_Old,"")),"")</f>
        <v/>
      </c>
      <c r="BK22" s="36" t="str">
        <f>IFERROR(IF(LEN(#REF!)=0,"",IF(AK$27=#REF!,Milestone_Marker_Old,"")),"")</f>
        <v/>
      </c>
      <c r="BL22" s="36" t="str">
        <f>IFERROR(IF(LEN(#REF!)=0,"",IF(AL$27=#REF!,Milestone_Marker_Old,"")),"")</f>
        <v/>
      </c>
      <c r="BM22" s="36" t="str">
        <f>IFERROR(IF(LEN(#REF!)=0,"",IF(AM$27=#REF!,Milestone_Marker_Old,"")),"")</f>
        <v/>
      </c>
      <c r="BN22" s="36" t="str">
        <f>IFERROR(IF(LEN(#REF!)=0,"",IF(AN$27=#REF!,Milestone_Marker_Old,"")),"")</f>
        <v/>
      </c>
      <c r="BO22" s="36" t="str">
        <f>IFERROR(IF(LEN(#REF!)=0,"",IF(AO$27=#REF!,Milestone_Marker_Old,"")),"")</f>
        <v/>
      </c>
      <c r="BP22" s="36" t="str">
        <f>IFERROR(IF(LEN(#REF!)=0,"",IF(AP$27=#REF!,Milestone_Marker_Old,"")),"")</f>
        <v/>
      </c>
      <c r="BQ22" s="36" t="str">
        <f>IFERROR(IF(LEN(#REF!)=0,"",IF(AQ$27=#REF!,Milestone_Marker_Old,"")),"")</f>
        <v/>
      </c>
      <c r="BR22" s="36" t="str">
        <f>IFERROR(IF(LEN(#REF!)=0,"",IF(AR$27=#REF!,Milestone_Marker_Old,"")),"")</f>
        <v/>
      </c>
      <c r="BS22" s="36" t="str">
        <f>IFERROR(IF(LEN(#REF!)=0,"",IF(AS$27=#REF!,Milestone_Marker_Old,"")),"")</f>
        <v/>
      </c>
      <c r="BT22" s="36" t="str">
        <f>IFERROR(IF(LEN(#REF!)=0,"",IF(AT$27=#REF!,Milestone_Marker_Old,"")),"")</f>
        <v/>
      </c>
      <c r="BU22" s="36" t="str">
        <f>IFERROR(IF(LEN(#REF!)=0,"",IF(AU$27=#REF!,Milestone_Marker_Old,"")),"")</f>
        <v/>
      </c>
      <c r="BV22" s="36" t="str">
        <f>IFERROR(IF(LEN(#REF!)=0,"",IF(AV$27=#REF!,Milestone_Marker_Old,"")),"")</f>
        <v/>
      </c>
      <c r="BW22" s="36" t="str">
        <f>IFERROR(IF(LEN(#REF!)=0,"",IF(AW$27=#REF!,Milestone_Marker_Old,"")),"")</f>
        <v/>
      </c>
      <c r="BX22" s="36" t="str">
        <f>IFERROR(IF(LEN(#REF!)=0,"",IF(AX$27=#REF!,Milestone_Marker_Old,"")),"")</f>
        <v/>
      </c>
      <c r="BY22" s="36" t="str">
        <f>IFERROR(IF(LEN(#REF!)=0,"",IF(AY$27=#REF!,Milestone_Marker_Old,"")),"")</f>
        <v/>
      </c>
      <c r="BZ22" s="36" t="str">
        <f>IFERROR(IF(LEN(#REF!)=0,"",IF(AZ$27=#REF!,Milestone_Marker_Old,"")),"")</f>
        <v/>
      </c>
      <c r="CA22" s="36" t="str">
        <f>IFERROR(IF(LEN(#REF!)=0,"",IF(BA$27=#REF!,Milestone_Marker_Old,"")),"")</f>
        <v/>
      </c>
      <c r="CB22" s="36" t="str">
        <f>IFERROR(IF(LEN(#REF!)=0,"",IF(BB$27=#REF!,Milestone_Marker_Old,"")),"")</f>
        <v/>
      </c>
      <c r="CC22" s="36" t="str">
        <f>IFERROR(IF(LEN(#REF!)=0,"",IF(BC$27=#REF!,Milestone_Marker_Old,"")),"")</f>
        <v/>
      </c>
      <c r="CD22" s="36" t="str">
        <f>IFERROR(IF(LEN(#REF!)=0,"",IF(BD$27=#REF!,Milestone_Marker_Old,"")),"")</f>
        <v/>
      </c>
      <c r="CE22" s="36" t="str">
        <f>IFERROR(IF(LEN(#REF!)=0,"",IF(BE$27=#REF!,Milestone_Marker_Old,"")),"")</f>
        <v/>
      </c>
      <c r="CF22" s="36" t="str">
        <f>IFERROR(IF(LEN(#REF!)=0,"",IF(BF$27=#REF!,Milestone_Marker_Old,"")),"")</f>
        <v/>
      </c>
      <c r="CG22" s="36" t="str">
        <f>IFERROR(IF(LEN(#REF!)=0,"",IF(BG$27=#REF!,Milestone_Marker_Old,"")),"")</f>
        <v/>
      </c>
      <c r="CH22" s="36" t="str">
        <f>IFERROR(IF(LEN(#REF!)=0,"",IF(BH$27=#REF!,Milestone_Marker_Old,"")),"")</f>
        <v/>
      </c>
      <c r="CI22" s="36" t="str">
        <f>IFERROR(IF(LEN(#REF!)=0,"",IF(BI$27=#REF!,Milestone_Marker_Old,"")),"")</f>
        <v/>
      </c>
      <c r="CJ22" s="36" t="str">
        <f>IFERROR(IF(LEN(#REF!)=0,"",IF(BJ$27=#REF!,Milestone_Marker_Old,"")),"")</f>
        <v/>
      </c>
      <c r="CK22" s="36" t="str">
        <f>IFERROR(IF(LEN(#REF!)=0,"",IF(BK$27=#REF!,Milestone_Marker_Old,"")),"")</f>
        <v/>
      </c>
      <c r="CL22" s="36" t="str">
        <f>IFERROR(IF(LEN(#REF!)=0,"",IF(BL$27=#REF!,Milestone_Marker_Old,"")),"")</f>
        <v/>
      </c>
      <c r="CM22" s="36" t="str">
        <f>IFERROR(IF(LEN(#REF!)=0,"",IF(BM$27=#REF!,Milestone_Marker_Old,"")),"")</f>
        <v/>
      </c>
      <c r="CN22" s="36" t="str">
        <f>IFERROR(IF(LEN(#REF!)=0,"",IF(BN$27=#REF!,Milestone_Marker_Old,"")),"")</f>
        <v/>
      </c>
      <c r="CO22" s="36" t="str">
        <f>IFERROR(IF(LEN(#REF!)=0,"",IF(BO$27=#REF!,Milestone_Marker_Old,"")),"")</f>
        <v/>
      </c>
      <c r="CP22" s="36" t="str">
        <f>IFERROR(IF(LEN(#REF!)=0,"",IF(BP$27=#REF!,Milestone_Marker_Old,"")),"")</f>
        <v/>
      </c>
      <c r="CQ22" s="36" t="str">
        <f>IFERROR(IF(LEN(#REF!)=0,"",IF(BQ$27=#REF!,Milestone_Marker_Old,"")),"")</f>
        <v/>
      </c>
      <c r="CR22" s="36" t="str">
        <f>IFERROR(IF(LEN(#REF!)=0,"",IF(BR$27=#REF!,Milestone_Marker_Old,"")),"")</f>
        <v/>
      </c>
      <c r="CS22" s="36" t="str">
        <f>IFERROR(IF(LEN(#REF!)=0,"",IF(BS$27=#REF!,Milestone_Marker_Old,"")),"")</f>
        <v/>
      </c>
      <c r="CT22" s="36" t="str">
        <f>IFERROR(IF(LEN(#REF!)=0,"",IF(BT$27=#REF!,Milestone_Marker_Old,"")),"")</f>
        <v/>
      </c>
      <c r="CU22" s="36" t="str">
        <f>IFERROR(IF(LEN(#REF!)=0,"",IF(BU$27=#REF!,Milestone_Marker_Old,"")),"")</f>
        <v/>
      </c>
      <c r="CV22" s="36" t="str">
        <f>IFERROR(IF(LEN(#REF!)=0,"",IF(BV$27=#REF!,Milestone_Marker_Old,"")),"")</f>
        <v/>
      </c>
      <c r="CW22" s="36" t="str">
        <f>IFERROR(IF(LEN(#REF!)=0,"",IF(BW$27=#REF!,Milestone_Marker_Old,"")),"")</f>
        <v/>
      </c>
      <c r="CX22" s="36" t="str">
        <f>IFERROR(IF(LEN(#REF!)=0,"",IF(BX$27=#REF!,Milestone_Marker_Old,"")),"")</f>
        <v/>
      </c>
      <c r="CY22" s="36" t="str">
        <f>IFERROR(IF(LEN(#REF!)=0,"",IF(BY$27=#REF!,Milestone_Marker_Old,"")),"")</f>
        <v/>
      </c>
      <c r="CZ22" s="36" t="str">
        <f>IFERROR(IF(LEN(#REF!)=0,"",IF(BZ$27=#REF!,Milestone_Marker_Old,"")),"")</f>
        <v/>
      </c>
      <c r="DA22" s="36" t="str">
        <f>IFERROR(IF(LEN(#REF!)=0,"",IF(CA$27=#REF!,Milestone_Marker_Old,"")),"")</f>
        <v/>
      </c>
      <c r="DB22" s="36" t="str">
        <f>IFERROR(IF(LEN(#REF!)=0,"",IF(CB$27=#REF!,Milestone_Marker_Old,"")),"")</f>
        <v/>
      </c>
      <c r="DC22" s="36" t="str">
        <f>IFERROR(IF(LEN(#REF!)=0,"",IF(CC$27=#REF!,Milestone_Marker_Old,"")),"")</f>
        <v/>
      </c>
      <c r="DD22" s="36" t="str">
        <f>IFERROR(IF(LEN(#REF!)=0,"",IF(CD$27=#REF!,Milestone_Marker_Old,"")),"")</f>
        <v/>
      </c>
      <c r="DE22" s="36" t="str">
        <f>IFERROR(IF(LEN(#REF!)=0,"",IF(CE$27=#REF!,Milestone_Marker_Old,"")),"")</f>
        <v/>
      </c>
      <c r="DF22" s="36" t="str">
        <f>IFERROR(IF(LEN(#REF!)=0,"",IF(CF$27=#REF!,Milestone_Marker_Old,"")),"")</f>
        <v/>
      </c>
      <c r="DG22" s="36" t="str">
        <f>IFERROR(IF(LEN(#REF!)=0,"",IF(CG$27=#REF!,Milestone_Marker_Old,"")),"")</f>
        <v/>
      </c>
      <c r="DH22" s="36" t="str">
        <f>IFERROR(IF(LEN(#REF!)=0,"",IF(CH$27=#REF!,Milestone_Marker_Old,"")),"")</f>
        <v/>
      </c>
      <c r="DI22" s="36" t="str">
        <f>IFERROR(IF(LEN(#REF!)=0,"",IF(CI$27=#REF!,Milestone_Marker_Old,"")),"")</f>
        <v/>
      </c>
      <c r="DJ22" s="36" t="str">
        <f>IFERROR(IF(LEN(#REF!)=0,"",IF(CJ$27=#REF!,Milestone_Marker_Old,"")),"")</f>
        <v/>
      </c>
      <c r="DK22" s="36" t="str">
        <f>IFERROR(IF(LEN(#REF!)=0,"",IF(CK$27=#REF!,Milestone_Marker_Old,"")),"")</f>
        <v/>
      </c>
      <c r="DL22" s="36" t="str">
        <f>IFERROR(IF(LEN(#REF!)=0,"",IF(CL$27=#REF!,Milestone_Marker_Old,"")),"")</f>
        <v/>
      </c>
      <c r="DM22" s="36" t="str">
        <f>IFERROR(IF(LEN(#REF!)=0,"",IF(CM$27=#REF!,Milestone_Marker_Old,"")),"")</f>
        <v/>
      </c>
      <c r="DN22" s="36" t="str">
        <f>IFERROR(IF(LEN(#REF!)=0,"",IF(CN$27=#REF!,Milestone_Marker_Old,"")),"")</f>
        <v/>
      </c>
      <c r="DO22" s="36" t="str">
        <f>IFERROR(IF(LEN(#REF!)=0,"",IF(CO$27=#REF!,Milestone_Marker_Old,"")),"")</f>
        <v/>
      </c>
      <c r="DP22" s="36" t="str">
        <f>IFERROR(IF(LEN(#REF!)=0,"",IF(CP$27=#REF!,Milestone_Marker_Old,"")),"")</f>
        <v/>
      </c>
      <c r="DQ22" s="36" t="str">
        <f>IFERROR(IF(LEN(#REF!)=0,"",IF(CQ$27=#REF!,Milestone_Marker_Old,"")),"")</f>
        <v/>
      </c>
      <c r="DR22" s="36" t="str">
        <f>IFERROR(IF(LEN(#REF!)=0,"",IF(CR$27=#REF!,Milestone_Marker_Old,"")),"")</f>
        <v/>
      </c>
      <c r="DS22" s="36" t="str">
        <f>IFERROR(IF(LEN(#REF!)=0,"",IF(CS$27=#REF!,Milestone_Marker_Old,"")),"")</f>
        <v/>
      </c>
      <c r="DT22" s="36" t="str">
        <f>IFERROR(IF(LEN(#REF!)=0,"",IF(CT$27=#REF!,Milestone_Marker_Old,"")),"")</f>
        <v/>
      </c>
      <c r="DU22" s="36" t="str">
        <f>IFERROR(IF(LEN(#REF!)=0,"",IF(CU$27=#REF!,Milestone_Marker_Old,"")),"")</f>
        <v/>
      </c>
    </row>
    <row r="23" spans="1:125" s="41" customFormat="1" ht="20.100000000000001" customHeight="1" x14ac:dyDescent="0.25">
      <c r="A23" s="96" t="s">
        <v>261</v>
      </c>
      <c r="B23" s="97">
        <f>+B22+1</f>
        <v>14</v>
      </c>
      <c r="C23" s="98"/>
      <c r="D23" s="99"/>
      <c r="E23" s="100" t="s">
        <v>262</v>
      </c>
      <c r="F23" s="101">
        <v>0</v>
      </c>
      <c r="G23" s="102">
        <v>400</v>
      </c>
      <c r="H23" s="102">
        <f>+F23*G23</f>
        <v>0</v>
      </c>
      <c r="I23" s="103"/>
      <c r="J23" s="103"/>
      <c r="K23" s="104"/>
      <c r="L23" s="103"/>
      <c r="M23" s="103"/>
      <c r="N23" s="103">
        <f>IF(I23="Yes",H23,0)</f>
        <v>0</v>
      </c>
      <c r="O23" s="103"/>
      <c r="R23" s="43"/>
      <c r="S23" s="43"/>
      <c r="T23" s="43"/>
      <c r="U23" s="43"/>
      <c r="V23" s="43"/>
      <c r="W23" s="43"/>
      <c r="X23" s="43"/>
      <c r="Y23" s="43"/>
      <c r="Z23" s="43"/>
      <c r="AA23" s="860"/>
      <c r="AB23" s="860"/>
      <c r="AC23" s="860"/>
      <c r="AD23" s="860"/>
      <c r="AE23" s="860"/>
      <c r="AF23" s="860"/>
      <c r="AG23" s="860"/>
      <c r="AH23" s="860"/>
      <c r="AI23" s="42"/>
      <c r="AJ23" s="42"/>
      <c r="AK23" s="42"/>
      <c r="AL23" s="42"/>
      <c r="AM23" s="42"/>
      <c r="AN23" s="42"/>
      <c r="AO23" s="42"/>
      <c r="AP23" s="42" t="str">
        <f>IFERROR(IF(LEN(#REF!)=0,"",IF(P$27=#REF!,Milestone_Marker_Old,"")),"")</f>
        <v/>
      </c>
      <c r="AQ23" s="36" t="str">
        <f>IFERROR(IF(LEN(#REF!)=0,"",IF(Q$27=#REF!,Milestone_Marker_Old,"")),"")</f>
        <v/>
      </c>
      <c r="AR23" s="36" t="str">
        <f>IFERROR(IF(LEN(#REF!)=0,"",IF(R$27=#REF!,Milestone_Marker_Old,"")),"")</f>
        <v/>
      </c>
      <c r="AS23" s="36" t="str">
        <f>IFERROR(IF(LEN(#REF!)=0,"",IF(S$27=#REF!,Milestone_Marker_Old,"")),"")</f>
        <v/>
      </c>
      <c r="AT23" s="36" t="str">
        <f>IFERROR(IF(LEN(#REF!)=0,"",IF(T$27=#REF!,Milestone_Marker_Old,"")),"")</f>
        <v/>
      </c>
      <c r="AU23" s="36" t="str">
        <f>IFERROR(IF(LEN(#REF!)=0,"",IF(U$27=#REF!,Milestone_Marker_Old,"")),"")</f>
        <v/>
      </c>
      <c r="AV23" s="36" t="str">
        <f>IFERROR(IF(LEN(#REF!)=0,"",IF(V$27=#REF!,Milestone_Marker_Old,"")),"")</f>
        <v/>
      </c>
      <c r="AW23" s="36" t="str">
        <f>IFERROR(IF(LEN(#REF!)=0,"",IF(W$27=#REF!,Milestone_Marker_Old,"")),"")</f>
        <v/>
      </c>
      <c r="AX23" s="36" t="str">
        <f>IFERROR(IF(LEN(#REF!)=0,"",IF(X$27=#REF!,Milestone_Marker_Old,"")),"")</f>
        <v/>
      </c>
      <c r="AY23" s="36" t="str">
        <f>IFERROR(IF(LEN(#REF!)=0,"",IF(Y$27=#REF!,Milestone_Marker_Old,"")),"")</f>
        <v/>
      </c>
      <c r="AZ23" s="36" t="str">
        <f>IFERROR(IF(LEN(#REF!)=0,"",IF(Z$27=#REF!,Milestone_Marker_Old,"")),"")</f>
        <v/>
      </c>
      <c r="BA23" s="36" t="str">
        <f>IFERROR(IF(LEN(#REF!)=0,"",IF(AA$27=#REF!,Milestone_Marker_Old,"")),"")</f>
        <v/>
      </c>
      <c r="BB23" s="36" t="str">
        <f>IFERROR(IF(LEN(#REF!)=0,"",IF(AB$27=#REF!,Milestone_Marker_Old,"")),"")</f>
        <v/>
      </c>
      <c r="BC23" s="36" t="str">
        <f>IFERROR(IF(LEN(#REF!)=0,"",IF(AC$27=#REF!,Milestone_Marker_Old,"")),"")</f>
        <v/>
      </c>
      <c r="BD23" s="36" t="str">
        <f>IFERROR(IF(LEN(#REF!)=0,"",IF(AD$27=#REF!,Milestone_Marker_Old,"")),"")</f>
        <v/>
      </c>
      <c r="BE23" s="36" t="str">
        <f>IFERROR(IF(LEN(#REF!)=0,"",IF(AE$27=#REF!,Milestone_Marker_Old,"")),"")</f>
        <v/>
      </c>
      <c r="BF23" s="36" t="str">
        <f>IFERROR(IF(LEN(#REF!)=0,"",IF(AF$27=#REF!,Milestone_Marker_Old,"")),"")</f>
        <v/>
      </c>
      <c r="BG23" s="36" t="str">
        <f>IFERROR(IF(LEN(#REF!)=0,"",IF(AG$27=#REF!,Milestone_Marker_Old,"")),"")</f>
        <v/>
      </c>
      <c r="BH23" s="36" t="str">
        <f>IFERROR(IF(LEN(#REF!)=0,"",IF(AH$27=#REF!,Milestone_Marker_Old,"")),"")</f>
        <v/>
      </c>
      <c r="BI23" s="36" t="str">
        <f>IFERROR(IF(LEN(#REF!)=0,"",IF(AI$27=#REF!,Milestone_Marker_Old,"")),"")</f>
        <v/>
      </c>
      <c r="BJ23" s="36" t="str">
        <f>IFERROR(IF(LEN(#REF!)=0,"",IF(AJ$27=#REF!,Milestone_Marker_Old,"")),"")</f>
        <v/>
      </c>
      <c r="BK23" s="36" t="str">
        <f>IFERROR(IF(LEN(#REF!)=0,"",IF(AK$27=#REF!,Milestone_Marker_Old,"")),"")</f>
        <v/>
      </c>
      <c r="BL23" s="36" t="str">
        <f>IFERROR(IF(LEN(#REF!)=0,"",IF(AL$27=#REF!,Milestone_Marker_Old,"")),"")</f>
        <v/>
      </c>
      <c r="BM23" s="36" t="str">
        <f>IFERROR(IF(LEN(#REF!)=0,"",IF(AM$27=#REF!,Milestone_Marker_Old,"")),"")</f>
        <v/>
      </c>
      <c r="BN23" s="36" t="str">
        <f>IFERROR(IF(LEN(#REF!)=0,"",IF(AN$27=#REF!,Milestone_Marker_Old,"")),"")</f>
        <v/>
      </c>
      <c r="BO23" s="36" t="str">
        <f>IFERROR(IF(LEN(#REF!)=0,"",IF(AO$27=#REF!,Milestone_Marker_Old,"")),"")</f>
        <v/>
      </c>
      <c r="BP23" s="36" t="str">
        <f>IFERROR(IF(LEN(#REF!)=0,"",IF(AP$27=#REF!,Milestone_Marker_Old,"")),"")</f>
        <v/>
      </c>
      <c r="BQ23" s="36" t="str">
        <f>IFERROR(IF(LEN(#REF!)=0,"",IF(AQ$27=#REF!,Milestone_Marker_Old,"")),"")</f>
        <v/>
      </c>
      <c r="BR23" s="36" t="str">
        <f>IFERROR(IF(LEN(#REF!)=0,"",IF(AR$27=#REF!,Milestone_Marker_Old,"")),"")</f>
        <v/>
      </c>
      <c r="BS23" s="36" t="str">
        <f>IFERROR(IF(LEN(#REF!)=0,"",IF(AS$27=#REF!,Milestone_Marker_Old,"")),"")</f>
        <v/>
      </c>
      <c r="BT23" s="36" t="str">
        <f>IFERROR(IF(LEN(#REF!)=0,"",IF(AT$27=#REF!,Milestone_Marker_Old,"")),"")</f>
        <v/>
      </c>
      <c r="BU23" s="36" t="str">
        <f>IFERROR(IF(LEN(#REF!)=0,"",IF(AU$27=#REF!,Milestone_Marker_Old,"")),"")</f>
        <v/>
      </c>
      <c r="BV23" s="36" t="str">
        <f>IFERROR(IF(LEN(#REF!)=0,"",IF(AV$27=#REF!,Milestone_Marker_Old,"")),"")</f>
        <v/>
      </c>
      <c r="BW23" s="36" t="str">
        <f>IFERROR(IF(LEN(#REF!)=0,"",IF(AW$27=#REF!,Milestone_Marker_Old,"")),"")</f>
        <v/>
      </c>
      <c r="BX23" s="36" t="str">
        <f>IFERROR(IF(LEN(#REF!)=0,"",IF(AX$27=#REF!,Milestone_Marker_Old,"")),"")</f>
        <v/>
      </c>
      <c r="BY23" s="36" t="str">
        <f>IFERROR(IF(LEN(#REF!)=0,"",IF(AY$27=#REF!,Milestone_Marker_Old,"")),"")</f>
        <v/>
      </c>
      <c r="BZ23" s="36" t="str">
        <f>IFERROR(IF(LEN(#REF!)=0,"",IF(AZ$27=#REF!,Milestone_Marker_Old,"")),"")</f>
        <v/>
      </c>
      <c r="CA23" s="36" t="str">
        <f>IFERROR(IF(LEN(#REF!)=0,"",IF(BA$27=#REF!,Milestone_Marker_Old,"")),"")</f>
        <v/>
      </c>
      <c r="CB23" s="36" t="str">
        <f>IFERROR(IF(LEN(#REF!)=0,"",IF(BB$27=#REF!,Milestone_Marker_Old,"")),"")</f>
        <v/>
      </c>
      <c r="CC23" s="36" t="str">
        <f>IFERROR(IF(LEN(#REF!)=0,"",IF(BC$27=#REF!,Milestone_Marker_Old,"")),"")</f>
        <v/>
      </c>
      <c r="CD23" s="36" t="str">
        <f>IFERROR(IF(LEN(#REF!)=0,"",IF(BD$27=#REF!,Milestone_Marker_Old,"")),"")</f>
        <v/>
      </c>
      <c r="CE23" s="36" t="str">
        <f>IFERROR(IF(LEN(#REF!)=0,"",IF(BE$27=#REF!,Milestone_Marker_Old,"")),"")</f>
        <v/>
      </c>
      <c r="CF23" s="36" t="str">
        <f>IFERROR(IF(LEN(#REF!)=0,"",IF(BF$27=#REF!,Milestone_Marker_Old,"")),"")</f>
        <v/>
      </c>
      <c r="CG23" s="36" t="str">
        <f>IFERROR(IF(LEN(#REF!)=0,"",IF(BG$27=#REF!,Milestone_Marker_Old,"")),"")</f>
        <v/>
      </c>
      <c r="CH23" s="36" t="str">
        <f>IFERROR(IF(LEN(#REF!)=0,"",IF(BH$27=#REF!,Milestone_Marker_Old,"")),"")</f>
        <v/>
      </c>
      <c r="CI23" s="36" t="str">
        <f>IFERROR(IF(LEN(#REF!)=0,"",IF(BI$27=#REF!,Milestone_Marker_Old,"")),"")</f>
        <v/>
      </c>
      <c r="CJ23" s="36" t="str">
        <f>IFERROR(IF(LEN(#REF!)=0,"",IF(BJ$27=#REF!,Milestone_Marker_Old,"")),"")</f>
        <v/>
      </c>
      <c r="CK23" s="36" t="str">
        <f>IFERROR(IF(LEN(#REF!)=0,"",IF(BK$27=#REF!,Milestone_Marker_Old,"")),"")</f>
        <v/>
      </c>
      <c r="CL23" s="36" t="str">
        <f>IFERROR(IF(LEN(#REF!)=0,"",IF(BL$27=#REF!,Milestone_Marker_Old,"")),"")</f>
        <v/>
      </c>
      <c r="CM23" s="36" t="str">
        <f>IFERROR(IF(LEN(#REF!)=0,"",IF(BM$27=#REF!,Milestone_Marker_Old,"")),"")</f>
        <v/>
      </c>
      <c r="CN23" s="36" t="str">
        <f>IFERROR(IF(LEN(#REF!)=0,"",IF(BN$27=#REF!,Milestone_Marker_Old,"")),"")</f>
        <v/>
      </c>
      <c r="CO23" s="36" t="str">
        <f>IFERROR(IF(LEN(#REF!)=0,"",IF(BO$27=#REF!,Milestone_Marker_Old,"")),"")</f>
        <v/>
      </c>
      <c r="CP23" s="36" t="str">
        <f>IFERROR(IF(LEN(#REF!)=0,"",IF(BP$27=#REF!,Milestone_Marker_Old,"")),"")</f>
        <v/>
      </c>
      <c r="CQ23" s="36" t="str">
        <f>IFERROR(IF(LEN(#REF!)=0,"",IF(BQ$27=#REF!,Milestone_Marker_Old,"")),"")</f>
        <v/>
      </c>
      <c r="CR23" s="36" t="str">
        <f>IFERROR(IF(LEN(#REF!)=0,"",IF(BR$27=#REF!,Milestone_Marker_Old,"")),"")</f>
        <v/>
      </c>
      <c r="CS23" s="36" t="str">
        <f>IFERROR(IF(LEN(#REF!)=0,"",IF(BS$27=#REF!,Milestone_Marker_Old,"")),"")</f>
        <v/>
      </c>
      <c r="CT23" s="36" t="str">
        <f>IFERROR(IF(LEN(#REF!)=0,"",IF(BT$27=#REF!,Milestone_Marker_Old,"")),"")</f>
        <v/>
      </c>
      <c r="CU23" s="36" t="str">
        <f>IFERROR(IF(LEN(#REF!)=0,"",IF(BU$27=#REF!,Milestone_Marker_Old,"")),"")</f>
        <v/>
      </c>
      <c r="CV23" s="36" t="str">
        <f>IFERROR(IF(LEN(#REF!)=0,"",IF(BV$27=#REF!,Milestone_Marker_Old,"")),"")</f>
        <v/>
      </c>
      <c r="CW23" s="36" t="str">
        <f>IFERROR(IF(LEN(#REF!)=0,"",IF(BW$27=#REF!,Milestone_Marker_Old,"")),"")</f>
        <v/>
      </c>
      <c r="CX23" s="36" t="str">
        <f>IFERROR(IF(LEN(#REF!)=0,"",IF(BX$27=#REF!,Milestone_Marker_Old,"")),"")</f>
        <v/>
      </c>
      <c r="CY23" s="36" t="str">
        <f>IFERROR(IF(LEN(#REF!)=0,"",IF(BY$27=#REF!,Milestone_Marker_Old,"")),"")</f>
        <v/>
      </c>
      <c r="CZ23" s="36" t="str">
        <f>IFERROR(IF(LEN(#REF!)=0,"",IF(BZ$27=#REF!,Milestone_Marker_Old,"")),"")</f>
        <v/>
      </c>
      <c r="DA23" s="36" t="str">
        <f>IFERROR(IF(LEN(#REF!)=0,"",IF(CA$27=#REF!,Milestone_Marker_Old,"")),"")</f>
        <v/>
      </c>
      <c r="DB23" s="36" t="str">
        <f>IFERROR(IF(LEN(#REF!)=0,"",IF(CB$27=#REF!,Milestone_Marker_Old,"")),"")</f>
        <v/>
      </c>
      <c r="DC23" s="36" t="str">
        <f>IFERROR(IF(LEN(#REF!)=0,"",IF(CC$27=#REF!,Milestone_Marker_Old,"")),"")</f>
        <v/>
      </c>
      <c r="DD23" s="36" t="str">
        <f>IFERROR(IF(LEN(#REF!)=0,"",IF(CD$27=#REF!,Milestone_Marker_Old,"")),"")</f>
        <v/>
      </c>
      <c r="DE23" s="36" t="str">
        <f>IFERROR(IF(LEN(#REF!)=0,"",IF(CE$27=#REF!,Milestone_Marker_Old,"")),"")</f>
        <v/>
      </c>
      <c r="DF23" s="36" t="str">
        <f>IFERROR(IF(LEN(#REF!)=0,"",IF(CF$27=#REF!,Milestone_Marker_Old,"")),"")</f>
        <v/>
      </c>
      <c r="DG23" s="36" t="str">
        <f>IFERROR(IF(LEN(#REF!)=0,"",IF(CG$27=#REF!,Milestone_Marker_Old,"")),"")</f>
        <v/>
      </c>
      <c r="DH23" s="36" t="str">
        <f>IFERROR(IF(LEN(#REF!)=0,"",IF(CH$27=#REF!,Milestone_Marker_Old,"")),"")</f>
        <v/>
      </c>
      <c r="DI23" s="36" t="str">
        <f>IFERROR(IF(LEN(#REF!)=0,"",IF(CI$27=#REF!,Milestone_Marker_Old,"")),"")</f>
        <v/>
      </c>
      <c r="DJ23" s="36" t="str">
        <f>IFERROR(IF(LEN(#REF!)=0,"",IF(CJ$27=#REF!,Milestone_Marker_Old,"")),"")</f>
        <v/>
      </c>
      <c r="DK23" s="36" t="str">
        <f>IFERROR(IF(LEN(#REF!)=0,"",IF(CK$27=#REF!,Milestone_Marker_Old,"")),"")</f>
        <v/>
      </c>
      <c r="DL23" s="36" t="str">
        <f>IFERROR(IF(LEN(#REF!)=0,"",IF(CL$27=#REF!,Milestone_Marker_Old,"")),"")</f>
        <v/>
      </c>
      <c r="DM23" s="36" t="str">
        <f>IFERROR(IF(LEN(#REF!)=0,"",IF(CM$27=#REF!,Milestone_Marker_Old,"")),"")</f>
        <v/>
      </c>
      <c r="DN23" s="36" t="str">
        <f>IFERROR(IF(LEN(#REF!)=0,"",IF(CN$27=#REF!,Milestone_Marker_Old,"")),"")</f>
        <v/>
      </c>
      <c r="DO23" s="36" t="str">
        <f>IFERROR(IF(LEN(#REF!)=0,"",IF(CO$27=#REF!,Milestone_Marker_Old,"")),"")</f>
        <v/>
      </c>
      <c r="DP23" s="36" t="str">
        <f>IFERROR(IF(LEN(#REF!)=0,"",IF(CP$27=#REF!,Milestone_Marker_Old,"")),"")</f>
        <v/>
      </c>
      <c r="DQ23" s="36" t="str">
        <f>IFERROR(IF(LEN(#REF!)=0,"",IF(CQ$27=#REF!,Milestone_Marker_Old,"")),"")</f>
        <v/>
      </c>
      <c r="DR23" s="36" t="str">
        <f>IFERROR(IF(LEN(#REF!)=0,"",IF(CR$27=#REF!,Milestone_Marker_Old,"")),"")</f>
        <v/>
      </c>
      <c r="DS23" s="36" t="str">
        <f>IFERROR(IF(LEN(#REF!)=0,"",IF(CS$27=#REF!,Milestone_Marker_Old,"")),"")</f>
        <v/>
      </c>
      <c r="DT23" s="36" t="str">
        <f>IFERROR(IF(LEN(#REF!)=0,"",IF(CT$27=#REF!,Milestone_Marker_Old,"")),"")</f>
        <v/>
      </c>
      <c r="DU23" s="36" t="str">
        <f>IFERROR(IF(LEN(#REF!)=0,"",IF(CU$27=#REF!,Milestone_Marker_Old,"")),"")</f>
        <v/>
      </c>
    </row>
    <row r="24" spans="1:125" s="41" customFormat="1" ht="20.100000000000001" customHeight="1" x14ac:dyDescent="0.25">
      <c r="A24" s="96" t="s">
        <v>264</v>
      </c>
      <c r="B24" s="97">
        <f>+B23+1</f>
        <v>15</v>
      </c>
      <c r="C24" s="98"/>
      <c r="D24" s="99"/>
      <c r="E24" s="100" t="s">
        <v>265</v>
      </c>
      <c r="F24" s="101">
        <v>0</v>
      </c>
      <c r="G24" s="102">
        <f>+HVAC!I18</f>
        <v>203.78</v>
      </c>
      <c r="H24" s="102">
        <f>+F24*G24</f>
        <v>0</v>
      </c>
      <c r="I24" s="103"/>
      <c r="J24" s="103"/>
      <c r="K24" s="104"/>
      <c r="L24" s="103"/>
      <c r="M24" s="103"/>
      <c r="N24" s="103">
        <f>IF(I24="Yes",H24,0)</f>
        <v>0</v>
      </c>
      <c r="O24" s="103"/>
      <c r="R24" s="43"/>
      <c r="S24" s="43"/>
      <c r="T24" s="43"/>
      <c r="U24" s="43"/>
      <c r="V24" s="43"/>
      <c r="W24" s="43"/>
      <c r="X24" s="43"/>
      <c r="Y24" s="43"/>
      <c r="Z24" s="43"/>
      <c r="AB24" s="67">
        <v>3</v>
      </c>
      <c r="AC24" s="42"/>
      <c r="AD24" s="42"/>
      <c r="AE24" s="42"/>
      <c r="AF24" s="42"/>
      <c r="AG24" s="42"/>
      <c r="AH24" s="42"/>
      <c r="AI24" s="42"/>
      <c r="AJ24" s="42"/>
      <c r="AK24" s="42"/>
      <c r="AL24" s="42"/>
      <c r="AM24" s="42"/>
      <c r="AN24" s="42"/>
      <c r="AO24" s="42"/>
      <c r="AP24" s="42"/>
    </row>
    <row r="25" spans="1:125" s="41" customFormat="1" ht="20.100000000000001" customHeight="1" x14ac:dyDescent="0.25">
      <c r="A25" s="96" t="s">
        <v>264</v>
      </c>
      <c r="B25" s="97">
        <f>+B24+1</f>
        <v>16</v>
      </c>
      <c r="C25" s="98"/>
      <c r="D25" s="99"/>
      <c r="E25" s="100" t="s">
        <v>266</v>
      </c>
      <c r="F25" s="101">
        <v>0</v>
      </c>
      <c r="G25" s="102">
        <v>4598</v>
      </c>
      <c r="H25" s="102">
        <f>+F25*G25</f>
        <v>0</v>
      </c>
      <c r="I25" s="103"/>
      <c r="J25" s="103"/>
      <c r="K25" s="104"/>
      <c r="L25" s="103"/>
      <c r="M25" s="103"/>
      <c r="N25" s="103">
        <f>IF(I25="Yes",H25,0)</f>
        <v>0</v>
      </c>
      <c r="O25" s="103"/>
      <c r="R25" s="43"/>
      <c r="S25" s="43"/>
      <c r="T25" s="43"/>
      <c r="U25" s="43"/>
      <c r="V25" s="43"/>
      <c r="W25" s="43"/>
      <c r="X25" s="43"/>
      <c r="Y25" s="43"/>
      <c r="Z25" s="43"/>
    </row>
    <row r="26" spans="1:125" s="41" customFormat="1" ht="21.75" thickBot="1" x14ac:dyDescent="0.25">
      <c r="A26" s="105"/>
      <c r="B26" s="106"/>
      <c r="C26" s="105"/>
      <c r="D26" s="105"/>
      <c r="E26" s="93" t="str">
        <f>+A2 &amp; "Items (all items should be updated from Proposal or ProposalUpdate tab)"</f>
        <v>Tim Flemming Items (all items should be updated from Proposal or ProposalUpdate tab)</v>
      </c>
      <c r="F26" s="105"/>
      <c r="G26" s="105"/>
      <c r="H26" s="105"/>
      <c r="I26" s="105"/>
      <c r="J26" s="105"/>
      <c r="K26" s="107"/>
      <c r="L26" s="105"/>
      <c r="M26" s="105"/>
      <c r="N26" s="105"/>
      <c r="O26" s="105"/>
      <c r="P26" s="58" t="str">
        <f ca="1">IF(TEXT(Project_Start,"mmmm")=TEXT(P27,"mmmm"),"",TEXT(P27,"mmmm"))</f>
        <v/>
      </c>
      <c r="Q26" s="58" t="str">
        <f t="shared" ref="Q26:AV26" ca="1" si="6">IF(TEXT(P27,"mmmm")=TEXT(Q27,"mmmm"),"",TEXT(Q27,"mmmm"))</f>
        <v/>
      </c>
      <c r="R26" s="58" t="str">
        <f t="shared" ca="1" si="6"/>
        <v/>
      </c>
      <c r="S26" s="58" t="str">
        <f t="shared" ca="1" si="6"/>
        <v/>
      </c>
      <c r="T26" s="58" t="str">
        <f t="shared" ca="1" si="6"/>
        <v/>
      </c>
      <c r="U26" s="58" t="str">
        <f t="shared" ca="1" si="6"/>
        <v/>
      </c>
      <c r="V26" s="58" t="str">
        <f t="shared" ca="1" si="6"/>
        <v/>
      </c>
      <c r="W26" s="58" t="str">
        <f t="shared" ca="1" si="6"/>
        <v/>
      </c>
      <c r="X26" s="58" t="str">
        <f t="shared" ca="1" si="6"/>
        <v/>
      </c>
      <c r="Y26" s="58" t="str">
        <f t="shared" ca="1" si="6"/>
        <v/>
      </c>
      <c r="Z26" s="58" t="str">
        <f t="shared" ca="1" si="6"/>
        <v/>
      </c>
      <c r="AA26" s="58" t="str">
        <f t="shared" ca="1" si="6"/>
        <v/>
      </c>
      <c r="AB26" s="58" t="str">
        <f t="shared" ca="1" si="6"/>
        <v/>
      </c>
      <c r="AC26" s="58" t="str">
        <f t="shared" ca="1" si="6"/>
        <v/>
      </c>
      <c r="AD26" s="58" t="str">
        <f t="shared" ca="1" si="6"/>
        <v/>
      </c>
      <c r="AE26" s="58" t="str">
        <f t="shared" ca="1" si="6"/>
        <v/>
      </c>
      <c r="AF26" s="58" t="str">
        <f t="shared" ca="1" si="6"/>
        <v/>
      </c>
      <c r="AG26" s="58" t="str">
        <f t="shared" ca="1" si="6"/>
        <v>April</v>
      </c>
      <c r="AH26" s="58" t="str">
        <f t="shared" ca="1" si="6"/>
        <v/>
      </c>
      <c r="AI26" s="58" t="str">
        <f t="shared" ca="1" si="6"/>
        <v/>
      </c>
      <c r="AJ26" s="58" t="str">
        <f t="shared" ca="1" si="6"/>
        <v/>
      </c>
      <c r="AK26" s="58" t="str">
        <f t="shared" ca="1" si="6"/>
        <v/>
      </c>
      <c r="AL26" s="58" t="str">
        <f t="shared" ca="1" si="6"/>
        <v/>
      </c>
      <c r="AM26" s="58" t="str">
        <f t="shared" ca="1" si="6"/>
        <v/>
      </c>
      <c r="AN26" s="58" t="str">
        <f t="shared" ca="1" si="6"/>
        <v/>
      </c>
      <c r="AO26" s="58" t="str">
        <f t="shared" ca="1" si="6"/>
        <v/>
      </c>
      <c r="AP26" s="58" t="str">
        <f t="shared" ca="1" si="6"/>
        <v/>
      </c>
      <c r="AQ26" s="58" t="str">
        <f t="shared" ca="1" si="6"/>
        <v/>
      </c>
      <c r="AR26" s="58" t="str">
        <f t="shared" ca="1" si="6"/>
        <v/>
      </c>
      <c r="AS26" s="58" t="str">
        <f t="shared" ca="1" si="6"/>
        <v/>
      </c>
      <c r="AT26" s="58" t="str">
        <f t="shared" ca="1" si="6"/>
        <v/>
      </c>
      <c r="AU26" s="58" t="str">
        <f t="shared" ca="1" si="6"/>
        <v/>
      </c>
      <c r="AV26" s="58" t="str">
        <f t="shared" ca="1" si="6"/>
        <v/>
      </c>
      <c r="AW26" s="58" t="str">
        <f t="shared" ref="AW26:CB26" ca="1" si="7">IF(TEXT(AV27,"mmmm")=TEXT(AW27,"mmmm"),"",TEXT(AW27,"mmmm"))</f>
        <v/>
      </c>
      <c r="AX26" s="58" t="str">
        <f t="shared" ca="1" si="7"/>
        <v/>
      </c>
      <c r="AY26" s="58" t="str">
        <f t="shared" ca="1" si="7"/>
        <v/>
      </c>
      <c r="AZ26" s="58" t="str">
        <f t="shared" ca="1" si="7"/>
        <v/>
      </c>
      <c r="BA26" s="58" t="str">
        <f t="shared" ca="1" si="7"/>
        <v/>
      </c>
      <c r="BB26" s="58" t="str">
        <f t="shared" ca="1" si="7"/>
        <v/>
      </c>
      <c r="BC26" s="58" t="str">
        <f t="shared" ca="1" si="7"/>
        <v/>
      </c>
      <c r="BD26" s="58" t="str">
        <f t="shared" ca="1" si="7"/>
        <v/>
      </c>
      <c r="BE26" s="58" t="str">
        <f t="shared" ca="1" si="7"/>
        <v/>
      </c>
      <c r="BF26" s="58" t="str">
        <f t="shared" ca="1" si="7"/>
        <v/>
      </c>
      <c r="BG26" s="58" t="str">
        <f t="shared" ca="1" si="7"/>
        <v/>
      </c>
      <c r="BH26" s="58" t="str">
        <f t="shared" ca="1" si="7"/>
        <v/>
      </c>
      <c r="BI26" s="58" t="str">
        <f t="shared" ca="1" si="7"/>
        <v/>
      </c>
      <c r="BJ26" s="58" t="str">
        <f t="shared" ca="1" si="7"/>
        <v/>
      </c>
      <c r="BK26" s="58" t="str">
        <f t="shared" ca="1" si="7"/>
        <v>May</v>
      </c>
      <c r="BL26" s="58" t="str">
        <f t="shared" ca="1" si="7"/>
        <v/>
      </c>
      <c r="BM26" s="58" t="str">
        <f t="shared" ca="1" si="7"/>
        <v/>
      </c>
      <c r="BN26" s="58" t="str">
        <f t="shared" ca="1" si="7"/>
        <v/>
      </c>
      <c r="BO26" s="58" t="str">
        <f t="shared" ca="1" si="7"/>
        <v/>
      </c>
      <c r="BP26" s="58" t="str">
        <f t="shared" ca="1" si="7"/>
        <v/>
      </c>
      <c r="BQ26" s="58" t="str">
        <f t="shared" ca="1" si="7"/>
        <v/>
      </c>
      <c r="BR26" s="58" t="str">
        <f t="shared" ca="1" si="7"/>
        <v/>
      </c>
      <c r="BS26" s="58" t="str">
        <f t="shared" ca="1" si="7"/>
        <v/>
      </c>
      <c r="BT26" s="58" t="str">
        <f t="shared" ca="1" si="7"/>
        <v/>
      </c>
      <c r="BU26" s="58" t="str">
        <f t="shared" ca="1" si="7"/>
        <v/>
      </c>
      <c r="BV26" s="58" t="str">
        <f t="shared" ca="1" si="7"/>
        <v/>
      </c>
      <c r="BW26" s="58" t="str">
        <f t="shared" ca="1" si="7"/>
        <v/>
      </c>
      <c r="BX26" s="58" t="str">
        <f t="shared" ca="1" si="7"/>
        <v/>
      </c>
      <c r="BY26" s="58" t="str">
        <f t="shared" ca="1" si="7"/>
        <v/>
      </c>
      <c r="BZ26" s="58" t="str">
        <f t="shared" ca="1" si="7"/>
        <v/>
      </c>
      <c r="CA26" s="58" t="str">
        <f t="shared" ca="1" si="7"/>
        <v/>
      </c>
      <c r="CB26" s="58" t="str">
        <f t="shared" ca="1" si="7"/>
        <v/>
      </c>
      <c r="CC26" s="58" t="str">
        <f t="shared" ref="CC26:CU26" ca="1" si="8">IF(TEXT(CB27,"mmmm")=TEXT(CC27,"mmmm"),"",TEXT(CC27,"mmmm"))</f>
        <v/>
      </c>
      <c r="CD26" s="58" t="str">
        <f t="shared" ca="1" si="8"/>
        <v/>
      </c>
      <c r="CE26" s="58" t="str">
        <f t="shared" ca="1" si="8"/>
        <v/>
      </c>
      <c r="CF26" s="58" t="str">
        <f t="shared" ca="1" si="8"/>
        <v/>
      </c>
      <c r="CG26" s="58" t="str">
        <f t="shared" ca="1" si="8"/>
        <v/>
      </c>
      <c r="CH26" s="58" t="str">
        <f t="shared" ca="1" si="8"/>
        <v/>
      </c>
      <c r="CI26" s="58" t="str">
        <f t="shared" ca="1" si="8"/>
        <v/>
      </c>
      <c r="CJ26" s="58" t="str">
        <f t="shared" ca="1" si="8"/>
        <v/>
      </c>
      <c r="CK26" s="58" t="str">
        <f t="shared" ca="1" si="8"/>
        <v/>
      </c>
      <c r="CL26" s="58" t="str">
        <f t="shared" ca="1" si="8"/>
        <v/>
      </c>
      <c r="CM26" s="58" t="str">
        <f t="shared" ca="1" si="8"/>
        <v/>
      </c>
      <c r="CN26" s="58" t="str">
        <f t="shared" ca="1" si="8"/>
        <v/>
      </c>
      <c r="CO26" s="58" t="str">
        <f t="shared" ca="1" si="8"/>
        <v/>
      </c>
      <c r="CP26" s="58" t="str">
        <f t="shared" ca="1" si="8"/>
        <v>June</v>
      </c>
      <c r="CQ26" s="58" t="str">
        <f t="shared" ca="1" si="8"/>
        <v/>
      </c>
      <c r="CR26" s="58" t="str">
        <f t="shared" ca="1" si="8"/>
        <v/>
      </c>
      <c r="CS26" s="58" t="str">
        <f t="shared" ca="1" si="8"/>
        <v/>
      </c>
      <c r="CT26" s="58" t="str">
        <f t="shared" ca="1" si="8"/>
        <v/>
      </c>
      <c r="CU26" s="58" t="str">
        <f t="shared" ca="1" si="8"/>
        <v/>
      </c>
    </row>
    <row r="27" spans="1:125" s="55" customFormat="1" ht="34.5" customHeight="1" thickTop="1" x14ac:dyDescent="0.25">
      <c r="A27" s="262" t="s">
        <v>226</v>
      </c>
      <c r="B27" s="262" t="s">
        <v>227</v>
      </c>
      <c r="C27" s="262" t="s">
        <v>228</v>
      </c>
      <c r="D27" s="262" t="s">
        <v>229</v>
      </c>
      <c r="E27" s="262" t="s">
        <v>230</v>
      </c>
      <c r="F27" s="262" t="s">
        <v>201</v>
      </c>
      <c r="G27" s="281" t="s">
        <v>202</v>
      </c>
      <c r="H27" s="281" t="s">
        <v>231</v>
      </c>
      <c r="I27" s="262" t="s">
        <v>232</v>
      </c>
      <c r="J27" s="262" t="s">
        <v>233</v>
      </c>
      <c r="K27" s="282" t="s">
        <v>234</v>
      </c>
      <c r="L27" s="262" t="s">
        <v>235</v>
      </c>
      <c r="M27" s="262" t="s">
        <v>236</v>
      </c>
      <c r="N27" s="22" t="s">
        <v>238</v>
      </c>
      <c r="O27" s="22" t="s">
        <v>141</v>
      </c>
      <c r="P27" s="61">
        <f ca="1">IFERROR(Project_Start+Scrolling_Increment,TODAY())</f>
        <v>45366</v>
      </c>
      <c r="Q27" s="61">
        <f t="shared" ref="Q27:AV27" ca="1" si="9">+P27+1</f>
        <v>45367</v>
      </c>
      <c r="R27" s="61">
        <f t="shared" ca="1" si="9"/>
        <v>45368</v>
      </c>
      <c r="S27" s="61">
        <f t="shared" ca="1" si="9"/>
        <v>45369</v>
      </c>
      <c r="T27" s="61">
        <f t="shared" ca="1" si="9"/>
        <v>45370</v>
      </c>
      <c r="U27" s="61">
        <f t="shared" ca="1" si="9"/>
        <v>45371</v>
      </c>
      <c r="V27" s="61">
        <f t="shared" ca="1" si="9"/>
        <v>45372</v>
      </c>
      <c r="W27" s="61">
        <f t="shared" ca="1" si="9"/>
        <v>45373</v>
      </c>
      <c r="X27" s="61">
        <f t="shared" ca="1" si="9"/>
        <v>45374</v>
      </c>
      <c r="Y27" s="61">
        <f t="shared" ca="1" si="9"/>
        <v>45375</v>
      </c>
      <c r="Z27" s="61">
        <f t="shared" ca="1" si="9"/>
        <v>45376</v>
      </c>
      <c r="AA27" s="61">
        <f t="shared" ca="1" si="9"/>
        <v>45377</v>
      </c>
      <c r="AB27" s="61">
        <f t="shared" ca="1" si="9"/>
        <v>45378</v>
      </c>
      <c r="AC27" s="61">
        <f t="shared" ca="1" si="9"/>
        <v>45379</v>
      </c>
      <c r="AD27" s="61">
        <f t="shared" ca="1" si="9"/>
        <v>45380</v>
      </c>
      <c r="AE27" s="61">
        <f t="shared" ca="1" si="9"/>
        <v>45381</v>
      </c>
      <c r="AF27" s="61">
        <f t="shared" ca="1" si="9"/>
        <v>45382</v>
      </c>
      <c r="AG27" s="61">
        <f t="shared" ca="1" si="9"/>
        <v>45383</v>
      </c>
      <c r="AH27" s="61">
        <f t="shared" ca="1" si="9"/>
        <v>45384</v>
      </c>
      <c r="AI27" s="61">
        <f t="shared" ca="1" si="9"/>
        <v>45385</v>
      </c>
      <c r="AJ27" s="61">
        <f t="shared" ca="1" si="9"/>
        <v>45386</v>
      </c>
      <c r="AK27" s="61">
        <f t="shared" ca="1" si="9"/>
        <v>45387</v>
      </c>
      <c r="AL27" s="61">
        <f t="shared" ca="1" si="9"/>
        <v>45388</v>
      </c>
      <c r="AM27" s="61">
        <f t="shared" ca="1" si="9"/>
        <v>45389</v>
      </c>
      <c r="AN27" s="61">
        <f t="shared" ca="1" si="9"/>
        <v>45390</v>
      </c>
      <c r="AO27" s="61">
        <f t="shared" ca="1" si="9"/>
        <v>45391</v>
      </c>
      <c r="AP27" s="61">
        <f t="shared" ca="1" si="9"/>
        <v>45392</v>
      </c>
      <c r="AQ27" s="61">
        <f t="shared" ca="1" si="9"/>
        <v>45393</v>
      </c>
      <c r="AR27" s="61">
        <f t="shared" ca="1" si="9"/>
        <v>45394</v>
      </c>
      <c r="AS27" s="61">
        <f t="shared" ca="1" si="9"/>
        <v>45395</v>
      </c>
      <c r="AT27" s="61">
        <f t="shared" ca="1" si="9"/>
        <v>45396</v>
      </c>
      <c r="AU27" s="61">
        <f t="shared" ca="1" si="9"/>
        <v>45397</v>
      </c>
      <c r="AV27" s="61">
        <f t="shared" ca="1" si="9"/>
        <v>45398</v>
      </c>
      <c r="AW27" s="61">
        <f t="shared" ref="AW27:CB27" ca="1" si="10">+AV27+1</f>
        <v>45399</v>
      </c>
      <c r="AX27" s="61">
        <f t="shared" ca="1" si="10"/>
        <v>45400</v>
      </c>
      <c r="AY27" s="61">
        <f t="shared" ca="1" si="10"/>
        <v>45401</v>
      </c>
      <c r="AZ27" s="61">
        <f t="shared" ca="1" si="10"/>
        <v>45402</v>
      </c>
      <c r="BA27" s="61">
        <f t="shared" ca="1" si="10"/>
        <v>45403</v>
      </c>
      <c r="BB27" s="61">
        <f t="shared" ca="1" si="10"/>
        <v>45404</v>
      </c>
      <c r="BC27" s="61">
        <f t="shared" ca="1" si="10"/>
        <v>45405</v>
      </c>
      <c r="BD27" s="61">
        <f t="shared" ca="1" si="10"/>
        <v>45406</v>
      </c>
      <c r="BE27" s="61">
        <f t="shared" ca="1" si="10"/>
        <v>45407</v>
      </c>
      <c r="BF27" s="61">
        <f t="shared" ca="1" si="10"/>
        <v>45408</v>
      </c>
      <c r="BG27" s="61">
        <f t="shared" ca="1" si="10"/>
        <v>45409</v>
      </c>
      <c r="BH27" s="61">
        <f t="shared" ca="1" si="10"/>
        <v>45410</v>
      </c>
      <c r="BI27" s="61">
        <f t="shared" ca="1" si="10"/>
        <v>45411</v>
      </c>
      <c r="BJ27" s="61">
        <f t="shared" ca="1" si="10"/>
        <v>45412</v>
      </c>
      <c r="BK27" s="61">
        <f t="shared" ca="1" si="10"/>
        <v>45413</v>
      </c>
      <c r="BL27" s="61">
        <f t="shared" ca="1" si="10"/>
        <v>45414</v>
      </c>
      <c r="BM27" s="61">
        <f t="shared" ca="1" si="10"/>
        <v>45415</v>
      </c>
      <c r="BN27" s="61">
        <f t="shared" ca="1" si="10"/>
        <v>45416</v>
      </c>
      <c r="BO27" s="61">
        <f t="shared" ca="1" si="10"/>
        <v>45417</v>
      </c>
      <c r="BP27" s="61">
        <f t="shared" ca="1" si="10"/>
        <v>45418</v>
      </c>
      <c r="BQ27" s="61">
        <f t="shared" ca="1" si="10"/>
        <v>45419</v>
      </c>
      <c r="BR27" s="61">
        <f t="shared" ca="1" si="10"/>
        <v>45420</v>
      </c>
      <c r="BS27" s="61">
        <f t="shared" ca="1" si="10"/>
        <v>45421</v>
      </c>
      <c r="BT27" s="61">
        <f t="shared" ca="1" si="10"/>
        <v>45422</v>
      </c>
      <c r="BU27" s="61">
        <f t="shared" ca="1" si="10"/>
        <v>45423</v>
      </c>
      <c r="BV27" s="61">
        <f t="shared" ca="1" si="10"/>
        <v>45424</v>
      </c>
      <c r="BW27" s="61">
        <f t="shared" ca="1" si="10"/>
        <v>45425</v>
      </c>
      <c r="BX27" s="61">
        <f t="shared" ca="1" si="10"/>
        <v>45426</v>
      </c>
      <c r="BY27" s="61">
        <f t="shared" ca="1" si="10"/>
        <v>45427</v>
      </c>
      <c r="BZ27" s="61">
        <f t="shared" ca="1" si="10"/>
        <v>45428</v>
      </c>
      <c r="CA27" s="61">
        <f t="shared" ca="1" si="10"/>
        <v>45429</v>
      </c>
      <c r="CB27" s="61">
        <f t="shared" ca="1" si="10"/>
        <v>45430</v>
      </c>
      <c r="CC27" s="61">
        <f t="shared" ref="CC27:CU27" ca="1" si="11">+CB27+1</f>
        <v>45431</v>
      </c>
      <c r="CD27" s="61">
        <f t="shared" ca="1" si="11"/>
        <v>45432</v>
      </c>
      <c r="CE27" s="61">
        <f t="shared" ca="1" si="11"/>
        <v>45433</v>
      </c>
      <c r="CF27" s="61">
        <f t="shared" ca="1" si="11"/>
        <v>45434</v>
      </c>
      <c r="CG27" s="61">
        <f t="shared" ca="1" si="11"/>
        <v>45435</v>
      </c>
      <c r="CH27" s="61">
        <f t="shared" ca="1" si="11"/>
        <v>45436</v>
      </c>
      <c r="CI27" s="61">
        <f t="shared" ca="1" si="11"/>
        <v>45437</v>
      </c>
      <c r="CJ27" s="61">
        <f t="shared" ca="1" si="11"/>
        <v>45438</v>
      </c>
      <c r="CK27" s="61">
        <f t="shared" ca="1" si="11"/>
        <v>45439</v>
      </c>
      <c r="CL27" s="61">
        <f t="shared" ca="1" si="11"/>
        <v>45440</v>
      </c>
      <c r="CM27" s="61">
        <f t="shared" ca="1" si="11"/>
        <v>45441</v>
      </c>
      <c r="CN27" s="61">
        <f t="shared" ca="1" si="11"/>
        <v>45442</v>
      </c>
      <c r="CO27" s="61">
        <f t="shared" ca="1" si="11"/>
        <v>45443</v>
      </c>
      <c r="CP27" s="61">
        <f t="shared" ca="1" si="11"/>
        <v>45444</v>
      </c>
      <c r="CQ27" s="61">
        <f t="shared" ca="1" si="11"/>
        <v>45445</v>
      </c>
      <c r="CR27" s="61">
        <f t="shared" ca="1" si="11"/>
        <v>45446</v>
      </c>
      <c r="CS27" s="61">
        <f t="shared" ca="1" si="11"/>
        <v>45447</v>
      </c>
      <c r="CT27" s="61">
        <f t="shared" ca="1" si="11"/>
        <v>45448</v>
      </c>
      <c r="CU27" s="61">
        <f t="shared" ca="1" si="11"/>
        <v>45449</v>
      </c>
    </row>
    <row r="28" spans="1:125" s="41" customFormat="1" ht="15" customHeight="1" x14ac:dyDescent="0.25">
      <c r="A28" t="s">
        <v>267</v>
      </c>
      <c r="B28">
        <v>10</v>
      </c>
      <c r="C28"/>
      <c r="D28" t="s">
        <v>888</v>
      </c>
      <c r="E28" s="568" t="s">
        <v>887</v>
      </c>
      <c r="F28">
        <v>6</v>
      </c>
      <c r="G28" s="14">
        <v>35</v>
      </c>
      <c r="H28" s="14">
        <v>210</v>
      </c>
      <c r="I28" t="s">
        <v>3</v>
      </c>
      <c r="J28">
        <v>1</v>
      </c>
      <c r="K28" s="249"/>
      <c r="L28"/>
      <c r="M28" s="14"/>
      <c r="N28" s="300">
        <v>210</v>
      </c>
      <c r="O28" s="554"/>
      <c r="P28" s="36" t="str">
        <f ca="1">IFERROR(+IF(P$27=ProposalToGnatt[[#This Row],[Start Date]],Milestone_Marker,IF(AND(P$27&gt;ProposalToGnatt[[#This Row],[Start Date]],P$27&lt;ProposalToGnatt[[#This Row],[Start Date]]+ProposalToGnatt[[#This Row],[Days]]),$G$5,"")),"")</f>
        <v/>
      </c>
      <c r="Q28" s="36" t="str">
        <f ca="1">IFERROR(+IF(Q$27=ProposalToGnatt[[#This Row],[Start Date]],Milestone_Marker,IF(AND(Q$27&gt;ProposalToGnatt[[#This Row],[Start Date]],Q$27&lt;ProposalToGnatt[[#This Row],[Start Date]]+ProposalToGnatt[[#This Row],[Days]]),$G$5,"")),"")</f>
        <v/>
      </c>
      <c r="R28" s="36" t="str">
        <f ca="1">IFERROR(+IF(R$27=ProposalToGnatt[[#This Row],[Start Date]],Milestone_Marker,IF(AND(R$27&gt;ProposalToGnatt[[#This Row],[Start Date]],R$27&lt;ProposalToGnatt[[#This Row],[Start Date]]+ProposalToGnatt[[#This Row],[Days]]),$G$5,"")),"")</f>
        <v/>
      </c>
      <c r="S28" s="36" t="str">
        <f ca="1">IFERROR(+IF(S$27=ProposalToGnatt[[#This Row],[Start Date]],Milestone_Marker,IF(AND(S$27&gt;ProposalToGnatt[[#This Row],[Start Date]],S$27&lt;ProposalToGnatt[[#This Row],[Start Date]]+ProposalToGnatt[[#This Row],[Days]]),$G$5,"")),"")</f>
        <v/>
      </c>
      <c r="T28" s="36" t="str">
        <f ca="1">IFERROR(+IF(T$27=ProposalToGnatt[[#This Row],[Start Date]],Milestone_Marker,IF(AND(T$27&gt;ProposalToGnatt[[#This Row],[Start Date]],T$27&lt;ProposalToGnatt[[#This Row],[Start Date]]+ProposalToGnatt[[#This Row],[Days]]),$G$5,"")),"")</f>
        <v/>
      </c>
      <c r="U28" s="36" t="str">
        <f ca="1">IFERROR(+IF(U$27=ProposalToGnatt[[#This Row],[Start Date]],Milestone_Marker,IF(AND(U$27&gt;ProposalToGnatt[[#This Row],[Start Date]],U$27&lt;ProposalToGnatt[[#This Row],[Start Date]]+ProposalToGnatt[[#This Row],[Days]]),$G$5,"")),"")</f>
        <v/>
      </c>
      <c r="V28" s="36" t="str">
        <f ca="1">IFERROR(+IF(V$27=ProposalToGnatt[[#This Row],[Start Date]],Milestone_Marker,IF(AND(V$27&gt;ProposalToGnatt[[#This Row],[Start Date]],V$27&lt;ProposalToGnatt[[#This Row],[Start Date]]+ProposalToGnatt[[#This Row],[Days]]),$G$5,"")),"")</f>
        <v/>
      </c>
      <c r="W28" s="36" t="str">
        <f ca="1">IFERROR(+IF(W$27=ProposalToGnatt[[#This Row],[Start Date]],Milestone_Marker,IF(AND(W$27&gt;ProposalToGnatt[[#This Row],[Start Date]],W$27&lt;ProposalToGnatt[[#This Row],[Start Date]]+ProposalToGnatt[[#This Row],[Days]]),$G$5,"")),"")</f>
        <v/>
      </c>
      <c r="X28" s="36" t="str">
        <f ca="1">IFERROR(+IF(X$27=ProposalToGnatt[[#This Row],[Start Date]],Milestone_Marker,IF(AND(X$27&gt;ProposalToGnatt[[#This Row],[Start Date]],X$27&lt;ProposalToGnatt[[#This Row],[Start Date]]+ProposalToGnatt[[#This Row],[Days]]),$G$5,"")),"")</f>
        <v/>
      </c>
      <c r="Y28" s="36" t="str">
        <f ca="1">IFERROR(+IF(Y$27=ProposalToGnatt[[#This Row],[Start Date]],Milestone_Marker,IF(AND(Y$27&gt;ProposalToGnatt[[#This Row],[Start Date]],Y$27&lt;ProposalToGnatt[[#This Row],[Start Date]]+ProposalToGnatt[[#This Row],[Days]]),$G$5,"")),"")</f>
        <v/>
      </c>
      <c r="Z28" s="36" t="str">
        <f ca="1">IFERROR(+IF(Z$27=ProposalToGnatt[[#This Row],[Start Date]],Milestone_Marker,IF(AND(Z$27&gt;ProposalToGnatt[[#This Row],[Start Date]],Z$27&lt;ProposalToGnatt[[#This Row],[Start Date]]+ProposalToGnatt[[#This Row],[Days]]),$G$5,"")),"")</f>
        <v/>
      </c>
      <c r="AA28" s="36" t="str">
        <f ca="1">IFERROR(+IF(AA$27=ProposalToGnatt[[#This Row],[Start Date]],Milestone_Marker,IF(AND(AA$27&gt;ProposalToGnatt[[#This Row],[Start Date]],AA$27&lt;ProposalToGnatt[[#This Row],[Start Date]]+ProposalToGnatt[[#This Row],[Days]]),$G$5,"")),"")</f>
        <v/>
      </c>
      <c r="AB28" s="36" t="str">
        <f ca="1">IFERROR(+IF(AB$27=ProposalToGnatt[[#This Row],[Start Date]],Milestone_Marker,IF(AND(AB$27&gt;ProposalToGnatt[[#This Row],[Start Date]],AB$27&lt;ProposalToGnatt[[#This Row],[Start Date]]+ProposalToGnatt[[#This Row],[Days]]),$G$5,"")),"")</f>
        <v/>
      </c>
      <c r="AC28" s="36" t="str">
        <f ca="1">IFERROR(+IF(AC$27=ProposalToGnatt[[#This Row],[Start Date]],Milestone_Marker,IF(AND(AC$27&gt;ProposalToGnatt[[#This Row],[Start Date]],AC$27&lt;ProposalToGnatt[[#This Row],[Start Date]]+ProposalToGnatt[[#This Row],[Days]]),$G$5,"")),"")</f>
        <v/>
      </c>
      <c r="AD28" s="36" t="str">
        <f ca="1">IFERROR(+IF(AD$27=ProposalToGnatt[[#This Row],[Start Date]],Milestone_Marker,IF(AND(AD$27&gt;ProposalToGnatt[[#This Row],[Start Date]],AD$27&lt;ProposalToGnatt[[#This Row],[Start Date]]+ProposalToGnatt[[#This Row],[Days]]),$G$5,"")),"")</f>
        <v/>
      </c>
      <c r="AE28" s="36" t="str">
        <f ca="1">IFERROR(+IF(AE$27=ProposalToGnatt[[#This Row],[Start Date]],Milestone_Marker,IF(AND(AE$27&gt;ProposalToGnatt[[#This Row],[Start Date]],AE$27&lt;ProposalToGnatt[[#This Row],[Start Date]]+ProposalToGnatt[[#This Row],[Days]]),$G$5,"")),"")</f>
        <v/>
      </c>
      <c r="AF28" s="36" t="str">
        <f ca="1">IFERROR(+IF(AF$27=ProposalToGnatt[[#This Row],[Start Date]],Milestone_Marker,IF(AND(AF$27&gt;ProposalToGnatt[[#This Row],[Start Date]],AF$27&lt;ProposalToGnatt[[#This Row],[Start Date]]+ProposalToGnatt[[#This Row],[Days]]),$G$5,"")),"")</f>
        <v/>
      </c>
      <c r="AG28" s="36" t="str">
        <f ca="1">IFERROR(+IF(AG$27=ProposalToGnatt[[#This Row],[Start Date]],Milestone_Marker,IF(AND(AG$27&gt;ProposalToGnatt[[#This Row],[Start Date]],AG$27&lt;ProposalToGnatt[[#This Row],[Start Date]]+ProposalToGnatt[[#This Row],[Days]]),$G$5,"")),"")</f>
        <v/>
      </c>
      <c r="AH28" s="36" t="str">
        <f ca="1">IFERROR(+IF(AH$27=ProposalToGnatt[[#This Row],[Start Date]],Milestone_Marker,IF(AND(AH$27&gt;ProposalToGnatt[[#This Row],[Start Date]],AH$27&lt;ProposalToGnatt[[#This Row],[Start Date]]+ProposalToGnatt[[#This Row],[Days]]),$G$5,"")),"")</f>
        <v/>
      </c>
      <c r="AI28" s="36" t="str">
        <f ca="1">IFERROR(+IF(AI$27=ProposalToGnatt[[#This Row],[Start Date]],Milestone_Marker,IF(AND(AI$27&gt;ProposalToGnatt[[#This Row],[Start Date]],AI$27&lt;ProposalToGnatt[[#This Row],[Start Date]]+ProposalToGnatt[[#This Row],[Days]]),$G$5,"")),"")</f>
        <v/>
      </c>
      <c r="AJ28" s="36" t="str">
        <f ca="1">IFERROR(+IF(AJ$27=ProposalToGnatt[[#This Row],[Start Date]],Milestone_Marker,IF(AND(AJ$27&gt;ProposalToGnatt[[#This Row],[Start Date]],AJ$27&lt;ProposalToGnatt[[#This Row],[Start Date]]+ProposalToGnatt[[#This Row],[Days]]),$G$5,"")),"")</f>
        <v/>
      </c>
      <c r="AK28" s="36" t="str">
        <f ca="1">IFERROR(+IF(AK$27=ProposalToGnatt[[#This Row],[Start Date]],Milestone_Marker,IF(AND(AK$27&gt;ProposalToGnatt[[#This Row],[Start Date]],AK$27&lt;ProposalToGnatt[[#This Row],[Start Date]]+ProposalToGnatt[[#This Row],[Days]]),$G$5,"")),"")</f>
        <v/>
      </c>
      <c r="AL28" s="36" t="str">
        <f ca="1">IFERROR(+IF(AL$27=ProposalToGnatt[[#This Row],[Start Date]],Milestone_Marker,IF(AND(AL$27&gt;ProposalToGnatt[[#This Row],[Start Date]],AL$27&lt;ProposalToGnatt[[#This Row],[Start Date]]+ProposalToGnatt[[#This Row],[Days]]),$G$5,"")),"")</f>
        <v/>
      </c>
      <c r="AM28" s="36" t="str">
        <f ca="1">IFERROR(+IF(AM$27=ProposalToGnatt[[#This Row],[Start Date]],Milestone_Marker,IF(AND(AM$27&gt;ProposalToGnatt[[#This Row],[Start Date]],AM$27&lt;ProposalToGnatt[[#This Row],[Start Date]]+ProposalToGnatt[[#This Row],[Days]]),$G$5,"")),"")</f>
        <v/>
      </c>
      <c r="AN28" s="36" t="str">
        <f ca="1">IFERROR(+IF(AN$27=ProposalToGnatt[[#This Row],[Start Date]],Milestone_Marker,IF(AND(AN$27&gt;ProposalToGnatt[[#This Row],[Start Date]],AN$27&lt;ProposalToGnatt[[#This Row],[Start Date]]+ProposalToGnatt[[#This Row],[Days]]),$G$5,"")),"")</f>
        <v/>
      </c>
      <c r="AO28" s="36" t="str">
        <f ca="1">IFERROR(+IF(AO$27=ProposalToGnatt[[#This Row],[Start Date]],Milestone_Marker,IF(AND(AO$27&gt;ProposalToGnatt[[#This Row],[Start Date]],AO$27&lt;ProposalToGnatt[[#This Row],[Start Date]]+ProposalToGnatt[[#This Row],[Days]]),$G$5,"")),"")</f>
        <v/>
      </c>
      <c r="AP28" s="36" t="str">
        <f ca="1">IFERROR(+IF(AP$27=ProposalToGnatt[[#This Row],[Start Date]],Milestone_Marker,IF(AND(AP$27&gt;ProposalToGnatt[[#This Row],[Start Date]],AP$27&lt;ProposalToGnatt[[#This Row],[Start Date]]+ProposalToGnatt[[#This Row],[Days]]),$G$5,"")),"")</f>
        <v/>
      </c>
      <c r="AQ28" s="36" t="str">
        <f ca="1">IFERROR(+IF(AQ$27=ProposalToGnatt[[#This Row],[Start Date]],Milestone_Marker,IF(AND(AQ$27&gt;ProposalToGnatt[[#This Row],[Start Date]],AQ$27&lt;ProposalToGnatt[[#This Row],[Start Date]]+ProposalToGnatt[[#This Row],[Days]]),$G$5,"")),"")</f>
        <v/>
      </c>
      <c r="AR28" s="36" t="str">
        <f ca="1">IFERROR(+IF(AR$27=ProposalToGnatt[[#This Row],[Start Date]],Milestone_Marker,IF(AND(AR$27&gt;ProposalToGnatt[[#This Row],[Start Date]],AR$27&lt;ProposalToGnatt[[#This Row],[Start Date]]+ProposalToGnatt[[#This Row],[Days]]),$G$5,"")),"")</f>
        <v/>
      </c>
      <c r="AS28" s="36" t="str">
        <f ca="1">IFERROR(+IF(AS$27=ProposalToGnatt[[#This Row],[Start Date]],Milestone_Marker,IF(AND(AS$27&gt;ProposalToGnatt[[#This Row],[Start Date]],AS$27&lt;ProposalToGnatt[[#This Row],[Start Date]]+ProposalToGnatt[[#This Row],[Days]]),$G$5,"")),"")</f>
        <v/>
      </c>
      <c r="AT28" s="36" t="str">
        <f ca="1">IFERROR(+IF(AT$27=ProposalToGnatt[[#This Row],[Start Date]],Milestone_Marker,IF(AND(AT$27&gt;ProposalToGnatt[[#This Row],[Start Date]],AT$27&lt;ProposalToGnatt[[#This Row],[Start Date]]+ProposalToGnatt[[#This Row],[Days]]),$G$5,"")),"")</f>
        <v/>
      </c>
      <c r="AU28" s="36" t="str">
        <f ca="1">IFERROR(+IF(AU$27=ProposalToGnatt[[#This Row],[Start Date]],Milestone_Marker,IF(AND(AU$27&gt;ProposalToGnatt[[#This Row],[Start Date]],AU$27&lt;ProposalToGnatt[[#This Row],[Start Date]]+ProposalToGnatt[[#This Row],[Days]]),$G$5,"")),"")</f>
        <v/>
      </c>
      <c r="AV28" s="36" t="str">
        <f ca="1">IFERROR(+IF(AV$27=ProposalToGnatt[[#This Row],[Start Date]],Milestone_Marker,IF(AND(AV$27&gt;ProposalToGnatt[[#This Row],[Start Date]],AV$27&lt;ProposalToGnatt[[#This Row],[Start Date]]+ProposalToGnatt[[#This Row],[Days]]),$G$5,"")),"")</f>
        <v/>
      </c>
      <c r="AW28" s="36" t="str">
        <f ca="1">IFERROR(+IF(AW$27=ProposalToGnatt[[#This Row],[Start Date]],Milestone_Marker,IF(AND(AW$27&gt;ProposalToGnatt[[#This Row],[Start Date]],AW$27&lt;ProposalToGnatt[[#This Row],[Start Date]]+ProposalToGnatt[[#This Row],[Days]]),$G$5,"")),"")</f>
        <v/>
      </c>
      <c r="AX28" s="36" t="str">
        <f ca="1">IFERROR(+IF(AX$27=ProposalToGnatt[[#This Row],[Start Date]],Milestone_Marker,IF(AND(AX$27&gt;ProposalToGnatt[[#This Row],[Start Date]],AX$27&lt;ProposalToGnatt[[#This Row],[Start Date]]+ProposalToGnatt[[#This Row],[Days]]),$G$5,"")),"")</f>
        <v/>
      </c>
      <c r="AY28" s="36" t="str">
        <f ca="1">IFERROR(+IF(AY$27=ProposalToGnatt[[#This Row],[Start Date]],Milestone_Marker,IF(AND(AY$27&gt;ProposalToGnatt[[#This Row],[Start Date]],AY$27&lt;ProposalToGnatt[[#This Row],[Start Date]]+ProposalToGnatt[[#This Row],[Days]]),$G$5,"")),"")</f>
        <v/>
      </c>
      <c r="AZ28" s="36" t="str">
        <f ca="1">IFERROR(+IF(AZ$27=ProposalToGnatt[[#This Row],[Start Date]],Milestone_Marker,IF(AND(AZ$27&gt;ProposalToGnatt[[#This Row],[Start Date]],AZ$27&lt;ProposalToGnatt[[#This Row],[Start Date]]+ProposalToGnatt[[#This Row],[Days]]),$G$5,"")),"")</f>
        <v/>
      </c>
      <c r="BA28" s="36" t="str">
        <f ca="1">IFERROR(+IF(BA$27=ProposalToGnatt[[#This Row],[Start Date]],Milestone_Marker,IF(AND(BA$27&gt;ProposalToGnatt[[#This Row],[Start Date]],BA$27&lt;ProposalToGnatt[[#This Row],[Start Date]]+ProposalToGnatt[[#This Row],[Days]]),$G$5,"")),"")</f>
        <v/>
      </c>
      <c r="BB28" s="36" t="str">
        <f ca="1">IFERROR(+IF(BB$27=ProposalToGnatt[[#This Row],[Start Date]],Milestone_Marker,IF(AND(BB$27&gt;ProposalToGnatt[[#This Row],[Start Date]],BB$27&lt;ProposalToGnatt[[#This Row],[Start Date]]+ProposalToGnatt[[#This Row],[Days]]),$G$5,"")),"")</f>
        <v/>
      </c>
      <c r="BC28" s="36" t="str">
        <f ca="1">IFERROR(+IF(BC$27=ProposalToGnatt[[#This Row],[Start Date]],Milestone_Marker,IF(AND(BC$27&gt;ProposalToGnatt[[#This Row],[Start Date]],BC$27&lt;ProposalToGnatt[[#This Row],[Start Date]]+ProposalToGnatt[[#This Row],[Days]]),$G$5,"")),"")</f>
        <v/>
      </c>
      <c r="BD28" s="36" t="str">
        <f ca="1">IFERROR(+IF(BD$27=ProposalToGnatt[[#This Row],[Start Date]],Milestone_Marker,IF(AND(BD$27&gt;ProposalToGnatt[[#This Row],[Start Date]],BD$27&lt;ProposalToGnatt[[#This Row],[Start Date]]+ProposalToGnatt[[#This Row],[Days]]),$G$5,"")),"")</f>
        <v/>
      </c>
      <c r="BE28" s="36" t="str">
        <f ca="1">IFERROR(+IF(BE$27=ProposalToGnatt[[#This Row],[Start Date]],Milestone_Marker,IF(AND(BE$27&gt;ProposalToGnatt[[#This Row],[Start Date]],BE$27&lt;ProposalToGnatt[[#This Row],[Start Date]]+ProposalToGnatt[[#This Row],[Days]]),$G$5,"")),"")</f>
        <v/>
      </c>
      <c r="BF28" s="36" t="str">
        <f ca="1">IFERROR(+IF(BF$27=ProposalToGnatt[[#This Row],[Start Date]],Milestone_Marker,IF(AND(BF$27&gt;ProposalToGnatt[[#This Row],[Start Date]],BF$27&lt;ProposalToGnatt[[#This Row],[Start Date]]+ProposalToGnatt[[#This Row],[Days]]),$G$5,"")),"")</f>
        <v/>
      </c>
      <c r="BG28" s="36" t="str">
        <f ca="1">IFERROR(+IF(BG$27=ProposalToGnatt[[#This Row],[Start Date]],Milestone_Marker,IF(AND(BG$27&gt;ProposalToGnatt[[#This Row],[Start Date]],BG$27&lt;ProposalToGnatt[[#This Row],[Start Date]]+ProposalToGnatt[[#This Row],[Days]]),$G$5,"")),"")</f>
        <v/>
      </c>
      <c r="BH28" s="36" t="str">
        <f ca="1">IFERROR(+IF(BH$27=ProposalToGnatt[[#This Row],[Start Date]],Milestone_Marker,IF(AND(BH$27&gt;ProposalToGnatt[[#This Row],[Start Date]],BH$27&lt;ProposalToGnatt[[#This Row],[Start Date]]+ProposalToGnatt[[#This Row],[Days]]),$G$5,"")),"")</f>
        <v/>
      </c>
      <c r="BI28" s="36" t="str">
        <f ca="1">IFERROR(+IF(BI$27=ProposalToGnatt[[#This Row],[Start Date]],Milestone_Marker,IF(AND(BI$27&gt;ProposalToGnatt[[#This Row],[Start Date]],BI$27&lt;ProposalToGnatt[[#This Row],[Start Date]]+ProposalToGnatt[[#This Row],[Days]]),$G$5,"")),"")</f>
        <v/>
      </c>
      <c r="BJ28" s="36" t="str">
        <f ca="1">IFERROR(+IF(BJ$27=ProposalToGnatt[[#This Row],[Start Date]],Milestone_Marker,IF(AND(BJ$27&gt;ProposalToGnatt[[#This Row],[Start Date]],BJ$27&lt;ProposalToGnatt[[#This Row],[Start Date]]+ProposalToGnatt[[#This Row],[Days]]),$G$5,"")),"")</f>
        <v/>
      </c>
      <c r="BK28" s="36" t="str">
        <f ca="1">IFERROR(+IF(BK$27=ProposalToGnatt[[#This Row],[Start Date]],Milestone_Marker,IF(AND(BK$27&gt;ProposalToGnatt[[#This Row],[Start Date]],BK$27&lt;ProposalToGnatt[[#This Row],[Start Date]]+ProposalToGnatt[[#This Row],[Days]]),$G$5,"")),"")</f>
        <v/>
      </c>
      <c r="BL28" s="36" t="str">
        <f ca="1">IFERROR(+IF(BL$27=ProposalToGnatt[[#This Row],[Start Date]],Milestone_Marker,IF(AND(BL$27&gt;ProposalToGnatt[[#This Row],[Start Date]],BL$27&lt;ProposalToGnatt[[#This Row],[Start Date]]+ProposalToGnatt[[#This Row],[Days]]),$G$5,"")),"")</f>
        <v/>
      </c>
      <c r="BM28" s="36" t="str">
        <f ca="1">IFERROR(+IF(BM$27=ProposalToGnatt[[#This Row],[Start Date]],Milestone_Marker,IF(AND(BM$27&gt;ProposalToGnatt[[#This Row],[Start Date]],BM$27&lt;ProposalToGnatt[[#This Row],[Start Date]]+ProposalToGnatt[[#This Row],[Days]]),$G$5,"")),"")</f>
        <v/>
      </c>
      <c r="BN28" s="36" t="str">
        <f ca="1">IFERROR(+IF(BN$27=ProposalToGnatt[[#This Row],[Start Date]],Milestone_Marker,IF(AND(BN$27&gt;ProposalToGnatt[[#This Row],[Start Date]],BN$27&lt;ProposalToGnatt[[#This Row],[Start Date]]+ProposalToGnatt[[#This Row],[Days]]),$G$5,"")),"")</f>
        <v/>
      </c>
      <c r="BO28" s="36" t="str">
        <f ca="1">IFERROR(+IF(BO$27=ProposalToGnatt[[#This Row],[Start Date]],Milestone_Marker,IF(AND(BO$27&gt;ProposalToGnatt[[#This Row],[Start Date]],BO$27&lt;ProposalToGnatt[[#This Row],[Start Date]]+ProposalToGnatt[[#This Row],[Days]]),$G$5,"")),"")</f>
        <v/>
      </c>
      <c r="BP28" s="36" t="str">
        <f ca="1">IFERROR(+IF(BP$27=ProposalToGnatt[[#This Row],[Start Date]],Milestone_Marker,IF(AND(BP$27&gt;ProposalToGnatt[[#This Row],[Start Date]],BP$27&lt;ProposalToGnatt[[#This Row],[Start Date]]+ProposalToGnatt[[#This Row],[Days]]),$G$5,"")),"")</f>
        <v/>
      </c>
      <c r="BQ28" s="36" t="str">
        <f ca="1">IFERROR(+IF(BQ$27=ProposalToGnatt[[#This Row],[Start Date]],Milestone_Marker,IF(AND(BQ$27&gt;ProposalToGnatt[[#This Row],[Start Date]],BQ$27&lt;ProposalToGnatt[[#This Row],[Start Date]]+ProposalToGnatt[[#This Row],[Days]]),$G$5,"")),"")</f>
        <v/>
      </c>
      <c r="BR28" s="36" t="str">
        <f ca="1">IFERROR(+IF(BR$27=ProposalToGnatt[[#This Row],[Start Date]],Milestone_Marker,IF(AND(BR$27&gt;ProposalToGnatt[[#This Row],[Start Date]],BR$27&lt;ProposalToGnatt[[#This Row],[Start Date]]+ProposalToGnatt[[#This Row],[Days]]),$G$5,"")),"")</f>
        <v/>
      </c>
      <c r="BS28" s="36" t="str">
        <f ca="1">IFERROR(+IF(BS$27=ProposalToGnatt[[#This Row],[Start Date]],Milestone_Marker,IF(AND(BS$27&gt;ProposalToGnatt[[#This Row],[Start Date]],BS$27&lt;ProposalToGnatt[[#This Row],[Start Date]]+ProposalToGnatt[[#This Row],[Days]]),$G$5,"")),"")</f>
        <v/>
      </c>
      <c r="BT28" s="36" t="str">
        <f ca="1">IFERROR(+IF(BT$27=ProposalToGnatt[[#This Row],[Start Date]],Milestone_Marker,IF(AND(BT$27&gt;ProposalToGnatt[[#This Row],[Start Date]],BT$27&lt;ProposalToGnatt[[#This Row],[Start Date]]+ProposalToGnatt[[#This Row],[Days]]),$G$5,"")),"")</f>
        <v/>
      </c>
      <c r="BU28" s="36" t="str">
        <f ca="1">IFERROR(+IF(BU$27=ProposalToGnatt[[#This Row],[Start Date]],Milestone_Marker,IF(AND(BU$27&gt;ProposalToGnatt[[#This Row],[Start Date]],BU$27&lt;ProposalToGnatt[[#This Row],[Start Date]]+ProposalToGnatt[[#This Row],[Days]]),$G$5,"")),"")</f>
        <v/>
      </c>
      <c r="BV28" s="36" t="str">
        <f ca="1">IFERROR(+IF(BV$27=ProposalToGnatt[[#This Row],[Start Date]],Milestone_Marker,IF(AND(BV$27&gt;ProposalToGnatt[[#This Row],[Start Date]],BV$27&lt;ProposalToGnatt[[#This Row],[Start Date]]+ProposalToGnatt[[#This Row],[Days]]),$G$5,"")),"")</f>
        <v/>
      </c>
      <c r="BW28" s="36" t="str">
        <f ca="1">IFERROR(+IF(BW$27=ProposalToGnatt[[#This Row],[Start Date]],Milestone_Marker,IF(AND(BW$27&gt;ProposalToGnatt[[#This Row],[Start Date]],BW$27&lt;ProposalToGnatt[[#This Row],[Start Date]]+ProposalToGnatt[[#This Row],[Days]]),$G$5,"")),"")</f>
        <v/>
      </c>
      <c r="BX28" s="36" t="str">
        <f ca="1">IFERROR(+IF(BX$27=ProposalToGnatt[[#This Row],[Start Date]],Milestone_Marker,IF(AND(BX$27&gt;ProposalToGnatt[[#This Row],[Start Date]],BX$27&lt;ProposalToGnatt[[#This Row],[Start Date]]+ProposalToGnatt[[#This Row],[Days]]),$G$5,"")),"")</f>
        <v/>
      </c>
      <c r="BY28" s="36" t="str">
        <f ca="1">IFERROR(+IF(BY$27=ProposalToGnatt[[#This Row],[Start Date]],Milestone_Marker,IF(AND(BY$27&gt;ProposalToGnatt[[#This Row],[Start Date]],BY$27&lt;ProposalToGnatt[[#This Row],[Start Date]]+ProposalToGnatt[[#This Row],[Days]]),$G$5,"")),"")</f>
        <v/>
      </c>
      <c r="BZ28" s="36" t="str">
        <f ca="1">IFERROR(+IF(BZ$27=ProposalToGnatt[[#This Row],[Start Date]],Milestone_Marker,IF(AND(BZ$27&gt;ProposalToGnatt[[#This Row],[Start Date]],BZ$27&lt;ProposalToGnatt[[#This Row],[Start Date]]+ProposalToGnatt[[#This Row],[Days]]),$G$5,"")),"")</f>
        <v/>
      </c>
      <c r="CA28" s="36" t="str">
        <f ca="1">IFERROR(+IF(CA$27=ProposalToGnatt[[#This Row],[Start Date]],Milestone_Marker,IF(AND(CA$27&gt;ProposalToGnatt[[#This Row],[Start Date]],CA$27&lt;ProposalToGnatt[[#This Row],[Start Date]]+ProposalToGnatt[[#This Row],[Days]]),$G$5,"")),"")</f>
        <v/>
      </c>
      <c r="CB28" s="36" t="str">
        <f ca="1">IFERROR(+IF(CB$27=ProposalToGnatt[[#This Row],[Start Date]],Milestone_Marker,IF(AND(CB$27&gt;ProposalToGnatt[[#This Row],[Start Date]],CB$27&lt;ProposalToGnatt[[#This Row],[Start Date]]+ProposalToGnatt[[#This Row],[Days]]),$G$5,"")),"")</f>
        <v/>
      </c>
      <c r="CC28" s="36" t="str">
        <f ca="1">IFERROR(+IF(CC$27=ProposalToGnatt[[#This Row],[Start Date]],Milestone_Marker,IF(AND(CC$27&gt;ProposalToGnatt[[#This Row],[Start Date]],CC$27&lt;ProposalToGnatt[[#This Row],[Start Date]]+ProposalToGnatt[[#This Row],[Days]]),$G$5,"")),"")</f>
        <v/>
      </c>
      <c r="CD28" s="36" t="str">
        <f ca="1">IFERROR(+IF(CD$27=ProposalToGnatt[[#This Row],[Start Date]],Milestone_Marker,IF(AND(CD$27&gt;ProposalToGnatt[[#This Row],[Start Date]],CD$27&lt;ProposalToGnatt[[#This Row],[Start Date]]+ProposalToGnatt[[#This Row],[Days]]),$G$5,"")),"")</f>
        <v/>
      </c>
      <c r="CE28" s="36" t="str">
        <f ca="1">IFERROR(+IF(CE$27=ProposalToGnatt[[#This Row],[Start Date]],Milestone_Marker,IF(AND(CE$27&gt;ProposalToGnatt[[#This Row],[Start Date]],CE$27&lt;ProposalToGnatt[[#This Row],[Start Date]]+ProposalToGnatt[[#This Row],[Days]]),$G$5,"")),"")</f>
        <v/>
      </c>
      <c r="CF28" s="36" t="str">
        <f ca="1">IFERROR(+IF(CF$27=ProposalToGnatt[[#This Row],[Start Date]],Milestone_Marker,IF(AND(CF$27&gt;ProposalToGnatt[[#This Row],[Start Date]],CF$27&lt;ProposalToGnatt[[#This Row],[Start Date]]+ProposalToGnatt[[#This Row],[Days]]),$G$5,"")),"")</f>
        <v/>
      </c>
      <c r="CG28" s="36" t="str">
        <f ca="1">IFERROR(+IF(CG$27=ProposalToGnatt[[#This Row],[Start Date]],Milestone_Marker,IF(AND(CG$27&gt;ProposalToGnatt[[#This Row],[Start Date]],CG$27&lt;ProposalToGnatt[[#This Row],[Start Date]]+ProposalToGnatt[[#This Row],[Days]]),$G$5,"")),"")</f>
        <v/>
      </c>
      <c r="CH28" s="36" t="str">
        <f ca="1">IFERROR(+IF(CH$27=ProposalToGnatt[[#This Row],[Start Date]],Milestone_Marker,IF(AND(CH$27&gt;ProposalToGnatt[[#This Row],[Start Date]],CH$27&lt;ProposalToGnatt[[#This Row],[Start Date]]+ProposalToGnatt[[#This Row],[Days]]),$G$5,"")),"")</f>
        <v/>
      </c>
      <c r="CI28" s="36" t="str">
        <f ca="1">IFERROR(+IF(CI$27=ProposalToGnatt[[#This Row],[Start Date]],Milestone_Marker,IF(AND(CI$27&gt;ProposalToGnatt[[#This Row],[Start Date]],CI$27&lt;ProposalToGnatt[[#This Row],[Start Date]]+ProposalToGnatt[[#This Row],[Days]]),$G$5,"")),"")</f>
        <v/>
      </c>
      <c r="CJ28" s="36" t="str">
        <f ca="1">IFERROR(+IF(CJ$27=ProposalToGnatt[[#This Row],[Start Date]],Milestone_Marker,IF(AND(CJ$27&gt;ProposalToGnatt[[#This Row],[Start Date]],CJ$27&lt;ProposalToGnatt[[#This Row],[Start Date]]+ProposalToGnatt[[#This Row],[Days]]),$G$5,"")),"")</f>
        <v/>
      </c>
      <c r="CK28" s="36" t="str">
        <f ca="1">IFERROR(+IF(CK$27=ProposalToGnatt[[#This Row],[Start Date]],Milestone_Marker,IF(AND(CK$27&gt;ProposalToGnatt[[#This Row],[Start Date]],CK$27&lt;ProposalToGnatt[[#This Row],[Start Date]]+ProposalToGnatt[[#This Row],[Days]]),$G$5,"")),"")</f>
        <v/>
      </c>
      <c r="CL28" s="36" t="str">
        <f ca="1">IFERROR(+IF(CL$27=ProposalToGnatt[[#This Row],[Start Date]],Milestone_Marker,IF(AND(CL$27&gt;ProposalToGnatt[[#This Row],[Start Date]],CL$27&lt;ProposalToGnatt[[#This Row],[Start Date]]+ProposalToGnatt[[#This Row],[Days]]),$G$5,"")),"")</f>
        <v/>
      </c>
      <c r="CM28" s="36" t="str">
        <f ca="1">IFERROR(+IF(CM$27=ProposalToGnatt[[#This Row],[Start Date]],Milestone_Marker,IF(AND(CM$27&gt;ProposalToGnatt[[#This Row],[Start Date]],CM$27&lt;ProposalToGnatt[[#This Row],[Start Date]]+ProposalToGnatt[[#This Row],[Days]]),$G$5,"")),"")</f>
        <v/>
      </c>
      <c r="CN28" s="36" t="str">
        <f ca="1">IFERROR(+IF(CN$27=ProposalToGnatt[[#This Row],[Start Date]],Milestone_Marker,IF(AND(CN$27&gt;ProposalToGnatt[[#This Row],[Start Date]],CN$27&lt;ProposalToGnatt[[#This Row],[Start Date]]+ProposalToGnatt[[#This Row],[Days]]),$G$5,"")),"")</f>
        <v/>
      </c>
      <c r="CO28" s="36" t="str">
        <f ca="1">IFERROR(+IF(CO$27=ProposalToGnatt[[#This Row],[Start Date]],Milestone_Marker,IF(AND(CO$27&gt;ProposalToGnatt[[#This Row],[Start Date]],CO$27&lt;ProposalToGnatt[[#This Row],[Start Date]]+ProposalToGnatt[[#This Row],[Days]]),$G$5,"")),"")</f>
        <v/>
      </c>
      <c r="CP28" s="36" t="str">
        <f ca="1">IFERROR(+IF(CP$27=ProposalToGnatt[[#This Row],[Start Date]],Milestone_Marker,IF(AND(CP$27&gt;ProposalToGnatt[[#This Row],[Start Date]],CP$27&lt;ProposalToGnatt[[#This Row],[Start Date]]+ProposalToGnatt[[#This Row],[Days]]),$G$5,"")),"")</f>
        <v/>
      </c>
      <c r="CQ28" s="36" t="str">
        <f ca="1">IFERROR(+IF(CQ$27=ProposalToGnatt[[#This Row],[Start Date]],Milestone_Marker,IF(AND(CQ$27&gt;ProposalToGnatt[[#This Row],[Start Date]],CQ$27&lt;ProposalToGnatt[[#This Row],[Start Date]]+ProposalToGnatt[[#This Row],[Days]]),$G$5,"")),"")</f>
        <v/>
      </c>
      <c r="CR28" s="36" t="str">
        <f ca="1">IFERROR(+IF(CR$27=ProposalToGnatt[[#This Row],[Start Date]],Milestone_Marker,IF(AND(CR$27&gt;ProposalToGnatt[[#This Row],[Start Date]],CR$27&lt;ProposalToGnatt[[#This Row],[Start Date]]+ProposalToGnatt[[#This Row],[Days]]),$G$5,"")),"")</f>
        <v/>
      </c>
      <c r="CS28" s="36" t="str">
        <f ca="1">IFERROR(+IF(CS$27=ProposalToGnatt[[#This Row],[Start Date]],Milestone_Marker,IF(AND(CS$27&gt;ProposalToGnatt[[#This Row],[Start Date]],CS$27&lt;ProposalToGnatt[[#This Row],[Start Date]]+ProposalToGnatt[[#This Row],[Days]]),$G$5,"")),"")</f>
        <v/>
      </c>
      <c r="CT28" s="36" t="str">
        <f ca="1">IFERROR(+IF(CT$27=ProposalToGnatt[[#This Row],[Start Date]],Milestone_Marker,IF(AND(CT$27&gt;ProposalToGnatt[[#This Row],[Start Date]],CT$27&lt;ProposalToGnatt[[#This Row],[Start Date]]+ProposalToGnatt[[#This Row],[Days]]),$G$5,"")),"")</f>
        <v/>
      </c>
      <c r="CU28" s="36" t="str">
        <f ca="1">IFERROR(+IF(CU$27=ProposalToGnatt[[#This Row],[Start Date]],Milestone_Marker,IF(AND(CU$27&gt;ProposalToGnatt[[#This Row],[Start Date]],CU$27&lt;ProposalToGnatt[[#This Row],[Start Date]]+ProposalToGnatt[[#This Row],[Days]]),$G$5,"")),"")</f>
        <v/>
      </c>
      <c r="CV28" s="36"/>
      <c r="CW28" s="36"/>
      <c r="CX28" s="36"/>
      <c r="CY28" s="36"/>
      <c r="CZ28" s="36"/>
      <c r="DA28" s="36"/>
      <c r="DB28" s="36"/>
      <c r="DC28" s="36"/>
      <c r="DD28" s="36"/>
      <c r="DE28" s="36"/>
      <c r="DF28" s="36"/>
      <c r="DG28" s="36"/>
      <c r="DH28" s="36"/>
      <c r="DI28" s="36"/>
      <c r="DJ28" s="36"/>
      <c r="DK28" s="36"/>
      <c r="DL28" s="36"/>
      <c r="DM28" s="36"/>
      <c r="DN28" s="36"/>
      <c r="DO28" s="36"/>
      <c r="DP28" s="36"/>
      <c r="DQ28" s="36"/>
      <c r="DR28" s="36"/>
      <c r="DS28" s="36"/>
      <c r="DT28" s="36"/>
      <c r="DU28" s="36"/>
    </row>
    <row r="29" spans="1:125" s="41" customFormat="1" ht="20.100000000000001" customHeight="1" x14ac:dyDescent="0.25">
      <c r="A29" t="s">
        <v>267</v>
      </c>
      <c r="B29">
        <v>11</v>
      </c>
      <c r="C29"/>
      <c r="D29" t="s">
        <v>889</v>
      </c>
      <c r="E29" s="568" t="s">
        <v>890</v>
      </c>
      <c r="F29">
        <v>7</v>
      </c>
      <c r="G29" s="14">
        <v>10</v>
      </c>
      <c r="H29" s="14">
        <v>70</v>
      </c>
      <c r="I29" t="s">
        <v>3</v>
      </c>
      <c r="J29">
        <v>1</v>
      </c>
      <c r="K29" s="249"/>
      <c r="L29"/>
      <c r="M29" s="14"/>
      <c r="N29" s="300">
        <v>70</v>
      </c>
      <c r="O29" s="554"/>
      <c r="P29" s="36" t="str">
        <f ca="1">IFERROR(+IF(P$27=ProposalToGnatt[[#This Row],[Start Date]],Milestone_Marker,IF(AND(P$27&gt;ProposalToGnatt[[#This Row],[Start Date]],P$27&lt;ProposalToGnatt[[#This Row],[Start Date]]+ProposalToGnatt[[#This Row],[Days]]),$G$5,"")),"")</f>
        <v/>
      </c>
      <c r="Q29" s="36" t="str">
        <f ca="1">IFERROR(+IF(Q$27=ProposalToGnatt[[#This Row],[Start Date]],Milestone_Marker,IF(AND(Q$27&gt;ProposalToGnatt[[#This Row],[Start Date]],Q$27&lt;ProposalToGnatt[[#This Row],[Start Date]]+ProposalToGnatt[[#This Row],[Days]]),$G$5,"")),"")</f>
        <v/>
      </c>
      <c r="R29" s="36" t="str">
        <f ca="1">IFERROR(+IF(R$27=ProposalToGnatt[[#This Row],[Start Date]],Milestone_Marker,IF(AND(R$27&gt;ProposalToGnatt[[#This Row],[Start Date]],R$27&lt;ProposalToGnatt[[#This Row],[Start Date]]+ProposalToGnatt[[#This Row],[Days]]),$G$5,"")),"")</f>
        <v/>
      </c>
      <c r="S29" s="36" t="str">
        <f ca="1">IFERROR(+IF(S$27=ProposalToGnatt[[#This Row],[Start Date]],Milestone_Marker,IF(AND(S$27&gt;ProposalToGnatt[[#This Row],[Start Date]],S$27&lt;ProposalToGnatt[[#This Row],[Start Date]]+ProposalToGnatt[[#This Row],[Days]]),$G$5,"")),"")</f>
        <v/>
      </c>
      <c r="T29" s="36" t="str">
        <f ca="1">IFERROR(+IF(T$27=ProposalToGnatt[[#This Row],[Start Date]],Milestone_Marker,IF(AND(T$27&gt;ProposalToGnatt[[#This Row],[Start Date]],T$27&lt;ProposalToGnatt[[#This Row],[Start Date]]+ProposalToGnatt[[#This Row],[Days]]),$G$5,"")),"")</f>
        <v/>
      </c>
      <c r="U29" s="36" t="str">
        <f ca="1">IFERROR(+IF(U$27=ProposalToGnatt[[#This Row],[Start Date]],Milestone_Marker,IF(AND(U$27&gt;ProposalToGnatt[[#This Row],[Start Date]],U$27&lt;ProposalToGnatt[[#This Row],[Start Date]]+ProposalToGnatt[[#This Row],[Days]]),$G$5,"")),"")</f>
        <v/>
      </c>
      <c r="V29" s="36" t="str">
        <f ca="1">IFERROR(+IF(V$27=ProposalToGnatt[[#This Row],[Start Date]],Milestone_Marker,IF(AND(V$27&gt;ProposalToGnatt[[#This Row],[Start Date]],V$27&lt;ProposalToGnatt[[#This Row],[Start Date]]+ProposalToGnatt[[#This Row],[Days]]),$G$5,"")),"")</f>
        <v/>
      </c>
      <c r="W29" s="36" t="str">
        <f ca="1">IFERROR(+IF(W$27=ProposalToGnatt[[#This Row],[Start Date]],Milestone_Marker,IF(AND(W$27&gt;ProposalToGnatt[[#This Row],[Start Date]],W$27&lt;ProposalToGnatt[[#This Row],[Start Date]]+ProposalToGnatt[[#This Row],[Days]]),$G$5,"")),"")</f>
        <v/>
      </c>
      <c r="X29" s="36" t="str">
        <f ca="1">IFERROR(+IF(X$27=ProposalToGnatt[[#This Row],[Start Date]],Milestone_Marker,IF(AND(X$27&gt;ProposalToGnatt[[#This Row],[Start Date]],X$27&lt;ProposalToGnatt[[#This Row],[Start Date]]+ProposalToGnatt[[#This Row],[Days]]),$G$5,"")),"")</f>
        <v/>
      </c>
      <c r="Y29" s="36" t="str">
        <f ca="1">IFERROR(+IF(Y$27=ProposalToGnatt[[#This Row],[Start Date]],Milestone_Marker,IF(AND(Y$27&gt;ProposalToGnatt[[#This Row],[Start Date]],Y$27&lt;ProposalToGnatt[[#This Row],[Start Date]]+ProposalToGnatt[[#This Row],[Days]]),$G$5,"")),"")</f>
        <v/>
      </c>
      <c r="Z29" s="36" t="str">
        <f ca="1">IFERROR(+IF(Z$27=ProposalToGnatt[[#This Row],[Start Date]],Milestone_Marker,IF(AND(Z$27&gt;ProposalToGnatt[[#This Row],[Start Date]],Z$27&lt;ProposalToGnatt[[#This Row],[Start Date]]+ProposalToGnatt[[#This Row],[Days]]),$G$5,"")),"")</f>
        <v/>
      </c>
      <c r="AA29" s="36" t="str">
        <f ca="1">IFERROR(+IF(AA$27=ProposalToGnatt[[#This Row],[Start Date]],Milestone_Marker,IF(AND(AA$27&gt;ProposalToGnatt[[#This Row],[Start Date]],AA$27&lt;ProposalToGnatt[[#This Row],[Start Date]]+ProposalToGnatt[[#This Row],[Days]]),$G$5,"")),"")</f>
        <v/>
      </c>
      <c r="AB29" s="36" t="str">
        <f ca="1">IFERROR(+IF(AB$27=ProposalToGnatt[[#This Row],[Start Date]],Milestone_Marker,IF(AND(AB$27&gt;ProposalToGnatt[[#This Row],[Start Date]],AB$27&lt;ProposalToGnatt[[#This Row],[Start Date]]+ProposalToGnatt[[#This Row],[Days]]),$G$5,"")),"")</f>
        <v/>
      </c>
      <c r="AC29" s="36" t="str">
        <f ca="1">IFERROR(+IF(AC$27=ProposalToGnatt[[#This Row],[Start Date]],Milestone_Marker,IF(AND(AC$27&gt;ProposalToGnatt[[#This Row],[Start Date]],AC$27&lt;ProposalToGnatt[[#This Row],[Start Date]]+ProposalToGnatt[[#This Row],[Days]]),$G$5,"")),"")</f>
        <v/>
      </c>
      <c r="AD29" s="36" t="str">
        <f ca="1">IFERROR(+IF(AD$27=ProposalToGnatt[[#This Row],[Start Date]],Milestone_Marker,IF(AND(AD$27&gt;ProposalToGnatt[[#This Row],[Start Date]],AD$27&lt;ProposalToGnatt[[#This Row],[Start Date]]+ProposalToGnatt[[#This Row],[Days]]),$G$5,"")),"")</f>
        <v/>
      </c>
      <c r="AE29" s="36" t="str">
        <f ca="1">IFERROR(+IF(AE$27=ProposalToGnatt[[#This Row],[Start Date]],Milestone_Marker,IF(AND(AE$27&gt;ProposalToGnatt[[#This Row],[Start Date]],AE$27&lt;ProposalToGnatt[[#This Row],[Start Date]]+ProposalToGnatt[[#This Row],[Days]]),$G$5,"")),"")</f>
        <v/>
      </c>
      <c r="AF29" s="36" t="str">
        <f ca="1">IFERROR(+IF(AF$27=ProposalToGnatt[[#This Row],[Start Date]],Milestone_Marker,IF(AND(AF$27&gt;ProposalToGnatt[[#This Row],[Start Date]],AF$27&lt;ProposalToGnatt[[#This Row],[Start Date]]+ProposalToGnatt[[#This Row],[Days]]),$G$5,"")),"")</f>
        <v/>
      </c>
      <c r="AG29" s="36" t="str">
        <f ca="1">IFERROR(+IF(AG$27=ProposalToGnatt[[#This Row],[Start Date]],Milestone_Marker,IF(AND(AG$27&gt;ProposalToGnatt[[#This Row],[Start Date]],AG$27&lt;ProposalToGnatt[[#This Row],[Start Date]]+ProposalToGnatt[[#This Row],[Days]]),$G$5,"")),"")</f>
        <v/>
      </c>
      <c r="AH29" s="36" t="str">
        <f ca="1">IFERROR(+IF(AH$27=ProposalToGnatt[[#This Row],[Start Date]],Milestone_Marker,IF(AND(AH$27&gt;ProposalToGnatt[[#This Row],[Start Date]],AH$27&lt;ProposalToGnatt[[#This Row],[Start Date]]+ProposalToGnatt[[#This Row],[Days]]),$G$5,"")),"")</f>
        <v/>
      </c>
      <c r="AI29" s="36" t="str">
        <f ca="1">IFERROR(+IF(AI$27=ProposalToGnatt[[#This Row],[Start Date]],Milestone_Marker,IF(AND(AI$27&gt;ProposalToGnatt[[#This Row],[Start Date]],AI$27&lt;ProposalToGnatt[[#This Row],[Start Date]]+ProposalToGnatt[[#This Row],[Days]]),$G$5,"")),"")</f>
        <v/>
      </c>
      <c r="AJ29" s="36" t="str">
        <f ca="1">IFERROR(+IF(AJ$27=ProposalToGnatt[[#This Row],[Start Date]],Milestone_Marker,IF(AND(AJ$27&gt;ProposalToGnatt[[#This Row],[Start Date]],AJ$27&lt;ProposalToGnatt[[#This Row],[Start Date]]+ProposalToGnatt[[#This Row],[Days]]),$G$5,"")),"")</f>
        <v/>
      </c>
      <c r="AK29" s="36" t="str">
        <f ca="1">IFERROR(+IF(AK$27=ProposalToGnatt[[#This Row],[Start Date]],Milestone_Marker,IF(AND(AK$27&gt;ProposalToGnatt[[#This Row],[Start Date]],AK$27&lt;ProposalToGnatt[[#This Row],[Start Date]]+ProposalToGnatt[[#This Row],[Days]]),$G$5,"")),"")</f>
        <v/>
      </c>
      <c r="AL29" s="36" t="str">
        <f ca="1">IFERROR(+IF(AL$27=ProposalToGnatt[[#This Row],[Start Date]],Milestone_Marker,IF(AND(AL$27&gt;ProposalToGnatt[[#This Row],[Start Date]],AL$27&lt;ProposalToGnatt[[#This Row],[Start Date]]+ProposalToGnatt[[#This Row],[Days]]),$G$5,"")),"")</f>
        <v/>
      </c>
      <c r="AM29" s="36" t="str">
        <f ca="1">IFERROR(+IF(AM$27=ProposalToGnatt[[#This Row],[Start Date]],Milestone_Marker,IF(AND(AM$27&gt;ProposalToGnatt[[#This Row],[Start Date]],AM$27&lt;ProposalToGnatt[[#This Row],[Start Date]]+ProposalToGnatt[[#This Row],[Days]]),$G$5,"")),"")</f>
        <v/>
      </c>
      <c r="AN29" s="36" t="str">
        <f ca="1">IFERROR(+IF(AN$27=ProposalToGnatt[[#This Row],[Start Date]],Milestone_Marker,IF(AND(AN$27&gt;ProposalToGnatt[[#This Row],[Start Date]],AN$27&lt;ProposalToGnatt[[#This Row],[Start Date]]+ProposalToGnatt[[#This Row],[Days]]),$G$5,"")),"")</f>
        <v/>
      </c>
      <c r="AO29" s="36" t="str">
        <f ca="1">IFERROR(+IF(AO$27=ProposalToGnatt[[#This Row],[Start Date]],Milestone_Marker,IF(AND(AO$27&gt;ProposalToGnatt[[#This Row],[Start Date]],AO$27&lt;ProposalToGnatt[[#This Row],[Start Date]]+ProposalToGnatt[[#This Row],[Days]]),$G$5,"")),"")</f>
        <v/>
      </c>
      <c r="AP29" s="36" t="str">
        <f ca="1">IFERROR(+IF(AP$27=ProposalToGnatt[[#This Row],[Start Date]],Milestone_Marker,IF(AND(AP$27&gt;ProposalToGnatt[[#This Row],[Start Date]],AP$27&lt;ProposalToGnatt[[#This Row],[Start Date]]+ProposalToGnatt[[#This Row],[Days]]),$G$5,"")),"")</f>
        <v/>
      </c>
      <c r="AQ29" s="36" t="str">
        <f ca="1">IFERROR(+IF(AQ$27=ProposalToGnatt[[#This Row],[Start Date]],Milestone_Marker,IF(AND(AQ$27&gt;ProposalToGnatt[[#This Row],[Start Date]],AQ$27&lt;ProposalToGnatt[[#This Row],[Start Date]]+ProposalToGnatt[[#This Row],[Days]]),$G$5,"")),"")</f>
        <v/>
      </c>
      <c r="AR29" s="36" t="str">
        <f ca="1">IFERROR(+IF(AR$27=ProposalToGnatt[[#This Row],[Start Date]],Milestone_Marker,IF(AND(AR$27&gt;ProposalToGnatt[[#This Row],[Start Date]],AR$27&lt;ProposalToGnatt[[#This Row],[Start Date]]+ProposalToGnatt[[#This Row],[Days]]),$G$5,"")),"")</f>
        <v/>
      </c>
      <c r="AS29" s="36" t="str">
        <f ca="1">IFERROR(+IF(AS$27=ProposalToGnatt[[#This Row],[Start Date]],Milestone_Marker,IF(AND(AS$27&gt;ProposalToGnatt[[#This Row],[Start Date]],AS$27&lt;ProposalToGnatt[[#This Row],[Start Date]]+ProposalToGnatt[[#This Row],[Days]]),$G$5,"")),"")</f>
        <v/>
      </c>
      <c r="AT29" s="36" t="str">
        <f ca="1">IFERROR(+IF(AT$27=ProposalToGnatt[[#This Row],[Start Date]],Milestone_Marker,IF(AND(AT$27&gt;ProposalToGnatt[[#This Row],[Start Date]],AT$27&lt;ProposalToGnatt[[#This Row],[Start Date]]+ProposalToGnatt[[#This Row],[Days]]),$G$5,"")),"")</f>
        <v/>
      </c>
      <c r="AU29" s="36" t="str">
        <f ca="1">IFERROR(+IF(AU$27=ProposalToGnatt[[#This Row],[Start Date]],Milestone_Marker,IF(AND(AU$27&gt;ProposalToGnatt[[#This Row],[Start Date]],AU$27&lt;ProposalToGnatt[[#This Row],[Start Date]]+ProposalToGnatt[[#This Row],[Days]]),$G$5,"")),"")</f>
        <v/>
      </c>
      <c r="AV29" s="36" t="str">
        <f ca="1">IFERROR(+IF(AV$27=ProposalToGnatt[[#This Row],[Start Date]],Milestone_Marker,IF(AND(AV$27&gt;ProposalToGnatt[[#This Row],[Start Date]],AV$27&lt;ProposalToGnatt[[#This Row],[Start Date]]+ProposalToGnatt[[#This Row],[Days]]),$G$5,"")),"")</f>
        <v/>
      </c>
      <c r="AW29" s="36" t="str">
        <f ca="1">IFERROR(+IF(AW$27=ProposalToGnatt[[#This Row],[Start Date]],Milestone_Marker,IF(AND(AW$27&gt;ProposalToGnatt[[#This Row],[Start Date]],AW$27&lt;ProposalToGnatt[[#This Row],[Start Date]]+ProposalToGnatt[[#This Row],[Days]]),$G$5,"")),"")</f>
        <v/>
      </c>
      <c r="AX29" s="36" t="str">
        <f ca="1">IFERROR(+IF(AX$27=ProposalToGnatt[[#This Row],[Start Date]],Milestone_Marker,IF(AND(AX$27&gt;ProposalToGnatt[[#This Row],[Start Date]],AX$27&lt;ProposalToGnatt[[#This Row],[Start Date]]+ProposalToGnatt[[#This Row],[Days]]),$G$5,"")),"")</f>
        <v/>
      </c>
      <c r="AY29" s="36" t="str">
        <f ca="1">IFERROR(+IF(AY$27=ProposalToGnatt[[#This Row],[Start Date]],Milestone_Marker,IF(AND(AY$27&gt;ProposalToGnatt[[#This Row],[Start Date]],AY$27&lt;ProposalToGnatt[[#This Row],[Start Date]]+ProposalToGnatt[[#This Row],[Days]]),$G$5,"")),"")</f>
        <v/>
      </c>
      <c r="AZ29" s="36" t="str">
        <f ca="1">IFERROR(+IF(AZ$27=ProposalToGnatt[[#This Row],[Start Date]],Milestone_Marker,IF(AND(AZ$27&gt;ProposalToGnatt[[#This Row],[Start Date]],AZ$27&lt;ProposalToGnatt[[#This Row],[Start Date]]+ProposalToGnatt[[#This Row],[Days]]),$G$5,"")),"")</f>
        <v/>
      </c>
      <c r="BA29" s="36" t="str">
        <f ca="1">IFERROR(+IF(BA$27=ProposalToGnatt[[#This Row],[Start Date]],Milestone_Marker,IF(AND(BA$27&gt;ProposalToGnatt[[#This Row],[Start Date]],BA$27&lt;ProposalToGnatt[[#This Row],[Start Date]]+ProposalToGnatt[[#This Row],[Days]]),$G$5,"")),"")</f>
        <v/>
      </c>
      <c r="BB29" s="36" t="str">
        <f ca="1">IFERROR(+IF(BB$27=ProposalToGnatt[[#This Row],[Start Date]],Milestone_Marker,IF(AND(BB$27&gt;ProposalToGnatt[[#This Row],[Start Date]],BB$27&lt;ProposalToGnatt[[#This Row],[Start Date]]+ProposalToGnatt[[#This Row],[Days]]),$G$5,"")),"")</f>
        <v/>
      </c>
      <c r="BC29" s="36" t="str">
        <f ca="1">IFERROR(+IF(BC$27=ProposalToGnatt[[#This Row],[Start Date]],Milestone_Marker,IF(AND(BC$27&gt;ProposalToGnatt[[#This Row],[Start Date]],BC$27&lt;ProposalToGnatt[[#This Row],[Start Date]]+ProposalToGnatt[[#This Row],[Days]]),$G$5,"")),"")</f>
        <v/>
      </c>
      <c r="BD29" s="36" t="str">
        <f ca="1">IFERROR(+IF(BD$27=ProposalToGnatt[[#This Row],[Start Date]],Milestone_Marker,IF(AND(BD$27&gt;ProposalToGnatt[[#This Row],[Start Date]],BD$27&lt;ProposalToGnatt[[#This Row],[Start Date]]+ProposalToGnatt[[#This Row],[Days]]),$G$5,"")),"")</f>
        <v/>
      </c>
      <c r="BE29" s="36" t="str">
        <f ca="1">IFERROR(+IF(BE$27=ProposalToGnatt[[#This Row],[Start Date]],Milestone_Marker,IF(AND(BE$27&gt;ProposalToGnatt[[#This Row],[Start Date]],BE$27&lt;ProposalToGnatt[[#This Row],[Start Date]]+ProposalToGnatt[[#This Row],[Days]]),$G$5,"")),"")</f>
        <v/>
      </c>
      <c r="BF29" s="36" t="str">
        <f ca="1">IFERROR(+IF(BF$27=ProposalToGnatt[[#This Row],[Start Date]],Milestone_Marker,IF(AND(BF$27&gt;ProposalToGnatt[[#This Row],[Start Date]],BF$27&lt;ProposalToGnatt[[#This Row],[Start Date]]+ProposalToGnatt[[#This Row],[Days]]),$G$5,"")),"")</f>
        <v/>
      </c>
      <c r="BG29" s="36" t="str">
        <f ca="1">IFERROR(+IF(BG$27=ProposalToGnatt[[#This Row],[Start Date]],Milestone_Marker,IF(AND(BG$27&gt;ProposalToGnatt[[#This Row],[Start Date]],BG$27&lt;ProposalToGnatt[[#This Row],[Start Date]]+ProposalToGnatt[[#This Row],[Days]]),$G$5,"")),"")</f>
        <v/>
      </c>
      <c r="BH29" s="36" t="str">
        <f ca="1">IFERROR(+IF(BH$27=ProposalToGnatt[[#This Row],[Start Date]],Milestone_Marker,IF(AND(BH$27&gt;ProposalToGnatt[[#This Row],[Start Date]],BH$27&lt;ProposalToGnatt[[#This Row],[Start Date]]+ProposalToGnatt[[#This Row],[Days]]),$G$5,"")),"")</f>
        <v/>
      </c>
      <c r="BI29" s="36" t="str">
        <f ca="1">IFERROR(+IF(BI$27=ProposalToGnatt[[#This Row],[Start Date]],Milestone_Marker,IF(AND(BI$27&gt;ProposalToGnatt[[#This Row],[Start Date]],BI$27&lt;ProposalToGnatt[[#This Row],[Start Date]]+ProposalToGnatt[[#This Row],[Days]]),$G$5,"")),"")</f>
        <v/>
      </c>
      <c r="BJ29" s="36" t="str">
        <f ca="1">IFERROR(+IF(BJ$27=ProposalToGnatt[[#This Row],[Start Date]],Milestone_Marker,IF(AND(BJ$27&gt;ProposalToGnatt[[#This Row],[Start Date]],BJ$27&lt;ProposalToGnatt[[#This Row],[Start Date]]+ProposalToGnatt[[#This Row],[Days]]),$G$5,"")),"")</f>
        <v/>
      </c>
      <c r="BK29" s="36" t="str">
        <f ca="1">IFERROR(+IF(BK$27=ProposalToGnatt[[#This Row],[Start Date]],Milestone_Marker,IF(AND(BK$27&gt;ProposalToGnatt[[#This Row],[Start Date]],BK$27&lt;ProposalToGnatt[[#This Row],[Start Date]]+ProposalToGnatt[[#This Row],[Days]]),$G$5,"")),"")</f>
        <v/>
      </c>
      <c r="BL29" s="36" t="str">
        <f ca="1">IFERROR(+IF(BL$27=ProposalToGnatt[[#This Row],[Start Date]],Milestone_Marker,IF(AND(BL$27&gt;ProposalToGnatt[[#This Row],[Start Date]],BL$27&lt;ProposalToGnatt[[#This Row],[Start Date]]+ProposalToGnatt[[#This Row],[Days]]),$G$5,"")),"")</f>
        <v/>
      </c>
      <c r="BM29" s="36" t="str">
        <f ca="1">IFERROR(+IF(BM$27=ProposalToGnatt[[#This Row],[Start Date]],Milestone_Marker,IF(AND(BM$27&gt;ProposalToGnatt[[#This Row],[Start Date]],BM$27&lt;ProposalToGnatt[[#This Row],[Start Date]]+ProposalToGnatt[[#This Row],[Days]]),$G$5,"")),"")</f>
        <v/>
      </c>
      <c r="BN29" s="36" t="str">
        <f ca="1">IFERROR(+IF(BN$27=ProposalToGnatt[[#This Row],[Start Date]],Milestone_Marker,IF(AND(BN$27&gt;ProposalToGnatt[[#This Row],[Start Date]],BN$27&lt;ProposalToGnatt[[#This Row],[Start Date]]+ProposalToGnatt[[#This Row],[Days]]),$G$5,"")),"")</f>
        <v/>
      </c>
      <c r="BO29" s="36" t="str">
        <f ca="1">IFERROR(+IF(BO$27=ProposalToGnatt[[#This Row],[Start Date]],Milestone_Marker,IF(AND(BO$27&gt;ProposalToGnatt[[#This Row],[Start Date]],BO$27&lt;ProposalToGnatt[[#This Row],[Start Date]]+ProposalToGnatt[[#This Row],[Days]]),$G$5,"")),"")</f>
        <v/>
      </c>
      <c r="BP29" s="36" t="str">
        <f ca="1">IFERROR(+IF(BP$27=ProposalToGnatt[[#This Row],[Start Date]],Milestone_Marker,IF(AND(BP$27&gt;ProposalToGnatt[[#This Row],[Start Date]],BP$27&lt;ProposalToGnatt[[#This Row],[Start Date]]+ProposalToGnatt[[#This Row],[Days]]),$G$5,"")),"")</f>
        <v/>
      </c>
      <c r="BQ29" s="36" t="str">
        <f ca="1">IFERROR(+IF(BQ$27=ProposalToGnatt[[#This Row],[Start Date]],Milestone_Marker,IF(AND(BQ$27&gt;ProposalToGnatt[[#This Row],[Start Date]],BQ$27&lt;ProposalToGnatt[[#This Row],[Start Date]]+ProposalToGnatt[[#This Row],[Days]]),$G$5,"")),"")</f>
        <v/>
      </c>
      <c r="BR29" s="36" t="str">
        <f ca="1">IFERROR(+IF(BR$27=ProposalToGnatt[[#This Row],[Start Date]],Milestone_Marker,IF(AND(BR$27&gt;ProposalToGnatt[[#This Row],[Start Date]],BR$27&lt;ProposalToGnatt[[#This Row],[Start Date]]+ProposalToGnatt[[#This Row],[Days]]),$G$5,"")),"")</f>
        <v/>
      </c>
      <c r="BS29" s="36" t="str">
        <f ca="1">IFERROR(+IF(BS$27=ProposalToGnatt[[#This Row],[Start Date]],Milestone_Marker,IF(AND(BS$27&gt;ProposalToGnatt[[#This Row],[Start Date]],BS$27&lt;ProposalToGnatt[[#This Row],[Start Date]]+ProposalToGnatt[[#This Row],[Days]]),$G$5,"")),"")</f>
        <v/>
      </c>
      <c r="BT29" s="36" t="str">
        <f ca="1">IFERROR(+IF(BT$27=ProposalToGnatt[[#This Row],[Start Date]],Milestone_Marker,IF(AND(BT$27&gt;ProposalToGnatt[[#This Row],[Start Date]],BT$27&lt;ProposalToGnatt[[#This Row],[Start Date]]+ProposalToGnatt[[#This Row],[Days]]),$G$5,"")),"")</f>
        <v/>
      </c>
      <c r="BU29" s="36" t="str">
        <f ca="1">IFERROR(+IF(BU$27=ProposalToGnatt[[#This Row],[Start Date]],Milestone_Marker,IF(AND(BU$27&gt;ProposalToGnatt[[#This Row],[Start Date]],BU$27&lt;ProposalToGnatt[[#This Row],[Start Date]]+ProposalToGnatt[[#This Row],[Days]]),$G$5,"")),"")</f>
        <v/>
      </c>
      <c r="BV29" s="36" t="str">
        <f ca="1">IFERROR(+IF(BV$27=ProposalToGnatt[[#This Row],[Start Date]],Milestone_Marker,IF(AND(BV$27&gt;ProposalToGnatt[[#This Row],[Start Date]],BV$27&lt;ProposalToGnatt[[#This Row],[Start Date]]+ProposalToGnatt[[#This Row],[Days]]),$G$5,"")),"")</f>
        <v/>
      </c>
      <c r="BW29" s="36" t="str">
        <f ca="1">IFERROR(+IF(BW$27=ProposalToGnatt[[#This Row],[Start Date]],Milestone_Marker,IF(AND(BW$27&gt;ProposalToGnatt[[#This Row],[Start Date]],BW$27&lt;ProposalToGnatt[[#This Row],[Start Date]]+ProposalToGnatt[[#This Row],[Days]]),$G$5,"")),"")</f>
        <v/>
      </c>
      <c r="BX29" s="36" t="str">
        <f ca="1">IFERROR(+IF(BX$27=ProposalToGnatt[[#This Row],[Start Date]],Milestone_Marker,IF(AND(BX$27&gt;ProposalToGnatt[[#This Row],[Start Date]],BX$27&lt;ProposalToGnatt[[#This Row],[Start Date]]+ProposalToGnatt[[#This Row],[Days]]),$G$5,"")),"")</f>
        <v/>
      </c>
      <c r="BY29" s="36" t="str">
        <f ca="1">IFERROR(+IF(BY$27=ProposalToGnatt[[#This Row],[Start Date]],Milestone_Marker,IF(AND(BY$27&gt;ProposalToGnatt[[#This Row],[Start Date]],BY$27&lt;ProposalToGnatt[[#This Row],[Start Date]]+ProposalToGnatt[[#This Row],[Days]]),$G$5,"")),"")</f>
        <v/>
      </c>
      <c r="BZ29" s="36" t="str">
        <f ca="1">IFERROR(+IF(BZ$27=ProposalToGnatt[[#This Row],[Start Date]],Milestone_Marker,IF(AND(BZ$27&gt;ProposalToGnatt[[#This Row],[Start Date]],BZ$27&lt;ProposalToGnatt[[#This Row],[Start Date]]+ProposalToGnatt[[#This Row],[Days]]),$G$5,"")),"")</f>
        <v/>
      </c>
      <c r="CA29" s="36" t="str">
        <f ca="1">IFERROR(+IF(CA$27=ProposalToGnatt[[#This Row],[Start Date]],Milestone_Marker,IF(AND(CA$27&gt;ProposalToGnatt[[#This Row],[Start Date]],CA$27&lt;ProposalToGnatt[[#This Row],[Start Date]]+ProposalToGnatt[[#This Row],[Days]]),$G$5,"")),"")</f>
        <v/>
      </c>
      <c r="CB29" s="36" t="str">
        <f ca="1">IFERROR(+IF(CB$27=ProposalToGnatt[[#This Row],[Start Date]],Milestone_Marker,IF(AND(CB$27&gt;ProposalToGnatt[[#This Row],[Start Date]],CB$27&lt;ProposalToGnatt[[#This Row],[Start Date]]+ProposalToGnatt[[#This Row],[Days]]),$G$5,"")),"")</f>
        <v/>
      </c>
      <c r="CC29" s="36" t="str">
        <f ca="1">IFERROR(+IF(CC$27=ProposalToGnatt[[#This Row],[Start Date]],Milestone_Marker,IF(AND(CC$27&gt;ProposalToGnatt[[#This Row],[Start Date]],CC$27&lt;ProposalToGnatt[[#This Row],[Start Date]]+ProposalToGnatt[[#This Row],[Days]]),$G$5,"")),"")</f>
        <v/>
      </c>
      <c r="CD29" s="36" t="str">
        <f ca="1">IFERROR(+IF(CD$27=ProposalToGnatt[[#This Row],[Start Date]],Milestone_Marker,IF(AND(CD$27&gt;ProposalToGnatt[[#This Row],[Start Date]],CD$27&lt;ProposalToGnatt[[#This Row],[Start Date]]+ProposalToGnatt[[#This Row],[Days]]),$G$5,"")),"")</f>
        <v/>
      </c>
      <c r="CE29" s="36" t="str">
        <f ca="1">IFERROR(+IF(CE$27=ProposalToGnatt[[#This Row],[Start Date]],Milestone_Marker,IF(AND(CE$27&gt;ProposalToGnatt[[#This Row],[Start Date]],CE$27&lt;ProposalToGnatt[[#This Row],[Start Date]]+ProposalToGnatt[[#This Row],[Days]]),$G$5,"")),"")</f>
        <v/>
      </c>
      <c r="CF29" s="36" t="str">
        <f ca="1">IFERROR(+IF(CF$27=ProposalToGnatt[[#This Row],[Start Date]],Milestone_Marker,IF(AND(CF$27&gt;ProposalToGnatt[[#This Row],[Start Date]],CF$27&lt;ProposalToGnatt[[#This Row],[Start Date]]+ProposalToGnatt[[#This Row],[Days]]),$G$5,"")),"")</f>
        <v/>
      </c>
      <c r="CG29" s="36" t="str">
        <f ca="1">IFERROR(+IF(CG$27=ProposalToGnatt[[#This Row],[Start Date]],Milestone_Marker,IF(AND(CG$27&gt;ProposalToGnatt[[#This Row],[Start Date]],CG$27&lt;ProposalToGnatt[[#This Row],[Start Date]]+ProposalToGnatt[[#This Row],[Days]]),$G$5,"")),"")</f>
        <v/>
      </c>
      <c r="CH29" s="36" t="str">
        <f ca="1">IFERROR(+IF(CH$27=ProposalToGnatt[[#This Row],[Start Date]],Milestone_Marker,IF(AND(CH$27&gt;ProposalToGnatt[[#This Row],[Start Date]],CH$27&lt;ProposalToGnatt[[#This Row],[Start Date]]+ProposalToGnatt[[#This Row],[Days]]),$G$5,"")),"")</f>
        <v/>
      </c>
      <c r="CI29" s="36" t="str">
        <f ca="1">IFERROR(+IF(CI$27=ProposalToGnatt[[#This Row],[Start Date]],Milestone_Marker,IF(AND(CI$27&gt;ProposalToGnatt[[#This Row],[Start Date]],CI$27&lt;ProposalToGnatt[[#This Row],[Start Date]]+ProposalToGnatt[[#This Row],[Days]]),$G$5,"")),"")</f>
        <v/>
      </c>
      <c r="CJ29" s="36" t="str">
        <f ca="1">IFERROR(+IF(CJ$27=ProposalToGnatt[[#This Row],[Start Date]],Milestone_Marker,IF(AND(CJ$27&gt;ProposalToGnatt[[#This Row],[Start Date]],CJ$27&lt;ProposalToGnatt[[#This Row],[Start Date]]+ProposalToGnatt[[#This Row],[Days]]),$G$5,"")),"")</f>
        <v/>
      </c>
      <c r="CK29" s="36" t="str">
        <f ca="1">IFERROR(+IF(CK$27=ProposalToGnatt[[#This Row],[Start Date]],Milestone_Marker,IF(AND(CK$27&gt;ProposalToGnatt[[#This Row],[Start Date]],CK$27&lt;ProposalToGnatt[[#This Row],[Start Date]]+ProposalToGnatt[[#This Row],[Days]]),$G$5,"")),"")</f>
        <v/>
      </c>
      <c r="CL29" s="36" t="str">
        <f ca="1">IFERROR(+IF(CL$27=ProposalToGnatt[[#This Row],[Start Date]],Milestone_Marker,IF(AND(CL$27&gt;ProposalToGnatt[[#This Row],[Start Date]],CL$27&lt;ProposalToGnatt[[#This Row],[Start Date]]+ProposalToGnatt[[#This Row],[Days]]),$G$5,"")),"")</f>
        <v/>
      </c>
      <c r="CM29" s="36" t="str">
        <f ca="1">IFERROR(+IF(CM$27=ProposalToGnatt[[#This Row],[Start Date]],Milestone_Marker,IF(AND(CM$27&gt;ProposalToGnatt[[#This Row],[Start Date]],CM$27&lt;ProposalToGnatt[[#This Row],[Start Date]]+ProposalToGnatt[[#This Row],[Days]]),$G$5,"")),"")</f>
        <v/>
      </c>
      <c r="CN29" s="36" t="str">
        <f ca="1">IFERROR(+IF(CN$27=ProposalToGnatt[[#This Row],[Start Date]],Milestone_Marker,IF(AND(CN$27&gt;ProposalToGnatt[[#This Row],[Start Date]],CN$27&lt;ProposalToGnatt[[#This Row],[Start Date]]+ProposalToGnatt[[#This Row],[Days]]),$G$5,"")),"")</f>
        <v/>
      </c>
      <c r="CO29" s="36" t="str">
        <f ca="1">IFERROR(+IF(CO$27=ProposalToGnatt[[#This Row],[Start Date]],Milestone_Marker,IF(AND(CO$27&gt;ProposalToGnatt[[#This Row],[Start Date]],CO$27&lt;ProposalToGnatt[[#This Row],[Start Date]]+ProposalToGnatt[[#This Row],[Days]]),$G$5,"")),"")</f>
        <v/>
      </c>
      <c r="CP29" s="36" t="str">
        <f ca="1">IFERROR(+IF(CP$27=ProposalToGnatt[[#This Row],[Start Date]],Milestone_Marker,IF(AND(CP$27&gt;ProposalToGnatt[[#This Row],[Start Date]],CP$27&lt;ProposalToGnatt[[#This Row],[Start Date]]+ProposalToGnatt[[#This Row],[Days]]),$G$5,"")),"")</f>
        <v/>
      </c>
      <c r="CQ29" s="36" t="str">
        <f ca="1">IFERROR(+IF(CQ$27=ProposalToGnatt[[#This Row],[Start Date]],Milestone_Marker,IF(AND(CQ$27&gt;ProposalToGnatt[[#This Row],[Start Date]],CQ$27&lt;ProposalToGnatt[[#This Row],[Start Date]]+ProposalToGnatt[[#This Row],[Days]]),$G$5,"")),"")</f>
        <v/>
      </c>
      <c r="CR29" s="36" t="str">
        <f ca="1">IFERROR(+IF(CR$27=ProposalToGnatt[[#This Row],[Start Date]],Milestone_Marker,IF(AND(CR$27&gt;ProposalToGnatt[[#This Row],[Start Date]],CR$27&lt;ProposalToGnatt[[#This Row],[Start Date]]+ProposalToGnatt[[#This Row],[Days]]),$G$5,"")),"")</f>
        <v/>
      </c>
      <c r="CS29" s="36" t="str">
        <f ca="1">IFERROR(+IF(CS$27=ProposalToGnatt[[#This Row],[Start Date]],Milestone_Marker,IF(AND(CS$27&gt;ProposalToGnatt[[#This Row],[Start Date]],CS$27&lt;ProposalToGnatt[[#This Row],[Start Date]]+ProposalToGnatt[[#This Row],[Days]]),$G$5,"")),"")</f>
        <v/>
      </c>
      <c r="CT29" s="36" t="str">
        <f ca="1">IFERROR(+IF(CT$27=ProposalToGnatt[[#This Row],[Start Date]],Milestone_Marker,IF(AND(CT$27&gt;ProposalToGnatt[[#This Row],[Start Date]],CT$27&lt;ProposalToGnatt[[#This Row],[Start Date]]+ProposalToGnatt[[#This Row],[Days]]),$G$5,"")),"")</f>
        <v/>
      </c>
      <c r="CU29" s="36" t="str">
        <f ca="1">IFERROR(+IF(CU$27=ProposalToGnatt[[#This Row],[Start Date]],Milestone_Marker,IF(AND(CU$27&gt;ProposalToGnatt[[#This Row],[Start Date]],CU$27&lt;ProposalToGnatt[[#This Row],[Start Date]]+ProposalToGnatt[[#This Row],[Days]]),$G$5,"")),"")</f>
        <v/>
      </c>
      <c r="CV29" s="36"/>
      <c r="CW29" s="36"/>
      <c r="CX29" s="36"/>
      <c r="CY29" s="36"/>
      <c r="CZ29" s="36"/>
      <c r="DA29" s="36"/>
      <c r="DB29" s="36"/>
      <c r="DC29" s="36"/>
      <c r="DD29" s="36"/>
      <c r="DE29" s="36"/>
      <c r="DF29" s="36"/>
      <c r="DG29" s="36"/>
      <c r="DH29" s="36"/>
      <c r="DI29" s="36"/>
      <c r="DJ29" s="36"/>
      <c r="DK29" s="36"/>
      <c r="DL29" s="36"/>
      <c r="DM29" s="36"/>
      <c r="DN29" s="36"/>
      <c r="DO29" s="36"/>
      <c r="DP29" s="36"/>
      <c r="DQ29" s="36"/>
      <c r="DR29" s="36"/>
      <c r="DS29" s="36"/>
      <c r="DT29" s="36"/>
      <c r="DU29" s="36"/>
    </row>
    <row r="30" spans="1:125" s="41" customFormat="1" ht="20.100000000000001" customHeight="1" x14ac:dyDescent="0.25">
      <c r="A30" t="s">
        <v>267</v>
      </c>
      <c r="B30">
        <v>12</v>
      </c>
      <c r="C30"/>
      <c r="D30" t="s">
        <v>879</v>
      </c>
      <c r="E30" s="568" t="s">
        <v>880</v>
      </c>
      <c r="F30">
        <v>0</v>
      </c>
      <c r="G30" s="14"/>
      <c r="H30" s="14"/>
      <c r="I30"/>
      <c r="J30">
        <v>1</v>
      </c>
      <c r="K30" s="249"/>
      <c r="L30"/>
      <c r="M30" s="14"/>
      <c r="N30" s="300"/>
      <c r="O30" s="554"/>
      <c r="P30" s="36" t="str">
        <f ca="1">IFERROR(+IF(P$27=ProposalToGnatt[[#This Row],[Start Date]],Milestone_Marker,IF(AND(P$27&gt;ProposalToGnatt[[#This Row],[Start Date]],P$27&lt;ProposalToGnatt[[#This Row],[Start Date]]+ProposalToGnatt[[#This Row],[Days]]),$G$5,"")),"")</f>
        <v/>
      </c>
      <c r="Q30" s="36" t="str">
        <f ca="1">IFERROR(+IF(Q$27=ProposalToGnatt[[#This Row],[Start Date]],Milestone_Marker,IF(AND(Q$27&gt;ProposalToGnatt[[#This Row],[Start Date]],Q$27&lt;ProposalToGnatt[[#This Row],[Start Date]]+ProposalToGnatt[[#This Row],[Days]]),$G$5,"")),"")</f>
        <v/>
      </c>
      <c r="R30" s="36" t="str">
        <f ca="1">IFERROR(+IF(R$27=ProposalToGnatt[[#This Row],[Start Date]],Milestone_Marker,IF(AND(R$27&gt;ProposalToGnatt[[#This Row],[Start Date]],R$27&lt;ProposalToGnatt[[#This Row],[Start Date]]+ProposalToGnatt[[#This Row],[Days]]),$G$5,"")),"")</f>
        <v/>
      </c>
      <c r="S30" s="36" t="str">
        <f ca="1">IFERROR(+IF(S$27=ProposalToGnatt[[#This Row],[Start Date]],Milestone_Marker,IF(AND(S$27&gt;ProposalToGnatt[[#This Row],[Start Date]],S$27&lt;ProposalToGnatt[[#This Row],[Start Date]]+ProposalToGnatt[[#This Row],[Days]]),$G$5,"")),"")</f>
        <v/>
      </c>
      <c r="T30" s="36" t="str">
        <f ca="1">IFERROR(+IF(T$27=ProposalToGnatt[[#This Row],[Start Date]],Milestone_Marker,IF(AND(T$27&gt;ProposalToGnatt[[#This Row],[Start Date]],T$27&lt;ProposalToGnatt[[#This Row],[Start Date]]+ProposalToGnatt[[#This Row],[Days]]),$G$5,"")),"")</f>
        <v/>
      </c>
      <c r="U30" s="36" t="str">
        <f ca="1">IFERROR(+IF(U$27=ProposalToGnatt[[#This Row],[Start Date]],Milestone_Marker,IF(AND(U$27&gt;ProposalToGnatt[[#This Row],[Start Date]],U$27&lt;ProposalToGnatt[[#This Row],[Start Date]]+ProposalToGnatt[[#This Row],[Days]]),$G$5,"")),"")</f>
        <v/>
      </c>
      <c r="V30" s="36" t="str">
        <f ca="1">IFERROR(+IF(V$27=ProposalToGnatt[[#This Row],[Start Date]],Milestone_Marker,IF(AND(V$27&gt;ProposalToGnatt[[#This Row],[Start Date]],V$27&lt;ProposalToGnatt[[#This Row],[Start Date]]+ProposalToGnatt[[#This Row],[Days]]),$G$5,"")),"")</f>
        <v/>
      </c>
      <c r="W30" s="36" t="str">
        <f ca="1">IFERROR(+IF(W$27=ProposalToGnatt[[#This Row],[Start Date]],Milestone_Marker,IF(AND(W$27&gt;ProposalToGnatt[[#This Row],[Start Date]],W$27&lt;ProposalToGnatt[[#This Row],[Start Date]]+ProposalToGnatt[[#This Row],[Days]]),$G$5,"")),"")</f>
        <v/>
      </c>
      <c r="X30" s="36" t="str">
        <f ca="1">IFERROR(+IF(X$27=ProposalToGnatt[[#This Row],[Start Date]],Milestone_Marker,IF(AND(X$27&gt;ProposalToGnatt[[#This Row],[Start Date]],X$27&lt;ProposalToGnatt[[#This Row],[Start Date]]+ProposalToGnatt[[#This Row],[Days]]),$G$5,"")),"")</f>
        <v/>
      </c>
      <c r="Y30" s="36" t="str">
        <f ca="1">IFERROR(+IF(Y$27=ProposalToGnatt[[#This Row],[Start Date]],Milestone_Marker,IF(AND(Y$27&gt;ProposalToGnatt[[#This Row],[Start Date]],Y$27&lt;ProposalToGnatt[[#This Row],[Start Date]]+ProposalToGnatt[[#This Row],[Days]]),$G$5,"")),"")</f>
        <v/>
      </c>
      <c r="Z30" s="36" t="str">
        <f ca="1">IFERROR(+IF(Z$27=ProposalToGnatt[[#This Row],[Start Date]],Milestone_Marker,IF(AND(Z$27&gt;ProposalToGnatt[[#This Row],[Start Date]],Z$27&lt;ProposalToGnatt[[#This Row],[Start Date]]+ProposalToGnatt[[#This Row],[Days]]),$G$5,"")),"")</f>
        <v/>
      </c>
      <c r="AA30" s="36" t="str">
        <f ca="1">IFERROR(+IF(AA$27=ProposalToGnatt[[#This Row],[Start Date]],Milestone_Marker,IF(AND(AA$27&gt;ProposalToGnatt[[#This Row],[Start Date]],AA$27&lt;ProposalToGnatt[[#This Row],[Start Date]]+ProposalToGnatt[[#This Row],[Days]]),$G$5,"")),"")</f>
        <v/>
      </c>
      <c r="AB30" s="36" t="str">
        <f ca="1">IFERROR(+IF(AB$27=ProposalToGnatt[[#This Row],[Start Date]],Milestone_Marker,IF(AND(AB$27&gt;ProposalToGnatt[[#This Row],[Start Date]],AB$27&lt;ProposalToGnatt[[#This Row],[Start Date]]+ProposalToGnatt[[#This Row],[Days]]),$G$5,"")),"")</f>
        <v/>
      </c>
      <c r="AC30" s="36" t="str">
        <f ca="1">IFERROR(+IF(AC$27=ProposalToGnatt[[#This Row],[Start Date]],Milestone_Marker,IF(AND(AC$27&gt;ProposalToGnatt[[#This Row],[Start Date]],AC$27&lt;ProposalToGnatt[[#This Row],[Start Date]]+ProposalToGnatt[[#This Row],[Days]]),$G$5,"")),"")</f>
        <v/>
      </c>
      <c r="AD30" s="36" t="str">
        <f ca="1">IFERROR(+IF(AD$27=ProposalToGnatt[[#This Row],[Start Date]],Milestone_Marker,IF(AND(AD$27&gt;ProposalToGnatt[[#This Row],[Start Date]],AD$27&lt;ProposalToGnatt[[#This Row],[Start Date]]+ProposalToGnatt[[#This Row],[Days]]),$G$5,"")),"")</f>
        <v/>
      </c>
      <c r="AE30" s="36" t="str">
        <f ca="1">IFERROR(+IF(AE$27=ProposalToGnatt[[#This Row],[Start Date]],Milestone_Marker,IF(AND(AE$27&gt;ProposalToGnatt[[#This Row],[Start Date]],AE$27&lt;ProposalToGnatt[[#This Row],[Start Date]]+ProposalToGnatt[[#This Row],[Days]]),$G$5,"")),"")</f>
        <v/>
      </c>
      <c r="AF30" s="36" t="str">
        <f ca="1">IFERROR(+IF(AF$27=ProposalToGnatt[[#This Row],[Start Date]],Milestone_Marker,IF(AND(AF$27&gt;ProposalToGnatt[[#This Row],[Start Date]],AF$27&lt;ProposalToGnatt[[#This Row],[Start Date]]+ProposalToGnatt[[#This Row],[Days]]),$G$5,"")),"")</f>
        <v/>
      </c>
      <c r="AG30" s="36" t="str">
        <f ca="1">IFERROR(+IF(AG$27=ProposalToGnatt[[#This Row],[Start Date]],Milestone_Marker,IF(AND(AG$27&gt;ProposalToGnatt[[#This Row],[Start Date]],AG$27&lt;ProposalToGnatt[[#This Row],[Start Date]]+ProposalToGnatt[[#This Row],[Days]]),$G$5,"")),"")</f>
        <v/>
      </c>
      <c r="AH30" s="36" t="str">
        <f ca="1">IFERROR(+IF(AH$27=ProposalToGnatt[[#This Row],[Start Date]],Milestone_Marker,IF(AND(AH$27&gt;ProposalToGnatt[[#This Row],[Start Date]],AH$27&lt;ProposalToGnatt[[#This Row],[Start Date]]+ProposalToGnatt[[#This Row],[Days]]),$G$5,"")),"")</f>
        <v/>
      </c>
      <c r="AI30" s="36" t="str">
        <f ca="1">IFERROR(+IF(AI$27=ProposalToGnatt[[#This Row],[Start Date]],Milestone_Marker,IF(AND(AI$27&gt;ProposalToGnatt[[#This Row],[Start Date]],AI$27&lt;ProposalToGnatt[[#This Row],[Start Date]]+ProposalToGnatt[[#This Row],[Days]]),$G$5,"")),"")</f>
        <v/>
      </c>
      <c r="AJ30" s="36" t="str">
        <f ca="1">IFERROR(+IF(AJ$27=ProposalToGnatt[[#This Row],[Start Date]],Milestone_Marker,IF(AND(AJ$27&gt;ProposalToGnatt[[#This Row],[Start Date]],AJ$27&lt;ProposalToGnatt[[#This Row],[Start Date]]+ProposalToGnatt[[#This Row],[Days]]),$G$5,"")),"")</f>
        <v/>
      </c>
      <c r="AK30" s="36" t="str">
        <f ca="1">IFERROR(+IF(AK$27=ProposalToGnatt[[#This Row],[Start Date]],Milestone_Marker,IF(AND(AK$27&gt;ProposalToGnatt[[#This Row],[Start Date]],AK$27&lt;ProposalToGnatt[[#This Row],[Start Date]]+ProposalToGnatt[[#This Row],[Days]]),$G$5,"")),"")</f>
        <v/>
      </c>
      <c r="AL30" s="36" t="str">
        <f ca="1">IFERROR(+IF(AL$27=ProposalToGnatt[[#This Row],[Start Date]],Milestone_Marker,IF(AND(AL$27&gt;ProposalToGnatt[[#This Row],[Start Date]],AL$27&lt;ProposalToGnatt[[#This Row],[Start Date]]+ProposalToGnatt[[#This Row],[Days]]),$G$5,"")),"")</f>
        <v/>
      </c>
      <c r="AM30" s="36" t="str">
        <f ca="1">IFERROR(+IF(AM$27=ProposalToGnatt[[#This Row],[Start Date]],Milestone_Marker,IF(AND(AM$27&gt;ProposalToGnatt[[#This Row],[Start Date]],AM$27&lt;ProposalToGnatt[[#This Row],[Start Date]]+ProposalToGnatt[[#This Row],[Days]]),$G$5,"")),"")</f>
        <v/>
      </c>
      <c r="AN30" s="36" t="str">
        <f ca="1">IFERROR(+IF(AN$27=ProposalToGnatt[[#This Row],[Start Date]],Milestone_Marker,IF(AND(AN$27&gt;ProposalToGnatt[[#This Row],[Start Date]],AN$27&lt;ProposalToGnatt[[#This Row],[Start Date]]+ProposalToGnatt[[#This Row],[Days]]),$G$5,"")),"")</f>
        <v/>
      </c>
      <c r="AO30" s="36" t="str">
        <f ca="1">IFERROR(+IF(AO$27=ProposalToGnatt[[#This Row],[Start Date]],Milestone_Marker,IF(AND(AO$27&gt;ProposalToGnatt[[#This Row],[Start Date]],AO$27&lt;ProposalToGnatt[[#This Row],[Start Date]]+ProposalToGnatt[[#This Row],[Days]]),$G$5,"")),"")</f>
        <v/>
      </c>
      <c r="AP30" s="36" t="str">
        <f ca="1">IFERROR(+IF(AP$27=ProposalToGnatt[[#This Row],[Start Date]],Milestone_Marker,IF(AND(AP$27&gt;ProposalToGnatt[[#This Row],[Start Date]],AP$27&lt;ProposalToGnatt[[#This Row],[Start Date]]+ProposalToGnatt[[#This Row],[Days]]),$G$5,"")),"")</f>
        <v/>
      </c>
      <c r="AQ30" s="36" t="str">
        <f ca="1">IFERROR(+IF(AQ$27=ProposalToGnatt[[#This Row],[Start Date]],Milestone_Marker,IF(AND(AQ$27&gt;ProposalToGnatt[[#This Row],[Start Date]],AQ$27&lt;ProposalToGnatt[[#This Row],[Start Date]]+ProposalToGnatt[[#This Row],[Days]]),$G$5,"")),"")</f>
        <v/>
      </c>
      <c r="AR30" s="36" t="str">
        <f ca="1">IFERROR(+IF(AR$27=ProposalToGnatt[[#This Row],[Start Date]],Milestone_Marker,IF(AND(AR$27&gt;ProposalToGnatt[[#This Row],[Start Date]],AR$27&lt;ProposalToGnatt[[#This Row],[Start Date]]+ProposalToGnatt[[#This Row],[Days]]),$G$5,"")),"")</f>
        <v/>
      </c>
      <c r="AS30" s="36" t="str">
        <f ca="1">IFERROR(+IF(AS$27=ProposalToGnatt[[#This Row],[Start Date]],Milestone_Marker,IF(AND(AS$27&gt;ProposalToGnatt[[#This Row],[Start Date]],AS$27&lt;ProposalToGnatt[[#This Row],[Start Date]]+ProposalToGnatt[[#This Row],[Days]]),$G$5,"")),"")</f>
        <v/>
      </c>
      <c r="AT30" s="36" t="str">
        <f ca="1">IFERROR(+IF(AT$27=ProposalToGnatt[[#This Row],[Start Date]],Milestone_Marker,IF(AND(AT$27&gt;ProposalToGnatt[[#This Row],[Start Date]],AT$27&lt;ProposalToGnatt[[#This Row],[Start Date]]+ProposalToGnatt[[#This Row],[Days]]),$G$5,"")),"")</f>
        <v/>
      </c>
      <c r="AU30" s="36" t="str">
        <f ca="1">IFERROR(+IF(AU$27=ProposalToGnatt[[#This Row],[Start Date]],Milestone_Marker,IF(AND(AU$27&gt;ProposalToGnatt[[#This Row],[Start Date]],AU$27&lt;ProposalToGnatt[[#This Row],[Start Date]]+ProposalToGnatt[[#This Row],[Days]]),$G$5,"")),"")</f>
        <v/>
      </c>
      <c r="AV30" s="36" t="str">
        <f ca="1">IFERROR(+IF(AV$27=ProposalToGnatt[[#This Row],[Start Date]],Milestone_Marker,IF(AND(AV$27&gt;ProposalToGnatt[[#This Row],[Start Date]],AV$27&lt;ProposalToGnatt[[#This Row],[Start Date]]+ProposalToGnatt[[#This Row],[Days]]),$G$5,"")),"")</f>
        <v/>
      </c>
      <c r="AW30" s="36" t="str">
        <f ca="1">IFERROR(+IF(AW$27=ProposalToGnatt[[#This Row],[Start Date]],Milestone_Marker,IF(AND(AW$27&gt;ProposalToGnatt[[#This Row],[Start Date]],AW$27&lt;ProposalToGnatt[[#This Row],[Start Date]]+ProposalToGnatt[[#This Row],[Days]]),$G$5,"")),"")</f>
        <v/>
      </c>
      <c r="AX30" s="36" t="str">
        <f ca="1">IFERROR(+IF(AX$27=ProposalToGnatt[[#This Row],[Start Date]],Milestone_Marker,IF(AND(AX$27&gt;ProposalToGnatt[[#This Row],[Start Date]],AX$27&lt;ProposalToGnatt[[#This Row],[Start Date]]+ProposalToGnatt[[#This Row],[Days]]),$G$5,"")),"")</f>
        <v/>
      </c>
      <c r="AY30" s="36" t="str">
        <f ca="1">IFERROR(+IF(AY$27=ProposalToGnatt[[#This Row],[Start Date]],Milestone_Marker,IF(AND(AY$27&gt;ProposalToGnatt[[#This Row],[Start Date]],AY$27&lt;ProposalToGnatt[[#This Row],[Start Date]]+ProposalToGnatt[[#This Row],[Days]]),$G$5,"")),"")</f>
        <v/>
      </c>
      <c r="AZ30" s="36" t="str">
        <f ca="1">IFERROR(+IF(AZ$27=ProposalToGnatt[[#This Row],[Start Date]],Milestone_Marker,IF(AND(AZ$27&gt;ProposalToGnatt[[#This Row],[Start Date]],AZ$27&lt;ProposalToGnatt[[#This Row],[Start Date]]+ProposalToGnatt[[#This Row],[Days]]),$G$5,"")),"")</f>
        <v/>
      </c>
      <c r="BA30" s="36" t="str">
        <f ca="1">IFERROR(+IF(BA$27=ProposalToGnatt[[#This Row],[Start Date]],Milestone_Marker,IF(AND(BA$27&gt;ProposalToGnatt[[#This Row],[Start Date]],BA$27&lt;ProposalToGnatt[[#This Row],[Start Date]]+ProposalToGnatt[[#This Row],[Days]]),$G$5,"")),"")</f>
        <v/>
      </c>
      <c r="BB30" s="36" t="str">
        <f ca="1">IFERROR(+IF(BB$27=ProposalToGnatt[[#This Row],[Start Date]],Milestone_Marker,IF(AND(BB$27&gt;ProposalToGnatt[[#This Row],[Start Date]],BB$27&lt;ProposalToGnatt[[#This Row],[Start Date]]+ProposalToGnatt[[#This Row],[Days]]),$G$5,"")),"")</f>
        <v/>
      </c>
      <c r="BC30" s="36" t="str">
        <f ca="1">IFERROR(+IF(BC$27=ProposalToGnatt[[#This Row],[Start Date]],Milestone_Marker,IF(AND(BC$27&gt;ProposalToGnatt[[#This Row],[Start Date]],BC$27&lt;ProposalToGnatt[[#This Row],[Start Date]]+ProposalToGnatt[[#This Row],[Days]]),$G$5,"")),"")</f>
        <v/>
      </c>
      <c r="BD30" s="36" t="str">
        <f ca="1">IFERROR(+IF(BD$27=ProposalToGnatt[[#This Row],[Start Date]],Milestone_Marker,IF(AND(BD$27&gt;ProposalToGnatt[[#This Row],[Start Date]],BD$27&lt;ProposalToGnatt[[#This Row],[Start Date]]+ProposalToGnatt[[#This Row],[Days]]),$G$5,"")),"")</f>
        <v/>
      </c>
      <c r="BE30" s="36" t="str">
        <f ca="1">IFERROR(+IF(BE$27=ProposalToGnatt[[#This Row],[Start Date]],Milestone_Marker,IF(AND(BE$27&gt;ProposalToGnatt[[#This Row],[Start Date]],BE$27&lt;ProposalToGnatt[[#This Row],[Start Date]]+ProposalToGnatt[[#This Row],[Days]]),$G$5,"")),"")</f>
        <v/>
      </c>
      <c r="BF30" s="36" t="str">
        <f ca="1">IFERROR(+IF(BF$27=ProposalToGnatt[[#This Row],[Start Date]],Milestone_Marker,IF(AND(BF$27&gt;ProposalToGnatt[[#This Row],[Start Date]],BF$27&lt;ProposalToGnatt[[#This Row],[Start Date]]+ProposalToGnatt[[#This Row],[Days]]),$G$5,"")),"")</f>
        <v/>
      </c>
      <c r="BG30" s="36" t="str">
        <f ca="1">IFERROR(+IF(BG$27=ProposalToGnatt[[#This Row],[Start Date]],Milestone_Marker,IF(AND(BG$27&gt;ProposalToGnatt[[#This Row],[Start Date]],BG$27&lt;ProposalToGnatt[[#This Row],[Start Date]]+ProposalToGnatt[[#This Row],[Days]]),$G$5,"")),"")</f>
        <v/>
      </c>
      <c r="BH30" s="36" t="str">
        <f ca="1">IFERROR(+IF(BH$27=ProposalToGnatt[[#This Row],[Start Date]],Milestone_Marker,IF(AND(BH$27&gt;ProposalToGnatt[[#This Row],[Start Date]],BH$27&lt;ProposalToGnatt[[#This Row],[Start Date]]+ProposalToGnatt[[#This Row],[Days]]),$G$5,"")),"")</f>
        <v/>
      </c>
      <c r="BI30" s="36" t="str">
        <f ca="1">IFERROR(+IF(BI$27=ProposalToGnatt[[#This Row],[Start Date]],Milestone_Marker,IF(AND(BI$27&gt;ProposalToGnatt[[#This Row],[Start Date]],BI$27&lt;ProposalToGnatt[[#This Row],[Start Date]]+ProposalToGnatt[[#This Row],[Days]]),$G$5,"")),"")</f>
        <v/>
      </c>
      <c r="BJ30" s="36" t="str">
        <f ca="1">IFERROR(+IF(BJ$27=ProposalToGnatt[[#This Row],[Start Date]],Milestone_Marker,IF(AND(BJ$27&gt;ProposalToGnatt[[#This Row],[Start Date]],BJ$27&lt;ProposalToGnatt[[#This Row],[Start Date]]+ProposalToGnatt[[#This Row],[Days]]),$G$5,"")),"")</f>
        <v/>
      </c>
      <c r="BK30" s="36" t="str">
        <f ca="1">IFERROR(+IF(BK$27=ProposalToGnatt[[#This Row],[Start Date]],Milestone_Marker,IF(AND(BK$27&gt;ProposalToGnatt[[#This Row],[Start Date]],BK$27&lt;ProposalToGnatt[[#This Row],[Start Date]]+ProposalToGnatt[[#This Row],[Days]]),$G$5,"")),"")</f>
        <v/>
      </c>
      <c r="BL30" s="36" t="str">
        <f ca="1">IFERROR(+IF(BL$27=ProposalToGnatt[[#This Row],[Start Date]],Milestone_Marker,IF(AND(BL$27&gt;ProposalToGnatt[[#This Row],[Start Date]],BL$27&lt;ProposalToGnatt[[#This Row],[Start Date]]+ProposalToGnatt[[#This Row],[Days]]),$G$5,"")),"")</f>
        <v/>
      </c>
      <c r="BM30" s="36" t="str">
        <f ca="1">IFERROR(+IF(BM$27=ProposalToGnatt[[#This Row],[Start Date]],Milestone_Marker,IF(AND(BM$27&gt;ProposalToGnatt[[#This Row],[Start Date]],BM$27&lt;ProposalToGnatt[[#This Row],[Start Date]]+ProposalToGnatt[[#This Row],[Days]]),$G$5,"")),"")</f>
        <v/>
      </c>
      <c r="BN30" s="36" t="str">
        <f ca="1">IFERROR(+IF(BN$27=ProposalToGnatt[[#This Row],[Start Date]],Milestone_Marker,IF(AND(BN$27&gt;ProposalToGnatt[[#This Row],[Start Date]],BN$27&lt;ProposalToGnatt[[#This Row],[Start Date]]+ProposalToGnatt[[#This Row],[Days]]),$G$5,"")),"")</f>
        <v/>
      </c>
      <c r="BO30" s="36" t="str">
        <f ca="1">IFERROR(+IF(BO$27=ProposalToGnatt[[#This Row],[Start Date]],Milestone_Marker,IF(AND(BO$27&gt;ProposalToGnatt[[#This Row],[Start Date]],BO$27&lt;ProposalToGnatt[[#This Row],[Start Date]]+ProposalToGnatt[[#This Row],[Days]]),$G$5,"")),"")</f>
        <v/>
      </c>
      <c r="BP30" s="36" t="str">
        <f ca="1">IFERROR(+IF(BP$27=ProposalToGnatt[[#This Row],[Start Date]],Milestone_Marker,IF(AND(BP$27&gt;ProposalToGnatt[[#This Row],[Start Date]],BP$27&lt;ProposalToGnatt[[#This Row],[Start Date]]+ProposalToGnatt[[#This Row],[Days]]),$G$5,"")),"")</f>
        <v/>
      </c>
      <c r="BQ30" s="36" t="str">
        <f ca="1">IFERROR(+IF(BQ$27=ProposalToGnatt[[#This Row],[Start Date]],Milestone_Marker,IF(AND(BQ$27&gt;ProposalToGnatt[[#This Row],[Start Date]],BQ$27&lt;ProposalToGnatt[[#This Row],[Start Date]]+ProposalToGnatt[[#This Row],[Days]]),$G$5,"")),"")</f>
        <v/>
      </c>
      <c r="BR30" s="36" t="str">
        <f ca="1">IFERROR(+IF(BR$27=ProposalToGnatt[[#This Row],[Start Date]],Milestone_Marker,IF(AND(BR$27&gt;ProposalToGnatt[[#This Row],[Start Date]],BR$27&lt;ProposalToGnatt[[#This Row],[Start Date]]+ProposalToGnatt[[#This Row],[Days]]),$G$5,"")),"")</f>
        <v/>
      </c>
      <c r="BS30" s="36" t="str">
        <f ca="1">IFERROR(+IF(BS$27=ProposalToGnatt[[#This Row],[Start Date]],Milestone_Marker,IF(AND(BS$27&gt;ProposalToGnatt[[#This Row],[Start Date]],BS$27&lt;ProposalToGnatt[[#This Row],[Start Date]]+ProposalToGnatt[[#This Row],[Days]]),$G$5,"")),"")</f>
        <v/>
      </c>
      <c r="BT30" s="36" t="str">
        <f ca="1">IFERROR(+IF(BT$27=ProposalToGnatt[[#This Row],[Start Date]],Milestone_Marker,IF(AND(BT$27&gt;ProposalToGnatt[[#This Row],[Start Date]],BT$27&lt;ProposalToGnatt[[#This Row],[Start Date]]+ProposalToGnatt[[#This Row],[Days]]),$G$5,"")),"")</f>
        <v/>
      </c>
      <c r="BU30" s="36" t="str">
        <f ca="1">IFERROR(+IF(BU$27=ProposalToGnatt[[#This Row],[Start Date]],Milestone_Marker,IF(AND(BU$27&gt;ProposalToGnatt[[#This Row],[Start Date]],BU$27&lt;ProposalToGnatt[[#This Row],[Start Date]]+ProposalToGnatt[[#This Row],[Days]]),$G$5,"")),"")</f>
        <v/>
      </c>
      <c r="BV30" s="36" t="str">
        <f ca="1">IFERROR(+IF(BV$27=ProposalToGnatt[[#This Row],[Start Date]],Milestone_Marker,IF(AND(BV$27&gt;ProposalToGnatt[[#This Row],[Start Date]],BV$27&lt;ProposalToGnatt[[#This Row],[Start Date]]+ProposalToGnatt[[#This Row],[Days]]),$G$5,"")),"")</f>
        <v/>
      </c>
      <c r="BW30" s="36" t="str">
        <f ca="1">IFERROR(+IF(BW$27=ProposalToGnatt[[#This Row],[Start Date]],Milestone_Marker,IF(AND(BW$27&gt;ProposalToGnatt[[#This Row],[Start Date]],BW$27&lt;ProposalToGnatt[[#This Row],[Start Date]]+ProposalToGnatt[[#This Row],[Days]]),$G$5,"")),"")</f>
        <v/>
      </c>
      <c r="BX30" s="36" t="str">
        <f ca="1">IFERROR(+IF(BX$27=ProposalToGnatt[[#This Row],[Start Date]],Milestone_Marker,IF(AND(BX$27&gt;ProposalToGnatt[[#This Row],[Start Date]],BX$27&lt;ProposalToGnatt[[#This Row],[Start Date]]+ProposalToGnatt[[#This Row],[Days]]),$G$5,"")),"")</f>
        <v/>
      </c>
      <c r="BY30" s="36" t="str">
        <f ca="1">IFERROR(+IF(BY$27=ProposalToGnatt[[#This Row],[Start Date]],Milestone_Marker,IF(AND(BY$27&gt;ProposalToGnatt[[#This Row],[Start Date]],BY$27&lt;ProposalToGnatt[[#This Row],[Start Date]]+ProposalToGnatt[[#This Row],[Days]]),$G$5,"")),"")</f>
        <v/>
      </c>
      <c r="BZ30" s="36" t="str">
        <f ca="1">IFERROR(+IF(BZ$27=ProposalToGnatt[[#This Row],[Start Date]],Milestone_Marker,IF(AND(BZ$27&gt;ProposalToGnatt[[#This Row],[Start Date]],BZ$27&lt;ProposalToGnatt[[#This Row],[Start Date]]+ProposalToGnatt[[#This Row],[Days]]),$G$5,"")),"")</f>
        <v/>
      </c>
      <c r="CA30" s="36" t="str">
        <f ca="1">IFERROR(+IF(CA$27=ProposalToGnatt[[#This Row],[Start Date]],Milestone_Marker,IF(AND(CA$27&gt;ProposalToGnatt[[#This Row],[Start Date]],CA$27&lt;ProposalToGnatt[[#This Row],[Start Date]]+ProposalToGnatt[[#This Row],[Days]]),$G$5,"")),"")</f>
        <v/>
      </c>
      <c r="CB30" s="36" t="str">
        <f ca="1">IFERROR(+IF(CB$27=ProposalToGnatt[[#This Row],[Start Date]],Milestone_Marker,IF(AND(CB$27&gt;ProposalToGnatt[[#This Row],[Start Date]],CB$27&lt;ProposalToGnatt[[#This Row],[Start Date]]+ProposalToGnatt[[#This Row],[Days]]),$G$5,"")),"")</f>
        <v/>
      </c>
      <c r="CC30" s="36" t="str">
        <f ca="1">IFERROR(+IF(CC$27=ProposalToGnatt[[#This Row],[Start Date]],Milestone_Marker,IF(AND(CC$27&gt;ProposalToGnatt[[#This Row],[Start Date]],CC$27&lt;ProposalToGnatt[[#This Row],[Start Date]]+ProposalToGnatt[[#This Row],[Days]]),$G$5,"")),"")</f>
        <v/>
      </c>
      <c r="CD30" s="36" t="str">
        <f ca="1">IFERROR(+IF(CD$27=ProposalToGnatt[[#This Row],[Start Date]],Milestone_Marker,IF(AND(CD$27&gt;ProposalToGnatt[[#This Row],[Start Date]],CD$27&lt;ProposalToGnatt[[#This Row],[Start Date]]+ProposalToGnatt[[#This Row],[Days]]),$G$5,"")),"")</f>
        <v/>
      </c>
      <c r="CE30" s="36" t="str">
        <f ca="1">IFERROR(+IF(CE$27=ProposalToGnatt[[#This Row],[Start Date]],Milestone_Marker,IF(AND(CE$27&gt;ProposalToGnatt[[#This Row],[Start Date]],CE$27&lt;ProposalToGnatt[[#This Row],[Start Date]]+ProposalToGnatt[[#This Row],[Days]]),$G$5,"")),"")</f>
        <v/>
      </c>
      <c r="CF30" s="36" t="str">
        <f ca="1">IFERROR(+IF(CF$27=ProposalToGnatt[[#This Row],[Start Date]],Milestone_Marker,IF(AND(CF$27&gt;ProposalToGnatt[[#This Row],[Start Date]],CF$27&lt;ProposalToGnatt[[#This Row],[Start Date]]+ProposalToGnatt[[#This Row],[Days]]),$G$5,"")),"")</f>
        <v/>
      </c>
      <c r="CG30" s="36" t="str">
        <f ca="1">IFERROR(+IF(CG$27=ProposalToGnatt[[#This Row],[Start Date]],Milestone_Marker,IF(AND(CG$27&gt;ProposalToGnatt[[#This Row],[Start Date]],CG$27&lt;ProposalToGnatt[[#This Row],[Start Date]]+ProposalToGnatt[[#This Row],[Days]]),$G$5,"")),"")</f>
        <v/>
      </c>
      <c r="CH30" s="36" t="str">
        <f ca="1">IFERROR(+IF(CH$27=ProposalToGnatt[[#This Row],[Start Date]],Milestone_Marker,IF(AND(CH$27&gt;ProposalToGnatt[[#This Row],[Start Date]],CH$27&lt;ProposalToGnatt[[#This Row],[Start Date]]+ProposalToGnatt[[#This Row],[Days]]),$G$5,"")),"")</f>
        <v/>
      </c>
      <c r="CI30" s="36" t="str">
        <f ca="1">IFERROR(+IF(CI$27=ProposalToGnatt[[#This Row],[Start Date]],Milestone_Marker,IF(AND(CI$27&gt;ProposalToGnatt[[#This Row],[Start Date]],CI$27&lt;ProposalToGnatt[[#This Row],[Start Date]]+ProposalToGnatt[[#This Row],[Days]]),$G$5,"")),"")</f>
        <v/>
      </c>
      <c r="CJ30" s="36" t="str">
        <f ca="1">IFERROR(+IF(CJ$27=ProposalToGnatt[[#This Row],[Start Date]],Milestone_Marker,IF(AND(CJ$27&gt;ProposalToGnatt[[#This Row],[Start Date]],CJ$27&lt;ProposalToGnatt[[#This Row],[Start Date]]+ProposalToGnatt[[#This Row],[Days]]),$G$5,"")),"")</f>
        <v/>
      </c>
      <c r="CK30" s="36" t="str">
        <f ca="1">IFERROR(+IF(CK$27=ProposalToGnatt[[#This Row],[Start Date]],Milestone_Marker,IF(AND(CK$27&gt;ProposalToGnatt[[#This Row],[Start Date]],CK$27&lt;ProposalToGnatt[[#This Row],[Start Date]]+ProposalToGnatt[[#This Row],[Days]]),$G$5,"")),"")</f>
        <v/>
      </c>
      <c r="CL30" s="36" t="str">
        <f ca="1">IFERROR(+IF(CL$27=ProposalToGnatt[[#This Row],[Start Date]],Milestone_Marker,IF(AND(CL$27&gt;ProposalToGnatt[[#This Row],[Start Date]],CL$27&lt;ProposalToGnatt[[#This Row],[Start Date]]+ProposalToGnatt[[#This Row],[Days]]),$G$5,"")),"")</f>
        <v/>
      </c>
      <c r="CM30" s="36" t="str">
        <f ca="1">IFERROR(+IF(CM$27=ProposalToGnatt[[#This Row],[Start Date]],Milestone_Marker,IF(AND(CM$27&gt;ProposalToGnatt[[#This Row],[Start Date]],CM$27&lt;ProposalToGnatt[[#This Row],[Start Date]]+ProposalToGnatt[[#This Row],[Days]]),$G$5,"")),"")</f>
        <v/>
      </c>
      <c r="CN30" s="36" t="str">
        <f ca="1">IFERROR(+IF(CN$27=ProposalToGnatt[[#This Row],[Start Date]],Milestone_Marker,IF(AND(CN$27&gt;ProposalToGnatt[[#This Row],[Start Date]],CN$27&lt;ProposalToGnatt[[#This Row],[Start Date]]+ProposalToGnatt[[#This Row],[Days]]),$G$5,"")),"")</f>
        <v/>
      </c>
      <c r="CO30" s="36" t="str">
        <f ca="1">IFERROR(+IF(CO$27=ProposalToGnatt[[#This Row],[Start Date]],Milestone_Marker,IF(AND(CO$27&gt;ProposalToGnatt[[#This Row],[Start Date]],CO$27&lt;ProposalToGnatt[[#This Row],[Start Date]]+ProposalToGnatt[[#This Row],[Days]]),$G$5,"")),"")</f>
        <v/>
      </c>
      <c r="CP30" s="36" t="str">
        <f ca="1">IFERROR(+IF(CP$27=ProposalToGnatt[[#This Row],[Start Date]],Milestone_Marker,IF(AND(CP$27&gt;ProposalToGnatt[[#This Row],[Start Date]],CP$27&lt;ProposalToGnatt[[#This Row],[Start Date]]+ProposalToGnatt[[#This Row],[Days]]),$G$5,"")),"")</f>
        <v/>
      </c>
      <c r="CQ30" s="36" t="str">
        <f ca="1">IFERROR(+IF(CQ$27=ProposalToGnatt[[#This Row],[Start Date]],Milestone_Marker,IF(AND(CQ$27&gt;ProposalToGnatt[[#This Row],[Start Date]],CQ$27&lt;ProposalToGnatt[[#This Row],[Start Date]]+ProposalToGnatt[[#This Row],[Days]]),$G$5,"")),"")</f>
        <v/>
      </c>
      <c r="CR30" s="36" t="str">
        <f ca="1">IFERROR(+IF(CR$27=ProposalToGnatt[[#This Row],[Start Date]],Milestone_Marker,IF(AND(CR$27&gt;ProposalToGnatt[[#This Row],[Start Date]],CR$27&lt;ProposalToGnatt[[#This Row],[Start Date]]+ProposalToGnatt[[#This Row],[Days]]),$G$5,"")),"")</f>
        <v/>
      </c>
      <c r="CS30" s="36" t="str">
        <f ca="1">IFERROR(+IF(CS$27=ProposalToGnatt[[#This Row],[Start Date]],Milestone_Marker,IF(AND(CS$27&gt;ProposalToGnatt[[#This Row],[Start Date]],CS$27&lt;ProposalToGnatt[[#This Row],[Start Date]]+ProposalToGnatt[[#This Row],[Days]]),$G$5,"")),"")</f>
        <v/>
      </c>
      <c r="CT30" s="36" t="str">
        <f ca="1">IFERROR(+IF(CT$27=ProposalToGnatt[[#This Row],[Start Date]],Milestone_Marker,IF(AND(CT$27&gt;ProposalToGnatt[[#This Row],[Start Date]],CT$27&lt;ProposalToGnatt[[#This Row],[Start Date]]+ProposalToGnatt[[#This Row],[Days]]),$G$5,"")),"")</f>
        <v/>
      </c>
      <c r="CU30" s="36" t="str">
        <f ca="1">IFERROR(+IF(CU$27=ProposalToGnatt[[#This Row],[Start Date]],Milestone_Marker,IF(AND(CU$27&gt;ProposalToGnatt[[#This Row],[Start Date]],CU$27&lt;ProposalToGnatt[[#This Row],[Start Date]]+ProposalToGnatt[[#This Row],[Days]]),$G$5,"")),"")</f>
        <v/>
      </c>
      <c r="CV30" s="36"/>
      <c r="CW30" s="36"/>
      <c r="CX30" s="36"/>
      <c r="CY30" s="36"/>
      <c r="CZ30" s="36"/>
      <c r="DA30" s="36"/>
      <c r="DB30" s="36"/>
      <c r="DC30" s="36"/>
      <c r="DD30" s="36"/>
      <c r="DE30" s="36"/>
      <c r="DF30" s="36"/>
      <c r="DG30" s="36"/>
      <c r="DH30" s="36"/>
      <c r="DI30" s="36"/>
      <c r="DJ30" s="36"/>
      <c r="DK30" s="36"/>
      <c r="DL30" s="36"/>
      <c r="DM30" s="36"/>
      <c r="DN30" s="36"/>
      <c r="DO30" s="36"/>
      <c r="DP30" s="36"/>
      <c r="DQ30" s="36"/>
      <c r="DR30" s="36"/>
      <c r="DS30" s="36"/>
      <c r="DT30" s="36"/>
      <c r="DU30" s="36"/>
    </row>
    <row r="31" spans="1:125" s="41" customFormat="1" ht="20.100000000000001" customHeight="1" x14ac:dyDescent="0.25">
      <c r="A31" t="s">
        <v>267</v>
      </c>
      <c r="B31">
        <v>13</v>
      </c>
      <c r="C31"/>
      <c r="D31" t="s">
        <v>886</v>
      </c>
      <c r="E31" s="568" t="s">
        <v>936</v>
      </c>
      <c r="F31">
        <v>0</v>
      </c>
      <c r="G31" s="14"/>
      <c r="H31" s="14"/>
      <c r="I31"/>
      <c r="J31">
        <v>1</v>
      </c>
      <c r="K31" s="249"/>
      <c r="L31"/>
      <c r="M31" s="14"/>
      <c r="N31" s="300"/>
      <c r="O31" s="554"/>
      <c r="P31" s="36" t="str">
        <f ca="1">IFERROR(+IF(P$27=ProposalToGnatt[[#This Row],[Start Date]],Milestone_Marker,IF(AND(P$27&gt;ProposalToGnatt[[#This Row],[Start Date]],P$27&lt;ProposalToGnatt[[#This Row],[Start Date]]+ProposalToGnatt[[#This Row],[Days]]),$G$5,"")),"")</f>
        <v/>
      </c>
      <c r="Q31" s="36" t="str">
        <f ca="1">IFERROR(+IF(Q$27=ProposalToGnatt[[#This Row],[Start Date]],Milestone_Marker,IF(AND(Q$27&gt;ProposalToGnatt[[#This Row],[Start Date]],Q$27&lt;ProposalToGnatt[[#This Row],[Start Date]]+ProposalToGnatt[[#This Row],[Days]]),$G$5,"")),"")</f>
        <v/>
      </c>
      <c r="R31" s="36" t="str">
        <f ca="1">IFERROR(+IF(R$27=ProposalToGnatt[[#This Row],[Start Date]],Milestone_Marker,IF(AND(R$27&gt;ProposalToGnatt[[#This Row],[Start Date]],R$27&lt;ProposalToGnatt[[#This Row],[Start Date]]+ProposalToGnatt[[#This Row],[Days]]),$G$5,"")),"")</f>
        <v/>
      </c>
      <c r="S31" s="36" t="str">
        <f ca="1">IFERROR(+IF(S$27=ProposalToGnatt[[#This Row],[Start Date]],Milestone_Marker,IF(AND(S$27&gt;ProposalToGnatt[[#This Row],[Start Date]],S$27&lt;ProposalToGnatt[[#This Row],[Start Date]]+ProposalToGnatt[[#This Row],[Days]]),$G$5,"")),"")</f>
        <v/>
      </c>
      <c r="T31" s="36" t="str">
        <f ca="1">IFERROR(+IF(T$27=ProposalToGnatt[[#This Row],[Start Date]],Milestone_Marker,IF(AND(T$27&gt;ProposalToGnatt[[#This Row],[Start Date]],T$27&lt;ProposalToGnatt[[#This Row],[Start Date]]+ProposalToGnatt[[#This Row],[Days]]),$G$5,"")),"")</f>
        <v/>
      </c>
      <c r="U31" s="36" t="str">
        <f ca="1">IFERROR(+IF(U$27=ProposalToGnatt[[#This Row],[Start Date]],Milestone_Marker,IF(AND(U$27&gt;ProposalToGnatt[[#This Row],[Start Date]],U$27&lt;ProposalToGnatt[[#This Row],[Start Date]]+ProposalToGnatt[[#This Row],[Days]]),$G$5,"")),"")</f>
        <v/>
      </c>
      <c r="V31" s="36" t="str">
        <f ca="1">IFERROR(+IF(V$27=ProposalToGnatt[[#This Row],[Start Date]],Milestone_Marker,IF(AND(V$27&gt;ProposalToGnatt[[#This Row],[Start Date]],V$27&lt;ProposalToGnatt[[#This Row],[Start Date]]+ProposalToGnatt[[#This Row],[Days]]),$G$5,"")),"")</f>
        <v/>
      </c>
      <c r="W31" s="36" t="str">
        <f ca="1">IFERROR(+IF(W$27=ProposalToGnatt[[#This Row],[Start Date]],Milestone_Marker,IF(AND(W$27&gt;ProposalToGnatt[[#This Row],[Start Date]],W$27&lt;ProposalToGnatt[[#This Row],[Start Date]]+ProposalToGnatt[[#This Row],[Days]]),$G$5,"")),"")</f>
        <v/>
      </c>
      <c r="X31" s="36" t="str">
        <f ca="1">IFERROR(+IF(X$27=ProposalToGnatt[[#This Row],[Start Date]],Milestone_Marker,IF(AND(X$27&gt;ProposalToGnatt[[#This Row],[Start Date]],X$27&lt;ProposalToGnatt[[#This Row],[Start Date]]+ProposalToGnatt[[#This Row],[Days]]),$G$5,"")),"")</f>
        <v/>
      </c>
      <c r="Y31" s="36" t="str">
        <f ca="1">IFERROR(+IF(Y$27=ProposalToGnatt[[#This Row],[Start Date]],Milestone_Marker,IF(AND(Y$27&gt;ProposalToGnatt[[#This Row],[Start Date]],Y$27&lt;ProposalToGnatt[[#This Row],[Start Date]]+ProposalToGnatt[[#This Row],[Days]]),$G$5,"")),"")</f>
        <v/>
      </c>
      <c r="Z31" s="36" t="str">
        <f ca="1">IFERROR(+IF(Z$27=ProposalToGnatt[[#This Row],[Start Date]],Milestone_Marker,IF(AND(Z$27&gt;ProposalToGnatt[[#This Row],[Start Date]],Z$27&lt;ProposalToGnatt[[#This Row],[Start Date]]+ProposalToGnatt[[#This Row],[Days]]),$G$5,"")),"")</f>
        <v/>
      </c>
      <c r="AA31" s="36" t="str">
        <f ca="1">IFERROR(+IF(AA$27=ProposalToGnatt[[#This Row],[Start Date]],Milestone_Marker,IF(AND(AA$27&gt;ProposalToGnatt[[#This Row],[Start Date]],AA$27&lt;ProposalToGnatt[[#This Row],[Start Date]]+ProposalToGnatt[[#This Row],[Days]]),$G$5,"")),"")</f>
        <v/>
      </c>
      <c r="AB31" s="36" t="str">
        <f ca="1">IFERROR(+IF(AB$27=ProposalToGnatt[[#This Row],[Start Date]],Milestone_Marker,IF(AND(AB$27&gt;ProposalToGnatt[[#This Row],[Start Date]],AB$27&lt;ProposalToGnatt[[#This Row],[Start Date]]+ProposalToGnatt[[#This Row],[Days]]),$G$5,"")),"")</f>
        <v/>
      </c>
      <c r="AC31" s="36" t="str">
        <f ca="1">IFERROR(+IF(AC$27=ProposalToGnatt[[#This Row],[Start Date]],Milestone_Marker,IF(AND(AC$27&gt;ProposalToGnatt[[#This Row],[Start Date]],AC$27&lt;ProposalToGnatt[[#This Row],[Start Date]]+ProposalToGnatt[[#This Row],[Days]]),$G$5,"")),"")</f>
        <v/>
      </c>
      <c r="AD31" s="36" t="str">
        <f ca="1">IFERROR(+IF(AD$27=ProposalToGnatt[[#This Row],[Start Date]],Milestone_Marker,IF(AND(AD$27&gt;ProposalToGnatt[[#This Row],[Start Date]],AD$27&lt;ProposalToGnatt[[#This Row],[Start Date]]+ProposalToGnatt[[#This Row],[Days]]),$G$5,"")),"")</f>
        <v/>
      </c>
      <c r="AE31" s="36" t="str">
        <f ca="1">IFERROR(+IF(AE$27=ProposalToGnatt[[#This Row],[Start Date]],Milestone_Marker,IF(AND(AE$27&gt;ProposalToGnatt[[#This Row],[Start Date]],AE$27&lt;ProposalToGnatt[[#This Row],[Start Date]]+ProposalToGnatt[[#This Row],[Days]]),$G$5,"")),"")</f>
        <v/>
      </c>
      <c r="AF31" s="36" t="str">
        <f ca="1">IFERROR(+IF(AF$27=ProposalToGnatt[[#This Row],[Start Date]],Milestone_Marker,IF(AND(AF$27&gt;ProposalToGnatt[[#This Row],[Start Date]],AF$27&lt;ProposalToGnatt[[#This Row],[Start Date]]+ProposalToGnatt[[#This Row],[Days]]),$G$5,"")),"")</f>
        <v/>
      </c>
      <c r="AG31" s="36" t="str">
        <f ca="1">IFERROR(+IF(AG$27=ProposalToGnatt[[#This Row],[Start Date]],Milestone_Marker,IF(AND(AG$27&gt;ProposalToGnatt[[#This Row],[Start Date]],AG$27&lt;ProposalToGnatt[[#This Row],[Start Date]]+ProposalToGnatt[[#This Row],[Days]]),$G$5,"")),"")</f>
        <v/>
      </c>
      <c r="AH31" s="36" t="str">
        <f ca="1">IFERROR(+IF(AH$27=ProposalToGnatt[[#This Row],[Start Date]],Milestone_Marker,IF(AND(AH$27&gt;ProposalToGnatt[[#This Row],[Start Date]],AH$27&lt;ProposalToGnatt[[#This Row],[Start Date]]+ProposalToGnatt[[#This Row],[Days]]),$G$5,"")),"")</f>
        <v/>
      </c>
      <c r="AI31" s="36" t="str">
        <f ca="1">IFERROR(+IF(AI$27=ProposalToGnatt[[#This Row],[Start Date]],Milestone_Marker,IF(AND(AI$27&gt;ProposalToGnatt[[#This Row],[Start Date]],AI$27&lt;ProposalToGnatt[[#This Row],[Start Date]]+ProposalToGnatt[[#This Row],[Days]]),$G$5,"")),"")</f>
        <v/>
      </c>
      <c r="AJ31" s="36" t="str">
        <f ca="1">IFERROR(+IF(AJ$27=ProposalToGnatt[[#This Row],[Start Date]],Milestone_Marker,IF(AND(AJ$27&gt;ProposalToGnatt[[#This Row],[Start Date]],AJ$27&lt;ProposalToGnatt[[#This Row],[Start Date]]+ProposalToGnatt[[#This Row],[Days]]),$G$5,"")),"")</f>
        <v/>
      </c>
      <c r="AK31" s="36" t="str">
        <f ca="1">IFERROR(+IF(AK$27=ProposalToGnatt[[#This Row],[Start Date]],Milestone_Marker,IF(AND(AK$27&gt;ProposalToGnatt[[#This Row],[Start Date]],AK$27&lt;ProposalToGnatt[[#This Row],[Start Date]]+ProposalToGnatt[[#This Row],[Days]]),$G$5,"")),"")</f>
        <v/>
      </c>
      <c r="AL31" s="36" t="str">
        <f ca="1">IFERROR(+IF(AL$27=ProposalToGnatt[[#This Row],[Start Date]],Milestone_Marker,IF(AND(AL$27&gt;ProposalToGnatt[[#This Row],[Start Date]],AL$27&lt;ProposalToGnatt[[#This Row],[Start Date]]+ProposalToGnatt[[#This Row],[Days]]),$G$5,"")),"")</f>
        <v/>
      </c>
      <c r="AM31" s="36" t="str">
        <f ca="1">IFERROR(+IF(AM$27=ProposalToGnatt[[#This Row],[Start Date]],Milestone_Marker,IF(AND(AM$27&gt;ProposalToGnatt[[#This Row],[Start Date]],AM$27&lt;ProposalToGnatt[[#This Row],[Start Date]]+ProposalToGnatt[[#This Row],[Days]]),$G$5,"")),"")</f>
        <v/>
      </c>
      <c r="AN31" s="36" t="str">
        <f ca="1">IFERROR(+IF(AN$27=ProposalToGnatt[[#This Row],[Start Date]],Milestone_Marker,IF(AND(AN$27&gt;ProposalToGnatt[[#This Row],[Start Date]],AN$27&lt;ProposalToGnatt[[#This Row],[Start Date]]+ProposalToGnatt[[#This Row],[Days]]),$G$5,"")),"")</f>
        <v/>
      </c>
      <c r="AO31" s="36" t="str">
        <f ca="1">IFERROR(+IF(AO$27=ProposalToGnatt[[#This Row],[Start Date]],Milestone_Marker,IF(AND(AO$27&gt;ProposalToGnatt[[#This Row],[Start Date]],AO$27&lt;ProposalToGnatt[[#This Row],[Start Date]]+ProposalToGnatt[[#This Row],[Days]]),$G$5,"")),"")</f>
        <v/>
      </c>
      <c r="AP31" s="36" t="str">
        <f ca="1">IFERROR(+IF(AP$27=ProposalToGnatt[[#This Row],[Start Date]],Milestone_Marker,IF(AND(AP$27&gt;ProposalToGnatt[[#This Row],[Start Date]],AP$27&lt;ProposalToGnatt[[#This Row],[Start Date]]+ProposalToGnatt[[#This Row],[Days]]),$G$5,"")),"")</f>
        <v/>
      </c>
      <c r="AQ31" s="36" t="str">
        <f ca="1">IFERROR(+IF(AQ$27=ProposalToGnatt[[#This Row],[Start Date]],Milestone_Marker,IF(AND(AQ$27&gt;ProposalToGnatt[[#This Row],[Start Date]],AQ$27&lt;ProposalToGnatt[[#This Row],[Start Date]]+ProposalToGnatt[[#This Row],[Days]]),$G$5,"")),"")</f>
        <v/>
      </c>
      <c r="AR31" s="36" t="str">
        <f ca="1">IFERROR(+IF(AR$27=ProposalToGnatt[[#This Row],[Start Date]],Milestone_Marker,IF(AND(AR$27&gt;ProposalToGnatt[[#This Row],[Start Date]],AR$27&lt;ProposalToGnatt[[#This Row],[Start Date]]+ProposalToGnatt[[#This Row],[Days]]),$G$5,"")),"")</f>
        <v/>
      </c>
      <c r="AS31" s="36" t="str">
        <f ca="1">IFERROR(+IF(AS$27=ProposalToGnatt[[#This Row],[Start Date]],Milestone_Marker,IF(AND(AS$27&gt;ProposalToGnatt[[#This Row],[Start Date]],AS$27&lt;ProposalToGnatt[[#This Row],[Start Date]]+ProposalToGnatt[[#This Row],[Days]]),$G$5,"")),"")</f>
        <v/>
      </c>
      <c r="AT31" s="36" t="str">
        <f ca="1">IFERROR(+IF(AT$27=ProposalToGnatt[[#This Row],[Start Date]],Milestone_Marker,IF(AND(AT$27&gt;ProposalToGnatt[[#This Row],[Start Date]],AT$27&lt;ProposalToGnatt[[#This Row],[Start Date]]+ProposalToGnatt[[#This Row],[Days]]),$G$5,"")),"")</f>
        <v/>
      </c>
      <c r="AU31" s="36" t="str">
        <f ca="1">IFERROR(+IF(AU$27=ProposalToGnatt[[#This Row],[Start Date]],Milestone_Marker,IF(AND(AU$27&gt;ProposalToGnatt[[#This Row],[Start Date]],AU$27&lt;ProposalToGnatt[[#This Row],[Start Date]]+ProposalToGnatt[[#This Row],[Days]]),$G$5,"")),"")</f>
        <v/>
      </c>
      <c r="AV31" s="36" t="str">
        <f ca="1">IFERROR(+IF(AV$27=ProposalToGnatt[[#This Row],[Start Date]],Milestone_Marker,IF(AND(AV$27&gt;ProposalToGnatt[[#This Row],[Start Date]],AV$27&lt;ProposalToGnatt[[#This Row],[Start Date]]+ProposalToGnatt[[#This Row],[Days]]),$G$5,"")),"")</f>
        <v/>
      </c>
      <c r="AW31" s="36" t="str">
        <f ca="1">IFERROR(+IF(AW$27=ProposalToGnatt[[#This Row],[Start Date]],Milestone_Marker,IF(AND(AW$27&gt;ProposalToGnatt[[#This Row],[Start Date]],AW$27&lt;ProposalToGnatt[[#This Row],[Start Date]]+ProposalToGnatt[[#This Row],[Days]]),$G$5,"")),"")</f>
        <v/>
      </c>
      <c r="AX31" s="36" t="str">
        <f ca="1">IFERROR(+IF(AX$27=ProposalToGnatt[[#This Row],[Start Date]],Milestone_Marker,IF(AND(AX$27&gt;ProposalToGnatt[[#This Row],[Start Date]],AX$27&lt;ProposalToGnatt[[#This Row],[Start Date]]+ProposalToGnatt[[#This Row],[Days]]),$G$5,"")),"")</f>
        <v/>
      </c>
      <c r="AY31" s="36" t="str">
        <f ca="1">IFERROR(+IF(AY$27=ProposalToGnatt[[#This Row],[Start Date]],Milestone_Marker,IF(AND(AY$27&gt;ProposalToGnatt[[#This Row],[Start Date]],AY$27&lt;ProposalToGnatt[[#This Row],[Start Date]]+ProposalToGnatt[[#This Row],[Days]]),$G$5,"")),"")</f>
        <v/>
      </c>
      <c r="AZ31" s="36" t="str">
        <f ca="1">IFERROR(+IF(AZ$27=ProposalToGnatt[[#This Row],[Start Date]],Milestone_Marker,IF(AND(AZ$27&gt;ProposalToGnatt[[#This Row],[Start Date]],AZ$27&lt;ProposalToGnatt[[#This Row],[Start Date]]+ProposalToGnatt[[#This Row],[Days]]),$G$5,"")),"")</f>
        <v/>
      </c>
      <c r="BA31" s="36" t="str">
        <f ca="1">IFERROR(+IF(BA$27=ProposalToGnatt[[#This Row],[Start Date]],Milestone_Marker,IF(AND(BA$27&gt;ProposalToGnatt[[#This Row],[Start Date]],BA$27&lt;ProposalToGnatt[[#This Row],[Start Date]]+ProposalToGnatt[[#This Row],[Days]]),$G$5,"")),"")</f>
        <v/>
      </c>
      <c r="BB31" s="36" t="str">
        <f ca="1">IFERROR(+IF(BB$27=ProposalToGnatt[[#This Row],[Start Date]],Milestone_Marker,IF(AND(BB$27&gt;ProposalToGnatt[[#This Row],[Start Date]],BB$27&lt;ProposalToGnatt[[#This Row],[Start Date]]+ProposalToGnatt[[#This Row],[Days]]),$G$5,"")),"")</f>
        <v/>
      </c>
      <c r="BC31" s="36" t="str">
        <f ca="1">IFERROR(+IF(BC$27=ProposalToGnatt[[#This Row],[Start Date]],Milestone_Marker,IF(AND(BC$27&gt;ProposalToGnatt[[#This Row],[Start Date]],BC$27&lt;ProposalToGnatt[[#This Row],[Start Date]]+ProposalToGnatt[[#This Row],[Days]]),$G$5,"")),"")</f>
        <v/>
      </c>
      <c r="BD31" s="36" t="str">
        <f ca="1">IFERROR(+IF(BD$27=ProposalToGnatt[[#This Row],[Start Date]],Milestone_Marker,IF(AND(BD$27&gt;ProposalToGnatt[[#This Row],[Start Date]],BD$27&lt;ProposalToGnatt[[#This Row],[Start Date]]+ProposalToGnatt[[#This Row],[Days]]),$G$5,"")),"")</f>
        <v/>
      </c>
      <c r="BE31" s="36" t="str">
        <f ca="1">IFERROR(+IF(BE$27=ProposalToGnatt[[#This Row],[Start Date]],Milestone_Marker,IF(AND(BE$27&gt;ProposalToGnatt[[#This Row],[Start Date]],BE$27&lt;ProposalToGnatt[[#This Row],[Start Date]]+ProposalToGnatt[[#This Row],[Days]]),$G$5,"")),"")</f>
        <v/>
      </c>
      <c r="BF31" s="36" t="str">
        <f ca="1">IFERROR(+IF(BF$27=ProposalToGnatt[[#This Row],[Start Date]],Milestone_Marker,IF(AND(BF$27&gt;ProposalToGnatt[[#This Row],[Start Date]],BF$27&lt;ProposalToGnatt[[#This Row],[Start Date]]+ProposalToGnatt[[#This Row],[Days]]),$G$5,"")),"")</f>
        <v/>
      </c>
      <c r="BG31" s="36" t="str">
        <f ca="1">IFERROR(+IF(BG$27=ProposalToGnatt[[#This Row],[Start Date]],Milestone_Marker,IF(AND(BG$27&gt;ProposalToGnatt[[#This Row],[Start Date]],BG$27&lt;ProposalToGnatt[[#This Row],[Start Date]]+ProposalToGnatt[[#This Row],[Days]]),$G$5,"")),"")</f>
        <v/>
      </c>
      <c r="BH31" s="36" t="str">
        <f ca="1">IFERROR(+IF(BH$27=ProposalToGnatt[[#This Row],[Start Date]],Milestone_Marker,IF(AND(BH$27&gt;ProposalToGnatt[[#This Row],[Start Date]],BH$27&lt;ProposalToGnatt[[#This Row],[Start Date]]+ProposalToGnatt[[#This Row],[Days]]),$G$5,"")),"")</f>
        <v/>
      </c>
      <c r="BI31" s="36" t="str">
        <f ca="1">IFERROR(+IF(BI$27=ProposalToGnatt[[#This Row],[Start Date]],Milestone_Marker,IF(AND(BI$27&gt;ProposalToGnatt[[#This Row],[Start Date]],BI$27&lt;ProposalToGnatt[[#This Row],[Start Date]]+ProposalToGnatt[[#This Row],[Days]]),$G$5,"")),"")</f>
        <v/>
      </c>
      <c r="BJ31" s="36" t="str">
        <f ca="1">IFERROR(+IF(BJ$27=ProposalToGnatt[[#This Row],[Start Date]],Milestone_Marker,IF(AND(BJ$27&gt;ProposalToGnatt[[#This Row],[Start Date]],BJ$27&lt;ProposalToGnatt[[#This Row],[Start Date]]+ProposalToGnatt[[#This Row],[Days]]),$G$5,"")),"")</f>
        <v/>
      </c>
      <c r="BK31" s="36" t="str">
        <f ca="1">IFERROR(+IF(BK$27=ProposalToGnatt[[#This Row],[Start Date]],Milestone_Marker,IF(AND(BK$27&gt;ProposalToGnatt[[#This Row],[Start Date]],BK$27&lt;ProposalToGnatt[[#This Row],[Start Date]]+ProposalToGnatt[[#This Row],[Days]]),$G$5,"")),"")</f>
        <v/>
      </c>
      <c r="BL31" s="36" t="str">
        <f ca="1">IFERROR(+IF(BL$27=ProposalToGnatt[[#This Row],[Start Date]],Milestone_Marker,IF(AND(BL$27&gt;ProposalToGnatt[[#This Row],[Start Date]],BL$27&lt;ProposalToGnatt[[#This Row],[Start Date]]+ProposalToGnatt[[#This Row],[Days]]),$G$5,"")),"")</f>
        <v/>
      </c>
      <c r="BM31" s="36" t="str">
        <f ca="1">IFERROR(+IF(BM$27=ProposalToGnatt[[#This Row],[Start Date]],Milestone_Marker,IF(AND(BM$27&gt;ProposalToGnatt[[#This Row],[Start Date]],BM$27&lt;ProposalToGnatt[[#This Row],[Start Date]]+ProposalToGnatt[[#This Row],[Days]]),$G$5,"")),"")</f>
        <v/>
      </c>
      <c r="BN31" s="36" t="str">
        <f ca="1">IFERROR(+IF(BN$27=ProposalToGnatt[[#This Row],[Start Date]],Milestone_Marker,IF(AND(BN$27&gt;ProposalToGnatt[[#This Row],[Start Date]],BN$27&lt;ProposalToGnatt[[#This Row],[Start Date]]+ProposalToGnatt[[#This Row],[Days]]),$G$5,"")),"")</f>
        <v/>
      </c>
      <c r="BO31" s="36" t="str">
        <f ca="1">IFERROR(+IF(BO$27=ProposalToGnatt[[#This Row],[Start Date]],Milestone_Marker,IF(AND(BO$27&gt;ProposalToGnatt[[#This Row],[Start Date]],BO$27&lt;ProposalToGnatt[[#This Row],[Start Date]]+ProposalToGnatt[[#This Row],[Days]]),$G$5,"")),"")</f>
        <v/>
      </c>
      <c r="BP31" s="36" t="str">
        <f ca="1">IFERROR(+IF(BP$27=ProposalToGnatt[[#This Row],[Start Date]],Milestone_Marker,IF(AND(BP$27&gt;ProposalToGnatt[[#This Row],[Start Date]],BP$27&lt;ProposalToGnatt[[#This Row],[Start Date]]+ProposalToGnatt[[#This Row],[Days]]),$G$5,"")),"")</f>
        <v/>
      </c>
      <c r="BQ31" s="36" t="str">
        <f ca="1">IFERROR(+IF(BQ$27=ProposalToGnatt[[#This Row],[Start Date]],Milestone_Marker,IF(AND(BQ$27&gt;ProposalToGnatt[[#This Row],[Start Date]],BQ$27&lt;ProposalToGnatt[[#This Row],[Start Date]]+ProposalToGnatt[[#This Row],[Days]]),$G$5,"")),"")</f>
        <v/>
      </c>
      <c r="BR31" s="36" t="str">
        <f ca="1">IFERROR(+IF(BR$27=ProposalToGnatt[[#This Row],[Start Date]],Milestone_Marker,IF(AND(BR$27&gt;ProposalToGnatt[[#This Row],[Start Date]],BR$27&lt;ProposalToGnatt[[#This Row],[Start Date]]+ProposalToGnatt[[#This Row],[Days]]),$G$5,"")),"")</f>
        <v/>
      </c>
      <c r="BS31" s="36" t="str">
        <f ca="1">IFERROR(+IF(BS$27=ProposalToGnatt[[#This Row],[Start Date]],Milestone_Marker,IF(AND(BS$27&gt;ProposalToGnatt[[#This Row],[Start Date]],BS$27&lt;ProposalToGnatt[[#This Row],[Start Date]]+ProposalToGnatt[[#This Row],[Days]]),$G$5,"")),"")</f>
        <v/>
      </c>
      <c r="BT31" s="36" t="str">
        <f ca="1">IFERROR(+IF(BT$27=ProposalToGnatt[[#This Row],[Start Date]],Milestone_Marker,IF(AND(BT$27&gt;ProposalToGnatt[[#This Row],[Start Date]],BT$27&lt;ProposalToGnatt[[#This Row],[Start Date]]+ProposalToGnatt[[#This Row],[Days]]),$G$5,"")),"")</f>
        <v/>
      </c>
      <c r="BU31" s="36" t="str">
        <f ca="1">IFERROR(+IF(BU$27=ProposalToGnatt[[#This Row],[Start Date]],Milestone_Marker,IF(AND(BU$27&gt;ProposalToGnatt[[#This Row],[Start Date]],BU$27&lt;ProposalToGnatt[[#This Row],[Start Date]]+ProposalToGnatt[[#This Row],[Days]]),$G$5,"")),"")</f>
        <v/>
      </c>
      <c r="BV31" s="36" t="str">
        <f ca="1">IFERROR(+IF(BV$27=ProposalToGnatt[[#This Row],[Start Date]],Milestone_Marker,IF(AND(BV$27&gt;ProposalToGnatt[[#This Row],[Start Date]],BV$27&lt;ProposalToGnatt[[#This Row],[Start Date]]+ProposalToGnatt[[#This Row],[Days]]),$G$5,"")),"")</f>
        <v/>
      </c>
      <c r="BW31" s="36" t="str">
        <f ca="1">IFERROR(+IF(BW$27=ProposalToGnatt[[#This Row],[Start Date]],Milestone_Marker,IF(AND(BW$27&gt;ProposalToGnatt[[#This Row],[Start Date]],BW$27&lt;ProposalToGnatt[[#This Row],[Start Date]]+ProposalToGnatt[[#This Row],[Days]]),$G$5,"")),"")</f>
        <v/>
      </c>
      <c r="BX31" s="36" t="str">
        <f ca="1">IFERROR(+IF(BX$27=ProposalToGnatt[[#This Row],[Start Date]],Milestone_Marker,IF(AND(BX$27&gt;ProposalToGnatt[[#This Row],[Start Date]],BX$27&lt;ProposalToGnatt[[#This Row],[Start Date]]+ProposalToGnatt[[#This Row],[Days]]),$G$5,"")),"")</f>
        <v/>
      </c>
      <c r="BY31" s="36" t="str">
        <f ca="1">IFERROR(+IF(BY$27=ProposalToGnatt[[#This Row],[Start Date]],Milestone_Marker,IF(AND(BY$27&gt;ProposalToGnatt[[#This Row],[Start Date]],BY$27&lt;ProposalToGnatt[[#This Row],[Start Date]]+ProposalToGnatt[[#This Row],[Days]]),$G$5,"")),"")</f>
        <v/>
      </c>
      <c r="BZ31" s="36" t="str">
        <f ca="1">IFERROR(+IF(BZ$27=ProposalToGnatt[[#This Row],[Start Date]],Milestone_Marker,IF(AND(BZ$27&gt;ProposalToGnatt[[#This Row],[Start Date]],BZ$27&lt;ProposalToGnatt[[#This Row],[Start Date]]+ProposalToGnatt[[#This Row],[Days]]),$G$5,"")),"")</f>
        <v/>
      </c>
      <c r="CA31" s="36" t="str">
        <f ca="1">IFERROR(+IF(CA$27=ProposalToGnatt[[#This Row],[Start Date]],Milestone_Marker,IF(AND(CA$27&gt;ProposalToGnatt[[#This Row],[Start Date]],CA$27&lt;ProposalToGnatt[[#This Row],[Start Date]]+ProposalToGnatt[[#This Row],[Days]]),$G$5,"")),"")</f>
        <v/>
      </c>
      <c r="CB31" s="36" t="str">
        <f ca="1">IFERROR(+IF(CB$27=ProposalToGnatt[[#This Row],[Start Date]],Milestone_Marker,IF(AND(CB$27&gt;ProposalToGnatt[[#This Row],[Start Date]],CB$27&lt;ProposalToGnatt[[#This Row],[Start Date]]+ProposalToGnatt[[#This Row],[Days]]),$G$5,"")),"")</f>
        <v/>
      </c>
      <c r="CC31" s="36" t="str">
        <f ca="1">IFERROR(+IF(CC$27=ProposalToGnatt[[#This Row],[Start Date]],Milestone_Marker,IF(AND(CC$27&gt;ProposalToGnatt[[#This Row],[Start Date]],CC$27&lt;ProposalToGnatt[[#This Row],[Start Date]]+ProposalToGnatt[[#This Row],[Days]]),$G$5,"")),"")</f>
        <v/>
      </c>
      <c r="CD31" s="36" t="str">
        <f ca="1">IFERROR(+IF(CD$27=ProposalToGnatt[[#This Row],[Start Date]],Milestone_Marker,IF(AND(CD$27&gt;ProposalToGnatt[[#This Row],[Start Date]],CD$27&lt;ProposalToGnatt[[#This Row],[Start Date]]+ProposalToGnatt[[#This Row],[Days]]),$G$5,"")),"")</f>
        <v/>
      </c>
      <c r="CE31" s="36" t="str">
        <f ca="1">IFERROR(+IF(CE$27=ProposalToGnatt[[#This Row],[Start Date]],Milestone_Marker,IF(AND(CE$27&gt;ProposalToGnatt[[#This Row],[Start Date]],CE$27&lt;ProposalToGnatt[[#This Row],[Start Date]]+ProposalToGnatt[[#This Row],[Days]]),$G$5,"")),"")</f>
        <v/>
      </c>
      <c r="CF31" s="36" t="str">
        <f ca="1">IFERROR(+IF(CF$27=ProposalToGnatt[[#This Row],[Start Date]],Milestone_Marker,IF(AND(CF$27&gt;ProposalToGnatt[[#This Row],[Start Date]],CF$27&lt;ProposalToGnatt[[#This Row],[Start Date]]+ProposalToGnatt[[#This Row],[Days]]),$G$5,"")),"")</f>
        <v/>
      </c>
      <c r="CG31" s="36" t="str">
        <f ca="1">IFERROR(+IF(CG$27=ProposalToGnatt[[#This Row],[Start Date]],Milestone_Marker,IF(AND(CG$27&gt;ProposalToGnatt[[#This Row],[Start Date]],CG$27&lt;ProposalToGnatt[[#This Row],[Start Date]]+ProposalToGnatt[[#This Row],[Days]]),$G$5,"")),"")</f>
        <v/>
      </c>
      <c r="CH31" s="36" t="str">
        <f ca="1">IFERROR(+IF(CH$27=ProposalToGnatt[[#This Row],[Start Date]],Milestone_Marker,IF(AND(CH$27&gt;ProposalToGnatt[[#This Row],[Start Date]],CH$27&lt;ProposalToGnatt[[#This Row],[Start Date]]+ProposalToGnatt[[#This Row],[Days]]),$G$5,"")),"")</f>
        <v/>
      </c>
      <c r="CI31" s="36" t="str">
        <f ca="1">IFERROR(+IF(CI$27=ProposalToGnatt[[#This Row],[Start Date]],Milestone_Marker,IF(AND(CI$27&gt;ProposalToGnatt[[#This Row],[Start Date]],CI$27&lt;ProposalToGnatt[[#This Row],[Start Date]]+ProposalToGnatt[[#This Row],[Days]]),$G$5,"")),"")</f>
        <v/>
      </c>
      <c r="CJ31" s="36" t="str">
        <f ca="1">IFERROR(+IF(CJ$27=ProposalToGnatt[[#This Row],[Start Date]],Milestone_Marker,IF(AND(CJ$27&gt;ProposalToGnatt[[#This Row],[Start Date]],CJ$27&lt;ProposalToGnatt[[#This Row],[Start Date]]+ProposalToGnatt[[#This Row],[Days]]),$G$5,"")),"")</f>
        <v/>
      </c>
      <c r="CK31" s="36" t="str">
        <f ca="1">IFERROR(+IF(CK$27=ProposalToGnatt[[#This Row],[Start Date]],Milestone_Marker,IF(AND(CK$27&gt;ProposalToGnatt[[#This Row],[Start Date]],CK$27&lt;ProposalToGnatt[[#This Row],[Start Date]]+ProposalToGnatt[[#This Row],[Days]]),$G$5,"")),"")</f>
        <v/>
      </c>
      <c r="CL31" s="36" t="str">
        <f ca="1">IFERROR(+IF(CL$27=ProposalToGnatt[[#This Row],[Start Date]],Milestone_Marker,IF(AND(CL$27&gt;ProposalToGnatt[[#This Row],[Start Date]],CL$27&lt;ProposalToGnatt[[#This Row],[Start Date]]+ProposalToGnatt[[#This Row],[Days]]),$G$5,"")),"")</f>
        <v/>
      </c>
      <c r="CM31" s="36" t="str">
        <f ca="1">IFERROR(+IF(CM$27=ProposalToGnatt[[#This Row],[Start Date]],Milestone_Marker,IF(AND(CM$27&gt;ProposalToGnatt[[#This Row],[Start Date]],CM$27&lt;ProposalToGnatt[[#This Row],[Start Date]]+ProposalToGnatt[[#This Row],[Days]]),$G$5,"")),"")</f>
        <v/>
      </c>
      <c r="CN31" s="36" t="str">
        <f ca="1">IFERROR(+IF(CN$27=ProposalToGnatt[[#This Row],[Start Date]],Milestone_Marker,IF(AND(CN$27&gt;ProposalToGnatt[[#This Row],[Start Date]],CN$27&lt;ProposalToGnatt[[#This Row],[Start Date]]+ProposalToGnatt[[#This Row],[Days]]),$G$5,"")),"")</f>
        <v/>
      </c>
      <c r="CO31" s="36" t="str">
        <f ca="1">IFERROR(+IF(CO$27=ProposalToGnatt[[#This Row],[Start Date]],Milestone_Marker,IF(AND(CO$27&gt;ProposalToGnatt[[#This Row],[Start Date]],CO$27&lt;ProposalToGnatt[[#This Row],[Start Date]]+ProposalToGnatt[[#This Row],[Days]]),$G$5,"")),"")</f>
        <v/>
      </c>
      <c r="CP31" s="36" t="str">
        <f ca="1">IFERROR(+IF(CP$27=ProposalToGnatt[[#This Row],[Start Date]],Milestone_Marker,IF(AND(CP$27&gt;ProposalToGnatt[[#This Row],[Start Date]],CP$27&lt;ProposalToGnatt[[#This Row],[Start Date]]+ProposalToGnatt[[#This Row],[Days]]),$G$5,"")),"")</f>
        <v/>
      </c>
      <c r="CQ31" s="36" t="str">
        <f ca="1">IFERROR(+IF(CQ$27=ProposalToGnatt[[#This Row],[Start Date]],Milestone_Marker,IF(AND(CQ$27&gt;ProposalToGnatt[[#This Row],[Start Date]],CQ$27&lt;ProposalToGnatt[[#This Row],[Start Date]]+ProposalToGnatt[[#This Row],[Days]]),$G$5,"")),"")</f>
        <v/>
      </c>
      <c r="CR31" s="36" t="str">
        <f ca="1">IFERROR(+IF(CR$27=ProposalToGnatt[[#This Row],[Start Date]],Milestone_Marker,IF(AND(CR$27&gt;ProposalToGnatt[[#This Row],[Start Date]],CR$27&lt;ProposalToGnatt[[#This Row],[Start Date]]+ProposalToGnatt[[#This Row],[Days]]),$G$5,"")),"")</f>
        <v/>
      </c>
      <c r="CS31" s="36" t="str">
        <f ca="1">IFERROR(+IF(CS$27=ProposalToGnatt[[#This Row],[Start Date]],Milestone_Marker,IF(AND(CS$27&gt;ProposalToGnatt[[#This Row],[Start Date]],CS$27&lt;ProposalToGnatt[[#This Row],[Start Date]]+ProposalToGnatt[[#This Row],[Days]]),$G$5,"")),"")</f>
        <v/>
      </c>
      <c r="CT31" s="36" t="str">
        <f ca="1">IFERROR(+IF(CT$27=ProposalToGnatt[[#This Row],[Start Date]],Milestone_Marker,IF(AND(CT$27&gt;ProposalToGnatt[[#This Row],[Start Date]],CT$27&lt;ProposalToGnatt[[#This Row],[Start Date]]+ProposalToGnatt[[#This Row],[Days]]),$G$5,"")),"")</f>
        <v/>
      </c>
      <c r="CU31" s="36" t="str">
        <f ca="1">IFERROR(+IF(CU$27=ProposalToGnatt[[#This Row],[Start Date]],Milestone_Marker,IF(AND(CU$27&gt;ProposalToGnatt[[#This Row],[Start Date]],CU$27&lt;ProposalToGnatt[[#This Row],[Start Date]]+ProposalToGnatt[[#This Row],[Days]]),$G$5,"")),"")</f>
        <v/>
      </c>
      <c r="CV31" s="36"/>
      <c r="CW31" s="36"/>
      <c r="CX31" s="36"/>
      <c r="CY31" s="36"/>
      <c r="CZ31" s="36"/>
      <c r="DA31" s="36"/>
      <c r="DB31" s="36"/>
      <c r="DC31" s="36"/>
      <c r="DD31" s="36"/>
      <c r="DE31" s="36"/>
      <c r="DF31" s="36"/>
      <c r="DG31" s="36"/>
      <c r="DH31" s="36"/>
      <c r="DI31" s="36"/>
      <c r="DJ31" s="36"/>
      <c r="DK31" s="36"/>
      <c r="DL31" s="36"/>
      <c r="DM31" s="36"/>
      <c r="DN31" s="36"/>
      <c r="DO31" s="36"/>
      <c r="DP31" s="36"/>
      <c r="DQ31" s="36"/>
      <c r="DR31" s="36"/>
      <c r="DS31" s="36"/>
      <c r="DT31" s="36"/>
      <c r="DU31" s="36"/>
    </row>
    <row r="32" spans="1:125" s="41" customFormat="1" ht="15" customHeight="1" x14ac:dyDescent="0.25">
      <c r="A32" t="s">
        <v>267</v>
      </c>
      <c r="B32">
        <v>14</v>
      </c>
      <c r="C32"/>
      <c r="D32" t="s">
        <v>885</v>
      </c>
      <c r="E32" s="568" t="s">
        <v>934</v>
      </c>
      <c r="F32">
        <v>6</v>
      </c>
      <c r="G32" s="14">
        <v>25</v>
      </c>
      <c r="H32" s="14">
        <v>150</v>
      </c>
      <c r="I32" t="s">
        <v>3</v>
      </c>
      <c r="J32">
        <v>1</v>
      </c>
      <c r="K32" s="249"/>
      <c r="L32"/>
      <c r="M32" s="14"/>
      <c r="N32" s="300">
        <v>150</v>
      </c>
      <c r="O32" s="554"/>
      <c r="P32" s="36" t="str">
        <f ca="1">IFERROR(+IF(P$27=ProposalToGnatt[[#This Row],[Start Date]],Milestone_Marker,IF(AND(P$27&gt;ProposalToGnatt[[#This Row],[Start Date]],P$27&lt;ProposalToGnatt[[#This Row],[Start Date]]+ProposalToGnatt[[#This Row],[Days]]),$G$5,"")),"")</f>
        <v/>
      </c>
      <c r="Q32" s="36" t="str">
        <f ca="1">IFERROR(+IF(Q$27=ProposalToGnatt[[#This Row],[Start Date]],Milestone_Marker,IF(AND(Q$27&gt;ProposalToGnatt[[#This Row],[Start Date]],Q$27&lt;ProposalToGnatt[[#This Row],[Start Date]]+ProposalToGnatt[[#This Row],[Days]]),$G$5,"")),"")</f>
        <v/>
      </c>
      <c r="R32" s="36" t="str">
        <f ca="1">IFERROR(+IF(R$27=ProposalToGnatt[[#This Row],[Start Date]],Milestone_Marker,IF(AND(R$27&gt;ProposalToGnatt[[#This Row],[Start Date]],R$27&lt;ProposalToGnatt[[#This Row],[Start Date]]+ProposalToGnatt[[#This Row],[Days]]),$G$5,"")),"")</f>
        <v/>
      </c>
      <c r="S32" s="36" t="str">
        <f ca="1">IFERROR(+IF(S$27=ProposalToGnatt[[#This Row],[Start Date]],Milestone_Marker,IF(AND(S$27&gt;ProposalToGnatt[[#This Row],[Start Date]],S$27&lt;ProposalToGnatt[[#This Row],[Start Date]]+ProposalToGnatt[[#This Row],[Days]]),$G$5,"")),"")</f>
        <v/>
      </c>
      <c r="T32" s="36" t="str">
        <f ca="1">IFERROR(+IF(T$27=ProposalToGnatt[[#This Row],[Start Date]],Milestone_Marker,IF(AND(T$27&gt;ProposalToGnatt[[#This Row],[Start Date]],T$27&lt;ProposalToGnatt[[#This Row],[Start Date]]+ProposalToGnatt[[#This Row],[Days]]),$G$5,"")),"")</f>
        <v/>
      </c>
      <c r="U32" s="36" t="str">
        <f ca="1">IFERROR(+IF(U$27=ProposalToGnatt[[#This Row],[Start Date]],Milestone_Marker,IF(AND(U$27&gt;ProposalToGnatt[[#This Row],[Start Date]],U$27&lt;ProposalToGnatt[[#This Row],[Start Date]]+ProposalToGnatt[[#This Row],[Days]]),$G$5,"")),"")</f>
        <v/>
      </c>
      <c r="V32" s="36" t="str">
        <f ca="1">IFERROR(+IF(V$27=ProposalToGnatt[[#This Row],[Start Date]],Milestone_Marker,IF(AND(V$27&gt;ProposalToGnatt[[#This Row],[Start Date]],V$27&lt;ProposalToGnatt[[#This Row],[Start Date]]+ProposalToGnatt[[#This Row],[Days]]),$G$5,"")),"")</f>
        <v/>
      </c>
      <c r="W32" s="36" t="str">
        <f ca="1">IFERROR(+IF(W$27=ProposalToGnatt[[#This Row],[Start Date]],Milestone_Marker,IF(AND(W$27&gt;ProposalToGnatt[[#This Row],[Start Date]],W$27&lt;ProposalToGnatt[[#This Row],[Start Date]]+ProposalToGnatt[[#This Row],[Days]]),$G$5,"")),"")</f>
        <v/>
      </c>
      <c r="X32" s="36" t="str">
        <f ca="1">IFERROR(+IF(X$27=ProposalToGnatt[[#This Row],[Start Date]],Milestone_Marker,IF(AND(X$27&gt;ProposalToGnatt[[#This Row],[Start Date]],X$27&lt;ProposalToGnatt[[#This Row],[Start Date]]+ProposalToGnatt[[#This Row],[Days]]),$G$5,"")),"")</f>
        <v/>
      </c>
      <c r="Y32" s="36" t="str">
        <f ca="1">IFERROR(+IF(Y$27=ProposalToGnatt[[#This Row],[Start Date]],Milestone_Marker,IF(AND(Y$27&gt;ProposalToGnatt[[#This Row],[Start Date]],Y$27&lt;ProposalToGnatt[[#This Row],[Start Date]]+ProposalToGnatt[[#This Row],[Days]]),$G$5,"")),"")</f>
        <v/>
      </c>
      <c r="Z32" s="36" t="str">
        <f ca="1">IFERROR(+IF(Z$27=ProposalToGnatt[[#This Row],[Start Date]],Milestone_Marker,IF(AND(Z$27&gt;ProposalToGnatt[[#This Row],[Start Date]],Z$27&lt;ProposalToGnatt[[#This Row],[Start Date]]+ProposalToGnatt[[#This Row],[Days]]),$G$5,"")),"")</f>
        <v/>
      </c>
      <c r="AA32" s="36" t="str">
        <f ca="1">IFERROR(+IF(AA$27=ProposalToGnatt[[#This Row],[Start Date]],Milestone_Marker,IF(AND(AA$27&gt;ProposalToGnatt[[#This Row],[Start Date]],AA$27&lt;ProposalToGnatt[[#This Row],[Start Date]]+ProposalToGnatt[[#This Row],[Days]]),$G$5,"")),"")</f>
        <v/>
      </c>
      <c r="AB32" s="36" t="str">
        <f ca="1">IFERROR(+IF(AB$27=ProposalToGnatt[[#This Row],[Start Date]],Milestone_Marker,IF(AND(AB$27&gt;ProposalToGnatt[[#This Row],[Start Date]],AB$27&lt;ProposalToGnatt[[#This Row],[Start Date]]+ProposalToGnatt[[#This Row],[Days]]),$G$5,"")),"")</f>
        <v/>
      </c>
      <c r="AC32" s="36" t="str">
        <f ca="1">IFERROR(+IF(AC$27=ProposalToGnatt[[#This Row],[Start Date]],Milestone_Marker,IF(AND(AC$27&gt;ProposalToGnatt[[#This Row],[Start Date]],AC$27&lt;ProposalToGnatt[[#This Row],[Start Date]]+ProposalToGnatt[[#This Row],[Days]]),$G$5,"")),"")</f>
        <v/>
      </c>
      <c r="AD32" s="36" t="str">
        <f ca="1">IFERROR(+IF(AD$27=ProposalToGnatt[[#This Row],[Start Date]],Milestone_Marker,IF(AND(AD$27&gt;ProposalToGnatt[[#This Row],[Start Date]],AD$27&lt;ProposalToGnatt[[#This Row],[Start Date]]+ProposalToGnatt[[#This Row],[Days]]),$G$5,"")),"")</f>
        <v/>
      </c>
      <c r="AE32" s="36" t="str">
        <f ca="1">IFERROR(+IF(AE$27=ProposalToGnatt[[#This Row],[Start Date]],Milestone_Marker,IF(AND(AE$27&gt;ProposalToGnatt[[#This Row],[Start Date]],AE$27&lt;ProposalToGnatt[[#This Row],[Start Date]]+ProposalToGnatt[[#This Row],[Days]]),$G$5,"")),"")</f>
        <v/>
      </c>
      <c r="AF32" s="36" t="str">
        <f ca="1">IFERROR(+IF(AF$27=ProposalToGnatt[[#This Row],[Start Date]],Milestone_Marker,IF(AND(AF$27&gt;ProposalToGnatt[[#This Row],[Start Date]],AF$27&lt;ProposalToGnatt[[#This Row],[Start Date]]+ProposalToGnatt[[#This Row],[Days]]),$G$5,"")),"")</f>
        <v/>
      </c>
      <c r="AG32" s="36" t="str">
        <f ca="1">IFERROR(+IF(AG$27=ProposalToGnatt[[#This Row],[Start Date]],Milestone_Marker,IF(AND(AG$27&gt;ProposalToGnatt[[#This Row],[Start Date]],AG$27&lt;ProposalToGnatt[[#This Row],[Start Date]]+ProposalToGnatt[[#This Row],[Days]]),$G$5,"")),"")</f>
        <v/>
      </c>
      <c r="AH32" s="36" t="str">
        <f ca="1">IFERROR(+IF(AH$27=ProposalToGnatt[[#This Row],[Start Date]],Milestone_Marker,IF(AND(AH$27&gt;ProposalToGnatt[[#This Row],[Start Date]],AH$27&lt;ProposalToGnatt[[#This Row],[Start Date]]+ProposalToGnatt[[#This Row],[Days]]),$G$5,"")),"")</f>
        <v/>
      </c>
      <c r="AI32" s="36" t="str">
        <f ca="1">IFERROR(+IF(AI$27=ProposalToGnatt[[#This Row],[Start Date]],Milestone_Marker,IF(AND(AI$27&gt;ProposalToGnatt[[#This Row],[Start Date]],AI$27&lt;ProposalToGnatt[[#This Row],[Start Date]]+ProposalToGnatt[[#This Row],[Days]]),$G$5,"")),"")</f>
        <v/>
      </c>
      <c r="AJ32" s="36" t="str">
        <f ca="1">IFERROR(+IF(AJ$27=ProposalToGnatt[[#This Row],[Start Date]],Milestone_Marker,IF(AND(AJ$27&gt;ProposalToGnatt[[#This Row],[Start Date]],AJ$27&lt;ProposalToGnatt[[#This Row],[Start Date]]+ProposalToGnatt[[#This Row],[Days]]),$G$5,"")),"")</f>
        <v/>
      </c>
      <c r="AK32" s="36" t="str">
        <f ca="1">IFERROR(+IF(AK$27=ProposalToGnatt[[#This Row],[Start Date]],Milestone_Marker,IF(AND(AK$27&gt;ProposalToGnatt[[#This Row],[Start Date]],AK$27&lt;ProposalToGnatt[[#This Row],[Start Date]]+ProposalToGnatt[[#This Row],[Days]]),$G$5,"")),"")</f>
        <v/>
      </c>
      <c r="AL32" s="36" t="str">
        <f ca="1">IFERROR(+IF(AL$27=ProposalToGnatt[[#This Row],[Start Date]],Milestone_Marker,IF(AND(AL$27&gt;ProposalToGnatt[[#This Row],[Start Date]],AL$27&lt;ProposalToGnatt[[#This Row],[Start Date]]+ProposalToGnatt[[#This Row],[Days]]),$G$5,"")),"")</f>
        <v/>
      </c>
      <c r="AM32" s="36" t="str">
        <f ca="1">IFERROR(+IF(AM$27=ProposalToGnatt[[#This Row],[Start Date]],Milestone_Marker,IF(AND(AM$27&gt;ProposalToGnatt[[#This Row],[Start Date]],AM$27&lt;ProposalToGnatt[[#This Row],[Start Date]]+ProposalToGnatt[[#This Row],[Days]]),$G$5,"")),"")</f>
        <v/>
      </c>
      <c r="AN32" s="36" t="str">
        <f ca="1">IFERROR(+IF(AN$27=ProposalToGnatt[[#This Row],[Start Date]],Milestone_Marker,IF(AND(AN$27&gt;ProposalToGnatt[[#This Row],[Start Date]],AN$27&lt;ProposalToGnatt[[#This Row],[Start Date]]+ProposalToGnatt[[#This Row],[Days]]),$G$5,"")),"")</f>
        <v/>
      </c>
      <c r="AO32" s="36" t="str">
        <f ca="1">IFERROR(+IF(AO$27=ProposalToGnatt[[#This Row],[Start Date]],Milestone_Marker,IF(AND(AO$27&gt;ProposalToGnatt[[#This Row],[Start Date]],AO$27&lt;ProposalToGnatt[[#This Row],[Start Date]]+ProposalToGnatt[[#This Row],[Days]]),$G$5,"")),"")</f>
        <v/>
      </c>
      <c r="AP32" s="36" t="str">
        <f ca="1">IFERROR(+IF(AP$27=ProposalToGnatt[[#This Row],[Start Date]],Milestone_Marker,IF(AND(AP$27&gt;ProposalToGnatt[[#This Row],[Start Date]],AP$27&lt;ProposalToGnatt[[#This Row],[Start Date]]+ProposalToGnatt[[#This Row],[Days]]),$G$5,"")),"")</f>
        <v/>
      </c>
      <c r="AQ32" s="36" t="str">
        <f ca="1">IFERROR(+IF(AQ$27=ProposalToGnatt[[#This Row],[Start Date]],Milestone_Marker,IF(AND(AQ$27&gt;ProposalToGnatt[[#This Row],[Start Date]],AQ$27&lt;ProposalToGnatt[[#This Row],[Start Date]]+ProposalToGnatt[[#This Row],[Days]]),$G$5,"")),"")</f>
        <v/>
      </c>
      <c r="AR32" s="36" t="str">
        <f ca="1">IFERROR(+IF(AR$27=ProposalToGnatt[[#This Row],[Start Date]],Milestone_Marker,IF(AND(AR$27&gt;ProposalToGnatt[[#This Row],[Start Date]],AR$27&lt;ProposalToGnatt[[#This Row],[Start Date]]+ProposalToGnatt[[#This Row],[Days]]),$G$5,"")),"")</f>
        <v/>
      </c>
      <c r="AS32" s="36" t="str">
        <f ca="1">IFERROR(+IF(AS$27=ProposalToGnatt[[#This Row],[Start Date]],Milestone_Marker,IF(AND(AS$27&gt;ProposalToGnatt[[#This Row],[Start Date]],AS$27&lt;ProposalToGnatt[[#This Row],[Start Date]]+ProposalToGnatt[[#This Row],[Days]]),$G$5,"")),"")</f>
        <v/>
      </c>
      <c r="AT32" s="36" t="str">
        <f ca="1">IFERROR(+IF(AT$27=ProposalToGnatt[[#This Row],[Start Date]],Milestone_Marker,IF(AND(AT$27&gt;ProposalToGnatt[[#This Row],[Start Date]],AT$27&lt;ProposalToGnatt[[#This Row],[Start Date]]+ProposalToGnatt[[#This Row],[Days]]),$G$5,"")),"")</f>
        <v/>
      </c>
      <c r="AU32" s="36" t="str">
        <f ca="1">IFERROR(+IF(AU$27=ProposalToGnatt[[#This Row],[Start Date]],Milestone_Marker,IF(AND(AU$27&gt;ProposalToGnatt[[#This Row],[Start Date]],AU$27&lt;ProposalToGnatt[[#This Row],[Start Date]]+ProposalToGnatt[[#This Row],[Days]]),$G$5,"")),"")</f>
        <v/>
      </c>
      <c r="AV32" s="36" t="str">
        <f ca="1">IFERROR(+IF(AV$27=ProposalToGnatt[[#This Row],[Start Date]],Milestone_Marker,IF(AND(AV$27&gt;ProposalToGnatt[[#This Row],[Start Date]],AV$27&lt;ProposalToGnatt[[#This Row],[Start Date]]+ProposalToGnatt[[#This Row],[Days]]),$G$5,"")),"")</f>
        <v/>
      </c>
      <c r="AW32" s="36" t="str">
        <f ca="1">IFERROR(+IF(AW$27=ProposalToGnatt[[#This Row],[Start Date]],Milestone_Marker,IF(AND(AW$27&gt;ProposalToGnatt[[#This Row],[Start Date]],AW$27&lt;ProposalToGnatt[[#This Row],[Start Date]]+ProposalToGnatt[[#This Row],[Days]]),$G$5,"")),"")</f>
        <v/>
      </c>
      <c r="AX32" s="36" t="str">
        <f ca="1">IFERROR(+IF(AX$27=ProposalToGnatt[[#This Row],[Start Date]],Milestone_Marker,IF(AND(AX$27&gt;ProposalToGnatt[[#This Row],[Start Date]],AX$27&lt;ProposalToGnatt[[#This Row],[Start Date]]+ProposalToGnatt[[#This Row],[Days]]),$G$5,"")),"")</f>
        <v/>
      </c>
      <c r="AY32" s="36" t="str">
        <f ca="1">IFERROR(+IF(AY$27=ProposalToGnatt[[#This Row],[Start Date]],Milestone_Marker,IF(AND(AY$27&gt;ProposalToGnatt[[#This Row],[Start Date]],AY$27&lt;ProposalToGnatt[[#This Row],[Start Date]]+ProposalToGnatt[[#This Row],[Days]]),$G$5,"")),"")</f>
        <v/>
      </c>
      <c r="AZ32" s="36" t="str">
        <f ca="1">IFERROR(+IF(AZ$27=ProposalToGnatt[[#This Row],[Start Date]],Milestone_Marker,IF(AND(AZ$27&gt;ProposalToGnatt[[#This Row],[Start Date]],AZ$27&lt;ProposalToGnatt[[#This Row],[Start Date]]+ProposalToGnatt[[#This Row],[Days]]),$G$5,"")),"")</f>
        <v/>
      </c>
      <c r="BA32" s="36" t="str">
        <f ca="1">IFERROR(+IF(BA$27=ProposalToGnatt[[#This Row],[Start Date]],Milestone_Marker,IF(AND(BA$27&gt;ProposalToGnatt[[#This Row],[Start Date]],BA$27&lt;ProposalToGnatt[[#This Row],[Start Date]]+ProposalToGnatt[[#This Row],[Days]]),$G$5,"")),"")</f>
        <v/>
      </c>
      <c r="BB32" s="36" t="str">
        <f ca="1">IFERROR(+IF(BB$27=ProposalToGnatt[[#This Row],[Start Date]],Milestone_Marker,IF(AND(BB$27&gt;ProposalToGnatt[[#This Row],[Start Date]],BB$27&lt;ProposalToGnatt[[#This Row],[Start Date]]+ProposalToGnatt[[#This Row],[Days]]),$G$5,"")),"")</f>
        <v/>
      </c>
      <c r="BC32" s="36" t="str">
        <f ca="1">IFERROR(+IF(BC$27=ProposalToGnatt[[#This Row],[Start Date]],Milestone_Marker,IF(AND(BC$27&gt;ProposalToGnatt[[#This Row],[Start Date]],BC$27&lt;ProposalToGnatt[[#This Row],[Start Date]]+ProposalToGnatt[[#This Row],[Days]]),$G$5,"")),"")</f>
        <v/>
      </c>
      <c r="BD32" s="36" t="str">
        <f ca="1">IFERROR(+IF(BD$27=ProposalToGnatt[[#This Row],[Start Date]],Milestone_Marker,IF(AND(BD$27&gt;ProposalToGnatt[[#This Row],[Start Date]],BD$27&lt;ProposalToGnatt[[#This Row],[Start Date]]+ProposalToGnatt[[#This Row],[Days]]),$G$5,"")),"")</f>
        <v/>
      </c>
      <c r="BE32" s="36" t="str">
        <f ca="1">IFERROR(+IF(BE$27=ProposalToGnatt[[#This Row],[Start Date]],Milestone_Marker,IF(AND(BE$27&gt;ProposalToGnatt[[#This Row],[Start Date]],BE$27&lt;ProposalToGnatt[[#This Row],[Start Date]]+ProposalToGnatt[[#This Row],[Days]]),$G$5,"")),"")</f>
        <v/>
      </c>
      <c r="BF32" s="36" t="str">
        <f ca="1">IFERROR(+IF(BF$27=ProposalToGnatt[[#This Row],[Start Date]],Milestone_Marker,IF(AND(BF$27&gt;ProposalToGnatt[[#This Row],[Start Date]],BF$27&lt;ProposalToGnatt[[#This Row],[Start Date]]+ProposalToGnatt[[#This Row],[Days]]),$G$5,"")),"")</f>
        <v/>
      </c>
      <c r="BG32" s="36" t="str">
        <f ca="1">IFERROR(+IF(BG$27=ProposalToGnatt[[#This Row],[Start Date]],Milestone_Marker,IF(AND(BG$27&gt;ProposalToGnatt[[#This Row],[Start Date]],BG$27&lt;ProposalToGnatt[[#This Row],[Start Date]]+ProposalToGnatt[[#This Row],[Days]]),$G$5,"")),"")</f>
        <v/>
      </c>
      <c r="BH32" s="36" t="str">
        <f ca="1">IFERROR(+IF(BH$27=ProposalToGnatt[[#This Row],[Start Date]],Milestone_Marker,IF(AND(BH$27&gt;ProposalToGnatt[[#This Row],[Start Date]],BH$27&lt;ProposalToGnatt[[#This Row],[Start Date]]+ProposalToGnatt[[#This Row],[Days]]),$G$5,"")),"")</f>
        <v/>
      </c>
      <c r="BI32" s="36" t="str">
        <f ca="1">IFERROR(+IF(BI$27=ProposalToGnatt[[#This Row],[Start Date]],Milestone_Marker,IF(AND(BI$27&gt;ProposalToGnatt[[#This Row],[Start Date]],BI$27&lt;ProposalToGnatt[[#This Row],[Start Date]]+ProposalToGnatt[[#This Row],[Days]]),$G$5,"")),"")</f>
        <v/>
      </c>
      <c r="BJ32" s="36" t="str">
        <f ca="1">IFERROR(+IF(BJ$27=ProposalToGnatt[[#This Row],[Start Date]],Milestone_Marker,IF(AND(BJ$27&gt;ProposalToGnatt[[#This Row],[Start Date]],BJ$27&lt;ProposalToGnatt[[#This Row],[Start Date]]+ProposalToGnatt[[#This Row],[Days]]),$G$5,"")),"")</f>
        <v/>
      </c>
      <c r="BK32" s="36" t="str">
        <f ca="1">IFERROR(+IF(BK$27=ProposalToGnatt[[#This Row],[Start Date]],Milestone_Marker,IF(AND(BK$27&gt;ProposalToGnatt[[#This Row],[Start Date]],BK$27&lt;ProposalToGnatt[[#This Row],[Start Date]]+ProposalToGnatt[[#This Row],[Days]]),$G$5,"")),"")</f>
        <v/>
      </c>
      <c r="BL32" s="36" t="str">
        <f ca="1">IFERROR(+IF(BL$27=ProposalToGnatt[[#This Row],[Start Date]],Milestone_Marker,IF(AND(BL$27&gt;ProposalToGnatt[[#This Row],[Start Date]],BL$27&lt;ProposalToGnatt[[#This Row],[Start Date]]+ProposalToGnatt[[#This Row],[Days]]),$G$5,"")),"")</f>
        <v/>
      </c>
      <c r="BM32" s="36" t="str">
        <f ca="1">IFERROR(+IF(BM$27=ProposalToGnatt[[#This Row],[Start Date]],Milestone_Marker,IF(AND(BM$27&gt;ProposalToGnatt[[#This Row],[Start Date]],BM$27&lt;ProposalToGnatt[[#This Row],[Start Date]]+ProposalToGnatt[[#This Row],[Days]]),$G$5,"")),"")</f>
        <v/>
      </c>
      <c r="BN32" s="36" t="str">
        <f ca="1">IFERROR(+IF(BN$27=ProposalToGnatt[[#This Row],[Start Date]],Milestone_Marker,IF(AND(BN$27&gt;ProposalToGnatt[[#This Row],[Start Date]],BN$27&lt;ProposalToGnatt[[#This Row],[Start Date]]+ProposalToGnatt[[#This Row],[Days]]),$G$5,"")),"")</f>
        <v/>
      </c>
      <c r="BO32" s="36" t="str">
        <f ca="1">IFERROR(+IF(BO$27=ProposalToGnatt[[#This Row],[Start Date]],Milestone_Marker,IF(AND(BO$27&gt;ProposalToGnatt[[#This Row],[Start Date]],BO$27&lt;ProposalToGnatt[[#This Row],[Start Date]]+ProposalToGnatt[[#This Row],[Days]]),$G$5,"")),"")</f>
        <v/>
      </c>
      <c r="BP32" s="36" t="str">
        <f ca="1">IFERROR(+IF(BP$27=ProposalToGnatt[[#This Row],[Start Date]],Milestone_Marker,IF(AND(BP$27&gt;ProposalToGnatt[[#This Row],[Start Date]],BP$27&lt;ProposalToGnatt[[#This Row],[Start Date]]+ProposalToGnatt[[#This Row],[Days]]),$G$5,"")),"")</f>
        <v/>
      </c>
      <c r="BQ32" s="36" t="str">
        <f ca="1">IFERROR(+IF(BQ$27=ProposalToGnatt[[#This Row],[Start Date]],Milestone_Marker,IF(AND(BQ$27&gt;ProposalToGnatt[[#This Row],[Start Date]],BQ$27&lt;ProposalToGnatt[[#This Row],[Start Date]]+ProposalToGnatt[[#This Row],[Days]]),$G$5,"")),"")</f>
        <v/>
      </c>
      <c r="BR32" s="36" t="str">
        <f ca="1">IFERROR(+IF(BR$27=ProposalToGnatt[[#This Row],[Start Date]],Milestone_Marker,IF(AND(BR$27&gt;ProposalToGnatt[[#This Row],[Start Date]],BR$27&lt;ProposalToGnatt[[#This Row],[Start Date]]+ProposalToGnatt[[#This Row],[Days]]),$G$5,"")),"")</f>
        <v/>
      </c>
      <c r="BS32" s="36" t="str">
        <f ca="1">IFERROR(+IF(BS$27=ProposalToGnatt[[#This Row],[Start Date]],Milestone_Marker,IF(AND(BS$27&gt;ProposalToGnatt[[#This Row],[Start Date]],BS$27&lt;ProposalToGnatt[[#This Row],[Start Date]]+ProposalToGnatt[[#This Row],[Days]]),$G$5,"")),"")</f>
        <v/>
      </c>
      <c r="BT32" s="36" t="str">
        <f ca="1">IFERROR(+IF(BT$27=ProposalToGnatt[[#This Row],[Start Date]],Milestone_Marker,IF(AND(BT$27&gt;ProposalToGnatt[[#This Row],[Start Date]],BT$27&lt;ProposalToGnatt[[#This Row],[Start Date]]+ProposalToGnatt[[#This Row],[Days]]),$G$5,"")),"")</f>
        <v/>
      </c>
      <c r="BU32" s="36" t="str">
        <f ca="1">IFERROR(+IF(BU$27=ProposalToGnatt[[#This Row],[Start Date]],Milestone_Marker,IF(AND(BU$27&gt;ProposalToGnatt[[#This Row],[Start Date]],BU$27&lt;ProposalToGnatt[[#This Row],[Start Date]]+ProposalToGnatt[[#This Row],[Days]]),$G$5,"")),"")</f>
        <v/>
      </c>
      <c r="BV32" s="36" t="str">
        <f ca="1">IFERROR(+IF(BV$27=ProposalToGnatt[[#This Row],[Start Date]],Milestone_Marker,IF(AND(BV$27&gt;ProposalToGnatt[[#This Row],[Start Date]],BV$27&lt;ProposalToGnatt[[#This Row],[Start Date]]+ProposalToGnatt[[#This Row],[Days]]),$G$5,"")),"")</f>
        <v/>
      </c>
      <c r="BW32" s="36" t="str">
        <f ca="1">IFERROR(+IF(BW$27=ProposalToGnatt[[#This Row],[Start Date]],Milestone_Marker,IF(AND(BW$27&gt;ProposalToGnatt[[#This Row],[Start Date]],BW$27&lt;ProposalToGnatt[[#This Row],[Start Date]]+ProposalToGnatt[[#This Row],[Days]]),$G$5,"")),"")</f>
        <v/>
      </c>
      <c r="BX32" s="36" t="str">
        <f ca="1">IFERROR(+IF(BX$27=ProposalToGnatt[[#This Row],[Start Date]],Milestone_Marker,IF(AND(BX$27&gt;ProposalToGnatt[[#This Row],[Start Date]],BX$27&lt;ProposalToGnatt[[#This Row],[Start Date]]+ProposalToGnatt[[#This Row],[Days]]),$G$5,"")),"")</f>
        <v/>
      </c>
      <c r="BY32" s="36" t="str">
        <f ca="1">IFERROR(+IF(BY$27=ProposalToGnatt[[#This Row],[Start Date]],Milestone_Marker,IF(AND(BY$27&gt;ProposalToGnatt[[#This Row],[Start Date]],BY$27&lt;ProposalToGnatt[[#This Row],[Start Date]]+ProposalToGnatt[[#This Row],[Days]]),$G$5,"")),"")</f>
        <v/>
      </c>
      <c r="BZ32" s="36" t="str">
        <f ca="1">IFERROR(+IF(BZ$27=ProposalToGnatt[[#This Row],[Start Date]],Milestone_Marker,IF(AND(BZ$27&gt;ProposalToGnatt[[#This Row],[Start Date]],BZ$27&lt;ProposalToGnatt[[#This Row],[Start Date]]+ProposalToGnatt[[#This Row],[Days]]),$G$5,"")),"")</f>
        <v/>
      </c>
      <c r="CA32" s="36" t="str">
        <f ca="1">IFERROR(+IF(CA$27=ProposalToGnatt[[#This Row],[Start Date]],Milestone_Marker,IF(AND(CA$27&gt;ProposalToGnatt[[#This Row],[Start Date]],CA$27&lt;ProposalToGnatt[[#This Row],[Start Date]]+ProposalToGnatt[[#This Row],[Days]]),$G$5,"")),"")</f>
        <v/>
      </c>
      <c r="CB32" s="36" t="str">
        <f ca="1">IFERROR(+IF(CB$27=ProposalToGnatt[[#This Row],[Start Date]],Milestone_Marker,IF(AND(CB$27&gt;ProposalToGnatt[[#This Row],[Start Date]],CB$27&lt;ProposalToGnatt[[#This Row],[Start Date]]+ProposalToGnatt[[#This Row],[Days]]),$G$5,"")),"")</f>
        <v/>
      </c>
      <c r="CC32" s="36" t="str">
        <f ca="1">IFERROR(+IF(CC$27=ProposalToGnatt[[#This Row],[Start Date]],Milestone_Marker,IF(AND(CC$27&gt;ProposalToGnatt[[#This Row],[Start Date]],CC$27&lt;ProposalToGnatt[[#This Row],[Start Date]]+ProposalToGnatt[[#This Row],[Days]]),$G$5,"")),"")</f>
        <v/>
      </c>
      <c r="CD32" s="36" t="str">
        <f ca="1">IFERROR(+IF(CD$27=ProposalToGnatt[[#This Row],[Start Date]],Milestone_Marker,IF(AND(CD$27&gt;ProposalToGnatt[[#This Row],[Start Date]],CD$27&lt;ProposalToGnatt[[#This Row],[Start Date]]+ProposalToGnatt[[#This Row],[Days]]),$G$5,"")),"")</f>
        <v/>
      </c>
      <c r="CE32" s="36" t="str">
        <f ca="1">IFERROR(+IF(CE$27=ProposalToGnatt[[#This Row],[Start Date]],Milestone_Marker,IF(AND(CE$27&gt;ProposalToGnatt[[#This Row],[Start Date]],CE$27&lt;ProposalToGnatt[[#This Row],[Start Date]]+ProposalToGnatt[[#This Row],[Days]]),$G$5,"")),"")</f>
        <v/>
      </c>
      <c r="CF32" s="36" t="str">
        <f ca="1">IFERROR(+IF(CF$27=ProposalToGnatt[[#This Row],[Start Date]],Milestone_Marker,IF(AND(CF$27&gt;ProposalToGnatt[[#This Row],[Start Date]],CF$27&lt;ProposalToGnatt[[#This Row],[Start Date]]+ProposalToGnatt[[#This Row],[Days]]),$G$5,"")),"")</f>
        <v/>
      </c>
      <c r="CG32" s="36" t="str">
        <f ca="1">IFERROR(+IF(CG$27=ProposalToGnatt[[#This Row],[Start Date]],Milestone_Marker,IF(AND(CG$27&gt;ProposalToGnatt[[#This Row],[Start Date]],CG$27&lt;ProposalToGnatt[[#This Row],[Start Date]]+ProposalToGnatt[[#This Row],[Days]]),$G$5,"")),"")</f>
        <v/>
      </c>
      <c r="CH32" s="36" t="str">
        <f ca="1">IFERROR(+IF(CH$27=ProposalToGnatt[[#This Row],[Start Date]],Milestone_Marker,IF(AND(CH$27&gt;ProposalToGnatt[[#This Row],[Start Date]],CH$27&lt;ProposalToGnatt[[#This Row],[Start Date]]+ProposalToGnatt[[#This Row],[Days]]),$G$5,"")),"")</f>
        <v/>
      </c>
      <c r="CI32" s="36" t="str">
        <f ca="1">IFERROR(+IF(CI$27=ProposalToGnatt[[#This Row],[Start Date]],Milestone_Marker,IF(AND(CI$27&gt;ProposalToGnatt[[#This Row],[Start Date]],CI$27&lt;ProposalToGnatt[[#This Row],[Start Date]]+ProposalToGnatt[[#This Row],[Days]]),$G$5,"")),"")</f>
        <v/>
      </c>
      <c r="CJ32" s="36" t="str">
        <f ca="1">IFERROR(+IF(CJ$27=ProposalToGnatt[[#This Row],[Start Date]],Milestone_Marker,IF(AND(CJ$27&gt;ProposalToGnatt[[#This Row],[Start Date]],CJ$27&lt;ProposalToGnatt[[#This Row],[Start Date]]+ProposalToGnatt[[#This Row],[Days]]),$G$5,"")),"")</f>
        <v/>
      </c>
      <c r="CK32" s="36" t="str">
        <f ca="1">IFERROR(+IF(CK$27=ProposalToGnatt[[#This Row],[Start Date]],Milestone_Marker,IF(AND(CK$27&gt;ProposalToGnatt[[#This Row],[Start Date]],CK$27&lt;ProposalToGnatt[[#This Row],[Start Date]]+ProposalToGnatt[[#This Row],[Days]]),$G$5,"")),"")</f>
        <v/>
      </c>
      <c r="CL32" s="36" t="str">
        <f ca="1">IFERROR(+IF(CL$27=ProposalToGnatt[[#This Row],[Start Date]],Milestone_Marker,IF(AND(CL$27&gt;ProposalToGnatt[[#This Row],[Start Date]],CL$27&lt;ProposalToGnatt[[#This Row],[Start Date]]+ProposalToGnatt[[#This Row],[Days]]),$G$5,"")),"")</f>
        <v/>
      </c>
      <c r="CM32" s="36" t="str">
        <f ca="1">IFERROR(+IF(CM$27=ProposalToGnatt[[#This Row],[Start Date]],Milestone_Marker,IF(AND(CM$27&gt;ProposalToGnatt[[#This Row],[Start Date]],CM$27&lt;ProposalToGnatt[[#This Row],[Start Date]]+ProposalToGnatt[[#This Row],[Days]]),$G$5,"")),"")</f>
        <v/>
      </c>
      <c r="CN32" s="36" t="str">
        <f ca="1">IFERROR(+IF(CN$27=ProposalToGnatt[[#This Row],[Start Date]],Milestone_Marker,IF(AND(CN$27&gt;ProposalToGnatt[[#This Row],[Start Date]],CN$27&lt;ProposalToGnatt[[#This Row],[Start Date]]+ProposalToGnatt[[#This Row],[Days]]),$G$5,"")),"")</f>
        <v/>
      </c>
      <c r="CO32" s="36" t="str">
        <f ca="1">IFERROR(+IF(CO$27=ProposalToGnatt[[#This Row],[Start Date]],Milestone_Marker,IF(AND(CO$27&gt;ProposalToGnatt[[#This Row],[Start Date]],CO$27&lt;ProposalToGnatt[[#This Row],[Start Date]]+ProposalToGnatt[[#This Row],[Days]]),$G$5,"")),"")</f>
        <v/>
      </c>
      <c r="CP32" s="36" t="str">
        <f ca="1">IFERROR(+IF(CP$27=ProposalToGnatt[[#This Row],[Start Date]],Milestone_Marker,IF(AND(CP$27&gt;ProposalToGnatt[[#This Row],[Start Date]],CP$27&lt;ProposalToGnatt[[#This Row],[Start Date]]+ProposalToGnatt[[#This Row],[Days]]),$G$5,"")),"")</f>
        <v/>
      </c>
      <c r="CQ32" s="36" t="str">
        <f ca="1">IFERROR(+IF(CQ$27=ProposalToGnatt[[#This Row],[Start Date]],Milestone_Marker,IF(AND(CQ$27&gt;ProposalToGnatt[[#This Row],[Start Date]],CQ$27&lt;ProposalToGnatt[[#This Row],[Start Date]]+ProposalToGnatt[[#This Row],[Days]]),$G$5,"")),"")</f>
        <v/>
      </c>
      <c r="CR32" s="36" t="str">
        <f ca="1">IFERROR(+IF(CR$27=ProposalToGnatt[[#This Row],[Start Date]],Milestone_Marker,IF(AND(CR$27&gt;ProposalToGnatt[[#This Row],[Start Date]],CR$27&lt;ProposalToGnatt[[#This Row],[Start Date]]+ProposalToGnatt[[#This Row],[Days]]),$G$5,"")),"")</f>
        <v/>
      </c>
      <c r="CS32" s="36" t="str">
        <f ca="1">IFERROR(+IF(CS$27=ProposalToGnatt[[#This Row],[Start Date]],Milestone_Marker,IF(AND(CS$27&gt;ProposalToGnatt[[#This Row],[Start Date]],CS$27&lt;ProposalToGnatt[[#This Row],[Start Date]]+ProposalToGnatt[[#This Row],[Days]]),$G$5,"")),"")</f>
        <v/>
      </c>
      <c r="CT32" s="36" t="str">
        <f ca="1">IFERROR(+IF(CT$27=ProposalToGnatt[[#This Row],[Start Date]],Milestone_Marker,IF(AND(CT$27&gt;ProposalToGnatt[[#This Row],[Start Date]],CT$27&lt;ProposalToGnatt[[#This Row],[Start Date]]+ProposalToGnatt[[#This Row],[Days]]),$G$5,"")),"")</f>
        <v/>
      </c>
      <c r="CU32" s="36" t="str">
        <f ca="1">IFERROR(+IF(CU$27=ProposalToGnatt[[#This Row],[Start Date]],Milestone_Marker,IF(AND(CU$27&gt;ProposalToGnatt[[#This Row],[Start Date]],CU$27&lt;ProposalToGnatt[[#This Row],[Start Date]]+ProposalToGnatt[[#This Row],[Days]]),$G$5,"")),"")</f>
        <v/>
      </c>
      <c r="CV32" s="36"/>
      <c r="CW32" s="36"/>
      <c r="CX32" s="36"/>
      <c r="CY32" s="36"/>
      <c r="CZ32" s="36"/>
      <c r="DA32" s="36"/>
      <c r="DB32" s="36"/>
      <c r="DC32" s="36"/>
      <c r="DD32" s="36"/>
      <c r="DE32" s="36"/>
      <c r="DF32" s="36"/>
      <c r="DG32" s="36"/>
      <c r="DH32" s="36"/>
      <c r="DI32" s="36"/>
      <c r="DJ32" s="36"/>
      <c r="DK32" s="36"/>
      <c r="DL32" s="36"/>
      <c r="DM32" s="36"/>
      <c r="DN32" s="36"/>
      <c r="DO32" s="36"/>
      <c r="DP32" s="36"/>
      <c r="DQ32" s="36"/>
      <c r="DR32" s="36"/>
      <c r="DS32" s="36"/>
      <c r="DT32" s="36"/>
      <c r="DU32" s="36"/>
    </row>
    <row r="33" spans="1:125" s="41" customFormat="1" ht="20.100000000000001" customHeight="1" x14ac:dyDescent="0.25">
      <c r="A33" t="s">
        <v>267</v>
      </c>
      <c r="B33">
        <v>15</v>
      </c>
      <c r="C33"/>
      <c r="D33" t="s">
        <v>883</v>
      </c>
      <c r="E33" s="568" t="s">
        <v>884</v>
      </c>
      <c r="F33">
        <v>5</v>
      </c>
      <c r="G33" s="14">
        <v>65</v>
      </c>
      <c r="H33" s="14">
        <v>325</v>
      </c>
      <c r="I33" t="s">
        <v>3</v>
      </c>
      <c r="J33">
        <v>1</v>
      </c>
      <c r="K33" s="249"/>
      <c r="L33"/>
      <c r="M33" s="14"/>
      <c r="N33" s="300">
        <v>325</v>
      </c>
      <c r="O33" s="554"/>
      <c r="P33" s="36" t="str">
        <f ca="1">IFERROR(+IF(P$27=ProposalToGnatt[[#This Row],[Start Date]],Milestone_Marker,IF(AND(P$27&gt;ProposalToGnatt[[#This Row],[Start Date]],P$27&lt;ProposalToGnatt[[#This Row],[Start Date]]+ProposalToGnatt[[#This Row],[Days]]),$G$5,"")),"")</f>
        <v/>
      </c>
      <c r="Q33" s="36" t="str">
        <f ca="1">IFERROR(+IF(Q$27=ProposalToGnatt[[#This Row],[Start Date]],Milestone_Marker,IF(AND(Q$27&gt;ProposalToGnatt[[#This Row],[Start Date]],Q$27&lt;ProposalToGnatt[[#This Row],[Start Date]]+ProposalToGnatt[[#This Row],[Days]]),$G$5,"")),"")</f>
        <v/>
      </c>
      <c r="R33" s="36" t="str">
        <f ca="1">IFERROR(+IF(R$27=ProposalToGnatt[[#This Row],[Start Date]],Milestone_Marker,IF(AND(R$27&gt;ProposalToGnatt[[#This Row],[Start Date]],R$27&lt;ProposalToGnatt[[#This Row],[Start Date]]+ProposalToGnatt[[#This Row],[Days]]),$G$5,"")),"")</f>
        <v/>
      </c>
      <c r="S33" s="36" t="str">
        <f ca="1">IFERROR(+IF(S$27=ProposalToGnatt[[#This Row],[Start Date]],Milestone_Marker,IF(AND(S$27&gt;ProposalToGnatt[[#This Row],[Start Date]],S$27&lt;ProposalToGnatt[[#This Row],[Start Date]]+ProposalToGnatt[[#This Row],[Days]]),$G$5,"")),"")</f>
        <v/>
      </c>
      <c r="T33" s="36" t="str">
        <f ca="1">IFERROR(+IF(T$27=ProposalToGnatt[[#This Row],[Start Date]],Milestone_Marker,IF(AND(T$27&gt;ProposalToGnatt[[#This Row],[Start Date]],T$27&lt;ProposalToGnatt[[#This Row],[Start Date]]+ProposalToGnatt[[#This Row],[Days]]),$G$5,"")),"")</f>
        <v/>
      </c>
      <c r="U33" s="36" t="str">
        <f ca="1">IFERROR(+IF(U$27=ProposalToGnatt[[#This Row],[Start Date]],Milestone_Marker,IF(AND(U$27&gt;ProposalToGnatt[[#This Row],[Start Date]],U$27&lt;ProposalToGnatt[[#This Row],[Start Date]]+ProposalToGnatt[[#This Row],[Days]]),$G$5,"")),"")</f>
        <v/>
      </c>
      <c r="V33" s="36" t="str">
        <f ca="1">IFERROR(+IF(V$27=ProposalToGnatt[[#This Row],[Start Date]],Milestone_Marker,IF(AND(V$27&gt;ProposalToGnatt[[#This Row],[Start Date]],V$27&lt;ProposalToGnatt[[#This Row],[Start Date]]+ProposalToGnatt[[#This Row],[Days]]),$G$5,"")),"")</f>
        <v/>
      </c>
      <c r="W33" s="36" t="str">
        <f ca="1">IFERROR(+IF(W$27=ProposalToGnatt[[#This Row],[Start Date]],Milestone_Marker,IF(AND(W$27&gt;ProposalToGnatt[[#This Row],[Start Date]],W$27&lt;ProposalToGnatt[[#This Row],[Start Date]]+ProposalToGnatt[[#This Row],[Days]]),$G$5,"")),"")</f>
        <v/>
      </c>
      <c r="X33" s="36" t="str">
        <f ca="1">IFERROR(+IF(X$27=ProposalToGnatt[[#This Row],[Start Date]],Milestone_Marker,IF(AND(X$27&gt;ProposalToGnatt[[#This Row],[Start Date]],X$27&lt;ProposalToGnatt[[#This Row],[Start Date]]+ProposalToGnatt[[#This Row],[Days]]),$G$5,"")),"")</f>
        <v/>
      </c>
      <c r="Y33" s="36" t="str">
        <f ca="1">IFERROR(+IF(Y$27=ProposalToGnatt[[#This Row],[Start Date]],Milestone_Marker,IF(AND(Y$27&gt;ProposalToGnatt[[#This Row],[Start Date]],Y$27&lt;ProposalToGnatt[[#This Row],[Start Date]]+ProposalToGnatt[[#This Row],[Days]]),$G$5,"")),"")</f>
        <v/>
      </c>
      <c r="Z33" s="36" t="str">
        <f ca="1">IFERROR(+IF(Z$27=ProposalToGnatt[[#This Row],[Start Date]],Milestone_Marker,IF(AND(Z$27&gt;ProposalToGnatt[[#This Row],[Start Date]],Z$27&lt;ProposalToGnatt[[#This Row],[Start Date]]+ProposalToGnatt[[#This Row],[Days]]),$G$5,"")),"")</f>
        <v/>
      </c>
      <c r="AA33" s="36" t="str">
        <f ca="1">IFERROR(+IF(AA$27=ProposalToGnatt[[#This Row],[Start Date]],Milestone_Marker,IF(AND(AA$27&gt;ProposalToGnatt[[#This Row],[Start Date]],AA$27&lt;ProposalToGnatt[[#This Row],[Start Date]]+ProposalToGnatt[[#This Row],[Days]]),$G$5,"")),"")</f>
        <v/>
      </c>
      <c r="AB33" s="36" t="str">
        <f ca="1">IFERROR(+IF(AB$27=ProposalToGnatt[[#This Row],[Start Date]],Milestone_Marker,IF(AND(AB$27&gt;ProposalToGnatt[[#This Row],[Start Date]],AB$27&lt;ProposalToGnatt[[#This Row],[Start Date]]+ProposalToGnatt[[#This Row],[Days]]),$G$5,"")),"")</f>
        <v/>
      </c>
      <c r="AC33" s="36" t="str">
        <f ca="1">IFERROR(+IF(AC$27=ProposalToGnatt[[#This Row],[Start Date]],Milestone_Marker,IF(AND(AC$27&gt;ProposalToGnatt[[#This Row],[Start Date]],AC$27&lt;ProposalToGnatt[[#This Row],[Start Date]]+ProposalToGnatt[[#This Row],[Days]]),$G$5,"")),"")</f>
        <v/>
      </c>
      <c r="AD33" s="36" t="str">
        <f ca="1">IFERROR(+IF(AD$27=ProposalToGnatt[[#This Row],[Start Date]],Milestone_Marker,IF(AND(AD$27&gt;ProposalToGnatt[[#This Row],[Start Date]],AD$27&lt;ProposalToGnatt[[#This Row],[Start Date]]+ProposalToGnatt[[#This Row],[Days]]),$G$5,"")),"")</f>
        <v/>
      </c>
      <c r="AE33" s="36" t="str">
        <f ca="1">IFERROR(+IF(AE$27=ProposalToGnatt[[#This Row],[Start Date]],Milestone_Marker,IF(AND(AE$27&gt;ProposalToGnatt[[#This Row],[Start Date]],AE$27&lt;ProposalToGnatt[[#This Row],[Start Date]]+ProposalToGnatt[[#This Row],[Days]]),$G$5,"")),"")</f>
        <v/>
      </c>
      <c r="AF33" s="36" t="str">
        <f ca="1">IFERROR(+IF(AF$27=ProposalToGnatt[[#This Row],[Start Date]],Milestone_Marker,IF(AND(AF$27&gt;ProposalToGnatt[[#This Row],[Start Date]],AF$27&lt;ProposalToGnatt[[#This Row],[Start Date]]+ProposalToGnatt[[#This Row],[Days]]),$G$5,"")),"")</f>
        <v/>
      </c>
      <c r="AG33" s="36" t="str">
        <f ca="1">IFERROR(+IF(AG$27=ProposalToGnatt[[#This Row],[Start Date]],Milestone_Marker,IF(AND(AG$27&gt;ProposalToGnatt[[#This Row],[Start Date]],AG$27&lt;ProposalToGnatt[[#This Row],[Start Date]]+ProposalToGnatt[[#This Row],[Days]]),$G$5,"")),"")</f>
        <v/>
      </c>
      <c r="AH33" s="36" t="str">
        <f ca="1">IFERROR(+IF(AH$27=ProposalToGnatt[[#This Row],[Start Date]],Milestone_Marker,IF(AND(AH$27&gt;ProposalToGnatt[[#This Row],[Start Date]],AH$27&lt;ProposalToGnatt[[#This Row],[Start Date]]+ProposalToGnatt[[#This Row],[Days]]),$G$5,"")),"")</f>
        <v/>
      </c>
      <c r="AI33" s="36" t="str">
        <f ca="1">IFERROR(+IF(AI$27=ProposalToGnatt[[#This Row],[Start Date]],Milestone_Marker,IF(AND(AI$27&gt;ProposalToGnatt[[#This Row],[Start Date]],AI$27&lt;ProposalToGnatt[[#This Row],[Start Date]]+ProposalToGnatt[[#This Row],[Days]]),$G$5,"")),"")</f>
        <v/>
      </c>
      <c r="AJ33" s="36" t="str">
        <f ca="1">IFERROR(+IF(AJ$27=ProposalToGnatt[[#This Row],[Start Date]],Milestone_Marker,IF(AND(AJ$27&gt;ProposalToGnatt[[#This Row],[Start Date]],AJ$27&lt;ProposalToGnatt[[#This Row],[Start Date]]+ProposalToGnatt[[#This Row],[Days]]),$G$5,"")),"")</f>
        <v/>
      </c>
      <c r="AK33" s="36" t="str">
        <f ca="1">IFERROR(+IF(AK$27=ProposalToGnatt[[#This Row],[Start Date]],Milestone_Marker,IF(AND(AK$27&gt;ProposalToGnatt[[#This Row],[Start Date]],AK$27&lt;ProposalToGnatt[[#This Row],[Start Date]]+ProposalToGnatt[[#This Row],[Days]]),$G$5,"")),"")</f>
        <v/>
      </c>
      <c r="AL33" s="36" t="str">
        <f ca="1">IFERROR(+IF(AL$27=ProposalToGnatt[[#This Row],[Start Date]],Milestone_Marker,IF(AND(AL$27&gt;ProposalToGnatt[[#This Row],[Start Date]],AL$27&lt;ProposalToGnatt[[#This Row],[Start Date]]+ProposalToGnatt[[#This Row],[Days]]),$G$5,"")),"")</f>
        <v/>
      </c>
      <c r="AM33" s="36" t="str">
        <f ca="1">IFERROR(+IF(AM$27=ProposalToGnatt[[#This Row],[Start Date]],Milestone_Marker,IF(AND(AM$27&gt;ProposalToGnatt[[#This Row],[Start Date]],AM$27&lt;ProposalToGnatt[[#This Row],[Start Date]]+ProposalToGnatt[[#This Row],[Days]]),$G$5,"")),"")</f>
        <v/>
      </c>
      <c r="AN33" s="36" t="str">
        <f ca="1">IFERROR(+IF(AN$27=ProposalToGnatt[[#This Row],[Start Date]],Milestone_Marker,IF(AND(AN$27&gt;ProposalToGnatt[[#This Row],[Start Date]],AN$27&lt;ProposalToGnatt[[#This Row],[Start Date]]+ProposalToGnatt[[#This Row],[Days]]),$G$5,"")),"")</f>
        <v/>
      </c>
      <c r="AO33" s="36" t="str">
        <f ca="1">IFERROR(+IF(AO$27=ProposalToGnatt[[#This Row],[Start Date]],Milestone_Marker,IF(AND(AO$27&gt;ProposalToGnatt[[#This Row],[Start Date]],AO$27&lt;ProposalToGnatt[[#This Row],[Start Date]]+ProposalToGnatt[[#This Row],[Days]]),$G$5,"")),"")</f>
        <v/>
      </c>
      <c r="AP33" s="36" t="str">
        <f ca="1">IFERROR(+IF(AP$27=ProposalToGnatt[[#This Row],[Start Date]],Milestone_Marker,IF(AND(AP$27&gt;ProposalToGnatt[[#This Row],[Start Date]],AP$27&lt;ProposalToGnatt[[#This Row],[Start Date]]+ProposalToGnatt[[#This Row],[Days]]),$G$5,"")),"")</f>
        <v/>
      </c>
      <c r="AQ33" s="36" t="str">
        <f ca="1">IFERROR(+IF(AQ$27=ProposalToGnatt[[#This Row],[Start Date]],Milestone_Marker,IF(AND(AQ$27&gt;ProposalToGnatt[[#This Row],[Start Date]],AQ$27&lt;ProposalToGnatt[[#This Row],[Start Date]]+ProposalToGnatt[[#This Row],[Days]]),$G$5,"")),"")</f>
        <v/>
      </c>
      <c r="AR33" s="36" t="str">
        <f ca="1">IFERROR(+IF(AR$27=ProposalToGnatt[[#This Row],[Start Date]],Milestone_Marker,IF(AND(AR$27&gt;ProposalToGnatt[[#This Row],[Start Date]],AR$27&lt;ProposalToGnatt[[#This Row],[Start Date]]+ProposalToGnatt[[#This Row],[Days]]),$G$5,"")),"")</f>
        <v/>
      </c>
      <c r="AS33" s="36" t="str">
        <f ca="1">IFERROR(+IF(AS$27=ProposalToGnatt[[#This Row],[Start Date]],Milestone_Marker,IF(AND(AS$27&gt;ProposalToGnatt[[#This Row],[Start Date]],AS$27&lt;ProposalToGnatt[[#This Row],[Start Date]]+ProposalToGnatt[[#This Row],[Days]]),$G$5,"")),"")</f>
        <v/>
      </c>
      <c r="AT33" s="36" t="str">
        <f ca="1">IFERROR(+IF(AT$27=ProposalToGnatt[[#This Row],[Start Date]],Milestone_Marker,IF(AND(AT$27&gt;ProposalToGnatt[[#This Row],[Start Date]],AT$27&lt;ProposalToGnatt[[#This Row],[Start Date]]+ProposalToGnatt[[#This Row],[Days]]),$G$5,"")),"")</f>
        <v/>
      </c>
      <c r="AU33" s="36" t="str">
        <f ca="1">IFERROR(+IF(AU$27=ProposalToGnatt[[#This Row],[Start Date]],Milestone_Marker,IF(AND(AU$27&gt;ProposalToGnatt[[#This Row],[Start Date]],AU$27&lt;ProposalToGnatt[[#This Row],[Start Date]]+ProposalToGnatt[[#This Row],[Days]]),$G$5,"")),"")</f>
        <v/>
      </c>
      <c r="AV33" s="36" t="str">
        <f ca="1">IFERROR(+IF(AV$27=ProposalToGnatt[[#This Row],[Start Date]],Milestone_Marker,IF(AND(AV$27&gt;ProposalToGnatt[[#This Row],[Start Date]],AV$27&lt;ProposalToGnatt[[#This Row],[Start Date]]+ProposalToGnatt[[#This Row],[Days]]),$G$5,"")),"")</f>
        <v/>
      </c>
      <c r="AW33" s="36" t="str">
        <f ca="1">IFERROR(+IF(AW$27=ProposalToGnatt[[#This Row],[Start Date]],Milestone_Marker,IF(AND(AW$27&gt;ProposalToGnatt[[#This Row],[Start Date]],AW$27&lt;ProposalToGnatt[[#This Row],[Start Date]]+ProposalToGnatt[[#This Row],[Days]]),$G$5,"")),"")</f>
        <v/>
      </c>
      <c r="AX33" s="36" t="str">
        <f ca="1">IFERROR(+IF(AX$27=ProposalToGnatt[[#This Row],[Start Date]],Milestone_Marker,IF(AND(AX$27&gt;ProposalToGnatt[[#This Row],[Start Date]],AX$27&lt;ProposalToGnatt[[#This Row],[Start Date]]+ProposalToGnatt[[#This Row],[Days]]),$G$5,"")),"")</f>
        <v/>
      </c>
      <c r="AY33" s="36" t="str">
        <f ca="1">IFERROR(+IF(AY$27=ProposalToGnatt[[#This Row],[Start Date]],Milestone_Marker,IF(AND(AY$27&gt;ProposalToGnatt[[#This Row],[Start Date]],AY$27&lt;ProposalToGnatt[[#This Row],[Start Date]]+ProposalToGnatt[[#This Row],[Days]]),$G$5,"")),"")</f>
        <v/>
      </c>
      <c r="AZ33" s="36" t="str">
        <f ca="1">IFERROR(+IF(AZ$27=ProposalToGnatt[[#This Row],[Start Date]],Milestone_Marker,IF(AND(AZ$27&gt;ProposalToGnatt[[#This Row],[Start Date]],AZ$27&lt;ProposalToGnatt[[#This Row],[Start Date]]+ProposalToGnatt[[#This Row],[Days]]),$G$5,"")),"")</f>
        <v/>
      </c>
      <c r="BA33" s="36" t="str">
        <f ca="1">IFERROR(+IF(BA$27=ProposalToGnatt[[#This Row],[Start Date]],Milestone_Marker,IF(AND(BA$27&gt;ProposalToGnatt[[#This Row],[Start Date]],BA$27&lt;ProposalToGnatt[[#This Row],[Start Date]]+ProposalToGnatt[[#This Row],[Days]]),$G$5,"")),"")</f>
        <v/>
      </c>
      <c r="BB33" s="36" t="str">
        <f ca="1">IFERROR(+IF(BB$27=ProposalToGnatt[[#This Row],[Start Date]],Milestone_Marker,IF(AND(BB$27&gt;ProposalToGnatt[[#This Row],[Start Date]],BB$27&lt;ProposalToGnatt[[#This Row],[Start Date]]+ProposalToGnatt[[#This Row],[Days]]),$G$5,"")),"")</f>
        <v/>
      </c>
      <c r="BC33" s="36" t="str">
        <f ca="1">IFERROR(+IF(BC$27=ProposalToGnatt[[#This Row],[Start Date]],Milestone_Marker,IF(AND(BC$27&gt;ProposalToGnatt[[#This Row],[Start Date]],BC$27&lt;ProposalToGnatt[[#This Row],[Start Date]]+ProposalToGnatt[[#This Row],[Days]]),$G$5,"")),"")</f>
        <v/>
      </c>
      <c r="BD33" s="36" t="str">
        <f ca="1">IFERROR(+IF(BD$27=ProposalToGnatt[[#This Row],[Start Date]],Milestone_Marker,IF(AND(BD$27&gt;ProposalToGnatt[[#This Row],[Start Date]],BD$27&lt;ProposalToGnatt[[#This Row],[Start Date]]+ProposalToGnatt[[#This Row],[Days]]),$G$5,"")),"")</f>
        <v/>
      </c>
      <c r="BE33" s="36" t="str">
        <f ca="1">IFERROR(+IF(BE$27=ProposalToGnatt[[#This Row],[Start Date]],Milestone_Marker,IF(AND(BE$27&gt;ProposalToGnatt[[#This Row],[Start Date]],BE$27&lt;ProposalToGnatt[[#This Row],[Start Date]]+ProposalToGnatt[[#This Row],[Days]]),$G$5,"")),"")</f>
        <v/>
      </c>
      <c r="BF33" s="36" t="str">
        <f ca="1">IFERROR(+IF(BF$27=ProposalToGnatt[[#This Row],[Start Date]],Milestone_Marker,IF(AND(BF$27&gt;ProposalToGnatt[[#This Row],[Start Date]],BF$27&lt;ProposalToGnatt[[#This Row],[Start Date]]+ProposalToGnatt[[#This Row],[Days]]),$G$5,"")),"")</f>
        <v/>
      </c>
      <c r="BG33" s="36" t="str">
        <f ca="1">IFERROR(+IF(BG$27=ProposalToGnatt[[#This Row],[Start Date]],Milestone_Marker,IF(AND(BG$27&gt;ProposalToGnatt[[#This Row],[Start Date]],BG$27&lt;ProposalToGnatt[[#This Row],[Start Date]]+ProposalToGnatt[[#This Row],[Days]]),$G$5,"")),"")</f>
        <v/>
      </c>
      <c r="BH33" s="36" t="str">
        <f ca="1">IFERROR(+IF(BH$27=ProposalToGnatt[[#This Row],[Start Date]],Milestone_Marker,IF(AND(BH$27&gt;ProposalToGnatt[[#This Row],[Start Date]],BH$27&lt;ProposalToGnatt[[#This Row],[Start Date]]+ProposalToGnatt[[#This Row],[Days]]),$G$5,"")),"")</f>
        <v/>
      </c>
      <c r="BI33" s="36" t="str">
        <f ca="1">IFERROR(+IF(BI$27=ProposalToGnatt[[#This Row],[Start Date]],Milestone_Marker,IF(AND(BI$27&gt;ProposalToGnatt[[#This Row],[Start Date]],BI$27&lt;ProposalToGnatt[[#This Row],[Start Date]]+ProposalToGnatt[[#This Row],[Days]]),$G$5,"")),"")</f>
        <v/>
      </c>
      <c r="BJ33" s="36" t="str">
        <f ca="1">IFERROR(+IF(BJ$27=ProposalToGnatt[[#This Row],[Start Date]],Milestone_Marker,IF(AND(BJ$27&gt;ProposalToGnatt[[#This Row],[Start Date]],BJ$27&lt;ProposalToGnatt[[#This Row],[Start Date]]+ProposalToGnatt[[#This Row],[Days]]),$G$5,"")),"")</f>
        <v/>
      </c>
      <c r="BK33" s="36" t="str">
        <f ca="1">IFERROR(+IF(BK$27=ProposalToGnatt[[#This Row],[Start Date]],Milestone_Marker,IF(AND(BK$27&gt;ProposalToGnatt[[#This Row],[Start Date]],BK$27&lt;ProposalToGnatt[[#This Row],[Start Date]]+ProposalToGnatt[[#This Row],[Days]]),$G$5,"")),"")</f>
        <v/>
      </c>
      <c r="BL33" s="36" t="str">
        <f ca="1">IFERROR(+IF(BL$27=ProposalToGnatt[[#This Row],[Start Date]],Milestone_Marker,IF(AND(BL$27&gt;ProposalToGnatt[[#This Row],[Start Date]],BL$27&lt;ProposalToGnatt[[#This Row],[Start Date]]+ProposalToGnatt[[#This Row],[Days]]),$G$5,"")),"")</f>
        <v/>
      </c>
      <c r="BM33" s="36" t="str">
        <f ca="1">IFERROR(+IF(BM$27=ProposalToGnatt[[#This Row],[Start Date]],Milestone_Marker,IF(AND(BM$27&gt;ProposalToGnatt[[#This Row],[Start Date]],BM$27&lt;ProposalToGnatt[[#This Row],[Start Date]]+ProposalToGnatt[[#This Row],[Days]]),$G$5,"")),"")</f>
        <v/>
      </c>
      <c r="BN33" s="36" t="str">
        <f ca="1">IFERROR(+IF(BN$27=ProposalToGnatt[[#This Row],[Start Date]],Milestone_Marker,IF(AND(BN$27&gt;ProposalToGnatt[[#This Row],[Start Date]],BN$27&lt;ProposalToGnatt[[#This Row],[Start Date]]+ProposalToGnatt[[#This Row],[Days]]),$G$5,"")),"")</f>
        <v/>
      </c>
      <c r="BO33" s="36" t="str">
        <f ca="1">IFERROR(+IF(BO$27=ProposalToGnatt[[#This Row],[Start Date]],Milestone_Marker,IF(AND(BO$27&gt;ProposalToGnatt[[#This Row],[Start Date]],BO$27&lt;ProposalToGnatt[[#This Row],[Start Date]]+ProposalToGnatt[[#This Row],[Days]]),$G$5,"")),"")</f>
        <v/>
      </c>
      <c r="BP33" s="36" t="str">
        <f ca="1">IFERROR(+IF(BP$27=ProposalToGnatt[[#This Row],[Start Date]],Milestone_Marker,IF(AND(BP$27&gt;ProposalToGnatt[[#This Row],[Start Date]],BP$27&lt;ProposalToGnatt[[#This Row],[Start Date]]+ProposalToGnatt[[#This Row],[Days]]),$G$5,"")),"")</f>
        <v/>
      </c>
      <c r="BQ33" s="36" t="str">
        <f ca="1">IFERROR(+IF(BQ$27=ProposalToGnatt[[#This Row],[Start Date]],Milestone_Marker,IF(AND(BQ$27&gt;ProposalToGnatt[[#This Row],[Start Date]],BQ$27&lt;ProposalToGnatt[[#This Row],[Start Date]]+ProposalToGnatt[[#This Row],[Days]]),$G$5,"")),"")</f>
        <v/>
      </c>
      <c r="BR33" s="36" t="str">
        <f ca="1">IFERROR(+IF(BR$27=ProposalToGnatt[[#This Row],[Start Date]],Milestone_Marker,IF(AND(BR$27&gt;ProposalToGnatt[[#This Row],[Start Date]],BR$27&lt;ProposalToGnatt[[#This Row],[Start Date]]+ProposalToGnatt[[#This Row],[Days]]),$G$5,"")),"")</f>
        <v/>
      </c>
      <c r="BS33" s="36" t="str">
        <f ca="1">IFERROR(+IF(BS$27=ProposalToGnatt[[#This Row],[Start Date]],Milestone_Marker,IF(AND(BS$27&gt;ProposalToGnatt[[#This Row],[Start Date]],BS$27&lt;ProposalToGnatt[[#This Row],[Start Date]]+ProposalToGnatt[[#This Row],[Days]]),$G$5,"")),"")</f>
        <v/>
      </c>
      <c r="BT33" s="36" t="str">
        <f ca="1">IFERROR(+IF(BT$27=ProposalToGnatt[[#This Row],[Start Date]],Milestone_Marker,IF(AND(BT$27&gt;ProposalToGnatt[[#This Row],[Start Date]],BT$27&lt;ProposalToGnatt[[#This Row],[Start Date]]+ProposalToGnatt[[#This Row],[Days]]),$G$5,"")),"")</f>
        <v/>
      </c>
      <c r="BU33" s="36" t="str">
        <f ca="1">IFERROR(+IF(BU$27=ProposalToGnatt[[#This Row],[Start Date]],Milestone_Marker,IF(AND(BU$27&gt;ProposalToGnatt[[#This Row],[Start Date]],BU$27&lt;ProposalToGnatt[[#This Row],[Start Date]]+ProposalToGnatt[[#This Row],[Days]]),$G$5,"")),"")</f>
        <v/>
      </c>
      <c r="BV33" s="36" t="str">
        <f ca="1">IFERROR(+IF(BV$27=ProposalToGnatt[[#This Row],[Start Date]],Milestone_Marker,IF(AND(BV$27&gt;ProposalToGnatt[[#This Row],[Start Date]],BV$27&lt;ProposalToGnatt[[#This Row],[Start Date]]+ProposalToGnatt[[#This Row],[Days]]),$G$5,"")),"")</f>
        <v/>
      </c>
      <c r="BW33" s="36" t="str">
        <f ca="1">IFERROR(+IF(BW$27=ProposalToGnatt[[#This Row],[Start Date]],Milestone_Marker,IF(AND(BW$27&gt;ProposalToGnatt[[#This Row],[Start Date]],BW$27&lt;ProposalToGnatt[[#This Row],[Start Date]]+ProposalToGnatt[[#This Row],[Days]]),$G$5,"")),"")</f>
        <v/>
      </c>
      <c r="BX33" s="36" t="str">
        <f ca="1">IFERROR(+IF(BX$27=ProposalToGnatt[[#This Row],[Start Date]],Milestone_Marker,IF(AND(BX$27&gt;ProposalToGnatt[[#This Row],[Start Date]],BX$27&lt;ProposalToGnatt[[#This Row],[Start Date]]+ProposalToGnatt[[#This Row],[Days]]),$G$5,"")),"")</f>
        <v/>
      </c>
      <c r="BY33" s="36" t="str">
        <f ca="1">IFERROR(+IF(BY$27=ProposalToGnatt[[#This Row],[Start Date]],Milestone_Marker,IF(AND(BY$27&gt;ProposalToGnatt[[#This Row],[Start Date]],BY$27&lt;ProposalToGnatt[[#This Row],[Start Date]]+ProposalToGnatt[[#This Row],[Days]]),$G$5,"")),"")</f>
        <v/>
      </c>
      <c r="BZ33" s="36" t="str">
        <f ca="1">IFERROR(+IF(BZ$27=ProposalToGnatt[[#This Row],[Start Date]],Milestone_Marker,IF(AND(BZ$27&gt;ProposalToGnatt[[#This Row],[Start Date]],BZ$27&lt;ProposalToGnatt[[#This Row],[Start Date]]+ProposalToGnatt[[#This Row],[Days]]),$G$5,"")),"")</f>
        <v/>
      </c>
      <c r="CA33" s="36" t="str">
        <f ca="1">IFERROR(+IF(CA$27=ProposalToGnatt[[#This Row],[Start Date]],Milestone_Marker,IF(AND(CA$27&gt;ProposalToGnatt[[#This Row],[Start Date]],CA$27&lt;ProposalToGnatt[[#This Row],[Start Date]]+ProposalToGnatt[[#This Row],[Days]]),$G$5,"")),"")</f>
        <v/>
      </c>
      <c r="CB33" s="36" t="str">
        <f ca="1">IFERROR(+IF(CB$27=ProposalToGnatt[[#This Row],[Start Date]],Milestone_Marker,IF(AND(CB$27&gt;ProposalToGnatt[[#This Row],[Start Date]],CB$27&lt;ProposalToGnatt[[#This Row],[Start Date]]+ProposalToGnatt[[#This Row],[Days]]),$G$5,"")),"")</f>
        <v/>
      </c>
      <c r="CC33" s="36" t="str">
        <f ca="1">IFERROR(+IF(CC$27=ProposalToGnatt[[#This Row],[Start Date]],Milestone_Marker,IF(AND(CC$27&gt;ProposalToGnatt[[#This Row],[Start Date]],CC$27&lt;ProposalToGnatt[[#This Row],[Start Date]]+ProposalToGnatt[[#This Row],[Days]]),$G$5,"")),"")</f>
        <v/>
      </c>
      <c r="CD33" s="36" t="str">
        <f ca="1">IFERROR(+IF(CD$27=ProposalToGnatt[[#This Row],[Start Date]],Milestone_Marker,IF(AND(CD$27&gt;ProposalToGnatt[[#This Row],[Start Date]],CD$27&lt;ProposalToGnatt[[#This Row],[Start Date]]+ProposalToGnatt[[#This Row],[Days]]),$G$5,"")),"")</f>
        <v/>
      </c>
      <c r="CE33" s="36" t="str">
        <f ca="1">IFERROR(+IF(CE$27=ProposalToGnatt[[#This Row],[Start Date]],Milestone_Marker,IF(AND(CE$27&gt;ProposalToGnatt[[#This Row],[Start Date]],CE$27&lt;ProposalToGnatt[[#This Row],[Start Date]]+ProposalToGnatt[[#This Row],[Days]]),$G$5,"")),"")</f>
        <v/>
      </c>
      <c r="CF33" s="36" t="str">
        <f ca="1">IFERROR(+IF(CF$27=ProposalToGnatt[[#This Row],[Start Date]],Milestone_Marker,IF(AND(CF$27&gt;ProposalToGnatt[[#This Row],[Start Date]],CF$27&lt;ProposalToGnatt[[#This Row],[Start Date]]+ProposalToGnatt[[#This Row],[Days]]),$G$5,"")),"")</f>
        <v/>
      </c>
      <c r="CG33" s="36" t="str">
        <f ca="1">IFERROR(+IF(CG$27=ProposalToGnatt[[#This Row],[Start Date]],Milestone_Marker,IF(AND(CG$27&gt;ProposalToGnatt[[#This Row],[Start Date]],CG$27&lt;ProposalToGnatt[[#This Row],[Start Date]]+ProposalToGnatt[[#This Row],[Days]]),$G$5,"")),"")</f>
        <v/>
      </c>
      <c r="CH33" s="36" t="str">
        <f ca="1">IFERROR(+IF(CH$27=ProposalToGnatt[[#This Row],[Start Date]],Milestone_Marker,IF(AND(CH$27&gt;ProposalToGnatt[[#This Row],[Start Date]],CH$27&lt;ProposalToGnatt[[#This Row],[Start Date]]+ProposalToGnatt[[#This Row],[Days]]),$G$5,"")),"")</f>
        <v/>
      </c>
      <c r="CI33" s="36" t="str">
        <f ca="1">IFERROR(+IF(CI$27=ProposalToGnatt[[#This Row],[Start Date]],Milestone_Marker,IF(AND(CI$27&gt;ProposalToGnatt[[#This Row],[Start Date]],CI$27&lt;ProposalToGnatt[[#This Row],[Start Date]]+ProposalToGnatt[[#This Row],[Days]]),$G$5,"")),"")</f>
        <v/>
      </c>
      <c r="CJ33" s="36" t="str">
        <f ca="1">IFERROR(+IF(CJ$27=ProposalToGnatt[[#This Row],[Start Date]],Milestone_Marker,IF(AND(CJ$27&gt;ProposalToGnatt[[#This Row],[Start Date]],CJ$27&lt;ProposalToGnatt[[#This Row],[Start Date]]+ProposalToGnatt[[#This Row],[Days]]),$G$5,"")),"")</f>
        <v/>
      </c>
      <c r="CK33" s="36" t="str">
        <f ca="1">IFERROR(+IF(CK$27=ProposalToGnatt[[#This Row],[Start Date]],Milestone_Marker,IF(AND(CK$27&gt;ProposalToGnatt[[#This Row],[Start Date]],CK$27&lt;ProposalToGnatt[[#This Row],[Start Date]]+ProposalToGnatt[[#This Row],[Days]]),$G$5,"")),"")</f>
        <v/>
      </c>
      <c r="CL33" s="36" t="str">
        <f ca="1">IFERROR(+IF(CL$27=ProposalToGnatt[[#This Row],[Start Date]],Milestone_Marker,IF(AND(CL$27&gt;ProposalToGnatt[[#This Row],[Start Date]],CL$27&lt;ProposalToGnatt[[#This Row],[Start Date]]+ProposalToGnatt[[#This Row],[Days]]),$G$5,"")),"")</f>
        <v/>
      </c>
      <c r="CM33" s="36" t="str">
        <f ca="1">IFERROR(+IF(CM$27=ProposalToGnatt[[#This Row],[Start Date]],Milestone_Marker,IF(AND(CM$27&gt;ProposalToGnatt[[#This Row],[Start Date]],CM$27&lt;ProposalToGnatt[[#This Row],[Start Date]]+ProposalToGnatt[[#This Row],[Days]]),$G$5,"")),"")</f>
        <v/>
      </c>
      <c r="CN33" s="36" t="str">
        <f ca="1">IFERROR(+IF(CN$27=ProposalToGnatt[[#This Row],[Start Date]],Milestone_Marker,IF(AND(CN$27&gt;ProposalToGnatt[[#This Row],[Start Date]],CN$27&lt;ProposalToGnatt[[#This Row],[Start Date]]+ProposalToGnatt[[#This Row],[Days]]),$G$5,"")),"")</f>
        <v/>
      </c>
      <c r="CO33" s="36" t="str">
        <f ca="1">IFERROR(+IF(CO$27=ProposalToGnatt[[#This Row],[Start Date]],Milestone_Marker,IF(AND(CO$27&gt;ProposalToGnatt[[#This Row],[Start Date]],CO$27&lt;ProposalToGnatt[[#This Row],[Start Date]]+ProposalToGnatt[[#This Row],[Days]]),$G$5,"")),"")</f>
        <v/>
      </c>
      <c r="CP33" s="36" t="str">
        <f ca="1">IFERROR(+IF(CP$27=ProposalToGnatt[[#This Row],[Start Date]],Milestone_Marker,IF(AND(CP$27&gt;ProposalToGnatt[[#This Row],[Start Date]],CP$27&lt;ProposalToGnatt[[#This Row],[Start Date]]+ProposalToGnatt[[#This Row],[Days]]),$G$5,"")),"")</f>
        <v/>
      </c>
      <c r="CQ33" s="36" t="str">
        <f ca="1">IFERROR(+IF(CQ$27=ProposalToGnatt[[#This Row],[Start Date]],Milestone_Marker,IF(AND(CQ$27&gt;ProposalToGnatt[[#This Row],[Start Date]],CQ$27&lt;ProposalToGnatt[[#This Row],[Start Date]]+ProposalToGnatt[[#This Row],[Days]]),$G$5,"")),"")</f>
        <v/>
      </c>
      <c r="CR33" s="36" t="str">
        <f ca="1">IFERROR(+IF(CR$27=ProposalToGnatt[[#This Row],[Start Date]],Milestone_Marker,IF(AND(CR$27&gt;ProposalToGnatt[[#This Row],[Start Date]],CR$27&lt;ProposalToGnatt[[#This Row],[Start Date]]+ProposalToGnatt[[#This Row],[Days]]),$G$5,"")),"")</f>
        <v/>
      </c>
      <c r="CS33" s="36" t="str">
        <f ca="1">IFERROR(+IF(CS$27=ProposalToGnatt[[#This Row],[Start Date]],Milestone_Marker,IF(AND(CS$27&gt;ProposalToGnatt[[#This Row],[Start Date]],CS$27&lt;ProposalToGnatt[[#This Row],[Start Date]]+ProposalToGnatt[[#This Row],[Days]]),$G$5,"")),"")</f>
        <v/>
      </c>
      <c r="CT33" s="36" t="str">
        <f ca="1">IFERROR(+IF(CT$27=ProposalToGnatt[[#This Row],[Start Date]],Milestone_Marker,IF(AND(CT$27&gt;ProposalToGnatt[[#This Row],[Start Date]],CT$27&lt;ProposalToGnatt[[#This Row],[Start Date]]+ProposalToGnatt[[#This Row],[Days]]),$G$5,"")),"")</f>
        <v/>
      </c>
      <c r="CU33" s="36" t="str">
        <f ca="1">IFERROR(+IF(CU$27=ProposalToGnatt[[#This Row],[Start Date]],Milestone_Marker,IF(AND(CU$27&gt;ProposalToGnatt[[#This Row],[Start Date]],CU$27&lt;ProposalToGnatt[[#This Row],[Start Date]]+ProposalToGnatt[[#This Row],[Days]]),$G$5,"")),"")</f>
        <v/>
      </c>
      <c r="CV33" s="36"/>
      <c r="CW33" s="36"/>
      <c r="CX33" s="36"/>
      <c r="CY33" s="36"/>
      <c r="CZ33" s="36"/>
      <c r="DA33" s="36"/>
      <c r="DB33" s="36"/>
      <c r="DC33" s="36"/>
      <c r="DD33" s="36"/>
      <c r="DE33" s="36"/>
      <c r="DF33" s="36"/>
      <c r="DG33" s="36"/>
      <c r="DH33" s="36"/>
      <c r="DI33" s="36"/>
      <c r="DJ33" s="36"/>
      <c r="DK33" s="36"/>
      <c r="DL33" s="36"/>
      <c r="DM33" s="36"/>
      <c r="DN33" s="36"/>
      <c r="DO33" s="36"/>
      <c r="DP33" s="36"/>
      <c r="DQ33" s="36"/>
      <c r="DR33" s="36"/>
      <c r="DS33" s="36"/>
      <c r="DT33" s="36"/>
      <c r="DU33" s="36"/>
    </row>
    <row r="34" spans="1:125" s="41" customFormat="1" ht="20.100000000000001" customHeight="1" x14ac:dyDescent="0.25">
      <c r="A34" t="s">
        <v>267</v>
      </c>
      <c r="B34">
        <v>16</v>
      </c>
      <c r="C34"/>
      <c r="D34" t="s">
        <v>882</v>
      </c>
      <c r="E34" s="568" t="s">
        <v>881</v>
      </c>
      <c r="F34">
        <v>6</v>
      </c>
      <c r="G34" s="14">
        <v>10</v>
      </c>
      <c r="H34" s="14">
        <v>60</v>
      </c>
      <c r="I34" t="s">
        <v>3</v>
      </c>
      <c r="J34">
        <v>1</v>
      </c>
      <c r="K34" s="249"/>
      <c r="L34"/>
      <c r="M34" s="14"/>
      <c r="N34" s="300">
        <v>60</v>
      </c>
      <c r="O34" s="554" t="s">
        <v>979</v>
      </c>
      <c r="P34" s="36" t="str">
        <f ca="1">IFERROR(+IF(P$27=ProposalToGnatt[[#This Row],[Start Date]],Milestone_Marker,IF(AND(P$27&gt;ProposalToGnatt[[#This Row],[Start Date]],P$27&lt;ProposalToGnatt[[#This Row],[Start Date]]+ProposalToGnatt[[#This Row],[Days]]),$G$5,"")),"")</f>
        <v/>
      </c>
      <c r="Q34" s="36" t="str">
        <f ca="1">IFERROR(+IF(Q$27=ProposalToGnatt[[#This Row],[Start Date]],Milestone_Marker,IF(AND(Q$27&gt;ProposalToGnatt[[#This Row],[Start Date]],Q$27&lt;ProposalToGnatt[[#This Row],[Start Date]]+ProposalToGnatt[[#This Row],[Days]]),$G$5,"")),"")</f>
        <v/>
      </c>
      <c r="R34" s="36" t="str">
        <f ca="1">IFERROR(+IF(R$27=ProposalToGnatt[[#This Row],[Start Date]],Milestone_Marker,IF(AND(R$27&gt;ProposalToGnatt[[#This Row],[Start Date]],R$27&lt;ProposalToGnatt[[#This Row],[Start Date]]+ProposalToGnatt[[#This Row],[Days]]),$G$5,"")),"")</f>
        <v/>
      </c>
      <c r="S34" s="36" t="str">
        <f ca="1">IFERROR(+IF(S$27=ProposalToGnatt[[#This Row],[Start Date]],Milestone_Marker,IF(AND(S$27&gt;ProposalToGnatt[[#This Row],[Start Date]],S$27&lt;ProposalToGnatt[[#This Row],[Start Date]]+ProposalToGnatt[[#This Row],[Days]]),$G$5,"")),"")</f>
        <v/>
      </c>
      <c r="T34" s="36" t="str">
        <f ca="1">IFERROR(+IF(T$27=ProposalToGnatt[[#This Row],[Start Date]],Milestone_Marker,IF(AND(T$27&gt;ProposalToGnatt[[#This Row],[Start Date]],T$27&lt;ProposalToGnatt[[#This Row],[Start Date]]+ProposalToGnatt[[#This Row],[Days]]),$G$5,"")),"")</f>
        <v/>
      </c>
      <c r="U34" s="36" t="str">
        <f ca="1">IFERROR(+IF(U$27=ProposalToGnatt[[#This Row],[Start Date]],Milestone_Marker,IF(AND(U$27&gt;ProposalToGnatt[[#This Row],[Start Date]],U$27&lt;ProposalToGnatt[[#This Row],[Start Date]]+ProposalToGnatt[[#This Row],[Days]]),$G$5,"")),"")</f>
        <v/>
      </c>
      <c r="V34" s="36" t="str">
        <f ca="1">IFERROR(+IF(V$27=ProposalToGnatt[[#This Row],[Start Date]],Milestone_Marker,IF(AND(V$27&gt;ProposalToGnatt[[#This Row],[Start Date]],V$27&lt;ProposalToGnatt[[#This Row],[Start Date]]+ProposalToGnatt[[#This Row],[Days]]),$G$5,"")),"")</f>
        <v/>
      </c>
      <c r="W34" s="36" t="str">
        <f ca="1">IFERROR(+IF(W$27=ProposalToGnatt[[#This Row],[Start Date]],Milestone_Marker,IF(AND(W$27&gt;ProposalToGnatt[[#This Row],[Start Date]],W$27&lt;ProposalToGnatt[[#This Row],[Start Date]]+ProposalToGnatt[[#This Row],[Days]]),$G$5,"")),"")</f>
        <v/>
      </c>
      <c r="X34" s="36" t="str">
        <f ca="1">IFERROR(+IF(X$27=ProposalToGnatt[[#This Row],[Start Date]],Milestone_Marker,IF(AND(X$27&gt;ProposalToGnatt[[#This Row],[Start Date]],X$27&lt;ProposalToGnatt[[#This Row],[Start Date]]+ProposalToGnatt[[#This Row],[Days]]),$G$5,"")),"")</f>
        <v/>
      </c>
      <c r="Y34" s="36" t="str">
        <f ca="1">IFERROR(+IF(Y$27=ProposalToGnatt[[#This Row],[Start Date]],Milestone_Marker,IF(AND(Y$27&gt;ProposalToGnatt[[#This Row],[Start Date]],Y$27&lt;ProposalToGnatt[[#This Row],[Start Date]]+ProposalToGnatt[[#This Row],[Days]]),$G$5,"")),"")</f>
        <v/>
      </c>
      <c r="Z34" s="36" t="str">
        <f ca="1">IFERROR(+IF(Z$27=ProposalToGnatt[[#This Row],[Start Date]],Milestone_Marker,IF(AND(Z$27&gt;ProposalToGnatt[[#This Row],[Start Date]],Z$27&lt;ProposalToGnatt[[#This Row],[Start Date]]+ProposalToGnatt[[#This Row],[Days]]),$G$5,"")),"")</f>
        <v/>
      </c>
      <c r="AA34" s="36" t="str">
        <f ca="1">IFERROR(+IF(AA$27=ProposalToGnatt[[#This Row],[Start Date]],Milestone_Marker,IF(AND(AA$27&gt;ProposalToGnatt[[#This Row],[Start Date]],AA$27&lt;ProposalToGnatt[[#This Row],[Start Date]]+ProposalToGnatt[[#This Row],[Days]]),$G$5,"")),"")</f>
        <v/>
      </c>
      <c r="AB34" s="36" t="str">
        <f ca="1">IFERROR(+IF(AB$27=ProposalToGnatt[[#This Row],[Start Date]],Milestone_Marker,IF(AND(AB$27&gt;ProposalToGnatt[[#This Row],[Start Date]],AB$27&lt;ProposalToGnatt[[#This Row],[Start Date]]+ProposalToGnatt[[#This Row],[Days]]),$G$5,"")),"")</f>
        <v/>
      </c>
      <c r="AC34" s="36" t="str">
        <f ca="1">IFERROR(+IF(AC$27=ProposalToGnatt[[#This Row],[Start Date]],Milestone_Marker,IF(AND(AC$27&gt;ProposalToGnatt[[#This Row],[Start Date]],AC$27&lt;ProposalToGnatt[[#This Row],[Start Date]]+ProposalToGnatt[[#This Row],[Days]]),$G$5,"")),"")</f>
        <v/>
      </c>
      <c r="AD34" s="36" t="str">
        <f ca="1">IFERROR(+IF(AD$27=ProposalToGnatt[[#This Row],[Start Date]],Milestone_Marker,IF(AND(AD$27&gt;ProposalToGnatt[[#This Row],[Start Date]],AD$27&lt;ProposalToGnatt[[#This Row],[Start Date]]+ProposalToGnatt[[#This Row],[Days]]),$G$5,"")),"")</f>
        <v/>
      </c>
      <c r="AE34" s="36" t="str">
        <f ca="1">IFERROR(+IF(AE$27=ProposalToGnatt[[#This Row],[Start Date]],Milestone_Marker,IF(AND(AE$27&gt;ProposalToGnatt[[#This Row],[Start Date]],AE$27&lt;ProposalToGnatt[[#This Row],[Start Date]]+ProposalToGnatt[[#This Row],[Days]]),$G$5,"")),"")</f>
        <v/>
      </c>
      <c r="AF34" s="36" t="str">
        <f ca="1">IFERROR(+IF(AF$27=ProposalToGnatt[[#This Row],[Start Date]],Milestone_Marker,IF(AND(AF$27&gt;ProposalToGnatt[[#This Row],[Start Date]],AF$27&lt;ProposalToGnatt[[#This Row],[Start Date]]+ProposalToGnatt[[#This Row],[Days]]),$G$5,"")),"")</f>
        <v/>
      </c>
      <c r="AG34" s="36" t="str">
        <f ca="1">IFERROR(+IF(AG$27=ProposalToGnatt[[#This Row],[Start Date]],Milestone_Marker,IF(AND(AG$27&gt;ProposalToGnatt[[#This Row],[Start Date]],AG$27&lt;ProposalToGnatt[[#This Row],[Start Date]]+ProposalToGnatt[[#This Row],[Days]]),$G$5,"")),"")</f>
        <v/>
      </c>
      <c r="AH34" s="36" t="str">
        <f ca="1">IFERROR(+IF(AH$27=ProposalToGnatt[[#This Row],[Start Date]],Milestone_Marker,IF(AND(AH$27&gt;ProposalToGnatt[[#This Row],[Start Date]],AH$27&lt;ProposalToGnatt[[#This Row],[Start Date]]+ProposalToGnatt[[#This Row],[Days]]),$G$5,"")),"")</f>
        <v/>
      </c>
      <c r="AI34" s="36" t="str">
        <f ca="1">IFERROR(+IF(AI$27=ProposalToGnatt[[#This Row],[Start Date]],Milestone_Marker,IF(AND(AI$27&gt;ProposalToGnatt[[#This Row],[Start Date]],AI$27&lt;ProposalToGnatt[[#This Row],[Start Date]]+ProposalToGnatt[[#This Row],[Days]]),$G$5,"")),"")</f>
        <v/>
      </c>
      <c r="AJ34" s="36" t="str">
        <f ca="1">IFERROR(+IF(AJ$27=ProposalToGnatt[[#This Row],[Start Date]],Milestone_Marker,IF(AND(AJ$27&gt;ProposalToGnatt[[#This Row],[Start Date]],AJ$27&lt;ProposalToGnatt[[#This Row],[Start Date]]+ProposalToGnatt[[#This Row],[Days]]),$G$5,"")),"")</f>
        <v/>
      </c>
      <c r="AK34" s="36" t="str">
        <f ca="1">IFERROR(+IF(AK$27=ProposalToGnatt[[#This Row],[Start Date]],Milestone_Marker,IF(AND(AK$27&gt;ProposalToGnatt[[#This Row],[Start Date]],AK$27&lt;ProposalToGnatt[[#This Row],[Start Date]]+ProposalToGnatt[[#This Row],[Days]]),$G$5,"")),"")</f>
        <v/>
      </c>
      <c r="AL34" s="36" t="str">
        <f ca="1">IFERROR(+IF(AL$27=ProposalToGnatt[[#This Row],[Start Date]],Milestone_Marker,IF(AND(AL$27&gt;ProposalToGnatt[[#This Row],[Start Date]],AL$27&lt;ProposalToGnatt[[#This Row],[Start Date]]+ProposalToGnatt[[#This Row],[Days]]),$G$5,"")),"")</f>
        <v/>
      </c>
      <c r="AM34" s="36" t="str">
        <f ca="1">IFERROR(+IF(AM$27=ProposalToGnatt[[#This Row],[Start Date]],Milestone_Marker,IF(AND(AM$27&gt;ProposalToGnatt[[#This Row],[Start Date]],AM$27&lt;ProposalToGnatt[[#This Row],[Start Date]]+ProposalToGnatt[[#This Row],[Days]]),$G$5,"")),"")</f>
        <v/>
      </c>
      <c r="AN34" s="36" t="str">
        <f ca="1">IFERROR(+IF(AN$27=ProposalToGnatt[[#This Row],[Start Date]],Milestone_Marker,IF(AND(AN$27&gt;ProposalToGnatt[[#This Row],[Start Date]],AN$27&lt;ProposalToGnatt[[#This Row],[Start Date]]+ProposalToGnatt[[#This Row],[Days]]),$G$5,"")),"")</f>
        <v/>
      </c>
      <c r="AO34" s="36" t="str">
        <f ca="1">IFERROR(+IF(AO$27=ProposalToGnatt[[#This Row],[Start Date]],Milestone_Marker,IF(AND(AO$27&gt;ProposalToGnatt[[#This Row],[Start Date]],AO$27&lt;ProposalToGnatt[[#This Row],[Start Date]]+ProposalToGnatt[[#This Row],[Days]]),$G$5,"")),"")</f>
        <v/>
      </c>
      <c r="AP34" s="36" t="str">
        <f ca="1">IFERROR(+IF(AP$27=ProposalToGnatt[[#This Row],[Start Date]],Milestone_Marker,IF(AND(AP$27&gt;ProposalToGnatt[[#This Row],[Start Date]],AP$27&lt;ProposalToGnatt[[#This Row],[Start Date]]+ProposalToGnatt[[#This Row],[Days]]),$G$5,"")),"")</f>
        <v/>
      </c>
      <c r="AQ34" s="36" t="str">
        <f ca="1">IFERROR(+IF(AQ$27=ProposalToGnatt[[#This Row],[Start Date]],Milestone_Marker,IF(AND(AQ$27&gt;ProposalToGnatt[[#This Row],[Start Date]],AQ$27&lt;ProposalToGnatt[[#This Row],[Start Date]]+ProposalToGnatt[[#This Row],[Days]]),$G$5,"")),"")</f>
        <v/>
      </c>
      <c r="AR34" s="36" t="str">
        <f ca="1">IFERROR(+IF(AR$27=ProposalToGnatt[[#This Row],[Start Date]],Milestone_Marker,IF(AND(AR$27&gt;ProposalToGnatt[[#This Row],[Start Date]],AR$27&lt;ProposalToGnatt[[#This Row],[Start Date]]+ProposalToGnatt[[#This Row],[Days]]),$G$5,"")),"")</f>
        <v/>
      </c>
      <c r="AS34" s="36" t="str">
        <f ca="1">IFERROR(+IF(AS$27=ProposalToGnatt[[#This Row],[Start Date]],Milestone_Marker,IF(AND(AS$27&gt;ProposalToGnatt[[#This Row],[Start Date]],AS$27&lt;ProposalToGnatt[[#This Row],[Start Date]]+ProposalToGnatt[[#This Row],[Days]]),$G$5,"")),"")</f>
        <v/>
      </c>
      <c r="AT34" s="36" t="str">
        <f ca="1">IFERROR(+IF(AT$27=ProposalToGnatt[[#This Row],[Start Date]],Milestone_Marker,IF(AND(AT$27&gt;ProposalToGnatt[[#This Row],[Start Date]],AT$27&lt;ProposalToGnatt[[#This Row],[Start Date]]+ProposalToGnatt[[#This Row],[Days]]),$G$5,"")),"")</f>
        <v/>
      </c>
      <c r="AU34" s="36" t="str">
        <f ca="1">IFERROR(+IF(AU$27=ProposalToGnatt[[#This Row],[Start Date]],Milestone_Marker,IF(AND(AU$27&gt;ProposalToGnatt[[#This Row],[Start Date]],AU$27&lt;ProposalToGnatt[[#This Row],[Start Date]]+ProposalToGnatt[[#This Row],[Days]]),$G$5,"")),"")</f>
        <v/>
      </c>
      <c r="AV34" s="36" t="str">
        <f ca="1">IFERROR(+IF(AV$27=ProposalToGnatt[[#This Row],[Start Date]],Milestone_Marker,IF(AND(AV$27&gt;ProposalToGnatt[[#This Row],[Start Date]],AV$27&lt;ProposalToGnatt[[#This Row],[Start Date]]+ProposalToGnatt[[#This Row],[Days]]),$G$5,"")),"")</f>
        <v/>
      </c>
      <c r="AW34" s="36" t="str">
        <f ca="1">IFERROR(+IF(AW$27=ProposalToGnatt[[#This Row],[Start Date]],Milestone_Marker,IF(AND(AW$27&gt;ProposalToGnatt[[#This Row],[Start Date]],AW$27&lt;ProposalToGnatt[[#This Row],[Start Date]]+ProposalToGnatt[[#This Row],[Days]]),$G$5,"")),"")</f>
        <v/>
      </c>
      <c r="AX34" s="36" t="str">
        <f ca="1">IFERROR(+IF(AX$27=ProposalToGnatt[[#This Row],[Start Date]],Milestone_Marker,IF(AND(AX$27&gt;ProposalToGnatt[[#This Row],[Start Date]],AX$27&lt;ProposalToGnatt[[#This Row],[Start Date]]+ProposalToGnatt[[#This Row],[Days]]),$G$5,"")),"")</f>
        <v/>
      </c>
      <c r="AY34" s="36" t="str">
        <f ca="1">IFERROR(+IF(AY$27=ProposalToGnatt[[#This Row],[Start Date]],Milestone_Marker,IF(AND(AY$27&gt;ProposalToGnatt[[#This Row],[Start Date]],AY$27&lt;ProposalToGnatt[[#This Row],[Start Date]]+ProposalToGnatt[[#This Row],[Days]]),$G$5,"")),"")</f>
        <v/>
      </c>
      <c r="AZ34" s="36" t="str">
        <f ca="1">IFERROR(+IF(AZ$27=ProposalToGnatt[[#This Row],[Start Date]],Milestone_Marker,IF(AND(AZ$27&gt;ProposalToGnatt[[#This Row],[Start Date]],AZ$27&lt;ProposalToGnatt[[#This Row],[Start Date]]+ProposalToGnatt[[#This Row],[Days]]),$G$5,"")),"")</f>
        <v/>
      </c>
      <c r="BA34" s="36" t="str">
        <f ca="1">IFERROR(+IF(BA$27=ProposalToGnatt[[#This Row],[Start Date]],Milestone_Marker,IF(AND(BA$27&gt;ProposalToGnatt[[#This Row],[Start Date]],BA$27&lt;ProposalToGnatt[[#This Row],[Start Date]]+ProposalToGnatt[[#This Row],[Days]]),$G$5,"")),"")</f>
        <v/>
      </c>
      <c r="BB34" s="36" t="str">
        <f ca="1">IFERROR(+IF(BB$27=ProposalToGnatt[[#This Row],[Start Date]],Milestone_Marker,IF(AND(BB$27&gt;ProposalToGnatt[[#This Row],[Start Date]],BB$27&lt;ProposalToGnatt[[#This Row],[Start Date]]+ProposalToGnatt[[#This Row],[Days]]),$G$5,"")),"")</f>
        <v/>
      </c>
      <c r="BC34" s="36" t="str">
        <f ca="1">IFERROR(+IF(BC$27=ProposalToGnatt[[#This Row],[Start Date]],Milestone_Marker,IF(AND(BC$27&gt;ProposalToGnatt[[#This Row],[Start Date]],BC$27&lt;ProposalToGnatt[[#This Row],[Start Date]]+ProposalToGnatt[[#This Row],[Days]]),$G$5,"")),"")</f>
        <v/>
      </c>
      <c r="BD34" s="36" t="str">
        <f ca="1">IFERROR(+IF(BD$27=ProposalToGnatt[[#This Row],[Start Date]],Milestone_Marker,IF(AND(BD$27&gt;ProposalToGnatt[[#This Row],[Start Date]],BD$27&lt;ProposalToGnatt[[#This Row],[Start Date]]+ProposalToGnatt[[#This Row],[Days]]),$G$5,"")),"")</f>
        <v/>
      </c>
      <c r="BE34" s="36" t="str">
        <f ca="1">IFERROR(+IF(BE$27=ProposalToGnatt[[#This Row],[Start Date]],Milestone_Marker,IF(AND(BE$27&gt;ProposalToGnatt[[#This Row],[Start Date]],BE$27&lt;ProposalToGnatt[[#This Row],[Start Date]]+ProposalToGnatt[[#This Row],[Days]]),$G$5,"")),"")</f>
        <v/>
      </c>
      <c r="BF34" s="36" t="str">
        <f ca="1">IFERROR(+IF(BF$27=ProposalToGnatt[[#This Row],[Start Date]],Milestone_Marker,IF(AND(BF$27&gt;ProposalToGnatt[[#This Row],[Start Date]],BF$27&lt;ProposalToGnatt[[#This Row],[Start Date]]+ProposalToGnatt[[#This Row],[Days]]),$G$5,"")),"")</f>
        <v/>
      </c>
      <c r="BG34" s="36" t="str">
        <f ca="1">IFERROR(+IF(BG$27=ProposalToGnatt[[#This Row],[Start Date]],Milestone_Marker,IF(AND(BG$27&gt;ProposalToGnatt[[#This Row],[Start Date]],BG$27&lt;ProposalToGnatt[[#This Row],[Start Date]]+ProposalToGnatt[[#This Row],[Days]]),$G$5,"")),"")</f>
        <v/>
      </c>
      <c r="BH34" s="36" t="str">
        <f ca="1">IFERROR(+IF(BH$27=ProposalToGnatt[[#This Row],[Start Date]],Milestone_Marker,IF(AND(BH$27&gt;ProposalToGnatt[[#This Row],[Start Date]],BH$27&lt;ProposalToGnatt[[#This Row],[Start Date]]+ProposalToGnatt[[#This Row],[Days]]),$G$5,"")),"")</f>
        <v/>
      </c>
      <c r="BI34" s="36" t="str">
        <f ca="1">IFERROR(+IF(BI$27=ProposalToGnatt[[#This Row],[Start Date]],Milestone_Marker,IF(AND(BI$27&gt;ProposalToGnatt[[#This Row],[Start Date]],BI$27&lt;ProposalToGnatt[[#This Row],[Start Date]]+ProposalToGnatt[[#This Row],[Days]]),$G$5,"")),"")</f>
        <v/>
      </c>
      <c r="BJ34" s="36" t="str">
        <f ca="1">IFERROR(+IF(BJ$27=ProposalToGnatt[[#This Row],[Start Date]],Milestone_Marker,IF(AND(BJ$27&gt;ProposalToGnatt[[#This Row],[Start Date]],BJ$27&lt;ProposalToGnatt[[#This Row],[Start Date]]+ProposalToGnatt[[#This Row],[Days]]),$G$5,"")),"")</f>
        <v/>
      </c>
      <c r="BK34" s="36" t="str">
        <f ca="1">IFERROR(+IF(BK$27=ProposalToGnatt[[#This Row],[Start Date]],Milestone_Marker,IF(AND(BK$27&gt;ProposalToGnatt[[#This Row],[Start Date]],BK$27&lt;ProposalToGnatt[[#This Row],[Start Date]]+ProposalToGnatt[[#This Row],[Days]]),$G$5,"")),"")</f>
        <v/>
      </c>
      <c r="BL34" s="36" t="str">
        <f ca="1">IFERROR(+IF(BL$27=ProposalToGnatt[[#This Row],[Start Date]],Milestone_Marker,IF(AND(BL$27&gt;ProposalToGnatt[[#This Row],[Start Date]],BL$27&lt;ProposalToGnatt[[#This Row],[Start Date]]+ProposalToGnatt[[#This Row],[Days]]),$G$5,"")),"")</f>
        <v/>
      </c>
      <c r="BM34" s="36" t="str">
        <f ca="1">IFERROR(+IF(BM$27=ProposalToGnatt[[#This Row],[Start Date]],Milestone_Marker,IF(AND(BM$27&gt;ProposalToGnatt[[#This Row],[Start Date]],BM$27&lt;ProposalToGnatt[[#This Row],[Start Date]]+ProposalToGnatt[[#This Row],[Days]]),$G$5,"")),"")</f>
        <v/>
      </c>
      <c r="BN34" s="36" t="str">
        <f ca="1">IFERROR(+IF(BN$27=ProposalToGnatt[[#This Row],[Start Date]],Milestone_Marker,IF(AND(BN$27&gt;ProposalToGnatt[[#This Row],[Start Date]],BN$27&lt;ProposalToGnatt[[#This Row],[Start Date]]+ProposalToGnatt[[#This Row],[Days]]),$G$5,"")),"")</f>
        <v/>
      </c>
      <c r="BO34" s="36" t="str">
        <f ca="1">IFERROR(+IF(BO$27=ProposalToGnatt[[#This Row],[Start Date]],Milestone_Marker,IF(AND(BO$27&gt;ProposalToGnatt[[#This Row],[Start Date]],BO$27&lt;ProposalToGnatt[[#This Row],[Start Date]]+ProposalToGnatt[[#This Row],[Days]]),$G$5,"")),"")</f>
        <v/>
      </c>
      <c r="BP34" s="36" t="str">
        <f ca="1">IFERROR(+IF(BP$27=ProposalToGnatt[[#This Row],[Start Date]],Milestone_Marker,IF(AND(BP$27&gt;ProposalToGnatt[[#This Row],[Start Date]],BP$27&lt;ProposalToGnatt[[#This Row],[Start Date]]+ProposalToGnatt[[#This Row],[Days]]),$G$5,"")),"")</f>
        <v/>
      </c>
      <c r="BQ34" s="36" t="str">
        <f ca="1">IFERROR(+IF(BQ$27=ProposalToGnatt[[#This Row],[Start Date]],Milestone_Marker,IF(AND(BQ$27&gt;ProposalToGnatt[[#This Row],[Start Date]],BQ$27&lt;ProposalToGnatt[[#This Row],[Start Date]]+ProposalToGnatt[[#This Row],[Days]]),$G$5,"")),"")</f>
        <v/>
      </c>
      <c r="BR34" s="36" t="str">
        <f ca="1">IFERROR(+IF(BR$27=ProposalToGnatt[[#This Row],[Start Date]],Milestone_Marker,IF(AND(BR$27&gt;ProposalToGnatt[[#This Row],[Start Date]],BR$27&lt;ProposalToGnatt[[#This Row],[Start Date]]+ProposalToGnatt[[#This Row],[Days]]),$G$5,"")),"")</f>
        <v/>
      </c>
      <c r="BS34" s="36" t="str">
        <f ca="1">IFERROR(+IF(BS$27=ProposalToGnatt[[#This Row],[Start Date]],Milestone_Marker,IF(AND(BS$27&gt;ProposalToGnatt[[#This Row],[Start Date]],BS$27&lt;ProposalToGnatt[[#This Row],[Start Date]]+ProposalToGnatt[[#This Row],[Days]]),$G$5,"")),"")</f>
        <v/>
      </c>
      <c r="BT34" s="36" t="str">
        <f ca="1">IFERROR(+IF(BT$27=ProposalToGnatt[[#This Row],[Start Date]],Milestone_Marker,IF(AND(BT$27&gt;ProposalToGnatt[[#This Row],[Start Date]],BT$27&lt;ProposalToGnatt[[#This Row],[Start Date]]+ProposalToGnatt[[#This Row],[Days]]),$G$5,"")),"")</f>
        <v/>
      </c>
      <c r="BU34" s="36" t="str">
        <f ca="1">IFERROR(+IF(BU$27=ProposalToGnatt[[#This Row],[Start Date]],Milestone_Marker,IF(AND(BU$27&gt;ProposalToGnatt[[#This Row],[Start Date]],BU$27&lt;ProposalToGnatt[[#This Row],[Start Date]]+ProposalToGnatt[[#This Row],[Days]]),$G$5,"")),"")</f>
        <v/>
      </c>
      <c r="BV34" s="36" t="str">
        <f ca="1">IFERROR(+IF(BV$27=ProposalToGnatt[[#This Row],[Start Date]],Milestone_Marker,IF(AND(BV$27&gt;ProposalToGnatt[[#This Row],[Start Date]],BV$27&lt;ProposalToGnatt[[#This Row],[Start Date]]+ProposalToGnatt[[#This Row],[Days]]),$G$5,"")),"")</f>
        <v/>
      </c>
      <c r="BW34" s="36" t="str">
        <f ca="1">IFERROR(+IF(BW$27=ProposalToGnatt[[#This Row],[Start Date]],Milestone_Marker,IF(AND(BW$27&gt;ProposalToGnatt[[#This Row],[Start Date]],BW$27&lt;ProposalToGnatt[[#This Row],[Start Date]]+ProposalToGnatt[[#This Row],[Days]]),$G$5,"")),"")</f>
        <v/>
      </c>
      <c r="BX34" s="36" t="str">
        <f ca="1">IFERROR(+IF(BX$27=ProposalToGnatt[[#This Row],[Start Date]],Milestone_Marker,IF(AND(BX$27&gt;ProposalToGnatt[[#This Row],[Start Date]],BX$27&lt;ProposalToGnatt[[#This Row],[Start Date]]+ProposalToGnatt[[#This Row],[Days]]),$G$5,"")),"")</f>
        <v/>
      </c>
      <c r="BY34" s="36" t="str">
        <f ca="1">IFERROR(+IF(BY$27=ProposalToGnatt[[#This Row],[Start Date]],Milestone_Marker,IF(AND(BY$27&gt;ProposalToGnatt[[#This Row],[Start Date]],BY$27&lt;ProposalToGnatt[[#This Row],[Start Date]]+ProposalToGnatt[[#This Row],[Days]]),$G$5,"")),"")</f>
        <v/>
      </c>
      <c r="BZ34" s="36" t="str">
        <f ca="1">IFERROR(+IF(BZ$27=ProposalToGnatt[[#This Row],[Start Date]],Milestone_Marker,IF(AND(BZ$27&gt;ProposalToGnatt[[#This Row],[Start Date]],BZ$27&lt;ProposalToGnatt[[#This Row],[Start Date]]+ProposalToGnatt[[#This Row],[Days]]),$G$5,"")),"")</f>
        <v/>
      </c>
      <c r="CA34" s="36" t="str">
        <f ca="1">IFERROR(+IF(CA$27=ProposalToGnatt[[#This Row],[Start Date]],Milestone_Marker,IF(AND(CA$27&gt;ProposalToGnatt[[#This Row],[Start Date]],CA$27&lt;ProposalToGnatt[[#This Row],[Start Date]]+ProposalToGnatt[[#This Row],[Days]]),$G$5,"")),"")</f>
        <v/>
      </c>
      <c r="CB34" s="36" t="str">
        <f ca="1">IFERROR(+IF(CB$27=ProposalToGnatt[[#This Row],[Start Date]],Milestone_Marker,IF(AND(CB$27&gt;ProposalToGnatt[[#This Row],[Start Date]],CB$27&lt;ProposalToGnatt[[#This Row],[Start Date]]+ProposalToGnatt[[#This Row],[Days]]),$G$5,"")),"")</f>
        <v/>
      </c>
      <c r="CC34" s="36" t="str">
        <f ca="1">IFERROR(+IF(CC$27=ProposalToGnatt[[#This Row],[Start Date]],Milestone_Marker,IF(AND(CC$27&gt;ProposalToGnatt[[#This Row],[Start Date]],CC$27&lt;ProposalToGnatt[[#This Row],[Start Date]]+ProposalToGnatt[[#This Row],[Days]]),$G$5,"")),"")</f>
        <v/>
      </c>
      <c r="CD34" s="36" t="str">
        <f ca="1">IFERROR(+IF(CD$27=ProposalToGnatt[[#This Row],[Start Date]],Milestone_Marker,IF(AND(CD$27&gt;ProposalToGnatt[[#This Row],[Start Date]],CD$27&lt;ProposalToGnatt[[#This Row],[Start Date]]+ProposalToGnatt[[#This Row],[Days]]),$G$5,"")),"")</f>
        <v/>
      </c>
      <c r="CE34" s="36" t="str">
        <f ca="1">IFERROR(+IF(CE$27=ProposalToGnatt[[#This Row],[Start Date]],Milestone_Marker,IF(AND(CE$27&gt;ProposalToGnatt[[#This Row],[Start Date]],CE$27&lt;ProposalToGnatt[[#This Row],[Start Date]]+ProposalToGnatt[[#This Row],[Days]]),$G$5,"")),"")</f>
        <v/>
      </c>
      <c r="CF34" s="36" t="str">
        <f ca="1">IFERROR(+IF(CF$27=ProposalToGnatt[[#This Row],[Start Date]],Milestone_Marker,IF(AND(CF$27&gt;ProposalToGnatt[[#This Row],[Start Date]],CF$27&lt;ProposalToGnatt[[#This Row],[Start Date]]+ProposalToGnatt[[#This Row],[Days]]),$G$5,"")),"")</f>
        <v/>
      </c>
      <c r="CG34" s="36" t="str">
        <f ca="1">IFERROR(+IF(CG$27=ProposalToGnatt[[#This Row],[Start Date]],Milestone_Marker,IF(AND(CG$27&gt;ProposalToGnatt[[#This Row],[Start Date]],CG$27&lt;ProposalToGnatt[[#This Row],[Start Date]]+ProposalToGnatt[[#This Row],[Days]]),$G$5,"")),"")</f>
        <v/>
      </c>
      <c r="CH34" s="36" t="str">
        <f ca="1">IFERROR(+IF(CH$27=ProposalToGnatt[[#This Row],[Start Date]],Milestone_Marker,IF(AND(CH$27&gt;ProposalToGnatt[[#This Row],[Start Date]],CH$27&lt;ProposalToGnatt[[#This Row],[Start Date]]+ProposalToGnatt[[#This Row],[Days]]),$G$5,"")),"")</f>
        <v/>
      </c>
      <c r="CI34" s="36" t="str">
        <f ca="1">IFERROR(+IF(CI$27=ProposalToGnatt[[#This Row],[Start Date]],Milestone_Marker,IF(AND(CI$27&gt;ProposalToGnatt[[#This Row],[Start Date]],CI$27&lt;ProposalToGnatt[[#This Row],[Start Date]]+ProposalToGnatt[[#This Row],[Days]]),$G$5,"")),"")</f>
        <v/>
      </c>
      <c r="CJ34" s="36" t="str">
        <f ca="1">IFERROR(+IF(CJ$27=ProposalToGnatt[[#This Row],[Start Date]],Milestone_Marker,IF(AND(CJ$27&gt;ProposalToGnatt[[#This Row],[Start Date]],CJ$27&lt;ProposalToGnatt[[#This Row],[Start Date]]+ProposalToGnatt[[#This Row],[Days]]),$G$5,"")),"")</f>
        <v/>
      </c>
      <c r="CK34" s="36" t="str">
        <f ca="1">IFERROR(+IF(CK$27=ProposalToGnatt[[#This Row],[Start Date]],Milestone_Marker,IF(AND(CK$27&gt;ProposalToGnatt[[#This Row],[Start Date]],CK$27&lt;ProposalToGnatt[[#This Row],[Start Date]]+ProposalToGnatt[[#This Row],[Days]]),$G$5,"")),"")</f>
        <v/>
      </c>
      <c r="CL34" s="36" t="str">
        <f ca="1">IFERROR(+IF(CL$27=ProposalToGnatt[[#This Row],[Start Date]],Milestone_Marker,IF(AND(CL$27&gt;ProposalToGnatt[[#This Row],[Start Date]],CL$27&lt;ProposalToGnatt[[#This Row],[Start Date]]+ProposalToGnatt[[#This Row],[Days]]),$G$5,"")),"")</f>
        <v/>
      </c>
      <c r="CM34" s="36" t="str">
        <f ca="1">IFERROR(+IF(CM$27=ProposalToGnatt[[#This Row],[Start Date]],Milestone_Marker,IF(AND(CM$27&gt;ProposalToGnatt[[#This Row],[Start Date]],CM$27&lt;ProposalToGnatt[[#This Row],[Start Date]]+ProposalToGnatt[[#This Row],[Days]]),$G$5,"")),"")</f>
        <v/>
      </c>
      <c r="CN34" s="36" t="str">
        <f ca="1">IFERROR(+IF(CN$27=ProposalToGnatt[[#This Row],[Start Date]],Milestone_Marker,IF(AND(CN$27&gt;ProposalToGnatt[[#This Row],[Start Date]],CN$27&lt;ProposalToGnatt[[#This Row],[Start Date]]+ProposalToGnatt[[#This Row],[Days]]),$G$5,"")),"")</f>
        <v/>
      </c>
      <c r="CO34" s="36" t="str">
        <f ca="1">IFERROR(+IF(CO$27=ProposalToGnatt[[#This Row],[Start Date]],Milestone_Marker,IF(AND(CO$27&gt;ProposalToGnatt[[#This Row],[Start Date]],CO$27&lt;ProposalToGnatt[[#This Row],[Start Date]]+ProposalToGnatt[[#This Row],[Days]]),$G$5,"")),"")</f>
        <v/>
      </c>
      <c r="CP34" s="36" t="str">
        <f ca="1">IFERROR(+IF(CP$27=ProposalToGnatt[[#This Row],[Start Date]],Milestone_Marker,IF(AND(CP$27&gt;ProposalToGnatt[[#This Row],[Start Date]],CP$27&lt;ProposalToGnatt[[#This Row],[Start Date]]+ProposalToGnatt[[#This Row],[Days]]),$G$5,"")),"")</f>
        <v/>
      </c>
      <c r="CQ34" s="36" t="str">
        <f ca="1">IFERROR(+IF(CQ$27=ProposalToGnatt[[#This Row],[Start Date]],Milestone_Marker,IF(AND(CQ$27&gt;ProposalToGnatt[[#This Row],[Start Date]],CQ$27&lt;ProposalToGnatt[[#This Row],[Start Date]]+ProposalToGnatt[[#This Row],[Days]]),$G$5,"")),"")</f>
        <v/>
      </c>
      <c r="CR34" s="36" t="str">
        <f ca="1">IFERROR(+IF(CR$27=ProposalToGnatt[[#This Row],[Start Date]],Milestone_Marker,IF(AND(CR$27&gt;ProposalToGnatt[[#This Row],[Start Date]],CR$27&lt;ProposalToGnatt[[#This Row],[Start Date]]+ProposalToGnatt[[#This Row],[Days]]),$G$5,"")),"")</f>
        <v/>
      </c>
      <c r="CS34" s="36" t="str">
        <f ca="1">IFERROR(+IF(CS$27=ProposalToGnatt[[#This Row],[Start Date]],Milestone_Marker,IF(AND(CS$27&gt;ProposalToGnatt[[#This Row],[Start Date]],CS$27&lt;ProposalToGnatt[[#This Row],[Start Date]]+ProposalToGnatt[[#This Row],[Days]]),$G$5,"")),"")</f>
        <v/>
      </c>
      <c r="CT34" s="36" t="str">
        <f ca="1">IFERROR(+IF(CT$27=ProposalToGnatt[[#This Row],[Start Date]],Milestone_Marker,IF(AND(CT$27&gt;ProposalToGnatt[[#This Row],[Start Date]],CT$27&lt;ProposalToGnatt[[#This Row],[Start Date]]+ProposalToGnatt[[#This Row],[Days]]),$G$5,"")),"")</f>
        <v/>
      </c>
      <c r="CU34" s="36" t="str">
        <f ca="1">IFERROR(+IF(CU$27=ProposalToGnatt[[#This Row],[Start Date]],Milestone_Marker,IF(AND(CU$27&gt;ProposalToGnatt[[#This Row],[Start Date]],CU$27&lt;ProposalToGnatt[[#This Row],[Start Date]]+ProposalToGnatt[[#This Row],[Days]]),$G$5,"")),"")</f>
        <v/>
      </c>
      <c r="CV34" s="36"/>
      <c r="CW34" s="36"/>
      <c r="CX34" s="36"/>
      <c r="CY34" s="36"/>
      <c r="CZ34" s="36"/>
      <c r="DA34" s="36"/>
      <c r="DB34" s="36"/>
      <c r="DC34" s="36"/>
      <c r="DD34" s="36"/>
      <c r="DE34" s="36"/>
      <c r="DF34" s="36"/>
      <c r="DG34" s="36"/>
      <c r="DH34" s="36"/>
      <c r="DI34" s="36"/>
      <c r="DJ34" s="36"/>
      <c r="DK34" s="36"/>
      <c r="DL34" s="36"/>
      <c r="DM34" s="36"/>
      <c r="DN34" s="36"/>
      <c r="DO34" s="36"/>
      <c r="DP34" s="36"/>
      <c r="DQ34" s="36"/>
      <c r="DR34" s="36"/>
      <c r="DS34" s="36"/>
      <c r="DT34" s="36"/>
      <c r="DU34" s="36"/>
    </row>
    <row r="35" spans="1:125" s="41" customFormat="1" ht="20.100000000000001" customHeight="1" x14ac:dyDescent="0.25">
      <c r="A35" t="s">
        <v>267</v>
      </c>
      <c r="B35">
        <v>17</v>
      </c>
      <c r="C35"/>
      <c r="D35" t="s">
        <v>891</v>
      </c>
      <c r="E35" s="568" t="s">
        <v>892</v>
      </c>
      <c r="F35">
        <v>8</v>
      </c>
      <c r="G35" s="14">
        <v>5</v>
      </c>
      <c r="H35" s="14">
        <v>40</v>
      </c>
      <c r="I35" t="s">
        <v>3</v>
      </c>
      <c r="J35">
        <v>1</v>
      </c>
      <c r="K35" s="249"/>
      <c r="L35"/>
      <c r="M35" s="14"/>
      <c r="N35" s="300">
        <v>40</v>
      </c>
      <c r="O35" s="554"/>
      <c r="P35" s="36" t="str">
        <f ca="1">IFERROR(+IF(P$27=ProposalToGnatt[[#This Row],[Start Date]],Milestone_Marker,IF(AND(P$27&gt;ProposalToGnatt[[#This Row],[Start Date]],P$27&lt;ProposalToGnatt[[#This Row],[Start Date]]+ProposalToGnatt[[#This Row],[Days]]),$G$5,"")),"")</f>
        <v/>
      </c>
      <c r="Q35" s="36" t="str">
        <f ca="1">IFERROR(+IF(Q$27=ProposalToGnatt[[#This Row],[Start Date]],Milestone_Marker,IF(AND(Q$27&gt;ProposalToGnatt[[#This Row],[Start Date]],Q$27&lt;ProposalToGnatt[[#This Row],[Start Date]]+ProposalToGnatt[[#This Row],[Days]]),$G$5,"")),"")</f>
        <v/>
      </c>
      <c r="R35" s="36" t="str">
        <f ca="1">IFERROR(+IF(R$27=ProposalToGnatt[[#This Row],[Start Date]],Milestone_Marker,IF(AND(R$27&gt;ProposalToGnatt[[#This Row],[Start Date]],R$27&lt;ProposalToGnatt[[#This Row],[Start Date]]+ProposalToGnatt[[#This Row],[Days]]),$G$5,"")),"")</f>
        <v/>
      </c>
      <c r="S35" s="36" t="str">
        <f ca="1">IFERROR(+IF(S$27=ProposalToGnatt[[#This Row],[Start Date]],Milestone_Marker,IF(AND(S$27&gt;ProposalToGnatt[[#This Row],[Start Date]],S$27&lt;ProposalToGnatt[[#This Row],[Start Date]]+ProposalToGnatt[[#This Row],[Days]]),$G$5,"")),"")</f>
        <v/>
      </c>
      <c r="T35" s="36" t="str">
        <f ca="1">IFERROR(+IF(T$27=ProposalToGnatt[[#This Row],[Start Date]],Milestone_Marker,IF(AND(T$27&gt;ProposalToGnatt[[#This Row],[Start Date]],T$27&lt;ProposalToGnatt[[#This Row],[Start Date]]+ProposalToGnatt[[#This Row],[Days]]),$G$5,"")),"")</f>
        <v/>
      </c>
      <c r="U35" s="36" t="str">
        <f ca="1">IFERROR(+IF(U$27=ProposalToGnatt[[#This Row],[Start Date]],Milestone_Marker,IF(AND(U$27&gt;ProposalToGnatt[[#This Row],[Start Date]],U$27&lt;ProposalToGnatt[[#This Row],[Start Date]]+ProposalToGnatt[[#This Row],[Days]]),$G$5,"")),"")</f>
        <v/>
      </c>
      <c r="V35" s="36" t="str">
        <f ca="1">IFERROR(+IF(V$27=ProposalToGnatt[[#This Row],[Start Date]],Milestone_Marker,IF(AND(V$27&gt;ProposalToGnatt[[#This Row],[Start Date]],V$27&lt;ProposalToGnatt[[#This Row],[Start Date]]+ProposalToGnatt[[#This Row],[Days]]),$G$5,"")),"")</f>
        <v/>
      </c>
      <c r="W35" s="36" t="str">
        <f ca="1">IFERROR(+IF(W$27=ProposalToGnatt[[#This Row],[Start Date]],Milestone_Marker,IF(AND(W$27&gt;ProposalToGnatt[[#This Row],[Start Date]],W$27&lt;ProposalToGnatt[[#This Row],[Start Date]]+ProposalToGnatt[[#This Row],[Days]]),$G$5,"")),"")</f>
        <v/>
      </c>
      <c r="X35" s="36" t="str">
        <f ca="1">IFERROR(+IF(X$27=ProposalToGnatt[[#This Row],[Start Date]],Milestone_Marker,IF(AND(X$27&gt;ProposalToGnatt[[#This Row],[Start Date]],X$27&lt;ProposalToGnatt[[#This Row],[Start Date]]+ProposalToGnatt[[#This Row],[Days]]),$G$5,"")),"")</f>
        <v/>
      </c>
      <c r="Y35" s="36" t="str">
        <f ca="1">IFERROR(+IF(Y$27=ProposalToGnatt[[#This Row],[Start Date]],Milestone_Marker,IF(AND(Y$27&gt;ProposalToGnatt[[#This Row],[Start Date]],Y$27&lt;ProposalToGnatt[[#This Row],[Start Date]]+ProposalToGnatt[[#This Row],[Days]]),$G$5,"")),"")</f>
        <v/>
      </c>
      <c r="Z35" s="36" t="str">
        <f ca="1">IFERROR(+IF(Z$27=ProposalToGnatt[[#This Row],[Start Date]],Milestone_Marker,IF(AND(Z$27&gt;ProposalToGnatt[[#This Row],[Start Date]],Z$27&lt;ProposalToGnatt[[#This Row],[Start Date]]+ProposalToGnatt[[#This Row],[Days]]),$G$5,"")),"")</f>
        <v/>
      </c>
      <c r="AA35" s="36" t="str">
        <f ca="1">IFERROR(+IF(AA$27=ProposalToGnatt[[#This Row],[Start Date]],Milestone_Marker,IF(AND(AA$27&gt;ProposalToGnatt[[#This Row],[Start Date]],AA$27&lt;ProposalToGnatt[[#This Row],[Start Date]]+ProposalToGnatt[[#This Row],[Days]]),$G$5,"")),"")</f>
        <v/>
      </c>
      <c r="AB35" s="36" t="str">
        <f ca="1">IFERROR(+IF(AB$27=ProposalToGnatt[[#This Row],[Start Date]],Milestone_Marker,IF(AND(AB$27&gt;ProposalToGnatt[[#This Row],[Start Date]],AB$27&lt;ProposalToGnatt[[#This Row],[Start Date]]+ProposalToGnatt[[#This Row],[Days]]),$G$5,"")),"")</f>
        <v/>
      </c>
      <c r="AC35" s="36" t="str">
        <f ca="1">IFERROR(+IF(AC$27=ProposalToGnatt[[#This Row],[Start Date]],Milestone_Marker,IF(AND(AC$27&gt;ProposalToGnatt[[#This Row],[Start Date]],AC$27&lt;ProposalToGnatt[[#This Row],[Start Date]]+ProposalToGnatt[[#This Row],[Days]]),$G$5,"")),"")</f>
        <v/>
      </c>
      <c r="AD35" s="36" t="str">
        <f ca="1">IFERROR(+IF(AD$27=ProposalToGnatt[[#This Row],[Start Date]],Milestone_Marker,IF(AND(AD$27&gt;ProposalToGnatt[[#This Row],[Start Date]],AD$27&lt;ProposalToGnatt[[#This Row],[Start Date]]+ProposalToGnatt[[#This Row],[Days]]),$G$5,"")),"")</f>
        <v/>
      </c>
      <c r="AE35" s="36" t="str">
        <f ca="1">IFERROR(+IF(AE$27=ProposalToGnatt[[#This Row],[Start Date]],Milestone_Marker,IF(AND(AE$27&gt;ProposalToGnatt[[#This Row],[Start Date]],AE$27&lt;ProposalToGnatt[[#This Row],[Start Date]]+ProposalToGnatt[[#This Row],[Days]]),$G$5,"")),"")</f>
        <v/>
      </c>
      <c r="AF35" s="36" t="str">
        <f ca="1">IFERROR(+IF(AF$27=ProposalToGnatt[[#This Row],[Start Date]],Milestone_Marker,IF(AND(AF$27&gt;ProposalToGnatt[[#This Row],[Start Date]],AF$27&lt;ProposalToGnatt[[#This Row],[Start Date]]+ProposalToGnatt[[#This Row],[Days]]),$G$5,"")),"")</f>
        <v/>
      </c>
      <c r="AG35" s="36" t="str">
        <f ca="1">IFERROR(+IF(AG$27=ProposalToGnatt[[#This Row],[Start Date]],Milestone_Marker,IF(AND(AG$27&gt;ProposalToGnatt[[#This Row],[Start Date]],AG$27&lt;ProposalToGnatt[[#This Row],[Start Date]]+ProposalToGnatt[[#This Row],[Days]]),$G$5,"")),"")</f>
        <v/>
      </c>
      <c r="AH35" s="36" t="str">
        <f ca="1">IFERROR(+IF(AH$27=ProposalToGnatt[[#This Row],[Start Date]],Milestone_Marker,IF(AND(AH$27&gt;ProposalToGnatt[[#This Row],[Start Date]],AH$27&lt;ProposalToGnatt[[#This Row],[Start Date]]+ProposalToGnatt[[#This Row],[Days]]),$G$5,"")),"")</f>
        <v/>
      </c>
      <c r="AI35" s="36" t="str">
        <f ca="1">IFERROR(+IF(AI$27=ProposalToGnatt[[#This Row],[Start Date]],Milestone_Marker,IF(AND(AI$27&gt;ProposalToGnatt[[#This Row],[Start Date]],AI$27&lt;ProposalToGnatt[[#This Row],[Start Date]]+ProposalToGnatt[[#This Row],[Days]]),$G$5,"")),"")</f>
        <v/>
      </c>
      <c r="AJ35" s="36" t="str">
        <f ca="1">IFERROR(+IF(AJ$27=ProposalToGnatt[[#This Row],[Start Date]],Milestone_Marker,IF(AND(AJ$27&gt;ProposalToGnatt[[#This Row],[Start Date]],AJ$27&lt;ProposalToGnatt[[#This Row],[Start Date]]+ProposalToGnatt[[#This Row],[Days]]),$G$5,"")),"")</f>
        <v/>
      </c>
      <c r="AK35" s="36" t="str">
        <f ca="1">IFERROR(+IF(AK$27=ProposalToGnatt[[#This Row],[Start Date]],Milestone_Marker,IF(AND(AK$27&gt;ProposalToGnatt[[#This Row],[Start Date]],AK$27&lt;ProposalToGnatt[[#This Row],[Start Date]]+ProposalToGnatt[[#This Row],[Days]]),$G$5,"")),"")</f>
        <v/>
      </c>
      <c r="AL35" s="36" t="str">
        <f ca="1">IFERROR(+IF(AL$27=ProposalToGnatt[[#This Row],[Start Date]],Milestone_Marker,IF(AND(AL$27&gt;ProposalToGnatt[[#This Row],[Start Date]],AL$27&lt;ProposalToGnatt[[#This Row],[Start Date]]+ProposalToGnatt[[#This Row],[Days]]),$G$5,"")),"")</f>
        <v/>
      </c>
      <c r="AM35" s="36" t="str">
        <f ca="1">IFERROR(+IF(AM$27=ProposalToGnatt[[#This Row],[Start Date]],Milestone_Marker,IF(AND(AM$27&gt;ProposalToGnatt[[#This Row],[Start Date]],AM$27&lt;ProposalToGnatt[[#This Row],[Start Date]]+ProposalToGnatt[[#This Row],[Days]]),$G$5,"")),"")</f>
        <v/>
      </c>
      <c r="AN35" s="36" t="str">
        <f ca="1">IFERROR(+IF(AN$27=ProposalToGnatt[[#This Row],[Start Date]],Milestone_Marker,IF(AND(AN$27&gt;ProposalToGnatt[[#This Row],[Start Date]],AN$27&lt;ProposalToGnatt[[#This Row],[Start Date]]+ProposalToGnatt[[#This Row],[Days]]),$G$5,"")),"")</f>
        <v/>
      </c>
      <c r="AO35" s="36" t="str">
        <f ca="1">IFERROR(+IF(AO$27=ProposalToGnatt[[#This Row],[Start Date]],Milestone_Marker,IF(AND(AO$27&gt;ProposalToGnatt[[#This Row],[Start Date]],AO$27&lt;ProposalToGnatt[[#This Row],[Start Date]]+ProposalToGnatt[[#This Row],[Days]]),$G$5,"")),"")</f>
        <v/>
      </c>
      <c r="AP35" s="36" t="str">
        <f ca="1">IFERROR(+IF(AP$27=ProposalToGnatt[[#This Row],[Start Date]],Milestone_Marker,IF(AND(AP$27&gt;ProposalToGnatt[[#This Row],[Start Date]],AP$27&lt;ProposalToGnatt[[#This Row],[Start Date]]+ProposalToGnatt[[#This Row],[Days]]),$G$5,"")),"")</f>
        <v/>
      </c>
      <c r="AQ35" s="36" t="str">
        <f ca="1">IFERROR(+IF(AQ$27=ProposalToGnatt[[#This Row],[Start Date]],Milestone_Marker,IF(AND(AQ$27&gt;ProposalToGnatt[[#This Row],[Start Date]],AQ$27&lt;ProposalToGnatt[[#This Row],[Start Date]]+ProposalToGnatt[[#This Row],[Days]]),$G$5,"")),"")</f>
        <v/>
      </c>
      <c r="AR35" s="36" t="str">
        <f ca="1">IFERROR(+IF(AR$27=ProposalToGnatt[[#This Row],[Start Date]],Milestone_Marker,IF(AND(AR$27&gt;ProposalToGnatt[[#This Row],[Start Date]],AR$27&lt;ProposalToGnatt[[#This Row],[Start Date]]+ProposalToGnatt[[#This Row],[Days]]),$G$5,"")),"")</f>
        <v/>
      </c>
      <c r="AS35" s="36" t="str">
        <f ca="1">IFERROR(+IF(AS$27=ProposalToGnatt[[#This Row],[Start Date]],Milestone_Marker,IF(AND(AS$27&gt;ProposalToGnatt[[#This Row],[Start Date]],AS$27&lt;ProposalToGnatt[[#This Row],[Start Date]]+ProposalToGnatt[[#This Row],[Days]]),$G$5,"")),"")</f>
        <v/>
      </c>
      <c r="AT35" s="36" t="str">
        <f ca="1">IFERROR(+IF(AT$27=ProposalToGnatt[[#This Row],[Start Date]],Milestone_Marker,IF(AND(AT$27&gt;ProposalToGnatt[[#This Row],[Start Date]],AT$27&lt;ProposalToGnatt[[#This Row],[Start Date]]+ProposalToGnatt[[#This Row],[Days]]),$G$5,"")),"")</f>
        <v/>
      </c>
      <c r="AU35" s="36" t="str">
        <f ca="1">IFERROR(+IF(AU$27=ProposalToGnatt[[#This Row],[Start Date]],Milestone_Marker,IF(AND(AU$27&gt;ProposalToGnatt[[#This Row],[Start Date]],AU$27&lt;ProposalToGnatt[[#This Row],[Start Date]]+ProposalToGnatt[[#This Row],[Days]]),$G$5,"")),"")</f>
        <v/>
      </c>
      <c r="AV35" s="36" t="str">
        <f ca="1">IFERROR(+IF(AV$27=ProposalToGnatt[[#This Row],[Start Date]],Milestone_Marker,IF(AND(AV$27&gt;ProposalToGnatt[[#This Row],[Start Date]],AV$27&lt;ProposalToGnatt[[#This Row],[Start Date]]+ProposalToGnatt[[#This Row],[Days]]),$G$5,"")),"")</f>
        <v/>
      </c>
      <c r="AW35" s="36" t="str">
        <f ca="1">IFERROR(+IF(AW$27=ProposalToGnatt[[#This Row],[Start Date]],Milestone_Marker,IF(AND(AW$27&gt;ProposalToGnatt[[#This Row],[Start Date]],AW$27&lt;ProposalToGnatt[[#This Row],[Start Date]]+ProposalToGnatt[[#This Row],[Days]]),$G$5,"")),"")</f>
        <v/>
      </c>
      <c r="AX35" s="36" t="str">
        <f ca="1">IFERROR(+IF(AX$27=ProposalToGnatt[[#This Row],[Start Date]],Milestone_Marker,IF(AND(AX$27&gt;ProposalToGnatt[[#This Row],[Start Date]],AX$27&lt;ProposalToGnatt[[#This Row],[Start Date]]+ProposalToGnatt[[#This Row],[Days]]),$G$5,"")),"")</f>
        <v/>
      </c>
      <c r="AY35" s="36" t="str">
        <f ca="1">IFERROR(+IF(AY$27=ProposalToGnatt[[#This Row],[Start Date]],Milestone_Marker,IF(AND(AY$27&gt;ProposalToGnatt[[#This Row],[Start Date]],AY$27&lt;ProposalToGnatt[[#This Row],[Start Date]]+ProposalToGnatt[[#This Row],[Days]]),$G$5,"")),"")</f>
        <v/>
      </c>
      <c r="AZ35" s="36" t="str">
        <f ca="1">IFERROR(+IF(AZ$27=ProposalToGnatt[[#This Row],[Start Date]],Milestone_Marker,IF(AND(AZ$27&gt;ProposalToGnatt[[#This Row],[Start Date]],AZ$27&lt;ProposalToGnatt[[#This Row],[Start Date]]+ProposalToGnatt[[#This Row],[Days]]),$G$5,"")),"")</f>
        <v/>
      </c>
      <c r="BA35" s="36" t="str">
        <f ca="1">IFERROR(+IF(BA$27=ProposalToGnatt[[#This Row],[Start Date]],Milestone_Marker,IF(AND(BA$27&gt;ProposalToGnatt[[#This Row],[Start Date]],BA$27&lt;ProposalToGnatt[[#This Row],[Start Date]]+ProposalToGnatt[[#This Row],[Days]]),$G$5,"")),"")</f>
        <v/>
      </c>
      <c r="BB35" s="36" t="str">
        <f ca="1">IFERROR(+IF(BB$27=ProposalToGnatt[[#This Row],[Start Date]],Milestone_Marker,IF(AND(BB$27&gt;ProposalToGnatt[[#This Row],[Start Date]],BB$27&lt;ProposalToGnatt[[#This Row],[Start Date]]+ProposalToGnatt[[#This Row],[Days]]),$G$5,"")),"")</f>
        <v/>
      </c>
      <c r="BC35" s="36" t="str">
        <f ca="1">IFERROR(+IF(BC$27=ProposalToGnatt[[#This Row],[Start Date]],Milestone_Marker,IF(AND(BC$27&gt;ProposalToGnatt[[#This Row],[Start Date]],BC$27&lt;ProposalToGnatt[[#This Row],[Start Date]]+ProposalToGnatt[[#This Row],[Days]]),$G$5,"")),"")</f>
        <v/>
      </c>
      <c r="BD35" s="36" t="str">
        <f ca="1">IFERROR(+IF(BD$27=ProposalToGnatt[[#This Row],[Start Date]],Milestone_Marker,IF(AND(BD$27&gt;ProposalToGnatt[[#This Row],[Start Date]],BD$27&lt;ProposalToGnatt[[#This Row],[Start Date]]+ProposalToGnatt[[#This Row],[Days]]),$G$5,"")),"")</f>
        <v/>
      </c>
      <c r="BE35" s="36" t="str">
        <f ca="1">IFERROR(+IF(BE$27=ProposalToGnatt[[#This Row],[Start Date]],Milestone_Marker,IF(AND(BE$27&gt;ProposalToGnatt[[#This Row],[Start Date]],BE$27&lt;ProposalToGnatt[[#This Row],[Start Date]]+ProposalToGnatt[[#This Row],[Days]]),$G$5,"")),"")</f>
        <v/>
      </c>
      <c r="BF35" s="36" t="str">
        <f ca="1">IFERROR(+IF(BF$27=ProposalToGnatt[[#This Row],[Start Date]],Milestone_Marker,IF(AND(BF$27&gt;ProposalToGnatt[[#This Row],[Start Date]],BF$27&lt;ProposalToGnatt[[#This Row],[Start Date]]+ProposalToGnatt[[#This Row],[Days]]),$G$5,"")),"")</f>
        <v/>
      </c>
      <c r="BG35" s="36" t="str">
        <f ca="1">IFERROR(+IF(BG$27=ProposalToGnatt[[#This Row],[Start Date]],Milestone_Marker,IF(AND(BG$27&gt;ProposalToGnatt[[#This Row],[Start Date]],BG$27&lt;ProposalToGnatt[[#This Row],[Start Date]]+ProposalToGnatt[[#This Row],[Days]]),$G$5,"")),"")</f>
        <v/>
      </c>
      <c r="BH35" s="36" t="str">
        <f ca="1">IFERROR(+IF(BH$27=ProposalToGnatt[[#This Row],[Start Date]],Milestone_Marker,IF(AND(BH$27&gt;ProposalToGnatt[[#This Row],[Start Date]],BH$27&lt;ProposalToGnatt[[#This Row],[Start Date]]+ProposalToGnatt[[#This Row],[Days]]),$G$5,"")),"")</f>
        <v/>
      </c>
      <c r="BI35" s="36" t="str">
        <f ca="1">IFERROR(+IF(BI$27=ProposalToGnatt[[#This Row],[Start Date]],Milestone_Marker,IF(AND(BI$27&gt;ProposalToGnatt[[#This Row],[Start Date]],BI$27&lt;ProposalToGnatt[[#This Row],[Start Date]]+ProposalToGnatt[[#This Row],[Days]]),$G$5,"")),"")</f>
        <v/>
      </c>
      <c r="BJ35" s="36" t="str">
        <f ca="1">IFERROR(+IF(BJ$27=ProposalToGnatt[[#This Row],[Start Date]],Milestone_Marker,IF(AND(BJ$27&gt;ProposalToGnatt[[#This Row],[Start Date]],BJ$27&lt;ProposalToGnatt[[#This Row],[Start Date]]+ProposalToGnatt[[#This Row],[Days]]),$G$5,"")),"")</f>
        <v/>
      </c>
      <c r="BK35" s="36" t="str">
        <f ca="1">IFERROR(+IF(BK$27=ProposalToGnatt[[#This Row],[Start Date]],Milestone_Marker,IF(AND(BK$27&gt;ProposalToGnatt[[#This Row],[Start Date]],BK$27&lt;ProposalToGnatt[[#This Row],[Start Date]]+ProposalToGnatt[[#This Row],[Days]]),$G$5,"")),"")</f>
        <v/>
      </c>
      <c r="BL35" s="36" t="str">
        <f ca="1">IFERROR(+IF(BL$27=ProposalToGnatt[[#This Row],[Start Date]],Milestone_Marker,IF(AND(BL$27&gt;ProposalToGnatt[[#This Row],[Start Date]],BL$27&lt;ProposalToGnatt[[#This Row],[Start Date]]+ProposalToGnatt[[#This Row],[Days]]),$G$5,"")),"")</f>
        <v/>
      </c>
      <c r="BM35" s="36" t="str">
        <f ca="1">IFERROR(+IF(BM$27=ProposalToGnatt[[#This Row],[Start Date]],Milestone_Marker,IF(AND(BM$27&gt;ProposalToGnatt[[#This Row],[Start Date]],BM$27&lt;ProposalToGnatt[[#This Row],[Start Date]]+ProposalToGnatt[[#This Row],[Days]]),$G$5,"")),"")</f>
        <v/>
      </c>
      <c r="BN35" s="36" t="str">
        <f ca="1">IFERROR(+IF(BN$27=ProposalToGnatt[[#This Row],[Start Date]],Milestone_Marker,IF(AND(BN$27&gt;ProposalToGnatt[[#This Row],[Start Date]],BN$27&lt;ProposalToGnatt[[#This Row],[Start Date]]+ProposalToGnatt[[#This Row],[Days]]),$G$5,"")),"")</f>
        <v/>
      </c>
      <c r="BO35" s="36" t="str">
        <f ca="1">IFERROR(+IF(BO$27=ProposalToGnatt[[#This Row],[Start Date]],Milestone_Marker,IF(AND(BO$27&gt;ProposalToGnatt[[#This Row],[Start Date]],BO$27&lt;ProposalToGnatt[[#This Row],[Start Date]]+ProposalToGnatt[[#This Row],[Days]]),$G$5,"")),"")</f>
        <v/>
      </c>
      <c r="BP35" s="36" t="str">
        <f ca="1">IFERROR(+IF(BP$27=ProposalToGnatt[[#This Row],[Start Date]],Milestone_Marker,IF(AND(BP$27&gt;ProposalToGnatt[[#This Row],[Start Date]],BP$27&lt;ProposalToGnatt[[#This Row],[Start Date]]+ProposalToGnatt[[#This Row],[Days]]),$G$5,"")),"")</f>
        <v/>
      </c>
      <c r="BQ35" s="36" t="str">
        <f ca="1">IFERROR(+IF(BQ$27=ProposalToGnatt[[#This Row],[Start Date]],Milestone_Marker,IF(AND(BQ$27&gt;ProposalToGnatt[[#This Row],[Start Date]],BQ$27&lt;ProposalToGnatt[[#This Row],[Start Date]]+ProposalToGnatt[[#This Row],[Days]]),$G$5,"")),"")</f>
        <v/>
      </c>
      <c r="BR35" s="36" t="str">
        <f ca="1">IFERROR(+IF(BR$27=ProposalToGnatt[[#This Row],[Start Date]],Milestone_Marker,IF(AND(BR$27&gt;ProposalToGnatt[[#This Row],[Start Date]],BR$27&lt;ProposalToGnatt[[#This Row],[Start Date]]+ProposalToGnatt[[#This Row],[Days]]),$G$5,"")),"")</f>
        <v/>
      </c>
      <c r="BS35" s="36" t="str">
        <f ca="1">IFERROR(+IF(BS$27=ProposalToGnatt[[#This Row],[Start Date]],Milestone_Marker,IF(AND(BS$27&gt;ProposalToGnatt[[#This Row],[Start Date]],BS$27&lt;ProposalToGnatt[[#This Row],[Start Date]]+ProposalToGnatt[[#This Row],[Days]]),$G$5,"")),"")</f>
        <v/>
      </c>
      <c r="BT35" s="36" t="str">
        <f ca="1">IFERROR(+IF(BT$27=ProposalToGnatt[[#This Row],[Start Date]],Milestone_Marker,IF(AND(BT$27&gt;ProposalToGnatt[[#This Row],[Start Date]],BT$27&lt;ProposalToGnatt[[#This Row],[Start Date]]+ProposalToGnatt[[#This Row],[Days]]),$G$5,"")),"")</f>
        <v/>
      </c>
      <c r="BU35" s="36" t="str">
        <f ca="1">IFERROR(+IF(BU$27=ProposalToGnatt[[#This Row],[Start Date]],Milestone_Marker,IF(AND(BU$27&gt;ProposalToGnatt[[#This Row],[Start Date]],BU$27&lt;ProposalToGnatt[[#This Row],[Start Date]]+ProposalToGnatt[[#This Row],[Days]]),$G$5,"")),"")</f>
        <v/>
      </c>
      <c r="BV35" s="36" t="str">
        <f ca="1">IFERROR(+IF(BV$27=ProposalToGnatt[[#This Row],[Start Date]],Milestone_Marker,IF(AND(BV$27&gt;ProposalToGnatt[[#This Row],[Start Date]],BV$27&lt;ProposalToGnatt[[#This Row],[Start Date]]+ProposalToGnatt[[#This Row],[Days]]),$G$5,"")),"")</f>
        <v/>
      </c>
      <c r="BW35" s="36" t="str">
        <f ca="1">IFERROR(+IF(BW$27=ProposalToGnatt[[#This Row],[Start Date]],Milestone_Marker,IF(AND(BW$27&gt;ProposalToGnatt[[#This Row],[Start Date]],BW$27&lt;ProposalToGnatt[[#This Row],[Start Date]]+ProposalToGnatt[[#This Row],[Days]]),$G$5,"")),"")</f>
        <v/>
      </c>
      <c r="BX35" s="36" t="str">
        <f ca="1">IFERROR(+IF(BX$27=ProposalToGnatt[[#This Row],[Start Date]],Milestone_Marker,IF(AND(BX$27&gt;ProposalToGnatt[[#This Row],[Start Date]],BX$27&lt;ProposalToGnatt[[#This Row],[Start Date]]+ProposalToGnatt[[#This Row],[Days]]),$G$5,"")),"")</f>
        <v/>
      </c>
      <c r="BY35" s="36" t="str">
        <f ca="1">IFERROR(+IF(BY$27=ProposalToGnatt[[#This Row],[Start Date]],Milestone_Marker,IF(AND(BY$27&gt;ProposalToGnatt[[#This Row],[Start Date]],BY$27&lt;ProposalToGnatt[[#This Row],[Start Date]]+ProposalToGnatt[[#This Row],[Days]]),$G$5,"")),"")</f>
        <v/>
      </c>
      <c r="BZ35" s="36" t="str">
        <f ca="1">IFERROR(+IF(BZ$27=ProposalToGnatt[[#This Row],[Start Date]],Milestone_Marker,IF(AND(BZ$27&gt;ProposalToGnatt[[#This Row],[Start Date]],BZ$27&lt;ProposalToGnatt[[#This Row],[Start Date]]+ProposalToGnatt[[#This Row],[Days]]),$G$5,"")),"")</f>
        <v/>
      </c>
      <c r="CA35" s="36" t="str">
        <f ca="1">IFERROR(+IF(CA$27=ProposalToGnatt[[#This Row],[Start Date]],Milestone_Marker,IF(AND(CA$27&gt;ProposalToGnatt[[#This Row],[Start Date]],CA$27&lt;ProposalToGnatt[[#This Row],[Start Date]]+ProposalToGnatt[[#This Row],[Days]]),$G$5,"")),"")</f>
        <v/>
      </c>
      <c r="CB35" s="36" t="str">
        <f ca="1">IFERROR(+IF(CB$27=ProposalToGnatt[[#This Row],[Start Date]],Milestone_Marker,IF(AND(CB$27&gt;ProposalToGnatt[[#This Row],[Start Date]],CB$27&lt;ProposalToGnatt[[#This Row],[Start Date]]+ProposalToGnatt[[#This Row],[Days]]),$G$5,"")),"")</f>
        <v/>
      </c>
      <c r="CC35" s="36" t="str">
        <f ca="1">IFERROR(+IF(CC$27=ProposalToGnatt[[#This Row],[Start Date]],Milestone_Marker,IF(AND(CC$27&gt;ProposalToGnatt[[#This Row],[Start Date]],CC$27&lt;ProposalToGnatt[[#This Row],[Start Date]]+ProposalToGnatt[[#This Row],[Days]]),$G$5,"")),"")</f>
        <v/>
      </c>
      <c r="CD35" s="36" t="str">
        <f ca="1">IFERROR(+IF(CD$27=ProposalToGnatt[[#This Row],[Start Date]],Milestone_Marker,IF(AND(CD$27&gt;ProposalToGnatt[[#This Row],[Start Date]],CD$27&lt;ProposalToGnatt[[#This Row],[Start Date]]+ProposalToGnatt[[#This Row],[Days]]),$G$5,"")),"")</f>
        <v/>
      </c>
      <c r="CE35" s="36" t="str">
        <f ca="1">IFERROR(+IF(CE$27=ProposalToGnatt[[#This Row],[Start Date]],Milestone_Marker,IF(AND(CE$27&gt;ProposalToGnatt[[#This Row],[Start Date]],CE$27&lt;ProposalToGnatt[[#This Row],[Start Date]]+ProposalToGnatt[[#This Row],[Days]]),$G$5,"")),"")</f>
        <v/>
      </c>
      <c r="CF35" s="36" t="str">
        <f ca="1">IFERROR(+IF(CF$27=ProposalToGnatt[[#This Row],[Start Date]],Milestone_Marker,IF(AND(CF$27&gt;ProposalToGnatt[[#This Row],[Start Date]],CF$27&lt;ProposalToGnatt[[#This Row],[Start Date]]+ProposalToGnatt[[#This Row],[Days]]),$G$5,"")),"")</f>
        <v/>
      </c>
      <c r="CG35" s="36" t="str">
        <f ca="1">IFERROR(+IF(CG$27=ProposalToGnatt[[#This Row],[Start Date]],Milestone_Marker,IF(AND(CG$27&gt;ProposalToGnatt[[#This Row],[Start Date]],CG$27&lt;ProposalToGnatt[[#This Row],[Start Date]]+ProposalToGnatt[[#This Row],[Days]]),$G$5,"")),"")</f>
        <v/>
      </c>
      <c r="CH35" s="36" t="str">
        <f ca="1">IFERROR(+IF(CH$27=ProposalToGnatt[[#This Row],[Start Date]],Milestone_Marker,IF(AND(CH$27&gt;ProposalToGnatt[[#This Row],[Start Date]],CH$27&lt;ProposalToGnatt[[#This Row],[Start Date]]+ProposalToGnatt[[#This Row],[Days]]),$G$5,"")),"")</f>
        <v/>
      </c>
      <c r="CI35" s="36" t="str">
        <f ca="1">IFERROR(+IF(CI$27=ProposalToGnatt[[#This Row],[Start Date]],Milestone_Marker,IF(AND(CI$27&gt;ProposalToGnatt[[#This Row],[Start Date]],CI$27&lt;ProposalToGnatt[[#This Row],[Start Date]]+ProposalToGnatt[[#This Row],[Days]]),$G$5,"")),"")</f>
        <v/>
      </c>
      <c r="CJ35" s="36" t="str">
        <f ca="1">IFERROR(+IF(CJ$27=ProposalToGnatt[[#This Row],[Start Date]],Milestone_Marker,IF(AND(CJ$27&gt;ProposalToGnatt[[#This Row],[Start Date]],CJ$27&lt;ProposalToGnatt[[#This Row],[Start Date]]+ProposalToGnatt[[#This Row],[Days]]),$G$5,"")),"")</f>
        <v/>
      </c>
      <c r="CK35" s="36" t="str">
        <f ca="1">IFERROR(+IF(CK$27=ProposalToGnatt[[#This Row],[Start Date]],Milestone_Marker,IF(AND(CK$27&gt;ProposalToGnatt[[#This Row],[Start Date]],CK$27&lt;ProposalToGnatt[[#This Row],[Start Date]]+ProposalToGnatt[[#This Row],[Days]]),$G$5,"")),"")</f>
        <v/>
      </c>
      <c r="CL35" s="36" t="str">
        <f ca="1">IFERROR(+IF(CL$27=ProposalToGnatt[[#This Row],[Start Date]],Milestone_Marker,IF(AND(CL$27&gt;ProposalToGnatt[[#This Row],[Start Date]],CL$27&lt;ProposalToGnatt[[#This Row],[Start Date]]+ProposalToGnatt[[#This Row],[Days]]),$G$5,"")),"")</f>
        <v/>
      </c>
      <c r="CM35" s="36" t="str">
        <f ca="1">IFERROR(+IF(CM$27=ProposalToGnatt[[#This Row],[Start Date]],Milestone_Marker,IF(AND(CM$27&gt;ProposalToGnatt[[#This Row],[Start Date]],CM$27&lt;ProposalToGnatt[[#This Row],[Start Date]]+ProposalToGnatt[[#This Row],[Days]]),$G$5,"")),"")</f>
        <v/>
      </c>
      <c r="CN35" s="36" t="str">
        <f ca="1">IFERROR(+IF(CN$27=ProposalToGnatt[[#This Row],[Start Date]],Milestone_Marker,IF(AND(CN$27&gt;ProposalToGnatt[[#This Row],[Start Date]],CN$27&lt;ProposalToGnatt[[#This Row],[Start Date]]+ProposalToGnatt[[#This Row],[Days]]),$G$5,"")),"")</f>
        <v/>
      </c>
      <c r="CO35" s="36" t="str">
        <f ca="1">IFERROR(+IF(CO$27=ProposalToGnatt[[#This Row],[Start Date]],Milestone_Marker,IF(AND(CO$27&gt;ProposalToGnatt[[#This Row],[Start Date]],CO$27&lt;ProposalToGnatt[[#This Row],[Start Date]]+ProposalToGnatt[[#This Row],[Days]]),$G$5,"")),"")</f>
        <v/>
      </c>
      <c r="CP35" s="36" t="str">
        <f ca="1">IFERROR(+IF(CP$27=ProposalToGnatt[[#This Row],[Start Date]],Milestone_Marker,IF(AND(CP$27&gt;ProposalToGnatt[[#This Row],[Start Date]],CP$27&lt;ProposalToGnatt[[#This Row],[Start Date]]+ProposalToGnatt[[#This Row],[Days]]),$G$5,"")),"")</f>
        <v/>
      </c>
      <c r="CQ35" s="36" t="str">
        <f ca="1">IFERROR(+IF(CQ$27=ProposalToGnatt[[#This Row],[Start Date]],Milestone_Marker,IF(AND(CQ$27&gt;ProposalToGnatt[[#This Row],[Start Date]],CQ$27&lt;ProposalToGnatt[[#This Row],[Start Date]]+ProposalToGnatt[[#This Row],[Days]]),$G$5,"")),"")</f>
        <v/>
      </c>
      <c r="CR35" s="36" t="str">
        <f ca="1">IFERROR(+IF(CR$27=ProposalToGnatt[[#This Row],[Start Date]],Milestone_Marker,IF(AND(CR$27&gt;ProposalToGnatt[[#This Row],[Start Date]],CR$27&lt;ProposalToGnatt[[#This Row],[Start Date]]+ProposalToGnatt[[#This Row],[Days]]),$G$5,"")),"")</f>
        <v/>
      </c>
      <c r="CS35" s="36" t="str">
        <f ca="1">IFERROR(+IF(CS$27=ProposalToGnatt[[#This Row],[Start Date]],Milestone_Marker,IF(AND(CS$27&gt;ProposalToGnatt[[#This Row],[Start Date]],CS$27&lt;ProposalToGnatt[[#This Row],[Start Date]]+ProposalToGnatt[[#This Row],[Days]]),$G$5,"")),"")</f>
        <v/>
      </c>
      <c r="CT35" s="36" t="str">
        <f ca="1">IFERROR(+IF(CT$27=ProposalToGnatt[[#This Row],[Start Date]],Milestone_Marker,IF(AND(CT$27&gt;ProposalToGnatt[[#This Row],[Start Date]],CT$27&lt;ProposalToGnatt[[#This Row],[Start Date]]+ProposalToGnatt[[#This Row],[Days]]),$G$5,"")),"")</f>
        <v/>
      </c>
      <c r="CU35" s="36" t="str">
        <f ca="1">IFERROR(+IF(CU$27=ProposalToGnatt[[#This Row],[Start Date]],Milestone_Marker,IF(AND(CU$27&gt;ProposalToGnatt[[#This Row],[Start Date]],CU$27&lt;ProposalToGnatt[[#This Row],[Start Date]]+ProposalToGnatt[[#This Row],[Days]]),$G$5,"")),"")</f>
        <v/>
      </c>
      <c r="CV35" s="36"/>
      <c r="CW35" s="36"/>
      <c r="CX35" s="36"/>
      <c r="CY35" s="36"/>
      <c r="CZ35" s="36"/>
      <c r="DA35" s="36"/>
      <c r="DB35" s="36"/>
      <c r="DC35" s="36"/>
      <c r="DD35" s="36"/>
      <c r="DE35" s="36"/>
      <c r="DF35" s="36"/>
      <c r="DG35" s="36"/>
      <c r="DH35" s="36"/>
      <c r="DI35" s="36"/>
      <c r="DJ35" s="36"/>
      <c r="DK35" s="36"/>
      <c r="DL35" s="36"/>
      <c r="DM35" s="36"/>
      <c r="DN35" s="36"/>
      <c r="DO35" s="36"/>
      <c r="DP35" s="36"/>
      <c r="DQ35" s="36"/>
      <c r="DR35" s="36"/>
      <c r="DS35" s="36"/>
      <c r="DT35" s="36"/>
      <c r="DU35" s="36"/>
    </row>
    <row r="36" spans="1:125" s="41" customFormat="1" ht="20.100000000000001" customHeight="1" x14ac:dyDescent="0.25">
      <c r="A36" t="s">
        <v>267</v>
      </c>
      <c r="B36">
        <v>18</v>
      </c>
      <c r="C36"/>
      <c r="D36" t="s">
        <v>893</v>
      </c>
      <c r="E36" s="568" t="s">
        <v>894</v>
      </c>
      <c r="F36">
        <v>3</v>
      </c>
      <c r="G36" s="14"/>
      <c r="H36" s="14"/>
      <c r="I36" t="s">
        <v>3</v>
      </c>
      <c r="J36">
        <v>1</v>
      </c>
      <c r="K36" s="249"/>
      <c r="L36"/>
      <c r="M36" s="14"/>
      <c r="N36" s="300"/>
      <c r="O36" s="554"/>
      <c r="P36" s="36" t="str">
        <f ca="1">IFERROR(+IF(P$27=ProposalToGnatt[[#This Row],[Start Date]],Milestone_Marker,IF(AND(P$27&gt;ProposalToGnatt[[#This Row],[Start Date]],P$27&lt;ProposalToGnatt[[#This Row],[Start Date]]+ProposalToGnatt[[#This Row],[Days]]),$G$5,"")),"")</f>
        <v/>
      </c>
      <c r="Q36" s="36" t="str">
        <f ca="1">IFERROR(+IF(Q$27=ProposalToGnatt[[#This Row],[Start Date]],Milestone_Marker,IF(AND(Q$27&gt;ProposalToGnatt[[#This Row],[Start Date]],Q$27&lt;ProposalToGnatt[[#This Row],[Start Date]]+ProposalToGnatt[[#This Row],[Days]]),$G$5,"")),"")</f>
        <v/>
      </c>
      <c r="R36" s="36" t="str">
        <f ca="1">IFERROR(+IF(R$27=ProposalToGnatt[[#This Row],[Start Date]],Milestone_Marker,IF(AND(R$27&gt;ProposalToGnatt[[#This Row],[Start Date]],R$27&lt;ProposalToGnatt[[#This Row],[Start Date]]+ProposalToGnatt[[#This Row],[Days]]),$G$5,"")),"")</f>
        <v/>
      </c>
      <c r="S36" s="36" t="str">
        <f ca="1">IFERROR(+IF(S$27=ProposalToGnatt[[#This Row],[Start Date]],Milestone_Marker,IF(AND(S$27&gt;ProposalToGnatt[[#This Row],[Start Date]],S$27&lt;ProposalToGnatt[[#This Row],[Start Date]]+ProposalToGnatt[[#This Row],[Days]]),$G$5,"")),"")</f>
        <v/>
      </c>
      <c r="T36" s="36" t="str">
        <f ca="1">IFERROR(+IF(T$27=ProposalToGnatt[[#This Row],[Start Date]],Milestone_Marker,IF(AND(T$27&gt;ProposalToGnatt[[#This Row],[Start Date]],T$27&lt;ProposalToGnatt[[#This Row],[Start Date]]+ProposalToGnatt[[#This Row],[Days]]),$G$5,"")),"")</f>
        <v/>
      </c>
      <c r="U36" s="36" t="str">
        <f ca="1">IFERROR(+IF(U$27=ProposalToGnatt[[#This Row],[Start Date]],Milestone_Marker,IF(AND(U$27&gt;ProposalToGnatt[[#This Row],[Start Date]],U$27&lt;ProposalToGnatt[[#This Row],[Start Date]]+ProposalToGnatt[[#This Row],[Days]]),$G$5,"")),"")</f>
        <v/>
      </c>
      <c r="V36" s="36" t="str">
        <f ca="1">IFERROR(+IF(V$27=ProposalToGnatt[[#This Row],[Start Date]],Milestone_Marker,IF(AND(V$27&gt;ProposalToGnatt[[#This Row],[Start Date]],V$27&lt;ProposalToGnatt[[#This Row],[Start Date]]+ProposalToGnatt[[#This Row],[Days]]),$G$5,"")),"")</f>
        <v/>
      </c>
      <c r="W36" s="36" t="str">
        <f ca="1">IFERROR(+IF(W$27=ProposalToGnatt[[#This Row],[Start Date]],Milestone_Marker,IF(AND(W$27&gt;ProposalToGnatt[[#This Row],[Start Date]],W$27&lt;ProposalToGnatt[[#This Row],[Start Date]]+ProposalToGnatt[[#This Row],[Days]]),$G$5,"")),"")</f>
        <v/>
      </c>
      <c r="X36" s="36" t="str">
        <f ca="1">IFERROR(+IF(X$27=ProposalToGnatt[[#This Row],[Start Date]],Milestone_Marker,IF(AND(X$27&gt;ProposalToGnatt[[#This Row],[Start Date]],X$27&lt;ProposalToGnatt[[#This Row],[Start Date]]+ProposalToGnatt[[#This Row],[Days]]),$G$5,"")),"")</f>
        <v/>
      </c>
      <c r="Y36" s="36" t="str">
        <f ca="1">IFERROR(+IF(Y$27=ProposalToGnatt[[#This Row],[Start Date]],Milestone_Marker,IF(AND(Y$27&gt;ProposalToGnatt[[#This Row],[Start Date]],Y$27&lt;ProposalToGnatt[[#This Row],[Start Date]]+ProposalToGnatt[[#This Row],[Days]]),$G$5,"")),"")</f>
        <v/>
      </c>
      <c r="Z36" s="36" t="str">
        <f ca="1">IFERROR(+IF(Z$27=ProposalToGnatt[[#This Row],[Start Date]],Milestone_Marker,IF(AND(Z$27&gt;ProposalToGnatt[[#This Row],[Start Date]],Z$27&lt;ProposalToGnatt[[#This Row],[Start Date]]+ProposalToGnatt[[#This Row],[Days]]),$G$5,"")),"")</f>
        <v/>
      </c>
      <c r="AA36" s="36" t="str">
        <f ca="1">IFERROR(+IF(AA$27=ProposalToGnatt[[#This Row],[Start Date]],Milestone_Marker,IF(AND(AA$27&gt;ProposalToGnatt[[#This Row],[Start Date]],AA$27&lt;ProposalToGnatt[[#This Row],[Start Date]]+ProposalToGnatt[[#This Row],[Days]]),$G$5,"")),"")</f>
        <v/>
      </c>
      <c r="AB36" s="36" t="str">
        <f ca="1">IFERROR(+IF(AB$27=ProposalToGnatt[[#This Row],[Start Date]],Milestone_Marker,IF(AND(AB$27&gt;ProposalToGnatt[[#This Row],[Start Date]],AB$27&lt;ProposalToGnatt[[#This Row],[Start Date]]+ProposalToGnatt[[#This Row],[Days]]),$G$5,"")),"")</f>
        <v/>
      </c>
      <c r="AC36" s="36" t="str">
        <f ca="1">IFERROR(+IF(AC$27=ProposalToGnatt[[#This Row],[Start Date]],Milestone_Marker,IF(AND(AC$27&gt;ProposalToGnatt[[#This Row],[Start Date]],AC$27&lt;ProposalToGnatt[[#This Row],[Start Date]]+ProposalToGnatt[[#This Row],[Days]]),$G$5,"")),"")</f>
        <v/>
      </c>
      <c r="AD36" s="36" t="str">
        <f ca="1">IFERROR(+IF(AD$27=ProposalToGnatt[[#This Row],[Start Date]],Milestone_Marker,IF(AND(AD$27&gt;ProposalToGnatt[[#This Row],[Start Date]],AD$27&lt;ProposalToGnatt[[#This Row],[Start Date]]+ProposalToGnatt[[#This Row],[Days]]),$G$5,"")),"")</f>
        <v/>
      </c>
      <c r="AE36" s="36" t="str">
        <f ca="1">IFERROR(+IF(AE$27=ProposalToGnatt[[#This Row],[Start Date]],Milestone_Marker,IF(AND(AE$27&gt;ProposalToGnatt[[#This Row],[Start Date]],AE$27&lt;ProposalToGnatt[[#This Row],[Start Date]]+ProposalToGnatt[[#This Row],[Days]]),$G$5,"")),"")</f>
        <v/>
      </c>
      <c r="AF36" s="36" t="str">
        <f ca="1">IFERROR(+IF(AF$27=ProposalToGnatt[[#This Row],[Start Date]],Milestone_Marker,IF(AND(AF$27&gt;ProposalToGnatt[[#This Row],[Start Date]],AF$27&lt;ProposalToGnatt[[#This Row],[Start Date]]+ProposalToGnatt[[#This Row],[Days]]),$G$5,"")),"")</f>
        <v/>
      </c>
      <c r="AG36" s="36" t="str">
        <f ca="1">IFERROR(+IF(AG$27=ProposalToGnatt[[#This Row],[Start Date]],Milestone_Marker,IF(AND(AG$27&gt;ProposalToGnatt[[#This Row],[Start Date]],AG$27&lt;ProposalToGnatt[[#This Row],[Start Date]]+ProposalToGnatt[[#This Row],[Days]]),$G$5,"")),"")</f>
        <v/>
      </c>
      <c r="AH36" s="36" t="str">
        <f ca="1">IFERROR(+IF(AH$27=ProposalToGnatt[[#This Row],[Start Date]],Milestone_Marker,IF(AND(AH$27&gt;ProposalToGnatt[[#This Row],[Start Date]],AH$27&lt;ProposalToGnatt[[#This Row],[Start Date]]+ProposalToGnatt[[#This Row],[Days]]),$G$5,"")),"")</f>
        <v/>
      </c>
      <c r="AI36" s="36" t="str">
        <f ca="1">IFERROR(+IF(AI$27=ProposalToGnatt[[#This Row],[Start Date]],Milestone_Marker,IF(AND(AI$27&gt;ProposalToGnatt[[#This Row],[Start Date]],AI$27&lt;ProposalToGnatt[[#This Row],[Start Date]]+ProposalToGnatt[[#This Row],[Days]]),$G$5,"")),"")</f>
        <v/>
      </c>
      <c r="AJ36" s="36" t="str">
        <f ca="1">IFERROR(+IF(AJ$27=ProposalToGnatt[[#This Row],[Start Date]],Milestone_Marker,IF(AND(AJ$27&gt;ProposalToGnatt[[#This Row],[Start Date]],AJ$27&lt;ProposalToGnatt[[#This Row],[Start Date]]+ProposalToGnatt[[#This Row],[Days]]),$G$5,"")),"")</f>
        <v/>
      </c>
      <c r="AK36" s="36" t="str">
        <f ca="1">IFERROR(+IF(AK$27=ProposalToGnatt[[#This Row],[Start Date]],Milestone_Marker,IF(AND(AK$27&gt;ProposalToGnatt[[#This Row],[Start Date]],AK$27&lt;ProposalToGnatt[[#This Row],[Start Date]]+ProposalToGnatt[[#This Row],[Days]]),$G$5,"")),"")</f>
        <v/>
      </c>
      <c r="AL36" s="36" t="str">
        <f ca="1">IFERROR(+IF(AL$27=ProposalToGnatt[[#This Row],[Start Date]],Milestone_Marker,IF(AND(AL$27&gt;ProposalToGnatt[[#This Row],[Start Date]],AL$27&lt;ProposalToGnatt[[#This Row],[Start Date]]+ProposalToGnatt[[#This Row],[Days]]),$G$5,"")),"")</f>
        <v/>
      </c>
      <c r="AM36" s="36" t="str">
        <f ca="1">IFERROR(+IF(AM$27=ProposalToGnatt[[#This Row],[Start Date]],Milestone_Marker,IF(AND(AM$27&gt;ProposalToGnatt[[#This Row],[Start Date]],AM$27&lt;ProposalToGnatt[[#This Row],[Start Date]]+ProposalToGnatt[[#This Row],[Days]]),$G$5,"")),"")</f>
        <v/>
      </c>
      <c r="AN36" s="36" t="str">
        <f ca="1">IFERROR(+IF(AN$27=ProposalToGnatt[[#This Row],[Start Date]],Milestone_Marker,IF(AND(AN$27&gt;ProposalToGnatt[[#This Row],[Start Date]],AN$27&lt;ProposalToGnatt[[#This Row],[Start Date]]+ProposalToGnatt[[#This Row],[Days]]),$G$5,"")),"")</f>
        <v/>
      </c>
      <c r="AO36" s="36" t="str">
        <f ca="1">IFERROR(+IF(AO$27=ProposalToGnatt[[#This Row],[Start Date]],Milestone_Marker,IF(AND(AO$27&gt;ProposalToGnatt[[#This Row],[Start Date]],AO$27&lt;ProposalToGnatt[[#This Row],[Start Date]]+ProposalToGnatt[[#This Row],[Days]]),$G$5,"")),"")</f>
        <v/>
      </c>
      <c r="AP36" s="36" t="str">
        <f ca="1">IFERROR(+IF(AP$27=ProposalToGnatt[[#This Row],[Start Date]],Milestone_Marker,IF(AND(AP$27&gt;ProposalToGnatt[[#This Row],[Start Date]],AP$27&lt;ProposalToGnatt[[#This Row],[Start Date]]+ProposalToGnatt[[#This Row],[Days]]),$G$5,"")),"")</f>
        <v/>
      </c>
      <c r="AQ36" s="36" t="str">
        <f ca="1">IFERROR(+IF(AQ$27=ProposalToGnatt[[#This Row],[Start Date]],Milestone_Marker,IF(AND(AQ$27&gt;ProposalToGnatt[[#This Row],[Start Date]],AQ$27&lt;ProposalToGnatt[[#This Row],[Start Date]]+ProposalToGnatt[[#This Row],[Days]]),$G$5,"")),"")</f>
        <v/>
      </c>
      <c r="AR36" s="36" t="str">
        <f ca="1">IFERROR(+IF(AR$27=ProposalToGnatt[[#This Row],[Start Date]],Milestone_Marker,IF(AND(AR$27&gt;ProposalToGnatt[[#This Row],[Start Date]],AR$27&lt;ProposalToGnatt[[#This Row],[Start Date]]+ProposalToGnatt[[#This Row],[Days]]),$G$5,"")),"")</f>
        <v/>
      </c>
      <c r="AS36" s="36" t="str">
        <f ca="1">IFERROR(+IF(AS$27=ProposalToGnatt[[#This Row],[Start Date]],Milestone_Marker,IF(AND(AS$27&gt;ProposalToGnatt[[#This Row],[Start Date]],AS$27&lt;ProposalToGnatt[[#This Row],[Start Date]]+ProposalToGnatt[[#This Row],[Days]]),$G$5,"")),"")</f>
        <v/>
      </c>
      <c r="AT36" s="36" t="str">
        <f ca="1">IFERROR(+IF(AT$27=ProposalToGnatt[[#This Row],[Start Date]],Milestone_Marker,IF(AND(AT$27&gt;ProposalToGnatt[[#This Row],[Start Date]],AT$27&lt;ProposalToGnatt[[#This Row],[Start Date]]+ProposalToGnatt[[#This Row],[Days]]),$G$5,"")),"")</f>
        <v/>
      </c>
      <c r="AU36" s="36" t="str">
        <f ca="1">IFERROR(+IF(AU$27=ProposalToGnatt[[#This Row],[Start Date]],Milestone_Marker,IF(AND(AU$27&gt;ProposalToGnatt[[#This Row],[Start Date]],AU$27&lt;ProposalToGnatt[[#This Row],[Start Date]]+ProposalToGnatt[[#This Row],[Days]]),$G$5,"")),"")</f>
        <v/>
      </c>
      <c r="AV36" s="36" t="str">
        <f ca="1">IFERROR(+IF(AV$27=ProposalToGnatt[[#This Row],[Start Date]],Milestone_Marker,IF(AND(AV$27&gt;ProposalToGnatt[[#This Row],[Start Date]],AV$27&lt;ProposalToGnatt[[#This Row],[Start Date]]+ProposalToGnatt[[#This Row],[Days]]),$G$5,"")),"")</f>
        <v/>
      </c>
      <c r="AW36" s="36" t="str">
        <f ca="1">IFERROR(+IF(AW$27=ProposalToGnatt[[#This Row],[Start Date]],Milestone_Marker,IF(AND(AW$27&gt;ProposalToGnatt[[#This Row],[Start Date]],AW$27&lt;ProposalToGnatt[[#This Row],[Start Date]]+ProposalToGnatt[[#This Row],[Days]]),$G$5,"")),"")</f>
        <v/>
      </c>
      <c r="AX36" s="36" t="str">
        <f ca="1">IFERROR(+IF(AX$27=ProposalToGnatt[[#This Row],[Start Date]],Milestone_Marker,IF(AND(AX$27&gt;ProposalToGnatt[[#This Row],[Start Date]],AX$27&lt;ProposalToGnatt[[#This Row],[Start Date]]+ProposalToGnatt[[#This Row],[Days]]),$G$5,"")),"")</f>
        <v/>
      </c>
      <c r="AY36" s="36" t="str">
        <f ca="1">IFERROR(+IF(AY$27=ProposalToGnatt[[#This Row],[Start Date]],Milestone_Marker,IF(AND(AY$27&gt;ProposalToGnatt[[#This Row],[Start Date]],AY$27&lt;ProposalToGnatt[[#This Row],[Start Date]]+ProposalToGnatt[[#This Row],[Days]]),$G$5,"")),"")</f>
        <v/>
      </c>
      <c r="AZ36" s="36" t="str">
        <f ca="1">IFERROR(+IF(AZ$27=ProposalToGnatt[[#This Row],[Start Date]],Milestone_Marker,IF(AND(AZ$27&gt;ProposalToGnatt[[#This Row],[Start Date]],AZ$27&lt;ProposalToGnatt[[#This Row],[Start Date]]+ProposalToGnatt[[#This Row],[Days]]),$G$5,"")),"")</f>
        <v/>
      </c>
      <c r="BA36" s="36" t="str">
        <f ca="1">IFERROR(+IF(BA$27=ProposalToGnatt[[#This Row],[Start Date]],Milestone_Marker,IF(AND(BA$27&gt;ProposalToGnatt[[#This Row],[Start Date]],BA$27&lt;ProposalToGnatt[[#This Row],[Start Date]]+ProposalToGnatt[[#This Row],[Days]]),$G$5,"")),"")</f>
        <v/>
      </c>
      <c r="BB36" s="36" t="str">
        <f ca="1">IFERROR(+IF(BB$27=ProposalToGnatt[[#This Row],[Start Date]],Milestone_Marker,IF(AND(BB$27&gt;ProposalToGnatt[[#This Row],[Start Date]],BB$27&lt;ProposalToGnatt[[#This Row],[Start Date]]+ProposalToGnatt[[#This Row],[Days]]),$G$5,"")),"")</f>
        <v/>
      </c>
      <c r="BC36" s="36" t="str">
        <f ca="1">IFERROR(+IF(BC$27=ProposalToGnatt[[#This Row],[Start Date]],Milestone_Marker,IF(AND(BC$27&gt;ProposalToGnatt[[#This Row],[Start Date]],BC$27&lt;ProposalToGnatt[[#This Row],[Start Date]]+ProposalToGnatt[[#This Row],[Days]]),$G$5,"")),"")</f>
        <v/>
      </c>
      <c r="BD36" s="36" t="str">
        <f ca="1">IFERROR(+IF(BD$27=ProposalToGnatt[[#This Row],[Start Date]],Milestone_Marker,IF(AND(BD$27&gt;ProposalToGnatt[[#This Row],[Start Date]],BD$27&lt;ProposalToGnatt[[#This Row],[Start Date]]+ProposalToGnatt[[#This Row],[Days]]),$G$5,"")),"")</f>
        <v/>
      </c>
      <c r="BE36" s="36" t="str">
        <f ca="1">IFERROR(+IF(BE$27=ProposalToGnatt[[#This Row],[Start Date]],Milestone_Marker,IF(AND(BE$27&gt;ProposalToGnatt[[#This Row],[Start Date]],BE$27&lt;ProposalToGnatt[[#This Row],[Start Date]]+ProposalToGnatt[[#This Row],[Days]]),$G$5,"")),"")</f>
        <v/>
      </c>
      <c r="BF36" s="36" t="str">
        <f ca="1">IFERROR(+IF(BF$27=ProposalToGnatt[[#This Row],[Start Date]],Milestone_Marker,IF(AND(BF$27&gt;ProposalToGnatt[[#This Row],[Start Date]],BF$27&lt;ProposalToGnatt[[#This Row],[Start Date]]+ProposalToGnatt[[#This Row],[Days]]),$G$5,"")),"")</f>
        <v/>
      </c>
      <c r="BG36" s="36" t="str">
        <f ca="1">IFERROR(+IF(BG$27=ProposalToGnatt[[#This Row],[Start Date]],Milestone_Marker,IF(AND(BG$27&gt;ProposalToGnatt[[#This Row],[Start Date]],BG$27&lt;ProposalToGnatt[[#This Row],[Start Date]]+ProposalToGnatt[[#This Row],[Days]]),$G$5,"")),"")</f>
        <v/>
      </c>
      <c r="BH36" s="36" t="str">
        <f ca="1">IFERROR(+IF(BH$27=ProposalToGnatt[[#This Row],[Start Date]],Milestone_Marker,IF(AND(BH$27&gt;ProposalToGnatt[[#This Row],[Start Date]],BH$27&lt;ProposalToGnatt[[#This Row],[Start Date]]+ProposalToGnatt[[#This Row],[Days]]),$G$5,"")),"")</f>
        <v/>
      </c>
      <c r="BI36" s="36" t="str">
        <f ca="1">IFERROR(+IF(BI$27=ProposalToGnatt[[#This Row],[Start Date]],Milestone_Marker,IF(AND(BI$27&gt;ProposalToGnatt[[#This Row],[Start Date]],BI$27&lt;ProposalToGnatt[[#This Row],[Start Date]]+ProposalToGnatt[[#This Row],[Days]]),$G$5,"")),"")</f>
        <v/>
      </c>
      <c r="BJ36" s="36" t="str">
        <f ca="1">IFERROR(+IF(BJ$27=ProposalToGnatt[[#This Row],[Start Date]],Milestone_Marker,IF(AND(BJ$27&gt;ProposalToGnatt[[#This Row],[Start Date]],BJ$27&lt;ProposalToGnatt[[#This Row],[Start Date]]+ProposalToGnatt[[#This Row],[Days]]),$G$5,"")),"")</f>
        <v/>
      </c>
      <c r="BK36" s="36" t="str">
        <f ca="1">IFERROR(+IF(BK$27=ProposalToGnatt[[#This Row],[Start Date]],Milestone_Marker,IF(AND(BK$27&gt;ProposalToGnatt[[#This Row],[Start Date]],BK$27&lt;ProposalToGnatt[[#This Row],[Start Date]]+ProposalToGnatt[[#This Row],[Days]]),$G$5,"")),"")</f>
        <v/>
      </c>
      <c r="BL36" s="36" t="str">
        <f ca="1">IFERROR(+IF(BL$27=ProposalToGnatt[[#This Row],[Start Date]],Milestone_Marker,IF(AND(BL$27&gt;ProposalToGnatt[[#This Row],[Start Date]],BL$27&lt;ProposalToGnatt[[#This Row],[Start Date]]+ProposalToGnatt[[#This Row],[Days]]),$G$5,"")),"")</f>
        <v/>
      </c>
      <c r="BM36" s="36" t="str">
        <f ca="1">IFERROR(+IF(BM$27=ProposalToGnatt[[#This Row],[Start Date]],Milestone_Marker,IF(AND(BM$27&gt;ProposalToGnatt[[#This Row],[Start Date]],BM$27&lt;ProposalToGnatt[[#This Row],[Start Date]]+ProposalToGnatt[[#This Row],[Days]]),$G$5,"")),"")</f>
        <v/>
      </c>
      <c r="BN36" s="36" t="str">
        <f ca="1">IFERROR(+IF(BN$27=ProposalToGnatt[[#This Row],[Start Date]],Milestone_Marker,IF(AND(BN$27&gt;ProposalToGnatt[[#This Row],[Start Date]],BN$27&lt;ProposalToGnatt[[#This Row],[Start Date]]+ProposalToGnatt[[#This Row],[Days]]),$G$5,"")),"")</f>
        <v/>
      </c>
      <c r="BO36" s="36" t="str">
        <f ca="1">IFERROR(+IF(BO$27=ProposalToGnatt[[#This Row],[Start Date]],Milestone_Marker,IF(AND(BO$27&gt;ProposalToGnatt[[#This Row],[Start Date]],BO$27&lt;ProposalToGnatt[[#This Row],[Start Date]]+ProposalToGnatt[[#This Row],[Days]]),$G$5,"")),"")</f>
        <v/>
      </c>
      <c r="BP36" s="36" t="str">
        <f ca="1">IFERROR(+IF(BP$27=ProposalToGnatt[[#This Row],[Start Date]],Milestone_Marker,IF(AND(BP$27&gt;ProposalToGnatt[[#This Row],[Start Date]],BP$27&lt;ProposalToGnatt[[#This Row],[Start Date]]+ProposalToGnatt[[#This Row],[Days]]),$G$5,"")),"")</f>
        <v/>
      </c>
      <c r="BQ36" s="36" t="str">
        <f ca="1">IFERROR(+IF(BQ$27=ProposalToGnatt[[#This Row],[Start Date]],Milestone_Marker,IF(AND(BQ$27&gt;ProposalToGnatt[[#This Row],[Start Date]],BQ$27&lt;ProposalToGnatt[[#This Row],[Start Date]]+ProposalToGnatt[[#This Row],[Days]]),$G$5,"")),"")</f>
        <v/>
      </c>
      <c r="BR36" s="36" t="str">
        <f ca="1">IFERROR(+IF(BR$27=ProposalToGnatt[[#This Row],[Start Date]],Milestone_Marker,IF(AND(BR$27&gt;ProposalToGnatt[[#This Row],[Start Date]],BR$27&lt;ProposalToGnatt[[#This Row],[Start Date]]+ProposalToGnatt[[#This Row],[Days]]),$G$5,"")),"")</f>
        <v/>
      </c>
      <c r="BS36" s="36" t="str">
        <f ca="1">IFERROR(+IF(BS$27=ProposalToGnatt[[#This Row],[Start Date]],Milestone_Marker,IF(AND(BS$27&gt;ProposalToGnatt[[#This Row],[Start Date]],BS$27&lt;ProposalToGnatt[[#This Row],[Start Date]]+ProposalToGnatt[[#This Row],[Days]]),$G$5,"")),"")</f>
        <v/>
      </c>
      <c r="BT36" s="36" t="str">
        <f ca="1">IFERROR(+IF(BT$27=ProposalToGnatt[[#This Row],[Start Date]],Milestone_Marker,IF(AND(BT$27&gt;ProposalToGnatt[[#This Row],[Start Date]],BT$27&lt;ProposalToGnatt[[#This Row],[Start Date]]+ProposalToGnatt[[#This Row],[Days]]),$G$5,"")),"")</f>
        <v/>
      </c>
      <c r="BU36" s="36" t="str">
        <f ca="1">IFERROR(+IF(BU$27=ProposalToGnatt[[#This Row],[Start Date]],Milestone_Marker,IF(AND(BU$27&gt;ProposalToGnatt[[#This Row],[Start Date]],BU$27&lt;ProposalToGnatt[[#This Row],[Start Date]]+ProposalToGnatt[[#This Row],[Days]]),$G$5,"")),"")</f>
        <v/>
      </c>
      <c r="BV36" s="36" t="str">
        <f ca="1">IFERROR(+IF(BV$27=ProposalToGnatt[[#This Row],[Start Date]],Milestone_Marker,IF(AND(BV$27&gt;ProposalToGnatt[[#This Row],[Start Date]],BV$27&lt;ProposalToGnatt[[#This Row],[Start Date]]+ProposalToGnatt[[#This Row],[Days]]),$G$5,"")),"")</f>
        <v/>
      </c>
      <c r="BW36" s="36" t="str">
        <f ca="1">IFERROR(+IF(BW$27=ProposalToGnatt[[#This Row],[Start Date]],Milestone_Marker,IF(AND(BW$27&gt;ProposalToGnatt[[#This Row],[Start Date]],BW$27&lt;ProposalToGnatt[[#This Row],[Start Date]]+ProposalToGnatt[[#This Row],[Days]]),$G$5,"")),"")</f>
        <v/>
      </c>
      <c r="BX36" s="36" t="str">
        <f ca="1">IFERROR(+IF(BX$27=ProposalToGnatt[[#This Row],[Start Date]],Milestone_Marker,IF(AND(BX$27&gt;ProposalToGnatt[[#This Row],[Start Date]],BX$27&lt;ProposalToGnatt[[#This Row],[Start Date]]+ProposalToGnatt[[#This Row],[Days]]),$G$5,"")),"")</f>
        <v/>
      </c>
      <c r="BY36" s="36" t="str">
        <f ca="1">IFERROR(+IF(BY$27=ProposalToGnatt[[#This Row],[Start Date]],Milestone_Marker,IF(AND(BY$27&gt;ProposalToGnatt[[#This Row],[Start Date]],BY$27&lt;ProposalToGnatt[[#This Row],[Start Date]]+ProposalToGnatt[[#This Row],[Days]]),$G$5,"")),"")</f>
        <v/>
      </c>
      <c r="BZ36" s="36" t="str">
        <f ca="1">IFERROR(+IF(BZ$27=ProposalToGnatt[[#This Row],[Start Date]],Milestone_Marker,IF(AND(BZ$27&gt;ProposalToGnatt[[#This Row],[Start Date]],BZ$27&lt;ProposalToGnatt[[#This Row],[Start Date]]+ProposalToGnatt[[#This Row],[Days]]),$G$5,"")),"")</f>
        <v/>
      </c>
      <c r="CA36" s="36" t="str">
        <f ca="1">IFERROR(+IF(CA$27=ProposalToGnatt[[#This Row],[Start Date]],Milestone_Marker,IF(AND(CA$27&gt;ProposalToGnatt[[#This Row],[Start Date]],CA$27&lt;ProposalToGnatt[[#This Row],[Start Date]]+ProposalToGnatt[[#This Row],[Days]]),$G$5,"")),"")</f>
        <v/>
      </c>
      <c r="CB36" s="36" t="str">
        <f ca="1">IFERROR(+IF(CB$27=ProposalToGnatt[[#This Row],[Start Date]],Milestone_Marker,IF(AND(CB$27&gt;ProposalToGnatt[[#This Row],[Start Date]],CB$27&lt;ProposalToGnatt[[#This Row],[Start Date]]+ProposalToGnatt[[#This Row],[Days]]),$G$5,"")),"")</f>
        <v/>
      </c>
      <c r="CC36" s="36" t="str">
        <f ca="1">IFERROR(+IF(CC$27=ProposalToGnatt[[#This Row],[Start Date]],Milestone_Marker,IF(AND(CC$27&gt;ProposalToGnatt[[#This Row],[Start Date]],CC$27&lt;ProposalToGnatt[[#This Row],[Start Date]]+ProposalToGnatt[[#This Row],[Days]]),$G$5,"")),"")</f>
        <v/>
      </c>
      <c r="CD36" s="36" t="str">
        <f ca="1">IFERROR(+IF(CD$27=ProposalToGnatt[[#This Row],[Start Date]],Milestone_Marker,IF(AND(CD$27&gt;ProposalToGnatt[[#This Row],[Start Date]],CD$27&lt;ProposalToGnatt[[#This Row],[Start Date]]+ProposalToGnatt[[#This Row],[Days]]),$G$5,"")),"")</f>
        <v/>
      </c>
      <c r="CE36" s="36" t="str">
        <f ca="1">IFERROR(+IF(CE$27=ProposalToGnatt[[#This Row],[Start Date]],Milestone_Marker,IF(AND(CE$27&gt;ProposalToGnatt[[#This Row],[Start Date]],CE$27&lt;ProposalToGnatt[[#This Row],[Start Date]]+ProposalToGnatt[[#This Row],[Days]]),$G$5,"")),"")</f>
        <v/>
      </c>
      <c r="CF36" s="36" t="str">
        <f ca="1">IFERROR(+IF(CF$27=ProposalToGnatt[[#This Row],[Start Date]],Milestone_Marker,IF(AND(CF$27&gt;ProposalToGnatt[[#This Row],[Start Date]],CF$27&lt;ProposalToGnatt[[#This Row],[Start Date]]+ProposalToGnatt[[#This Row],[Days]]),$G$5,"")),"")</f>
        <v/>
      </c>
      <c r="CG36" s="36" t="str">
        <f ca="1">IFERROR(+IF(CG$27=ProposalToGnatt[[#This Row],[Start Date]],Milestone_Marker,IF(AND(CG$27&gt;ProposalToGnatt[[#This Row],[Start Date]],CG$27&lt;ProposalToGnatt[[#This Row],[Start Date]]+ProposalToGnatt[[#This Row],[Days]]),$G$5,"")),"")</f>
        <v/>
      </c>
      <c r="CH36" s="36" t="str">
        <f ca="1">IFERROR(+IF(CH$27=ProposalToGnatt[[#This Row],[Start Date]],Milestone_Marker,IF(AND(CH$27&gt;ProposalToGnatt[[#This Row],[Start Date]],CH$27&lt;ProposalToGnatt[[#This Row],[Start Date]]+ProposalToGnatt[[#This Row],[Days]]),$G$5,"")),"")</f>
        <v/>
      </c>
      <c r="CI36" s="36" t="str">
        <f ca="1">IFERROR(+IF(CI$27=ProposalToGnatt[[#This Row],[Start Date]],Milestone_Marker,IF(AND(CI$27&gt;ProposalToGnatt[[#This Row],[Start Date]],CI$27&lt;ProposalToGnatt[[#This Row],[Start Date]]+ProposalToGnatt[[#This Row],[Days]]),$G$5,"")),"")</f>
        <v/>
      </c>
      <c r="CJ36" s="36" t="str">
        <f ca="1">IFERROR(+IF(CJ$27=ProposalToGnatt[[#This Row],[Start Date]],Milestone_Marker,IF(AND(CJ$27&gt;ProposalToGnatt[[#This Row],[Start Date]],CJ$27&lt;ProposalToGnatt[[#This Row],[Start Date]]+ProposalToGnatt[[#This Row],[Days]]),$G$5,"")),"")</f>
        <v/>
      </c>
      <c r="CK36" s="36" t="str">
        <f ca="1">IFERROR(+IF(CK$27=ProposalToGnatt[[#This Row],[Start Date]],Milestone_Marker,IF(AND(CK$27&gt;ProposalToGnatt[[#This Row],[Start Date]],CK$27&lt;ProposalToGnatt[[#This Row],[Start Date]]+ProposalToGnatt[[#This Row],[Days]]),$G$5,"")),"")</f>
        <v/>
      </c>
      <c r="CL36" s="36" t="str">
        <f ca="1">IFERROR(+IF(CL$27=ProposalToGnatt[[#This Row],[Start Date]],Milestone_Marker,IF(AND(CL$27&gt;ProposalToGnatt[[#This Row],[Start Date]],CL$27&lt;ProposalToGnatt[[#This Row],[Start Date]]+ProposalToGnatt[[#This Row],[Days]]),$G$5,"")),"")</f>
        <v/>
      </c>
      <c r="CM36" s="36" t="str">
        <f ca="1">IFERROR(+IF(CM$27=ProposalToGnatt[[#This Row],[Start Date]],Milestone_Marker,IF(AND(CM$27&gt;ProposalToGnatt[[#This Row],[Start Date]],CM$27&lt;ProposalToGnatt[[#This Row],[Start Date]]+ProposalToGnatt[[#This Row],[Days]]),$G$5,"")),"")</f>
        <v/>
      </c>
      <c r="CN36" s="36" t="str">
        <f ca="1">IFERROR(+IF(CN$27=ProposalToGnatt[[#This Row],[Start Date]],Milestone_Marker,IF(AND(CN$27&gt;ProposalToGnatt[[#This Row],[Start Date]],CN$27&lt;ProposalToGnatt[[#This Row],[Start Date]]+ProposalToGnatt[[#This Row],[Days]]),$G$5,"")),"")</f>
        <v/>
      </c>
      <c r="CO36" s="36" t="str">
        <f ca="1">IFERROR(+IF(CO$27=ProposalToGnatt[[#This Row],[Start Date]],Milestone_Marker,IF(AND(CO$27&gt;ProposalToGnatt[[#This Row],[Start Date]],CO$27&lt;ProposalToGnatt[[#This Row],[Start Date]]+ProposalToGnatt[[#This Row],[Days]]),$G$5,"")),"")</f>
        <v/>
      </c>
      <c r="CP36" s="36" t="str">
        <f ca="1">IFERROR(+IF(CP$27=ProposalToGnatt[[#This Row],[Start Date]],Milestone_Marker,IF(AND(CP$27&gt;ProposalToGnatt[[#This Row],[Start Date]],CP$27&lt;ProposalToGnatt[[#This Row],[Start Date]]+ProposalToGnatt[[#This Row],[Days]]),$G$5,"")),"")</f>
        <v/>
      </c>
      <c r="CQ36" s="36" t="str">
        <f ca="1">IFERROR(+IF(CQ$27=ProposalToGnatt[[#This Row],[Start Date]],Milestone_Marker,IF(AND(CQ$27&gt;ProposalToGnatt[[#This Row],[Start Date]],CQ$27&lt;ProposalToGnatt[[#This Row],[Start Date]]+ProposalToGnatt[[#This Row],[Days]]),$G$5,"")),"")</f>
        <v/>
      </c>
      <c r="CR36" s="36" t="str">
        <f ca="1">IFERROR(+IF(CR$27=ProposalToGnatt[[#This Row],[Start Date]],Milestone_Marker,IF(AND(CR$27&gt;ProposalToGnatt[[#This Row],[Start Date]],CR$27&lt;ProposalToGnatt[[#This Row],[Start Date]]+ProposalToGnatt[[#This Row],[Days]]),$G$5,"")),"")</f>
        <v/>
      </c>
      <c r="CS36" s="36" t="str">
        <f ca="1">IFERROR(+IF(CS$27=ProposalToGnatt[[#This Row],[Start Date]],Milestone_Marker,IF(AND(CS$27&gt;ProposalToGnatt[[#This Row],[Start Date]],CS$27&lt;ProposalToGnatt[[#This Row],[Start Date]]+ProposalToGnatt[[#This Row],[Days]]),$G$5,"")),"")</f>
        <v/>
      </c>
      <c r="CT36" s="36" t="str">
        <f ca="1">IFERROR(+IF(CT$27=ProposalToGnatt[[#This Row],[Start Date]],Milestone_Marker,IF(AND(CT$27&gt;ProposalToGnatt[[#This Row],[Start Date]],CT$27&lt;ProposalToGnatt[[#This Row],[Start Date]]+ProposalToGnatt[[#This Row],[Days]]),$G$5,"")),"")</f>
        <v/>
      </c>
      <c r="CU36" s="36" t="str">
        <f ca="1">IFERROR(+IF(CU$27=ProposalToGnatt[[#This Row],[Start Date]],Milestone_Marker,IF(AND(CU$27&gt;ProposalToGnatt[[#This Row],[Start Date]],CU$27&lt;ProposalToGnatt[[#This Row],[Start Date]]+ProposalToGnatt[[#This Row],[Days]]),$G$5,"")),"")</f>
        <v/>
      </c>
      <c r="CV36" s="36"/>
      <c r="CW36" s="36"/>
      <c r="CX36" s="36"/>
      <c r="CY36" s="36"/>
      <c r="CZ36" s="36"/>
      <c r="DA36" s="36"/>
      <c r="DB36" s="36"/>
      <c r="DC36" s="36"/>
      <c r="DD36" s="36"/>
      <c r="DE36" s="36"/>
      <c r="DF36" s="36"/>
      <c r="DG36" s="36"/>
      <c r="DH36" s="36"/>
      <c r="DI36" s="36"/>
      <c r="DJ36" s="36"/>
      <c r="DK36" s="36"/>
      <c r="DL36" s="36"/>
      <c r="DM36" s="36"/>
      <c r="DN36" s="36"/>
      <c r="DO36" s="36"/>
      <c r="DP36" s="36"/>
      <c r="DQ36" s="36"/>
      <c r="DR36" s="36"/>
      <c r="DS36" s="36"/>
      <c r="DT36" s="36"/>
      <c r="DU36" s="36"/>
    </row>
    <row r="37" spans="1:125" s="41" customFormat="1" ht="20.100000000000001" customHeight="1" x14ac:dyDescent="0.25">
      <c r="A37" t="s">
        <v>267</v>
      </c>
      <c r="B37">
        <v>19</v>
      </c>
      <c r="C37"/>
      <c r="D37" t="s">
        <v>938</v>
      </c>
      <c r="E37" s="568" t="s">
        <v>937</v>
      </c>
      <c r="F37">
        <v>6</v>
      </c>
      <c r="G37" s="14">
        <v>10</v>
      </c>
      <c r="H37" s="14">
        <v>60</v>
      </c>
      <c r="I37" t="s">
        <v>3</v>
      </c>
      <c r="J37">
        <v>1</v>
      </c>
      <c r="K37" s="249"/>
      <c r="L37"/>
      <c r="M37" s="14"/>
      <c r="N37" s="300">
        <v>60</v>
      </c>
      <c r="O37" s="554"/>
      <c r="P37" s="36" t="str">
        <f ca="1">IFERROR(+IF(P$27=ProposalToGnatt[[#This Row],[Start Date]],Milestone_Marker,IF(AND(P$27&gt;ProposalToGnatt[[#This Row],[Start Date]],P$27&lt;ProposalToGnatt[[#This Row],[Start Date]]+ProposalToGnatt[[#This Row],[Days]]),$G$5,"")),"")</f>
        <v/>
      </c>
      <c r="Q37" s="36" t="str">
        <f ca="1">IFERROR(+IF(Q$27=ProposalToGnatt[[#This Row],[Start Date]],Milestone_Marker,IF(AND(Q$27&gt;ProposalToGnatt[[#This Row],[Start Date]],Q$27&lt;ProposalToGnatt[[#This Row],[Start Date]]+ProposalToGnatt[[#This Row],[Days]]),$G$5,"")),"")</f>
        <v/>
      </c>
      <c r="R37" s="36" t="str">
        <f ca="1">IFERROR(+IF(R$27=ProposalToGnatt[[#This Row],[Start Date]],Milestone_Marker,IF(AND(R$27&gt;ProposalToGnatt[[#This Row],[Start Date]],R$27&lt;ProposalToGnatt[[#This Row],[Start Date]]+ProposalToGnatt[[#This Row],[Days]]),$G$5,"")),"")</f>
        <v/>
      </c>
      <c r="S37" s="36" t="str">
        <f ca="1">IFERROR(+IF(S$27=ProposalToGnatt[[#This Row],[Start Date]],Milestone_Marker,IF(AND(S$27&gt;ProposalToGnatt[[#This Row],[Start Date]],S$27&lt;ProposalToGnatt[[#This Row],[Start Date]]+ProposalToGnatt[[#This Row],[Days]]),$G$5,"")),"")</f>
        <v/>
      </c>
      <c r="T37" s="36" t="str">
        <f ca="1">IFERROR(+IF(T$27=ProposalToGnatt[[#This Row],[Start Date]],Milestone_Marker,IF(AND(T$27&gt;ProposalToGnatt[[#This Row],[Start Date]],T$27&lt;ProposalToGnatt[[#This Row],[Start Date]]+ProposalToGnatt[[#This Row],[Days]]),$G$5,"")),"")</f>
        <v/>
      </c>
      <c r="U37" s="36" t="str">
        <f ca="1">IFERROR(+IF(U$27=ProposalToGnatt[[#This Row],[Start Date]],Milestone_Marker,IF(AND(U$27&gt;ProposalToGnatt[[#This Row],[Start Date]],U$27&lt;ProposalToGnatt[[#This Row],[Start Date]]+ProposalToGnatt[[#This Row],[Days]]),$G$5,"")),"")</f>
        <v/>
      </c>
      <c r="V37" s="36" t="str">
        <f ca="1">IFERROR(+IF(V$27=ProposalToGnatt[[#This Row],[Start Date]],Milestone_Marker,IF(AND(V$27&gt;ProposalToGnatt[[#This Row],[Start Date]],V$27&lt;ProposalToGnatt[[#This Row],[Start Date]]+ProposalToGnatt[[#This Row],[Days]]),$G$5,"")),"")</f>
        <v/>
      </c>
      <c r="W37" s="36" t="str">
        <f ca="1">IFERROR(+IF(W$27=ProposalToGnatt[[#This Row],[Start Date]],Milestone_Marker,IF(AND(W$27&gt;ProposalToGnatt[[#This Row],[Start Date]],W$27&lt;ProposalToGnatt[[#This Row],[Start Date]]+ProposalToGnatt[[#This Row],[Days]]),$G$5,"")),"")</f>
        <v/>
      </c>
      <c r="X37" s="36" t="str">
        <f ca="1">IFERROR(+IF(X$27=ProposalToGnatt[[#This Row],[Start Date]],Milestone_Marker,IF(AND(X$27&gt;ProposalToGnatt[[#This Row],[Start Date]],X$27&lt;ProposalToGnatt[[#This Row],[Start Date]]+ProposalToGnatt[[#This Row],[Days]]),$G$5,"")),"")</f>
        <v/>
      </c>
      <c r="Y37" s="36" t="str">
        <f ca="1">IFERROR(+IF(Y$27=ProposalToGnatt[[#This Row],[Start Date]],Milestone_Marker,IF(AND(Y$27&gt;ProposalToGnatt[[#This Row],[Start Date]],Y$27&lt;ProposalToGnatt[[#This Row],[Start Date]]+ProposalToGnatt[[#This Row],[Days]]),$G$5,"")),"")</f>
        <v/>
      </c>
      <c r="Z37" s="36" t="str">
        <f ca="1">IFERROR(+IF(Z$27=ProposalToGnatt[[#This Row],[Start Date]],Milestone_Marker,IF(AND(Z$27&gt;ProposalToGnatt[[#This Row],[Start Date]],Z$27&lt;ProposalToGnatt[[#This Row],[Start Date]]+ProposalToGnatt[[#This Row],[Days]]),$G$5,"")),"")</f>
        <v/>
      </c>
      <c r="AA37" s="36" t="str">
        <f ca="1">IFERROR(+IF(AA$27=ProposalToGnatt[[#This Row],[Start Date]],Milestone_Marker,IF(AND(AA$27&gt;ProposalToGnatt[[#This Row],[Start Date]],AA$27&lt;ProposalToGnatt[[#This Row],[Start Date]]+ProposalToGnatt[[#This Row],[Days]]),$G$5,"")),"")</f>
        <v/>
      </c>
      <c r="AB37" s="36" t="str">
        <f ca="1">IFERROR(+IF(AB$27=ProposalToGnatt[[#This Row],[Start Date]],Milestone_Marker,IF(AND(AB$27&gt;ProposalToGnatt[[#This Row],[Start Date]],AB$27&lt;ProposalToGnatt[[#This Row],[Start Date]]+ProposalToGnatt[[#This Row],[Days]]),$G$5,"")),"")</f>
        <v/>
      </c>
      <c r="AC37" s="36" t="str">
        <f ca="1">IFERROR(+IF(AC$27=ProposalToGnatt[[#This Row],[Start Date]],Milestone_Marker,IF(AND(AC$27&gt;ProposalToGnatt[[#This Row],[Start Date]],AC$27&lt;ProposalToGnatt[[#This Row],[Start Date]]+ProposalToGnatt[[#This Row],[Days]]),$G$5,"")),"")</f>
        <v/>
      </c>
      <c r="AD37" s="36" t="str">
        <f ca="1">IFERROR(+IF(AD$27=ProposalToGnatt[[#This Row],[Start Date]],Milestone_Marker,IF(AND(AD$27&gt;ProposalToGnatt[[#This Row],[Start Date]],AD$27&lt;ProposalToGnatt[[#This Row],[Start Date]]+ProposalToGnatt[[#This Row],[Days]]),$G$5,"")),"")</f>
        <v/>
      </c>
      <c r="AE37" s="36" t="str">
        <f ca="1">IFERROR(+IF(AE$27=ProposalToGnatt[[#This Row],[Start Date]],Milestone_Marker,IF(AND(AE$27&gt;ProposalToGnatt[[#This Row],[Start Date]],AE$27&lt;ProposalToGnatt[[#This Row],[Start Date]]+ProposalToGnatt[[#This Row],[Days]]),$G$5,"")),"")</f>
        <v/>
      </c>
      <c r="AF37" s="36" t="str">
        <f ca="1">IFERROR(+IF(AF$27=ProposalToGnatt[[#This Row],[Start Date]],Milestone_Marker,IF(AND(AF$27&gt;ProposalToGnatt[[#This Row],[Start Date]],AF$27&lt;ProposalToGnatt[[#This Row],[Start Date]]+ProposalToGnatt[[#This Row],[Days]]),$G$5,"")),"")</f>
        <v/>
      </c>
      <c r="AG37" s="36" t="str">
        <f ca="1">IFERROR(+IF(AG$27=ProposalToGnatt[[#This Row],[Start Date]],Milestone_Marker,IF(AND(AG$27&gt;ProposalToGnatt[[#This Row],[Start Date]],AG$27&lt;ProposalToGnatt[[#This Row],[Start Date]]+ProposalToGnatt[[#This Row],[Days]]),$G$5,"")),"")</f>
        <v/>
      </c>
      <c r="AH37" s="36" t="str">
        <f ca="1">IFERROR(+IF(AH$27=ProposalToGnatt[[#This Row],[Start Date]],Milestone_Marker,IF(AND(AH$27&gt;ProposalToGnatt[[#This Row],[Start Date]],AH$27&lt;ProposalToGnatt[[#This Row],[Start Date]]+ProposalToGnatt[[#This Row],[Days]]),$G$5,"")),"")</f>
        <v/>
      </c>
      <c r="AI37" s="36" t="str">
        <f ca="1">IFERROR(+IF(AI$27=ProposalToGnatt[[#This Row],[Start Date]],Milestone_Marker,IF(AND(AI$27&gt;ProposalToGnatt[[#This Row],[Start Date]],AI$27&lt;ProposalToGnatt[[#This Row],[Start Date]]+ProposalToGnatt[[#This Row],[Days]]),$G$5,"")),"")</f>
        <v/>
      </c>
      <c r="AJ37" s="36" t="str">
        <f ca="1">IFERROR(+IF(AJ$27=ProposalToGnatt[[#This Row],[Start Date]],Milestone_Marker,IF(AND(AJ$27&gt;ProposalToGnatt[[#This Row],[Start Date]],AJ$27&lt;ProposalToGnatt[[#This Row],[Start Date]]+ProposalToGnatt[[#This Row],[Days]]),$G$5,"")),"")</f>
        <v/>
      </c>
      <c r="AK37" s="36" t="str">
        <f ca="1">IFERROR(+IF(AK$27=ProposalToGnatt[[#This Row],[Start Date]],Milestone_Marker,IF(AND(AK$27&gt;ProposalToGnatt[[#This Row],[Start Date]],AK$27&lt;ProposalToGnatt[[#This Row],[Start Date]]+ProposalToGnatt[[#This Row],[Days]]),$G$5,"")),"")</f>
        <v/>
      </c>
      <c r="AL37" s="36" t="str">
        <f ca="1">IFERROR(+IF(AL$27=ProposalToGnatt[[#This Row],[Start Date]],Milestone_Marker,IF(AND(AL$27&gt;ProposalToGnatt[[#This Row],[Start Date]],AL$27&lt;ProposalToGnatt[[#This Row],[Start Date]]+ProposalToGnatt[[#This Row],[Days]]),$G$5,"")),"")</f>
        <v/>
      </c>
      <c r="AM37" s="36" t="str">
        <f ca="1">IFERROR(+IF(AM$27=ProposalToGnatt[[#This Row],[Start Date]],Milestone_Marker,IF(AND(AM$27&gt;ProposalToGnatt[[#This Row],[Start Date]],AM$27&lt;ProposalToGnatt[[#This Row],[Start Date]]+ProposalToGnatt[[#This Row],[Days]]),$G$5,"")),"")</f>
        <v/>
      </c>
      <c r="AN37" s="36" t="str">
        <f ca="1">IFERROR(+IF(AN$27=ProposalToGnatt[[#This Row],[Start Date]],Milestone_Marker,IF(AND(AN$27&gt;ProposalToGnatt[[#This Row],[Start Date]],AN$27&lt;ProposalToGnatt[[#This Row],[Start Date]]+ProposalToGnatt[[#This Row],[Days]]),$G$5,"")),"")</f>
        <v/>
      </c>
      <c r="AO37" s="36" t="str">
        <f ca="1">IFERROR(+IF(AO$27=ProposalToGnatt[[#This Row],[Start Date]],Milestone_Marker,IF(AND(AO$27&gt;ProposalToGnatt[[#This Row],[Start Date]],AO$27&lt;ProposalToGnatt[[#This Row],[Start Date]]+ProposalToGnatt[[#This Row],[Days]]),$G$5,"")),"")</f>
        <v/>
      </c>
      <c r="AP37" s="36" t="str">
        <f ca="1">IFERROR(+IF(AP$27=ProposalToGnatt[[#This Row],[Start Date]],Milestone_Marker,IF(AND(AP$27&gt;ProposalToGnatt[[#This Row],[Start Date]],AP$27&lt;ProposalToGnatt[[#This Row],[Start Date]]+ProposalToGnatt[[#This Row],[Days]]),$G$5,"")),"")</f>
        <v/>
      </c>
      <c r="AQ37" s="36" t="str">
        <f ca="1">IFERROR(+IF(AQ$27=ProposalToGnatt[[#This Row],[Start Date]],Milestone_Marker,IF(AND(AQ$27&gt;ProposalToGnatt[[#This Row],[Start Date]],AQ$27&lt;ProposalToGnatt[[#This Row],[Start Date]]+ProposalToGnatt[[#This Row],[Days]]),$G$5,"")),"")</f>
        <v/>
      </c>
      <c r="AR37" s="36" t="str">
        <f ca="1">IFERROR(+IF(AR$27=ProposalToGnatt[[#This Row],[Start Date]],Milestone_Marker,IF(AND(AR$27&gt;ProposalToGnatt[[#This Row],[Start Date]],AR$27&lt;ProposalToGnatt[[#This Row],[Start Date]]+ProposalToGnatt[[#This Row],[Days]]),$G$5,"")),"")</f>
        <v/>
      </c>
      <c r="AS37" s="36" t="str">
        <f ca="1">IFERROR(+IF(AS$27=ProposalToGnatt[[#This Row],[Start Date]],Milestone_Marker,IF(AND(AS$27&gt;ProposalToGnatt[[#This Row],[Start Date]],AS$27&lt;ProposalToGnatt[[#This Row],[Start Date]]+ProposalToGnatt[[#This Row],[Days]]),$G$5,"")),"")</f>
        <v/>
      </c>
      <c r="AT37" s="36" t="str">
        <f ca="1">IFERROR(+IF(AT$27=ProposalToGnatt[[#This Row],[Start Date]],Milestone_Marker,IF(AND(AT$27&gt;ProposalToGnatt[[#This Row],[Start Date]],AT$27&lt;ProposalToGnatt[[#This Row],[Start Date]]+ProposalToGnatt[[#This Row],[Days]]),$G$5,"")),"")</f>
        <v/>
      </c>
      <c r="AU37" s="36" t="str">
        <f ca="1">IFERROR(+IF(AU$27=ProposalToGnatt[[#This Row],[Start Date]],Milestone_Marker,IF(AND(AU$27&gt;ProposalToGnatt[[#This Row],[Start Date]],AU$27&lt;ProposalToGnatt[[#This Row],[Start Date]]+ProposalToGnatt[[#This Row],[Days]]),$G$5,"")),"")</f>
        <v/>
      </c>
      <c r="AV37" s="36" t="str">
        <f ca="1">IFERROR(+IF(AV$27=ProposalToGnatt[[#This Row],[Start Date]],Milestone_Marker,IF(AND(AV$27&gt;ProposalToGnatt[[#This Row],[Start Date]],AV$27&lt;ProposalToGnatt[[#This Row],[Start Date]]+ProposalToGnatt[[#This Row],[Days]]),$G$5,"")),"")</f>
        <v/>
      </c>
      <c r="AW37" s="36" t="str">
        <f ca="1">IFERROR(+IF(AW$27=ProposalToGnatt[[#This Row],[Start Date]],Milestone_Marker,IF(AND(AW$27&gt;ProposalToGnatt[[#This Row],[Start Date]],AW$27&lt;ProposalToGnatt[[#This Row],[Start Date]]+ProposalToGnatt[[#This Row],[Days]]),$G$5,"")),"")</f>
        <v/>
      </c>
      <c r="AX37" s="36" t="str">
        <f ca="1">IFERROR(+IF(AX$27=ProposalToGnatt[[#This Row],[Start Date]],Milestone_Marker,IF(AND(AX$27&gt;ProposalToGnatt[[#This Row],[Start Date]],AX$27&lt;ProposalToGnatt[[#This Row],[Start Date]]+ProposalToGnatt[[#This Row],[Days]]),$G$5,"")),"")</f>
        <v/>
      </c>
      <c r="AY37" s="36" t="str">
        <f ca="1">IFERROR(+IF(AY$27=ProposalToGnatt[[#This Row],[Start Date]],Milestone_Marker,IF(AND(AY$27&gt;ProposalToGnatt[[#This Row],[Start Date]],AY$27&lt;ProposalToGnatt[[#This Row],[Start Date]]+ProposalToGnatt[[#This Row],[Days]]),$G$5,"")),"")</f>
        <v/>
      </c>
      <c r="AZ37" s="36" t="str">
        <f ca="1">IFERROR(+IF(AZ$27=ProposalToGnatt[[#This Row],[Start Date]],Milestone_Marker,IF(AND(AZ$27&gt;ProposalToGnatt[[#This Row],[Start Date]],AZ$27&lt;ProposalToGnatt[[#This Row],[Start Date]]+ProposalToGnatt[[#This Row],[Days]]),$G$5,"")),"")</f>
        <v/>
      </c>
      <c r="BA37" s="36" t="str">
        <f ca="1">IFERROR(+IF(BA$27=ProposalToGnatt[[#This Row],[Start Date]],Milestone_Marker,IF(AND(BA$27&gt;ProposalToGnatt[[#This Row],[Start Date]],BA$27&lt;ProposalToGnatt[[#This Row],[Start Date]]+ProposalToGnatt[[#This Row],[Days]]),$G$5,"")),"")</f>
        <v/>
      </c>
      <c r="BB37" s="36" t="str">
        <f ca="1">IFERROR(+IF(BB$27=ProposalToGnatt[[#This Row],[Start Date]],Milestone_Marker,IF(AND(BB$27&gt;ProposalToGnatt[[#This Row],[Start Date]],BB$27&lt;ProposalToGnatt[[#This Row],[Start Date]]+ProposalToGnatt[[#This Row],[Days]]),$G$5,"")),"")</f>
        <v/>
      </c>
      <c r="BC37" s="36" t="str">
        <f ca="1">IFERROR(+IF(BC$27=ProposalToGnatt[[#This Row],[Start Date]],Milestone_Marker,IF(AND(BC$27&gt;ProposalToGnatt[[#This Row],[Start Date]],BC$27&lt;ProposalToGnatt[[#This Row],[Start Date]]+ProposalToGnatt[[#This Row],[Days]]),$G$5,"")),"")</f>
        <v/>
      </c>
      <c r="BD37" s="36" t="str">
        <f ca="1">IFERROR(+IF(BD$27=ProposalToGnatt[[#This Row],[Start Date]],Milestone_Marker,IF(AND(BD$27&gt;ProposalToGnatt[[#This Row],[Start Date]],BD$27&lt;ProposalToGnatt[[#This Row],[Start Date]]+ProposalToGnatt[[#This Row],[Days]]),$G$5,"")),"")</f>
        <v/>
      </c>
      <c r="BE37" s="36" t="str">
        <f ca="1">IFERROR(+IF(BE$27=ProposalToGnatt[[#This Row],[Start Date]],Milestone_Marker,IF(AND(BE$27&gt;ProposalToGnatt[[#This Row],[Start Date]],BE$27&lt;ProposalToGnatt[[#This Row],[Start Date]]+ProposalToGnatt[[#This Row],[Days]]),$G$5,"")),"")</f>
        <v/>
      </c>
      <c r="BF37" s="36" t="str">
        <f ca="1">IFERROR(+IF(BF$27=ProposalToGnatt[[#This Row],[Start Date]],Milestone_Marker,IF(AND(BF$27&gt;ProposalToGnatt[[#This Row],[Start Date]],BF$27&lt;ProposalToGnatt[[#This Row],[Start Date]]+ProposalToGnatt[[#This Row],[Days]]),$G$5,"")),"")</f>
        <v/>
      </c>
      <c r="BG37" s="36" t="str">
        <f ca="1">IFERROR(+IF(BG$27=ProposalToGnatt[[#This Row],[Start Date]],Milestone_Marker,IF(AND(BG$27&gt;ProposalToGnatt[[#This Row],[Start Date]],BG$27&lt;ProposalToGnatt[[#This Row],[Start Date]]+ProposalToGnatt[[#This Row],[Days]]),$G$5,"")),"")</f>
        <v/>
      </c>
      <c r="BH37" s="36" t="str">
        <f ca="1">IFERROR(+IF(BH$27=ProposalToGnatt[[#This Row],[Start Date]],Milestone_Marker,IF(AND(BH$27&gt;ProposalToGnatt[[#This Row],[Start Date]],BH$27&lt;ProposalToGnatt[[#This Row],[Start Date]]+ProposalToGnatt[[#This Row],[Days]]),$G$5,"")),"")</f>
        <v/>
      </c>
      <c r="BI37" s="36" t="str">
        <f ca="1">IFERROR(+IF(BI$27=ProposalToGnatt[[#This Row],[Start Date]],Milestone_Marker,IF(AND(BI$27&gt;ProposalToGnatt[[#This Row],[Start Date]],BI$27&lt;ProposalToGnatt[[#This Row],[Start Date]]+ProposalToGnatt[[#This Row],[Days]]),$G$5,"")),"")</f>
        <v/>
      </c>
      <c r="BJ37" s="36" t="str">
        <f ca="1">IFERROR(+IF(BJ$27=ProposalToGnatt[[#This Row],[Start Date]],Milestone_Marker,IF(AND(BJ$27&gt;ProposalToGnatt[[#This Row],[Start Date]],BJ$27&lt;ProposalToGnatt[[#This Row],[Start Date]]+ProposalToGnatt[[#This Row],[Days]]),$G$5,"")),"")</f>
        <v/>
      </c>
      <c r="BK37" s="36" t="str">
        <f ca="1">IFERROR(+IF(BK$27=ProposalToGnatt[[#This Row],[Start Date]],Milestone_Marker,IF(AND(BK$27&gt;ProposalToGnatt[[#This Row],[Start Date]],BK$27&lt;ProposalToGnatt[[#This Row],[Start Date]]+ProposalToGnatt[[#This Row],[Days]]),$G$5,"")),"")</f>
        <v/>
      </c>
      <c r="BL37" s="36" t="str">
        <f ca="1">IFERROR(+IF(BL$27=ProposalToGnatt[[#This Row],[Start Date]],Milestone_Marker,IF(AND(BL$27&gt;ProposalToGnatt[[#This Row],[Start Date]],BL$27&lt;ProposalToGnatt[[#This Row],[Start Date]]+ProposalToGnatt[[#This Row],[Days]]),$G$5,"")),"")</f>
        <v/>
      </c>
      <c r="BM37" s="36" t="str">
        <f ca="1">IFERROR(+IF(BM$27=ProposalToGnatt[[#This Row],[Start Date]],Milestone_Marker,IF(AND(BM$27&gt;ProposalToGnatt[[#This Row],[Start Date]],BM$27&lt;ProposalToGnatt[[#This Row],[Start Date]]+ProposalToGnatt[[#This Row],[Days]]),$G$5,"")),"")</f>
        <v/>
      </c>
      <c r="BN37" s="36" t="str">
        <f ca="1">IFERROR(+IF(BN$27=ProposalToGnatt[[#This Row],[Start Date]],Milestone_Marker,IF(AND(BN$27&gt;ProposalToGnatt[[#This Row],[Start Date]],BN$27&lt;ProposalToGnatt[[#This Row],[Start Date]]+ProposalToGnatt[[#This Row],[Days]]),$G$5,"")),"")</f>
        <v/>
      </c>
      <c r="BO37" s="36" t="str">
        <f ca="1">IFERROR(+IF(BO$27=ProposalToGnatt[[#This Row],[Start Date]],Milestone_Marker,IF(AND(BO$27&gt;ProposalToGnatt[[#This Row],[Start Date]],BO$27&lt;ProposalToGnatt[[#This Row],[Start Date]]+ProposalToGnatt[[#This Row],[Days]]),$G$5,"")),"")</f>
        <v/>
      </c>
      <c r="BP37" s="36" t="str">
        <f ca="1">IFERROR(+IF(BP$27=ProposalToGnatt[[#This Row],[Start Date]],Milestone_Marker,IF(AND(BP$27&gt;ProposalToGnatt[[#This Row],[Start Date]],BP$27&lt;ProposalToGnatt[[#This Row],[Start Date]]+ProposalToGnatt[[#This Row],[Days]]),$G$5,"")),"")</f>
        <v/>
      </c>
      <c r="BQ37" s="36" t="str">
        <f ca="1">IFERROR(+IF(BQ$27=ProposalToGnatt[[#This Row],[Start Date]],Milestone_Marker,IF(AND(BQ$27&gt;ProposalToGnatt[[#This Row],[Start Date]],BQ$27&lt;ProposalToGnatt[[#This Row],[Start Date]]+ProposalToGnatt[[#This Row],[Days]]),$G$5,"")),"")</f>
        <v/>
      </c>
      <c r="BR37" s="36" t="str">
        <f ca="1">IFERROR(+IF(BR$27=ProposalToGnatt[[#This Row],[Start Date]],Milestone_Marker,IF(AND(BR$27&gt;ProposalToGnatt[[#This Row],[Start Date]],BR$27&lt;ProposalToGnatt[[#This Row],[Start Date]]+ProposalToGnatt[[#This Row],[Days]]),$G$5,"")),"")</f>
        <v/>
      </c>
      <c r="BS37" s="36" t="str">
        <f ca="1">IFERROR(+IF(BS$27=ProposalToGnatt[[#This Row],[Start Date]],Milestone_Marker,IF(AND(BS$27&gt;ProposalToGnatt[[#This Row],[Start Date]],BS$27&lt;ProposalToGnatt[[#This Row],[Start Date]]+ProposalToGnatt[[#This Row],[Days]]),$G$5,"")),"")</f>
        <v/>
      </c>
      <c r="BT37" s="36" t="str">
        <f ca="1">IFERROR(+IF(BT$27=ProposalToGnatt[[#This Row],[Start Date]],Milestone_Marker,IF(AND(BT$27&gt;ProposalToGnatt[[#This Row],[Start Date]],BT$27&lt;ProposalToGnatt[[#This Row],[Start Date]]+ProposalToGnatt[[#This Row],[Days]]),$G$5,"")),"")</f>
        <v/>
      </c>
      <c r="BU37" s="36" t="str">
        <f ca="1">IFERROR(+IF(BU$27=ProposalToGnatt[[#This Row],[Start Date]],Milestone_Marker,IF(AND(BU$27&gt;ProposalToGnatt[[#This Row],[Start Date]],BU$27&lt;ProposalToGnatt[[#This Row],[Start Date]]+ProposalToGnatt[[#This Row],[Days]]),$G$5,"")),"")</f>
        <v/>
      </c>
      <c r="BV37" s="36" t="str">
        <f ca="1">IFERROR(+IF(BV$27=ProposalToGnatt[[#This Row],[Start Date]],Milestone_Marker,IF(AND(BV$27&gt;ProposalToGnatt[[#This Row],[Start Date]],BV$27&lt;ProposalToGnatt[[#This Row],[Start Date]]+ProposalToGnatt[[#This Row],[Days]]),$G$5,"")),"")</f>
        <v/>
      </c>
      <c r="BW37" s="36" t="str">
        <f ca="1">IFERROR(+IF(BW$27=ProposalToGnatt[[#This Row],[Start Date]],Milestone_Marker,IF(AND(BW$27&gt;ProposalToGnatt[[#This Row],[Start Date]],BW$27&lt;ProposalToGnatt[[#This Row],[Start Date]]+ProposalToGnatt[[#This Row],[Days]]),$G$5,"")),"")</f>
        <v/>
      </c>
      <c r="BX37" s="36" t="str">
        <f ca="1">IFERROR(+IF(BX$27=ProposalToGnatt[[#This Row],[Start Date]],Milestone_Marker,IF(AND(BX$27&gt;ProposalToGnatt[[#This Row],[Start Date]],BX$27&lt;ProposalToGnatt[[#This Row],[Start Date]]+ProposalToGnatt[[#This Row],[Days]]),$G$5,"")),"")</f>
        <v/>
      </c>
      <c r="BY37" s="36" t="str">
        <f ca="1">IFERROR(+IF(BY$27=ProposalToGnatt[[#This Row],[Start Date]],Milestone_Marker,IF(AND(BY$27&gt;ProposalToGnatt[[#This Row],[Start Date]],BY$27&lt;ProposalToGnatt[[#This Row],[Start Date]]+ProposalToGnatt[[#This Row],[Days]]),$G$5,"")),"")</f>
        <v/>
      </c>
      <c r="BZ37" s="36" t="str">
        <f ca="1">IFERROR(+IF(BZ$27=ProposalToGnatt[[#This Row],[Start Date]],Milestone_Marker,IF(AND(BZ$27&gt;ProposalToGnatt[[#This Row],[Start Date]],BZ$27&lt;ProposalToGnatt[[#This Row],[Start Date]]+ProposalToGnatt[[#This Row],[Days]]),$G$5,"")),"")</f>
        <v/>
      </c>
      <c r="CA37" s="36" t="str">
        <f ca="1">IFERROR(+IF(CA$27=ProposalToGnatt[[#This Row],[Start Date]],Milestone_Marker,IF(AND(CA$27&gt;ProposalToGnatt[[#This Row],[Start Date]],CA$27&lt;ProposalToGnatt[[#This Row],[Start Date]]+ProposalToGnatt[[#This Row],[Days]]),$G$5,"")),"")</f>
        <v/>
      </c>
      <c r="CB37" s="36" t="str">
        <f ca="1">IFERROR(+IF(CB$27=ProposalToGnatt[[#This Row],[Start Date]],Milestone_Marker,IF(AND(CB$27&gt;ProposalToGnatt[[#This Row],[Start Date]],CB$27&lt;ProposalToGnatt[[#This Row],[Start Date]]+ProposalToGnatt[[#This Row],[Days]]),$G$5,"")),"")</f>
        <v/>
      </c>
      <c r="CC37" s="36" t="str">
        <f ca="1">IFERROR(+IF(CC$27=ProposalToGnatt[[#This Row],[Start Date]],Milestone_Marker,IF(AND(CC$27&gt;ProposalToGnatt[[#This Row],[Start Date]],CC$27&lt;ProposalToGnatt[[#This Row],[Start Date]]+ProposalToGnatt[[#This Row],[Days]]),$G$5,"")),"")</f>
        <v/>
      </c>
      <c r="CD37" s="36" t="str">
        <f ca="1">IFERROR(+IF(CD$27=ProposalToGnatt[[#This Row],[Start Date]],Milestone_Marker,IF(AND(CD$27&gt;ProposalToGnatt[[#This Row],[Start Date]],CD$27&lt;ProposalToGnatt[[#This Row],[Start Date]]+ProposalToGnatt[[#This Row],[Days]]),$G$5,"")),"")</f>
        <v/>
      </c>
      <c r="CE37" s="36" t="str">
        <f ca="1">IFERROR(+IF(CE$27=ProposalToGnatt[[#This Row],[Start Date]],Milestone_Marker,IF(AND(CE$27&gt;ProposalToGnatt[[#This Row],[Start Date]],CE$27&lt;ProposalToGnatt[[#This Row],[Start Date]]+ProposalToGnatt[[#This Row],[Days]]),$G$5,"")),"")</f>
        <v/>
      </c>
      <c r="CF37" s="36" t="str">
        <f ca="1">IFERROR(+IF(CF$27=ProposalToGnatt[[#This Row],[Start Date]],Milestone_Marker,IF(AND(CF$27&gt;ProposalToGnatt[[#This Row],[Start Date]],CF$27&lt;ProposalToGnatt[[#This Row],[Start Date]]+ProposalToGnatt[[#This Row],[Days]]),$G$5,"")),"")</f>
        <v/>
      </c>
      <c r="CG37" s="36" t="str">
        <f ca="1">IFERROR(+IF(CG$27=ProposalToGnatt[[#This Row],[Start Date]],Milestone_Marker,IF(AND(CG$27&gt;ProposalToGnatt[[#This Row],[Start Date]],CG$27&lt;ProposalToGnatt[[#This Row],[Start Date]]+ProposalToGnatt[[#This Row],[Days]]),$G$5,"")),"")</f>
        <v/>
      </c>
      <c r="CH37" s="36" t="str">
        <f ca="1">IFERROR(+IF(CH$27=ProposalToGnatt[[#This Row],[Start Date]],Milestone_Marker,IF(AND(CH$27&gt;ProposalToGnatt[[#This Row],[Start Date]],CH$27&lt;ProposalToGnatt[[#This Row],[Start Date]]+ProposalToGnatt[[#This Row],[Days]]),$G$5,"")),"")</f>
        <v/>
      </c>
      <c r="CI37" s="36" t="str">
        <f ca="1">IFERROR(+IF(CI$27=ProposalToGnatt[[#This Row],[Start Date]],Milestone_Marker,IF(AND(CI$27&gt;ProposalToGnatt[[#This Row],[Start Date]],CI$27&lt;ProposalToGnatt[[#This Row],[Start Date]]+ProposalToGnatt[[#This Row],[Days]]),$G$5,"")),"")</f>
        <v/>
      </c>
      <c r="CJ37" s="36" t="str">
        <f ca="1">IFERROR(+IF(CJ$27=ProposalToGnatt[[#This Row],[Start Date]],Milestone_Marker,IF(AND(CJ$27&gt;ProposalToGnatt[[#This Row],[Start Date]],CJ$27&lt;ProposalToGnatt[[#This Row],[Start Date]]+ProposalToGnatt[[#This Row],[Days]]),$G$5,"")),"")</f>
        <v/>
      </c>
      <c r="CK37" s="36" t="str">
        <f ca="1">IFERROR(+IF(CK$27=ProposalToGnatt[[#This Row],[Start Date]],Milestone_Marker,IF(AND(CK$27&gt;ProposalToGnatt[[#This Row],[Start Date]],CK$27&lt;ProposalToGnatt[[#This Row],[Start Date]]+ProposalToGnatt[[#This Row],[Days]]),$G$5,"")),"")</f>
        <v/>
      </c>
      <c r="CL37" s="36" t="str">
        <f ca="1">IFERROR(+IF(CL$27=ProposalToGnatt[[#This Row],[Start Date]],Milestone_Marker,IF(AND(CL$27&gt;ProposalToGnatt[[#This Row],[Start Date]],CL$27&lt;ProposalToGnatt[[#This Row],[Start Date]]+ProposalToGnatt[[#This Row],[Days]]),$G$5,"")),"")</f>
        <v/>
      </c>
      <c r="CM37" s="36" t="str">
        <f ca="1">IFERROR(+IF(CM$27=ProposalToGnatt[[#This Row],[Start Date]],Milestone_Marker,IF(AND(CM$27&gt;ProposalToGnatt[[#This Row],[Start Date]],CM$27&lt;ProposalToGnatt[[#This Row],[Start Date]]+ProposalToGnatt[[#This Row],[Days]]),$G$5,"")),"")</f>
        <v/>
      </c>
      <c r="CN37" s="36" t="str">
        <f ca="1">IFERROR(+IF(CN$27=ProposalToGnatt[[#This Row],[Start Date]],Milestone_Marker,IF(AND(CN$27&gt;ProposalToGnatt[[#This Row],[Start Date]],CN$27&lt;ProposalToGnatt[[#This Row],[Start Date]]+ProposalToGnatt[[#This Row],[Days]]),$G$5,"")),"")</f>
        <v/>
      </c>
      <c r="CO37" s="36" t="str">
        <f ca="1">IFERROR(+IF(CO$27=ProposalToGnatt[[#This Row],[Start Date]],Milestone_Marker,IF(AND(CO$27&gt;ProposalToGnatt[[#This Row],[Start Date]],CO$27&lt;ProposalToGnatt[[#This Row],[Start Date]]+ProposalToGnatt[[#This Row],[Days]]),$G$5,"")),"")</f>
        <v/>
      </c>
      <c r="CP37" s="36" t="str">
        <f ca="1">IFERROR(+IF(CP$27=ProposalToGnatt[[#This Row],[Start Date]],Milestone_Marker,IF(AND(CP$27&gt;ProposalToGnatt[[#This Row],[Start Date]],CP$27&lt;ProposalToGnatt[[#This Row],[Start Date]]+ProposalToGnatt[[#This Row],[Days]]),$G$5,"")),"")</f>
        <v/>
      </c>
      <c r="CQ37" s="36" t="str">
        <f ca="1">IFERROR(+IF(CQ$27=ProposalToGnatt[[#This Row],[Start Date]],Milestone_Marker,IF(AND(CQ$27&gt;ProposalToGnatt[[#This Row],[Start Date]],CQ$27&lt;ProposalToGnatt[[#This Row],[Start Date]]+ProposalToGnatt[[#This Row],[Days]]),$G$5,"")),"")</f>
        <v/>
      </c>
      <c r="CR37" s="36" t="str">
        <f ca="1">IFERROR(+IF(CR$27=ProposalToGnatt[[#This Row],[Start Date]],Milestone_Marker,IF(AND(CR$27&gt;ProposalToGnatt[[#This Row],[Start Date]],CR$27&lt;ProposalToGnatt[[#This Row],[Start Date]]+ProposalToGnatt[[#This Row],[Days]]),$G$5,"")),"")</f>
        <v/>
      </c>
      <c r="CS37" s="36" t="str">
        <f ca="1">IFERROR(+IF(CS$27=ProposalToGnatt[[#This Row],[Start Date]],Milestone_Marker,IF(AND(CS$27&gt;ProposalToGnatt[[#This Row],[Start Date]],CS$27&lt;ProposalToGnatt[[#This Row],[Start Date]]+ProposalToGnatt[[#This Row],[Days]]),$G$5,"")),"")</f>
        <v/>
      </c>
      <c r="CT37" s="36" t="str">
        <f ca="1">IFERROR(+IF(CT$27=ProposalToGnatt[[#This Row],[Start Date]],Milestone_Marker,IF(AND(CT$27&gt;ProposalToGnatt[[#This Row],[Start Date]],CT$27&lt;ProposalToGnatt[[#This Row],[Start Date]]+ProposalToGnatt[[#This Row],[Days]]),$G$5,"")),"")</f>
        <v/>
      </c>
      <c r="CU37" s="36" t="str">
        <f ca="1">IFERROR(+IF(CU$27=ProposalToGnatt[[#This Row],[Start Date]],Milestone_Marker,IF(AND(CU$27&gt;ProposalToGnatt[[#This Row],[Start Date]],CU$27&lt;ProposalToGnatt[[#This Row],[Start Date]]+ProposalToGnatt[[#This Row],[Days]]),$G$5,"")),"")</f>
        <v/>
      </c>
      <c r="CV37" s="36"/>
      <c r="CW37" s="36"/>
      <c r="CX37" s="36"/>
      <c r="CY37" s="36"/>
      <c r="CZ37" s="36"/>
      <c r="DA37" s="36"/>
      <c r="DB37" s="36"/>
      <c r="DC37" s="36"/>
      <c r="DD37" s="36"/>
      <c r="DE37" s="36"/>
      <c r="DF37" s="36"/>
      <c r="DG37" s="36"/>
      <c r="DH37" s="36"/>
      <c r="DI37" s="36"/>
      <c r="DJ37" s="36"/>
      <c r="DK37" s="36"/>
      <c r="DL37" s="36"/>
      <c r="DM37" s="36"/>
      <c r="DN37" s="36"/>
      <c r="DO37" s="36"/>
      <c r="DP37" s="36"/>
      <c r="DQ37" s="36"/>
      <c r="DR37" s="36"/>
      <c r="DS37" s="36"/>
      <c r="DT37" s="36"/>
      <c r="DU37" s="36"/>
    </row>
    <row r="38" spans="1:125" s="41" customFormat="1" ht="20.100000000000001" customHeight="1" x14ac:dyDescent="0.25">
      <c r="A38" t="s">
        <v>267</v>
      </c>
      <c r="B38">
        <v>20</v>
      </c>
      <c r="C38"/>
      <c r="D38" t="s">
        <v>895</v>
      </c>
      <c r="E38" s="568" t="s">
        <v>939</v>
      </c>
      <c r="F38">
        <v>3</v>
      </c>
      <c r="G38" s="14">
        <v>35</v>
      </c>
      <c r="H38" s="14">
        <v>105</v>
      </c>
      <c r="I38" t="s">
        <v>3</v>
      </c>
      <c r="J38">
        <v>1</v>
      </c>
      <c r="K38" s="249"/>
      <c r="L38"/>
      <c r="M38" s="14"/>
      <c r="N38" s="300">
        <v>105</v>
      </c>
      <c r="O38" s="554"/>
      <c r="P38" s="36" t="str">
        <f ca="1">IFERROR(+IF(P$27=ProposalToGnatt[[#This Row],[Start Date]],Milestone_Marker,IF(AND(P$27&gt;ProposalToGnatt[[#This Row],[Start Date]],P$27&lt;ProposalToGnatt[[#This Row],[Start Date]]+ProposalToGnatt[[#This Row],[Days]]),$G$5,"")),"")</f>
        <v/>
      </c>
      <c r="Q38" s="36" t="str">
        <f ca="1">IFERROR(+IF(Q$27=ProposalToGnatt[[#This Row],[Start Date]],Milestone_Marker,IF(AND(Q$27&gt;ProposalToGnatt[[#This Row],[Start Date]],Q$27&lt;ProposalToGnatt[[#This Row],[Start Date]]+ProposalToGnatt[[#This Row],[Days]]),$G$5,"")),"")</f>
        <v/>
      </c>
      <c r="R38" s="36" t="str">
        <f ca="1">IFERROR(+IF(R$27=ProposalToGnatt[[#This Row],[Start Date]],Milestone_Marker,IF(AND(R$27&gt;ProposalToGnatt[[#This Row],[Start Date]],R$27&lt;ProposalToGnatt[[#This Row],[Start Date]]+ProposalToGnatt[[#This Row],[Days]]),$G$5,"")),"")</f>
        <v/>
      </c>
      <c r="S38" s="36" t="str">
        <f ca="1">IFERROR(+IF(S$27=ProposalToGnatt[[#This Row],[Start Date]],Milestone_Marker,IF(AND(S$27&gt;ProposalToGnatt[[#This Row],[Start Date]],S$27&lt;ProposalToGnatt[[#This Row],[Start Date]]+ProposalToGnatt[[#This Row],[Days]]),$G$5,"")),"")</f>
        <v/>
      </c>
      <c r="T38" s="36" t="str">
        <f ca="1">IFERROR(+IF(T$27=ProposalToGnatt[[#This Row],[Start Date]],Milestone_Marker,IF(AND(T$27&gt;ProposalToGnatt[[#This Row],[Start Date]],T$27&lt;ProposalToGnatt[[#This Row],[Start Date]]+ProposalToGnatt[[#This Row],[Days]]),$G$5,"")),"")</f>
        <v/>
      </c>
      <c r="U38" s="36" t="str">
        <f ca="1">IFERROR(+IF(U$27=ProposalToGnatt[[#This Row],[Start Date]],Milestone_Marker,IF(AND(U$27&gt;ProposalToGnatt[[#This Row],[Start Date]],U$27&lt;ProposalToGnatt[[#This Row],[Start Date]]+ProposalToGnatt[[#This Row],[Days]]),$G$5,"")),"")</f>
        <v/>
      </c>
      <c r="V38" s="36" t="str">
        <f ca="1">IFERROR(+IF(V$27=ProposalToGnatt[[#This Row],[Start Date]],Milestone_Marker,IF(AND(V$27&gt;ProposalToGnatt[[#This Row],[Start Date]],V$27&lt;ProposalToGnatt[[#This Row],[Start Date]]+ProposalToGnatt[[#This Row],[Days]]),$G$5,"")),"")</f>
        <v/>
      </c>
      <c r="W38" s="36" t="str">
        <f ca="1">IFERROR(+IF(W$27=ProposalToGnatt[[#This Row],[Start Date]],Milestone_Marker,IF(AND(W$27&gt;ProposalToGnatt[[#This Row],[Start Date]],W$27&lt;ProposalToGnatt[[#This Row],[Start Date]]+ProposalToGnatt[[#This Row],[Days]]),$G$5,"")),"")</f>
        <v/>
      </c>
      <c r="X38" s="36" t="str">
        <f ca="1">IFERROR(+IF(X$27=ProposalToGnatt[[#This Row],[Start Date]],Milestone_Marker,IF(AND(X$27&gt;ProposalToGnatt[[#This Row],[Start Date]],X$27&lt;ProposalToGnatt[[#This Row],[Start Date]]+ProposalToGnatt[[#This Row],[Days]]),$G$5,"")),"")</f>
        <v/>
      </c>
      <c r="Y38" s="36" t="str">
        <f ca="1">IFERROR(+IF(Y$27=ProposalToGnatt[[#This Row],[Start Date]],Milestone_Marker,IF(AND(Y$27&gt;ProposalToGnatt[[#This Row],[Start Date]],Y$27&lt;ProposalToGnatt[[#This Row],[Start Date]]+ProposalToGnatt[[#This Row],[Days]]),$G$5,"")),"")</f>
        <v/>
      </c>
      <c r="Z38" s="36" t="str">
        <f ca="1">IFERROR(+IF(Z$27=ProposalToGnatt[[#This Row],[Start Date]],Milestone_Marker,IF(AND(Z$27&gt;ProposalToGnatt[[#This Row],[Start Date]],Z$27&lt;ProposalToGnatt[[#This Row],[Start Date]]+ProposalToGnatt[[#This Row],[Days]]),$G$5,"")),"")</f>
        <v/>
      </c>
      <c r="AA38" s="36" t="str">
        <f ca="1">IFERROR(+IF(AA$27=ProposalToGnatt[[#This Row],[Start Date]],Milestone_Marker,IF(AND(AA$27&gt;ProposalToGnatt[[#This Row],[Start Date]],AA$27&lt;ProposalToGnatt[[#This Row],[Start Date]]+ProposalToGnatt[[#This Row],[Days]]),$G$5,"")),"")</f>
        <v/>
      </c>
      <c r="AB38" s="36" t="str">
        <f ca="1">IFERROR(+IF(AB$27=ProposalToGnatt[[#This Row],[Start Date]],Milestone_Marker,IF(AND(AB$27&gt;ProposalToGnatt[[#This Row],[Start Date]],AB$27&lt;ProposalToGnatt[[#This Row],[Start Date]]+ProposalToGnatt[[#This Row],[Days]]),$G$5,"")),"")</f>
        <v/>
      </c>
      <c r="AC38" s="36" t="str">
        <f ca="1">IFERROR(+IF(AC$27=ProposalToGnatt[[#This Row],[Start Date]],Milestone_Marker,IF(AND(AC$27&gt;ProposalToGnatt[[#This Row],[Start Date]],AC$27&lt;ProposalToGnatt[[#This Row],[Start Date]]+ProposalToGnatt[[#This Row],[Days]]),$G$5,"")),"")</f>
        <v/>
      </c>
      <c r="AD38" s="36" t="str">
        <f ca="1">IFERROR(+IF(AD$27=ProposalToGnatt[[#This Row],[Start Date]],Milestone_Marker,IF(AND(AD$27&gt;ProposalToGnatt[[#This Row],[Start Date]],AD$27&lt;ProposalToGnatt[[#This Row],[Start Date]]+ProposalToGnatt[[#This Row],[Days]]),$G$5,"")),"")</f>
        <v/>
      </c>
      <c r="AE38" s="36" t="str">
        <f ca="1">IFERROR(+IF(AE$27=ProposalToGnatt[[#This Row],[Start Date]],Milestone_Marker,IF(AND(AE$27&gt;ProposalToGnatt[[#This Row],[Start Date]],AE$27&lt;ProposalToGnatt[[#This Row],[Start Date]]+ProposalToGnatt[[#This Row],[Days]]),$G$5,"")),"")</f>
        <v/>
      </c>
      <c r="AF38" s="36" t="str">
        <f ca="1">IFERROR(+IF(AF$27=ProposalToGnatt[[#This Row],[Start Date]],Milestone_Marker,IF(AND(AF$27&gt;ProposalToGnatt[[#This Row],[Start Date]],AF$27&lt;ProposalToGnatt[[#This Row],[Start Date]]+ProposalToGnatt[[#This Row],[Days]]),$G$5,"")),"")</f>
        <v/>
      </c>
      <c r="AG38" s="36" t="str">
        <f ca="1">IFERROR(+IF(AG$27=ProposalToGnatt[[#This Row],[Start Date]],Milestone_Marker,IF(AND(AG$27&gt;ProposalToGnatt[[#This Row],[Start Date]],AG$27&lt;ProposalToGnatt[[#This Row],[Start Date]]+ProposalToGnatt[[#This Row],[Days]]),$G$5,"")),"")</f>
        <v/>
      </c>
      <c r="AH38" s="36" t="str">
        <f ca="1">IFERROR(+IF(AH$27=ProposalToGnatt[[#This Row],[Start Date]],Milestone_Marker,IF(AND(AH$27&gt;ProposalToGnatt[[#This Row],[Start Date]],AH$27&lt;ProposalToGnatt[[#This Row],[Start Date]]+ProposalToGnatt[[#This Row],[Days]]),$G$5,"")),"")</f>
        <v/>
      </c>
      <c r="AI38" s="36" t="str">
        <f ca="1">IFERROR(+IF(AI$27=ProposalToGnatt[[#This Row],[Start Date]],Milestone_Marker,IF(AND(AI$27&gt;ProposalToGnatt[[#This Row],[Start Date]],AI$27&lt;ProposalToGnatt[[#This Row],[Start Date]]+ProposalToGnatt[[#This Row],[Days]]),$G$5,"")),"")</f>
        <v/>
      </c>
      <c r="AJ38" s="36" t="str">
        <f ca="1">IFERROR(+IF(AJ$27=ProposalToGnatt[[#This Row],[Start Date]],Milestone_Marker,IF(AND(AJ$27&gt;ProposalToGnatt[[#This Row],[Start Date]],AJ$27&lt;ProposalToGnatt[[#This Row],[Start Date]]+ProposalToGnatt[[#This Row],[Days]]),$G$5,"")),"")</f>
        <v/>
      </c>
      <c r="AK38" s="36" t="str">
        <f ca="1">IFERROR(+IF(AK$27=ProposalToGnatt[[#This Row],[Start Date]],Milestone_Marker,IF(AND(AK$27&gt;ProposalToGnatt[[#This Row],[Start Date]],AK$27&lt;ProposalToGnatt[[#This Row],[Start Date]]+ProposalToGnatt[[#This Row],[Days]]),$G$5,"")),"")</f>
        <v/>
      </c>
      <c r="AL38" s="36" t="str">
        <f ca="1">IFERROR(+IF(AL$27=ProposalToGnatt[[#This Row],[Start Date]],Milestone_Marker,IF(AND(AL$27&gt;ProposalToGnatt[[#This Row],[Start Date]],AL$27&lt;ProposalToGnatt[[#This Row],[Start Date]]+ProposalToGnatt[[#This Row],[Days]]),$G$5,"")),"")</f>
        <v/>
      </c>
      <c r="AM38" s="36" t="str">
        <f ca="1">IFERROR(+IF(AM$27=ProposalToGnatt[[#This Row],[Start Date]],Milestone_Marker,IF(AND(AM$27&gt;ProposalToGnatt[[#This Row],[Start Date]],AM$27&lt;ProposalToGnatt[[#This Row],[Start Date]]+ProposalToGnatt[[#This Row],[Days]]),$G$5,"")),"")</f>
        <v/>
      </c>
      <c r="AN38" s="36" t="str">
        <f ca="1">IFERROR(+IF(AN$27=ProposalToGnatt[[#This Row],[Start Date]],Milestone_Marker,IF(AND(AN$27&gt;ProposalToGnatt[[#This Row],[Start Date]],AN$27&lt;ProposalToGnatt[[#This Row],[Start Date]]+ProposalToGnatt[[#This Row],[Days]]),$G$5,"")),"")</f>
        <v/>
      </c>
      <c r="AO38" s="36" t="str">
        <f ca="1">IFERROR(+IF(AO$27=ProposalToGnatt[[#This Row],[Start Date]],Milestone_Marker,IF(AND(AO$27&gt;ProposalToGnatt[[#This Row],[Start Date]],AO$27&lt;ProposalToGnatt[[#This Row],[Start Date]]+ProposalToGnatt[[#This Row],[Days]]),$G$5,"")),"")</f>
        <v/>
      </c>
      <c r="AP38" s="36" t="str">
        <f ca="1">IFERROR(+IF(AP$27=ProposalToGnatt[[#This Row],[Start Date]],Milestone_Marker,IF(AND(AP$27&gt;ProposalToGnatt[[#This Row],[Start Date]],AP$27&lt;ProposalToGnatt[[#This Row],[Start Date]]+ProposalToGnatt[[#This Row],[Days]]),$G$5,"")),"")</f>
        <v/>
      </c>
      <c r="AQ38" s="36" t="str">
        <f ca="1">IFERROR(+IF(AQ$27=ProposalToGnatt[[#This Row],[Start Date]],Milestone_Marker,IF(AND(AQ$27&gt;ProposalToGnatt[[#This Row],[Start Date]],AQ$27&lt;ProposalToGnatt[[#This Row],[Start Date]]+ProposalToGnatt[[#This Row],[Days]]),$G$5,"")),"")</f>
        <v/>
      </c>
      <c r="AR38" s="36" t="str">
        <f ca="1">IFERROR(+IF(AR$27=ProposalToGnatt[[#This Row],[Start Date]],Milestone_Marker,IF(AND(AR$27&gt;ProposalToGnatt[[#This Row],[Start Date]],AR$27&lt;ProposalToGnatt[[#This Row],[Start Date]]+ProposalToGnatt[[#This Row],[Days]]),$G$5,"")),"")</f>
        <v/>
      </c>
      <c r="AS38" s="36" t="str">
        <f ca="1">IFERROR(+IF(AS$27=ProposalToGnatt[[#This Row],[Start Date]],Milestone_Marker,IF(AND(AS$27&gt;ProposalToGnatt[[#This Row],[Start Date]],AS$27&lt;ProposalToGnatt[[#This Row],[Start Date]]+ProposalToGnatt[[#This Row],[Days]]),$G$5,"")),"")</f>
        <v/>
      </c>
      <c r="AT38" s="36" t="str">
        <f ca="1">IFERROR(+IF(AT$27=ProposalToGnatt[[#This Row],[Start Date]],Milestone_Marker,IF(AND(AT$27&gt;ProposalToGnatt[[#This Row],[Start Date]],AT$27&lt;ProposalToGnatt[[#This Row],[Start Date]]+ProposalToGnatt[[#This Row],[Days]]),$G$5,"")),"")</f>
        <v/>
      </c>
      <c r="AU38" s="36" t="str">
        <f ca="1">IFERROR(+IF(AU$27=ProposalToGnatt[[#This Row],[Start Date]],Milestone_Marker,IF(AND(AU$27&gt;ProposalToGnatt[[#This Row],[Start Date]],AU$27&lt;ProposalToGnatt[[#This Row],[Start Date]]+ProposalToGnatt[[#This Row],[Days]]),$G$5,"")),"")</f>
        <v/>
      </c>
      <c r="AV38" s="36" t="str">
        <f ca="1">IFERROR(+IF(AV$27=ProposalToGnatt[[#This Row],[Start Date]],Milestone_Marker,IF(AND(AV$27&gt;ProposalToGnatt[[#This Row],[Start Date]],AV$27&lt;ProposalToGnatt[[#This Row],[Start Date]]+ProposalToGnatt[[#This Row],[Days]]),$G$5,"")),"")</f>
        <v/>
      </c>
      <c r="AW38" s="36" t="str">
        <f ca="1">IFERROR(+IF(AW$27=ProposalToGnatt[[#This Row],[Start Date]],Milestone_Marker,IF(AND(AW$27&gt;ProposalToGnatt[[#This Row],[Start Date]],AW$27&lt;ProposalToGnatt[[#This Row],[Start Date]]+ProposalToGnatt[[#This Row],[Days]]),$G$5,"")),"")</f>
        <v/>
      </c>
      <c r="AX38" s="36" t="str">
        <f ca="1">IFERROR(+IF(AX$27=ProposalToGnatt[[#This Row],[Start Date]],Milestone_Marker,IF(AND(AX$27&gt;ProposalToGnatt[[#This Row],[Start Date]],AX$27&lt;ProposalToGnatt[[#This Row],[Start Date]]+ProposalToGnatt[[#This Row],[Days]]),$G$5,"")),"")</f>
        <v/>
      </c>
      <c r="AY38" s="36" t="str">
        <f ca="1">IFERROR(+IF(AY$27=ProposalToGnatt[[#This Row],[Start Date]],Milestone_Marker,IF(AND(AY$27&gt;ProposalToGnatt[[#This Row],[Start Date]],AY$27&lt;ProposalToGnatt[[#This Row],[Start Date]]+ProposalToGnatt[[#This Row],[Days]]),$G$5,"")),"")</f>
        <v/>
      </c>
      <c r="AZ38" s="36" t="str">
        <f ca="1">IFERROR(+IF(AZ$27=ProposalToGnatt[[#This Row],[Start Date]],Milestone_Marker,IF(AND(AZ$27&gt;ProposalToGnatt[[#This Row],[Start Date]],AZ$27&lt;ProposalToGnatt[[#This Row],[Start Date]]+ProposalToGnatt[[#This Row],[Days]]),$G$5,"")),"")</f>
        <v/>
      </c>
      <c r="BA38" s="36" t="str">
        <f ca="1">IFERROR(+IF(BA$27=ProposalToGnatt[[#This Row],[Start Date]],Milestone_Marker,IF(AND(BA$27&gt;ProposalToGnatt[[#This Row],[Start Date]],BA$27&lt;ProposalToGnatt[[#This Row],[Start Date]]+ProposalToGnatt[[#This Row],[Days]]),$G$5,"")),"")</f>
        <v/>
      </c>
      <c r="BB38" s="36" t="str">
        <f ca="1">IFERROR(+IF(BB$27=ProposalToGnatt[[#This Row],[Start Date]],Milestone_Marker,IF(AND(BB$27&gt;ProposalToGnatt[[#This Row],[Start Date]],BB$27&lt;ProposalToGnatt[[#This Row],[Start Date]]+ProposalToGnatt[[#This Row],[Days]]),$G$5,"")),"")</f>
        <v/>
      </c>
      <c r="BC38" s="36" t="str">
        <f ca="1">IFERROR(+IF(BC$27=ProposalToGnatt[[#This Row],[Start Date]],Milestone_Marker,IF(AND(BC$27&gt;ProposalToGnatt[[#This Row],[Start Date]],BC$27&lt;ProposalToGnatt[[#This Row],[Start Date]]+ProposalToGnatt[[#This Row],[Days]]),$G$5,"")),"")</f>
        <v/>
      </c>
      <c r="BD38" s="36" t="str">
        <f ca="1">IFERROR(+IF(BD$27=ProposalToGnatt[[#This Row],[Start Date]],Milestone_Marker,IF(AND(BD$27&gt;ProposalToGnatt[[#This Row],[Start Date]],BD$27&lt;ProposalToGnatt[[#This Row],[Start Date]]+ProposalToGnatt[[#This Row],[Days]]),$G$5,"")),"")</f>
        <v/>
      </c>
      <c r="BE38" s="36" t="str">
        <f ca="1">IFERROR(+IF(BE$27=ProposalToGnatt[[#This Row],[Start Date]],Milestone_Marker,IF(AND(BE$27&gt;ProposalToGnatt[[#This Row],[Start Date]],BE$27&lt;ProposalToGnatt[[#This Row],[Start Date]]+ProposalToGnatt[[#This Row],[Days]]),$G$5,"")),"")</f>
        <v/>
      </c>
      <c r="BF38" s="36" t="str">
        <f ca="1">IFERROR(+IF(BF$27=ProposalToGnatt[[#This Row],[Start Date]],Milestone_Marker,IF(AND(BF$27&gt;ProposalToGnatt[[#This Row],[Start Date]],BF$27&lt;ProposalToGnatt[[#This Row],[Start Date]]+ProposalToGnatt[[#This Row],[Days]]),$G$5,"")),"")</f>
        <v/>
      </c>
      <c r="BG38" s="36" t="str">
        <f ca="1">IFERROR(+IF(BG$27=ProposalToGnatt[[#This Row],[Start Date]],Milestone_Marker,IF(AND(BG$27&gt;ProposalToGnatt[[#This Row],[Start Date]],BG$27&lt;ProposalToGnatt[[#This Row],[Start Date]]+ProposalToGnatt[[#This Row],[Days]]),$G$5,"")),"")</f>
        <v/>
      </c>
      <c r="BH38" s="36" t="str">
        <f ca="1">IFERROR(+IF(BH$27=ProposalToGnatt[[#This Row],[Start Date]],Milestone_Marker,IF(AND(BH$27&gt;ProposalToGnatt[[#This Row],[Start Date]],BH$27&lt;ProposalToGnatt[[#This Row],[Start Date]]+ProposalToGnatt[[#This Row],[Days]]),$G$5,"")),"")</f>
        <v/>
      </c>
      <c r="BI38" s="36" t="str">
        <f ca="1">IFERROR(+IF(BI$27=ProposalToGnatt[[#This Row],[Start Date]],Milestone_Marker,IF(AND(BI$27&gt;ProposalToGnatt[[#This Row],[Start Date]],BI$27&lt;ProposalToGnatt[[#This Row],[Start Date]]+ProposalToGnatt[[#This Row],[Days]]),$G$5,"")),"")</f>
        <v/>
      </c>
      <c r="BJ38" s="36" t="str">
        <f ca="1">IFERROR(+IF(BJ$27=ProposalToGnatt[[#This Row],[Start Date]],Milestone_Marker,IF(AND(BJ$27&gt;ProposalToGnatt[[#This Row],[Start Date]],BJ$27&lt;ProposalToGnatt[[#This Row],[Start Date]]+ProposalToGnatt[[#This Row],[Days]]),$G$5,"")),"")</f>
        <v/>
      </c>
      <c r="BK38" s="36" t="str">
        <f ca="1">IFERROR(+IF(BK$27=ProposalToGnatt[[#This Row],[Start Date]],Milestone_Marker,IF(AND(BK$27&gt;ProposalToGnatt[[#This Row],[Start Date]],BK$27&lt;ProposalToGnatt[[#This Row],[Start Date]]+ProposalToGnatt[[#This Row],[Days]]),$G$5,"")),"")</f>
        <v/>
      </c>
      <c r="BL38" s="36" t="str">
        <f ca="1">IFERROR(+IF(BL$27=ProposalToGnatt[[#This Row],[Start Date]],Milestone_Marker,IF(AND(BL$27&gt;ProposalToGnatt[[#This Row],[Start Date]],BL$27&lt;ProposalToGnatt[[#This Row],[Start Date]]+ProposalToGnatt[[#This Row],[Days]]),$G$5,"")),"")</f>
        <v/>
      </c>
      <c r="BM38" s="36" t="str">
        <f ca="1">IFERROR(+IF(BM$27=ProposalToGnatt[[#This Row],[Start Date]],Milestone_Marker,IF(AND(BM$27&gt;ProposalToGnatt[[#This Row],[Start Date]],BM$27&lt;ProposalToGnatt[[#This Row],[Start Date]]+ProposalToGnatt[[#This Row],[Days]]),$G$5,"")),"")</f>
        <v/>
      </c>
      <c r="BN38" s="36" t="str">
        <f ca="1">IFERROR(+IF(BN$27=ProposalToGnatt[[#This Row],[Start Date]],Milestone_Marker,IF(AND(BN$27&gt;ProposalToGnatt[[#This Row],[Start Date]],BN$27&lt;ProposalToGnatt[[#This Row],[Start Date]]+ProposalToGnatt[[#This Row],[Days]]),$G$5,"")),"")</f>
        <v/>
      </c>
      <c r="BO38" s="36" t="str">
        <f ca="1">IFERROR(+IF(BO$27=ProposalToGnatt[[#This Row],[Start Date]],Milestone_Marker,IF(AND(BO$27&gt;ProposalToGnatt[[#This Row],[Start Date]],BO$27&lt;ProposalToGnatt[[#This Row],[Start Date]]+ProposalToGnatt[[#This Row],[Days]]),$G$5,"")),"")</f>
        <v/>
      </c>
      <c r="BP38" s="36" t="str">
        <f ca="1">IFERROR(+IF(BP$27=ProposalToGnatt[[#This Row],[Start Date]],Milestone_Marker,IF(AND(BP$27&gt;ProposalToGnatt[[#This Row],[Start Date]],BP$27&lt;ProposalToGnatt[[#This Row],[Start Date]]+ProposalToGnatt[[#This Row],[Days]]),$G$5,"")),"")</f>
        <v/>
      </c>
      <c r="BQ38" s="36" t="str">
        <f ca="1">IFERROR(+IF(BQ$27=ProposalToGnatt[[#This Row],[Start Date]],Milestone_Marker,IF(AND(BQ$27&gt;ProposalToGnatt[[#This Row],[Start Date]],BQ$27&lt;ProposalToGnatt[[#This Row],[Start Date]]+ProposalToGnatt[[#This Row],[Days]]),$G$5,"")),"")</f>
        <v/>
      </c>
      <c r="BR38" s="36" t="str">
        <f ca="1">IFERROR(+IF(BR$27=ProposalToGnatt[[#This Row],[Start Date]],Milestone_Marker,IF(AND(BR$27&gt;ProposalToGnatt[[#This Row],[Start Date]],BR$27&lt;ProposalToGnatt[[#This Row],[Start Date]]+ProposalToGnatt[[#This Row],[Days]]),$G$5,"")),"")</f>
        <v/>
      </c>
      <c r="BS38" s="36" t="str">
        <f ca="1">IFERROR(+IF(BS$27=ProposalToGnatt[[#This Row],[Start Date]],Milestone_Marker,IF(AND(BS$27&gt;ProposalToGnatt[[#This Row],[Start Date]],BS$27&lt;ProposalToGnatt[[#This Row],[Start Date]]+ProposalToGnatt[[#This Row],[Days]]),$G$5,"")),"")</f>
        <v/>
      </c>
      <c r="BT38" s="36" t="str">
        <f ca="1">IFERROR(+IF(BT$27=ProposalToGnatt[[#This Row],[Start Date]],Milestone_Marker,IF(AND(BT$27&gt;ProposalToGnatt[[#This Row],[Start Date]],BT$27&lt;ProposalToGnatt[[#This Row],[Start Date]]+ProposalToGnatt[[#This Row],[Days]]),$G$5,"")),"")</f>
        <v/>
      </c>
      <c r="BU38" s="36" t="str">
        <f ca="1">IFERROR(+IF(BU$27=ProposalToGnatt[[#This Row],[Start Date]],Milestone_Marker,IF(AND(BU$27&gt;ProposalToGnatt[[#This Row],[Start Date]],BU$27&lt;ProposalToGnatt[[#This Row],[Start Date]]+ProposalToGnatt[[#This Row],[Days]]),$G$5,"")),"")</f>
        <v/>
      </c>
      <c r="BV38" s="36" t="str">
        <f ca="1">IFERROR(+IF(BV$27=ProposalToGnatt[[#This Row],[Start Date]],Milestone_Marker,IF(AND(BV$27&gt;ProposalToGnatt[[#This Row],[Start Date]],BV$27&lt;ProposalToGnatt[[#This Row],[Start Date]]+ProposalToGnatt[[#This Row],[Days]]),$G$5,"")),"")</f>
        <v/>
      </c>
      <c r="BW38" s="36" t="str">
        <f ca="1">IFERROR(+IF(BW$27=ProposalToGnatt[[#This Row],[Start Date]],Milestone_Marker,IF(AND(BW$27&gt;ProposalToGnatt[[#This Row],[Start Date]],BW$27&lt;ProposalToGnatt[[#This Row],[Start Date]]+ProposalToGnatt[[#This Row],[Days]]),$G$5,"")),"")</f>
        <v/>
      </c>
      <c r="BX38" s="36" t="str">
        <f ca="1">IFERROR(+IF(BX$27=ProposalToGnatt[[#This Row],[Start Date]],Milestone_Marker,IF(AND(BX$27&gt;ProposalToGnatt[[#This Row],[Start Date]],BX$27&lt;ProposalToGnatt[[#This Row],[Start Date]]+ProposalToGnatt[[#This Row],[Days]]),$G$5,"")),"")</f>
        <v/>
      </c>
      <c r="BY38" s="36" t="str">
        <f ca="1">IFERROR(+IF(BY$27=ProposalToGnatt[[#This Row],[Start Date]],Milestone_Marker,IF(AND(BY$27&gt;ProposalToGnatt[[#This Row],[Start Date]],BY$27&lt;ProposalToGnatt[[#This Row],[Start Date]]+ProposalToGnatt[[#This Row],[Days]]),$G$5,"")),"")</f>
        <v/>
      </c>
      <c r="BZ38" s="36" t="str">
        <f ca="1">IFERROR(+IF(BZ$27=ProposalToGnatt[[#This Row],[Start Date]],Milestone_Marker,IF(AND(BZ$27&gt;ProposalToGnatt[[#This Row],[Start Date]],BZ$27&lt;ProposalToGnatt[[#This Row],[Start Date]]+ProposalToGnatt[[#This Row],[Days]]),$G$5,"")),"")</f>
        <v/>
      </c>
      <c r="CA38" s="36" t="str">
        <f ca="1">IFERROR(+IF(CA$27=ProposalToGnatt[[#This Row],[Start Date]],Milestone_Marker,IF(AND(CA$27&gt;ProposalToGnatt[[#This Row],[Start Date]],CA$27&lt;ProposalToGnatt[[#This Row],[Start Date]]+ProposalToGnatt[[#This Row],[Days]]),$G$5,"")),"")</f>
        <v/>
      </c>
      <c r="CB38" s="36" t="str">
        <f ca="1">IFERROR(+IF(CB$27=ProposalToGnatt[[#This Row],[Start Date]],Milestone_Marker,IF(AND(CB$27&gt;ProposalToGnatt[[#This Row],[Start Date]],CB$27&lt;ProposalToGnatt[[#This Row],[Start Date]]+ProposalToGnatt[[#This Row],[Days]]),$G$5,"")),"")</f>
        <v/>
      </c>
      <c r="CC38" s="36" t="str">
        <f ca="1">IFERROR(+IF(CC$27=ProposalToGnatt[[#This Row],[Start Date]],Milestone_Marker,IF(AND(CC$27&gt;ProposalToGnatt[[#This Row],[Start Date]],CC$27&lt;ProposalToGnatt[[#This Row],[Start Date]]+ProposalToGnatt[[#This Row],[Days]]),$G$5,"")),"")</f>
        <v/>
      </c>
      <c r="CD38" s="36" t="str">
        <f ca="1">IFERROR(+IF(CD$27=ProposalToGnatt[[#This Row],[Start Date]],Milestone_Marker,IF(AND(CD$27&gt;ProposalToGnatt[[#This Row],[Start Date]],CD$27&lt;ProposalToGnatt[[#This Row],[Start Date]]+ProposalToGnatt[[#This Row],[Days]]),$G$5,"")),"")</f>
        <v/>
      </c>
      <c r="CE38" s="36" t="str">
        <f ca="1">IFERROR(+IF(CE$27=ProposalToGnatt[[#This Row],[Start Date]],Milestone_Marker,IF(AND(CE$27&gt;ProposalToGnatt[[#This Row],[Start Date]],CE$27&lt;ProposalToGnatt[[#This Row],[Start Date]]+ProposalToGnatt[[#This Row],[Days]]),$G$5,"")),"")</f>
        <v/>
      </c>
      <c r="CF38" s="36" t="str">
        <f ca="1">IFERROR(+IF(CF$27=ProposalToGnatt[[#This Row],[Start Date]],Milestone_Marker,IF(AND(CF$27&gt;ProposalToGnatt[[#This Row],[Start Date]],CF$27&lt;ProposalToGnatt[[#This Row],[Start Date]]+ProposalToGnatt[[#This Row],[Days]]),$G$5,"")),"")</f>
        <v/>
      </c>
      <c r="CG38" s="36" t="str">
        <f ca="1">IFERROR(+IF(CG$27=ProposalToGnatt[[#This Row],[Start Date]],Milestone_Marker,IF(AND(CG$27&gt;ProposalToGnatt[[#This Row],[Start Date]],CG$27&lt;ProposalToGnatt[[#This Row],[Start Date]]+ProposalToGnatt[[#This Row],[Days]]),$G$5,"")),"")</f>
        <v/>
      </c>
      <c r="CH38" s="36" t="str">
        <f ca="1">IFERROR(+IF(CH$27=ProposalToGnatt[[#This Row],[Start Date]],Milestone_Marker,IF(AND(CH$27&gt;ProposalToGnatt[[#This Row],[Start Date]],CH$27&lt;ProposalToGnatt[[#This Row],[Start Date]]+ProposalToGnatt[[#This Row],[Days]]),$G$5,"")),"")</f>
        <v/>
      </c>
      <c r="CI38" s="36" t="str">
        <f ca="1">IFERROR(+IF(CI$27=ProposalToGnatt[[#This Row],[Start Date]],Milestone_Marker,IF(AND(CI$27&gt;ProposalToGnatt[[#This Row],[Start Date]],CI$27&lt;ProposalToGnatt[[#This Row],[Start Date]]+ProposalToGnatt[[#This Row],[Days]]),$G$5,"")),"")</f>
        <v/>
      </c>
      <c r="CJ38" s="36" t="str">
        <f ca="1">IFERROR(+IF(CJ$27=ProposalToGnatt[[#This Row],[Start Date]],Milestone_Marker,IF(AND(CJ$27&gt;ProposalToGnatt[[#This Row],[Start Date]],CJ$27&lt;ProposalToGnatt[[#This Row],[Start Date]]+ProposalToGnatt[[#This Row],[Days]]),$G$5,"")),"")</f>
        <v/>
      </c>
      <c r="CK38" s="36" t="str">
        <f ca="1">IFERROR(+IF(CK$27=ProposalToGnatt[[#This Row],[Start Date]],Milestone_Marker,IF(AND(CK$27&gt;ProposalToGnatt[[#This Row],[Start Date]],CK$27&lt;ProposalToGnatt[[#This Row],[Start Date]]+ProposalToGnatt[[#This Row],[Days]]),$G$5,"")),"")</f>
        <v/>
      </c>
      <c r="CL38" s="36" t="str">
        <f ca="1">IFERROR(+IF(CL$27=ProposalToGnatt[[#This Row],[Start Date]],Milestone_Marker,IF(AND(CL$27&gt;ProposalToGnatt[[#This Row],[Start Date]],CL$27&lt;ProposalToGnatt[[#This Row],[Start Date]]+ProposalToGnatt[[#This Row],[Days]]),$G$5,"")),"")</f>
        <v/>
      </c>
      <c r="CM38" s="36" t="str">
        <f ca="1">IFERROR(+IF(CM$27=ProposalToGnatt[[#This Row],[Start Date]],Milestone_Marker,IF(AND(CM$27&gt;ProposalToGnatt[[#This Row],[Start Date]],CM$27&lt;ProposalToGnatt[[#This Row],[Start Date]]+ProposalToGnatt[[#This Row],[Days]]),$G$5,"")),"")</f>
        <v/>
      </c>
      <c r="CN38" s="36" t="str">
        <f ca="1">IFERROR(+IF(CN$27=ProposalToGnatt[[#This Row],[Start Date]],Milestone_Marker,IF(AND(CN$27&gt;ProposalToGnatt[[#This Row],[Start Date]],CN$27&lt;ProposalToGnatt[[#This Row],[Start Date]]+ProposalToGnatt[[#This Row],[Days]]),$G$5,"")),"")</f>
        <v/>
      </c>
      <c r="CO38" s="36" t="str">
        <f ca="1">IFERROR(+IF(CO$27=ProposalToGnatt[[#This Row],[Start Date]],Milestone_Marker,IF(AND(CO$27&gt;ProposalToGnatt[[#This Row],[Start Date]],CO$27&lt;ProposalToGnatt[[#This Row],[Start Date]]+ProposalToGnatt[[#This Row],[Days]]),$G$5,"")),"")</f>
        <v/>
      </c>
      <c r="CP38" s="36" t="str">
        <f ca="1">IFERROR(+IF(CP$27=ProposalToGnatt[[#This Row],[Start Date]],Milestone_Marker,IF(AND(CP$27&gt;ProposalToGnatt[[#This Row],[Start Date]],CP$27&lt;ProposalToGnatt[[#This Row],[Start Date]]+ProposalToGnatt[[#This Row],[Days]]),$G$5,"")),"")</f>
        <v/>
      </c>
      <c r="CQ38" s="36" t="str">
        <f ca="1">IFERROR(+IF(CQ$27=ProposalToGnatt[[#This Row],[Start Date]],Milestone_Marker,IF(AND(CQ$27&gt;ProposalToGnatt[[#This Row],[Start Date]],CQ$27&lt;ProposalToGnatt[[#This Row],[Start Date]]+ProposalToGnatt[[#This Row],[Days]]),$G$5,"")),"")</f>
        <v/>
      </c>
      <c r="CR38" s="36" t="str">
        <f ca="1">IFERROR(+IF(CR$27=ProposalToGnatt[[#This Row],[Start Date]],Milestone_Marker,IF(AND(CR$27&gt;ProposalToGnatt[[#This Row],[Start Date]],CR$27&lt;ProposalToGnatt[[#This Row],[Start Date]]+ProposalToGnatt[[#This Row],[Days]]),$G$5,"")),"")</f>
        <v/>
      </c>
      <c r="CS38" s="36" t="str">
        <f ca="1">IFERROR(+IF(CS$27=ProposalToGnatt[[#This Row],[Start Date]],Milestone_Marker,IF(AND(CS$27&gt;ProposalToGnatt[[#This Row],[Start Date]],CS$27&lt;ProposalToGnatt[[#This Row],[Start Date]]+ProposalToGnatt[[#This Row],[Days]]),$G$5,"")),"")</f>
        <v/>
      </c>
      <c r="CT38" s="36" t="str">
        <f ca="1">IFERROR(+IF(CT$27=ProposalToGnatt[[#This Row],[Start Date]],Milestone_Marker,IF(AND(CT$27&gt;ProposalToGnatt[[#This Row],[Start Date]],CT$27&lt;ProposalToGnatt[[#This Row],[Start Date]]+ProposalToGnatt[[#This Row],[Days]]),$G$5,"")),"")</f>
        <v/>
      </c>
      <c r="CU38" s="36" t="str">
        <f ca="1">IFERROR(+IF(CU$27=ProposalToGnatt[[#This Row],[Start Date]],Milestone_Marker,IF(AND(CU$27&gt;ProposalToGnatt[[#This Row],[Start Date]],CU$27&lt;ProposalToGnatt[[#This Row],[Start Date]]+ProposalToGnatt[[#This Row],[Days]]),$G$5,"")),"")</f>
        <v/>
      </c>
      <c r="CV38" s="36"/>
      <c r="CW38" s="36"/>
      <c r="CX38" s="36"/>
      <c r="CY38" s="36"/>
      <c r="CZ38" s="36"/>
      <c r="DA38" s="36"/>
      <c r="DB38" s="36"/>
      <c r="DC38" s="36"/>
      <c r="DD38" s="36"/>
      <c r="DE38" s="36"/>
      <c r="DF38" s="36"/>
      <c r="DG38" s="36"/>
      <c r="DH38" s="36"/>
      <c r="DI38" s="36"/>
      <c r="DJ38" s="36"/>
      <c r="DK38" s="36"/>
      <c r="DL38" s="36"/>
      <c r="DM38" s="36"/>
      <c r="DN38" s="36"/>
      <c r="DO38" s="36"/>
      <c r="DP38" s="36"/>
      <c r="DQ38" s="36"/>
      <c r="DR38" s="36"/>
      <c r="DS38" s="36"/>
      <c r="DT38" s="36"/>
      <c r="DU38" s="36"/>
    </row>
    <row r="39" spans="1:125" s="41" customFormat="1" ht="20.100000000000001" customHeight="1" x14ac:dyDescent="0.25">
      <c r="A39" t="s">
        <v>267</v>
      </c>
      <c r="B39">
        <v>21</v>
      </c>
      <c r="C39"/>
      <c r="D39" t="s">
        <v>896</v>
      </c>
      <c r="E39" s="568" t="s">
        <v>897</v>
      </c>
      <c r="F39">
        <v>1</v>
      </c>
      <c r="G39" s="14">
        <v>20</v>
      </c>
      <c r="H39" s="14">
        <v>20</v>
      </c>
      <c r="I39" t="s">
        <v>3</v>
      </c>
      <c r="J39">
        <v>1</v>
      </c>
      <c r="K39" s="249"/>
      <c r="L39"/>
      <c r="M39" s="14"/>
      <c r="N39" s="300">
        <v>20</v>
      </c>
      <c r="O39" s="554"/>
      <c r="P39" s="36" t="str">
        <f ca="1">IFERROR(+IF(P$27=ProposalToGnatt[[#This Row],[Start Date]],Milestone_Marker,IF(AND(P$27&gt;ProposalToGnatt[[#This Row],[Start Date]],P$27&lt;ProposalToGnatt[[#This Row],[Start Date]]+ProposalToGnatt[[#This Row],[Days]]),$G$5,"")),"")</f>
        <v/>
      </c>
      <c r="Q39" s="36" t="str">
        <f ca="1">IFERROR(+IF(Q$27=ProposalToGnatt[[#This Row],[Start Date]],Milestone_Marker,IF(AND(Q$27&gt;ProposalToGnatt[[#This Row],[Start Date]],Q$27&lt;ProposalToGnatt[[#This Row],[Start Date]]+ProposalToGnatt[[#This Row],[Days]]),$G$5,"")),"")</f>
        <v/>
      </c>
      <c r="R39" s="36" t="str">
        <f ca="1">IFERROR(+IF(R$27=ProposalToGnatt[[#This Row],[Start Date]],Milestone_Marker,IF(AND(R$27&gt;ProposalToGnatt[[#This Row],[Start Date]],R$27&lt;ProposalToGnatt[[#This Row],[Start Date]]+ProposalToGnatt[[#This Row],[Days]]),$G$5,"")),"")</f>
        <v/>
      </c>
      <c r="S39" s="36" t="str">
        <f ca="1">IFERROR(+IF(S$27=ProposalToGnatt[[#This Row],[Start Date]],Milestone_Marker,IF(AND(S$27&gt;ProposalToGnatt[[#This Row],[Start Date]],S$27&lt;ProposalToGnatt[[#This Row],[Start Date]]+ProposalToGnatt[[#This Row],[Days]]),$G$5,"")),"")</f>
        <v/>
      </c>
      <c r="T39" s="36" t="str">
        <f ca="1">IFERROR(+IF(T$27=ProposalToGnatt[[#This Row],[Start Date]],Milestone_Marker,IF(AND(T$27&gt;ProposalToGnatt[[#This Row],[Start Date]],T$27&lt;ProposalToGnatt[[#This Row],[Start Date]]+ProposalToGnatt[[#This Row],[Days]]),$G$5,"")),"")</f>
        <v/>
      </c>
      <c r="U39" s="36" t="str">
        <f ca="1">IFERROR(+IF(U$27=ProposalToGnatt[[#This Row],[Start Date]],Milestone_Marker,IF(AND(U$27&gt;ProposalToGnatt[[#This Row],[Start Date]],U$27&lt;ProposalToGnatt[[#This Row],[Start Date]]+ProposalToGnatt[[#This Row],[Days]]),$G$5,"")),"")</f>
        <v/>
      </c>
      <c r="V39" s="36" t="str">
        <f ca="1">IFERROR(+IF(V$27=ProposalToGnatt[[#This Row],[Start Date]],Milestone_Marker,IF(AND(V$27&gt;ProposalToGnatt[[#This Row],[Start Date]],V$27&lt;ProposalToGnatt[[#This Row],[Start Date]]+ProposalToGnatt[[#This Row],[Days]]),$G$5,"")),"")</f>
        <v/>
      </c>
      <c r="W39" s="36" t="str">
        <f ca="1">IFERROR(+IF(W$27=ProposalToGnatt[[#This Row],[Start Date]],Milestone_Marker,IF(AND(W$27&gt;ProposalToGnatt[[#This Row],[Start Date]],W$27&lt;ProposalToGnatt[[#This Row],[Start Date]]+ProposalToGnatt[[#This Row],[Days]]),$G$5,"")),"")</f>
        <v/>
      </c>
      <c r="X39" s="36" t="str">
        <f ca="1">IFERROR(+IF(X$27=ProposalToGnatt[[#This Row],[Start Date]],Milestone_Marker,IF(AND(X$27&gt;ProposalToGnatt[[#This Row],[Start Date]],X$27&lt;ProposalToGnatt[[#This Row],[Start Date]]+ProposalToGnatt[[#This Row],[Days]]),$G$5,"")),"")</f>
        <v/>
      </c>
      <c r="Y39" s="36" t="str">
        <f ca="1">IFERROR(+IF(Y$27=ProposalToGnatt[[#This Row],[Start Date]],Milestone_Marker,IF(AND(Y$27&gt;ProposalToGnatt[[#This Row],[Start Date]],Y$27&lt;ProposalToGnatt[[#This Row],[Start Date]]+ProposalToGnatt[[#This Row],[Days]]),$G$5,"")),"")</f>
        <v/>
      </c>
      <c r="Z39" s="36" t="str">
        <f ca="1">IFERROR(+IF(Z$27=ProposalToGnatt[[#This Row],[Start Date]],Milestone_Marker,IF(AND(Z$27&gt;ProposalToGnatt[[#This Row],[Start Date]],Z$27&lt;ProposalToGnatt[[#This Row],[Start Date]]+ProposalToGnatt[[#This Row],[Days]]),$G$5,"")),"")</f>
        <v/>
      </c>
      <c r="AA39" s="36" t="str">
        <f ca="1">IFERROR(+IF(AA$27=ProposalToGnatt[[#This Row],[Start Date]],Milestone_Marker,IF(AND(AA$27&gt;ProposalToGnatt[[#This Row],[Start Date]],AA$27&lt;ProposalToGnatt[[#This Row],[Start Date]]+ProposalToGnatt[[#This Row],[Days]]),$G$5,"")),"")</f>
        <v/>
      </c>
      <c r="AB39" s="36" t="str">
        <f ca="1">IFERROR(+IF(AB$27=ProposalToGnatt[[#This Row],[Start Date]],Milestone_Marker,IF(AND(AB$27&gt;ProposalToGnatt[[#This Row],[Start Date]],AB$27&lt;ProposalToGnatt[[#This Row],[Start Date]]+ProposalToGnatt[[#This Row],[Days]]),$G$5,"")),"")</f>
        <v/>
      </c>
      <c r="AC39" s="36" t="str">
        <f ca="1">IFERROR(+IF(AC$27=ProposalToGnatt[[#This Row],[Start Date]],Milestone_Marker,IF(AND(AC$27&gt;ProposalToGnatt[[#This Row],[Start Date]],AC$27&lt;ProposalToGnatt[[#This Row],[Start Date]]+ProposalToGnatt[[#This Row],[Days]]),$G$5,"")),"")</f>
        <v/>
      </c>
      <c r="AD39" s="36" t="str">
        <f ca="1">IFERROR(+IF(AD$27=ProposalToGnatt[[#This Row],[Start Date]],Milestone_Marker,IF(AND(AD$27&gt;ProposalToGnatt[[#This Row],[Start Date]],AD$27&lt;ProposalToGnatt[[#This Row],[Start Date]]+ProposalToGnatt[[#This Row],[Days]]),$G$5,"")),"")</f>
        <v/>
      </c>
      <c r="AE39" s="36" t="str">
        <f ca="1">IFERROR(+IF(AE$27=ProposalToGnatt[[#This Row],[Start Date]],Milestone_Marker,IF(AND(AE$27&gt;ProposalToGnatt[[#This Row],[Start Date]],AE$27&lt;ProposalToGnatt[[#This Row],[Start Date]]+ProposalToGnatt[[#This Row],[Days]]),$G$5,"")),"")</f>
        <v/>
      </c>
      <c r="AF39" s="36" t="str">
        <f ca="1">IFERROR(+IF(AF$27=ProposalToGnatt[[#This Row],[Start Date]],Milestone_Marker,IF(AND(AF$27&gt;ProposalToGnatt[[#This Row],[Start Date]],AF$27&lt;ProposalToGnatt[[#This Row],[Start Date]]+ProposalToGnatt[[#This Row],[Days]]),$G$5,"")),"")</f>
        <v/>
      </c>
      <c r="AG39" s="36" t="str">
        <f ca="1">IFERROR(+IF(AG$27=ProposalToGnatt[[#This Row],[Start Date]],Milestone_Marker,IF(AND(AG$27&gt;ProposalToGnatt[[#This Row],[Start Date]],AG$27&lt;ProposalToGnatt[[#This Row],[Start Date]]+ProposalToGnatt[[#This Row],[Days]]),$G$5,"")),"")</f>
        <v/>
      </c>
      <c r="AH39" s="36" t="str">
        <f ca="1">IFERROR(+IF(AH$27=ProposalToGnatt[[#This Row],[Start Date]],Milestone_Marker,IF(AND(AH$27&gt;ProposalToGnatt[[#This Row],[Start Date]],AH$27&lt;ProposalToGnatt[[#This Row],[Start Date]]+ProposalToGnatt[[#This Row],[Days]]),$G$5,"")),"")</f>
        <v/>
      </c>
      <c r="AI39" s="36" t="str">
        <f ca="1">IFERROR(+IF(AI$27=ProposalToGnatt[[#This Row],[Start Date]],Milestone_Marker,IF(AND(AI$27&gt;ProposalToGnatt[[#This Row],[Start Date]],AI$27&lt;ProposalToGnatt[[#This Row],[Start Date]]+ProposalToGnatt[[#This Row],[Days]]),$G$5,"")),"")</f>
        <v/>
      </c>
      <c r="AJ39" s="36" t="str">
        <f ca="1">IFERROR(+IF(AJ$27=ProposalToGnatt[[#This Row],[Start Date]],Milestone_Marker,IF(AND(AJ$27&gt;ProposalToGnatt[[#This Row],[Start Date]],AJ$27&lt;ProposalToGnatt[[#This Row],[Start Date]]+ProposalToGnatt[[#This Row],[Days]]),$G$5,"")),"")</f>
        <v/>
      </c>
      <c r="AK39" s="36" t="str">
        <f ca="1">IFERROR(+IF(AK$27=ProposalToGnatt[[#This Row],[Start Date]],Milestone_Marker,IF(AND(AK$27&gt;ProposalToGnatt[[#This Row],[Start Date]],AK$27&lt;ProposalToGnatt[[#This Row],[Start Date]]+ProposalToGnatt[[#This Row],[Days]]),$G$5,"")),"")</f>
        <v/>
      </c>
      <c r="AL39" s="36" t="str">
        <f ca="1">IFERROR(+IF(AL$27=ProposalToGnatt[[#This Row],[Start Date]],Milestone_Marker,IF(AND(AL$27&gt;ProposalToGnatt[[#This Row],[Start Date]],AL$27&lt;ProposalToGnatt[[#This Row],[Start Date]]+ProposalToGnatt[[#This Row],[Days]]),$G$5,"")),"")</f>
        <v/>
      </c>
      <c r="AM39" s="36" t="str">
        <f ca="1">IFERROR(+IF(AM$27=ProposalToGnatt[[#This Row],[Start Date]],Milestone_Marker,IF(AND(AM$27&gt;ProposalToGnatt[[#This Row],[Start Date]],AM$27&lt;ProposalToGnatt[[#This Row],[Start Date]]+ProposalToGnatt[[#This Row],[Days]]),$G$5,"")),"")</f>
        <v/>
      </c>
      <c r="AN39" s="36" t="str">
        <f ca="1">IFERROR(+IF(AN$27=ProposalToGnatt[[#This Row],[Start Date]],Milestone_Marker,IF(AND(AN$27&gt;ProposalToGnatt[[#This Row],[Start Date]],AN$27&lt;ProposalToGnatt[[#This Row],[Start Date]]+ProposalToGnatt[[#This Row],[Days]]),$G$5,"")),"")</f>
        <v/>
      </c>
      <c r="AO39" s="36" t="str">
        <f ca="1">IFERROR(+IF(AO$27=ProposalToGnatt[[#This Row],[Start Date]],Milestone_Marker,IF(AND(AO$27&gt;ProposalToGnatt[[#This Row],[Start Date]],AO$27&lt;ProposalToGnatt[[#This Row],[Start Date]]+ProposalToGnatt[[#This Row],[Days]]),$G$5,"")),"")</f>
        <v/>
      </c>
      <c r="AP39" s="36" t="str">
        <f ca="1">IFERROR(+IF(AP$27=ProposalToGnatt[[#This Row],[Start Date]],Milestone_Marker,IF(AND(AP$27&gt;ProposalToGnatt[[#This Row],[Start Date]],AP$27&lt;ProposalToGnatt[[#This Row],[Start Date]]+ProposalToGnatt[[#This Row],[Days]]),$G$5,"")),"")</f>
        <v/>
      </c>
      <c r="AQ39" s="36" t="str">
        <f ca="1">IFERROR(+IF(AQ$27=ProposalToGnatt[[#This Row],[Start Date]],Milestone_Marker,IF(AND(AQ$27&gt;ProposalToGnatt[[#This Row],[Start Date]],AQ$27&lt;ProposalToGnatt[[#This Row],[Start Date]]+ProposalToGnatt[[#This Row],[Days]]),$G$5,"")),"")</f>
        <v/>
      </c>
      <c r="AR39" s="36" t="str">
        <f ca="1">IFERROR(+IF(AR$27=ProposalToGnatt[[#This Row],[Start Date]],Milestone_Marker,IF(AND(AR$27&gt;ProposalToGnatt[[#This Row],[Start Date]],AR$27&lt;ProposalToGnatt[[#This Row],[Start Date]]+ProposalToGnatt[[#This Row],[Days]]),$G$5,"")),"")</f>
        <v/>
      </c>
      <c r="AS39" s="36" t="str">
        <f ca="1">IFERROR(+IF(AS$27=ProposalToGnatt[[#This Row],[Start Date]],Milestone_Marker,IF(AND(AS$27&gt;ProposalToGnatt[[#This Row],[Start Date]],AS$27&lt;ProposalToGnatt[[#This Row],[Start Date]]+ProposalToGnatt[[#This Row],[Days]]),$G$5,"")),"")</f>
        <v/>
      </c>
      <c r="AT39" s="36" t="str">
        <f ca="1">IFERROR(+IF(AT$27=ProposalToGnatt[[#This Row],[Start Date]],Milestone_Marker,IF(AND(AT$27&gt;ProposalToGnatt[[#This Row],[Start Date]],AT$27&lt;ProposalToGnatt[[#This Row],[Start Date]]+ProposalToGnatt[[#This Row],[Days]]),$G$5,"")),"")</f>
        <v/>
      </c>
      <c r="AU39" s="36" t="str">
        <f ca="1">IFERROR(+IF(AU$27=ProposalToGnatt[[#This Row],[Start Date]],Milestone_Marker,IF(AND(AU$27&gt;ProposalToGnatt[[#This Row],[Start Date]],AU$27&lt;ProposalToGnatt[[#This Row],[Start Date]]+ProposalToGnatt[[#This Row],[Days]]),$G$5,"")),"")</f>
        <v/>
      </c>
      <c r="AV39" s="36" t="str">
        <f ca="1">IFERROR(+IF(AV$27=ProposalToGnatt[[#This Row],[Start Date]],Milestone_Marker,IF(AND(AV$27&gt;ProposalToGnatt[[#This Row],[Start Date]],AV$27&lt;ProposalToGnatt[[#This Row],[Start Date]]+ProposalToGnatt[[#This Row],[Days]]),$G$5,"")),"")</f>
        <v/>
      </c>
      <c r="AW39" s="36" t="str">
        <f ca="1">IFERROR(+IF(AW$27=ProposalToGnatt[[#This Row],[Start Date]],Milestone_Marker,IF(AND(AW$27&gt;ProposalToGnatt[[#This Row],[Start Date]],AW$27&lt;ProposalToGnatt[[#This Row],[Start Date]]+ProposalToGnatt[[#This Row],[Days]]),$G$5,"")),"")</f>
        <v/>
      </c>
      <c r="AX39" s="36" t="str">
        <f ca="1">IFERROR(+IF(AX$27=ProposalToGnatt[[#This Row],[Start Date]],Milestone_Marker,IF(AND(AX$27&gt;ProposalToGnatt[[#This Row],[Start Date]],AX$27&lt;ProposalToGnatt[[#This Row],[Start Date]]+ProposalToGnatt[[#This Row],[Days]]),$G$5,"")),"")</f>
        <v/>
      </c>
      <c r="AY39" s="36" t="str">
        <f ca="1">IFERROR(+IF(AY$27=ProposalToGnatt[[#This Row],[Start Date]],Milestone_Marker,IF(AND(AY$27&gt;ProposalToGnatt[[#This Row],[Start Date]],AY$27&lt;ProposalToGnatt[[#This Row],[Start Date]]+ProposalToGnatt[[#This Row],[Days]]),$G$5,"")),"")</f>
        <v/>
      </c>
      <c r="AZ39" s="36" t="str">
        <f ca="1">IFERROR(+IF(AZ$27=ProposalToGnatt[[#This Row],[Start Date]],Milestone_Marker,IF(AND(AZ$27&gt;ProposalToGnatt[[#This Row],[Start Date]],AZ$27&lt;ProposalToGnatt[[#This Row],[Start Date]]+ProposalToGnatt[[#This Row],[Days]]),$G$5,"")),"")</f>
        <v/>
      </c>
      <c r="BA39" s="36" t="str">
        <f ca="1">IFERROR(+IF(BA$27=ProposalToGnatt[[#This Row],[Start Date]],Milestone_Marker,IF(AND(BA$27&gt;ProposalToGnatt[[#This Row],[Start Date]],BA$27&lt;ProposalToGnatt[[#This Row],[Start Date]]+ProposalToGnatt[[#This Row],[Days]]),$G$5,"")),"")</f>
        <v/>
      </c>
      <c r="BB39" s="36" t="str">
        <f ca="1">IFERROR(+IF(BB$27=ProposalToGnatt[[#This Row],[Start Date]],Milestone_Marker,IF(AND(BB$27&gt;ProposalToGnatt[[#This Row],[Start Date]],BB$27&lt;ProposalToGnatt[[#This Row],[Start Date]]+ProposalToGnatt[[#This Row],[Days]]),$G$5,"")),"")</f>
        <v/>
      </c>
      <c r="BC39" s="36" t="str">
        <f ca="1">IFERROR(+IF(BC$27=ProposalToGnatt[[#This Row],[Start Date]],Milestone_Marker,IF(AND(BC$27&gt;ProposalToGnatt[[#This Row],[Start Date]],BC$27&lt;ProposalToGnatt[[#This Row],[Start Date]]+ProposalToGnatt[[#This Row],[Days]]),$G$5,"")),"")</f>
        <v/>
      </c>
      <c r="BD39" s="36" t="str">
        <f ca="1">IFERROR(+IF(BD$27=ProposalToGnatt[[#This Row],[Start Date]],Milestone_Marker,IF(AND(BD$27&gt;ProposalToGnatt[[#This Row],[Start Date]],BD$27&lt;ProposalToGnatt[[#This Row],[Start Date]]+ProposalToGnatt[[#This Row],[Days]]),$G$5,"")),"")</f>
        <v/>
      </c>
      <c r="BE39" s="36" t="str">
        <f ca="1">IFERROR(+IF(BE$27=ProposalToGnatt[[#This Row],[Start Date]],Milestone_Marker,IF(AND(BE$27&gt;ProposalToGnatt[[#This Row],[Start Date]],BE$27&lt;ProposalToGnatt[[#This Row],[Start Date]]+ProposalToGnatt[[#This Row],[Days]]),$G$5,"")),"")</f>
        <v/>
      </c>
      <c r="BF39" s="36" t="str">
        <f ca="1">IFERROR(+IF(BF$27=ProposalToGnatt[[#This Row],[Start Date]],Milestone_Marker,IF(AND(BF$27&gt;ProposalToGnatt[[#This Row],[Start Date]],BF$27&lt;ProposalToGnatt[[#This Row],[Start Date]]+ProposalToGnatt[[#This Row],[Days]]),$G$5,"")),"")</f>
        <v/>
      </c>
      <c r="BG39" s="36" t="str">
        <f ca="1">IFERROR(+IF(BG$27=ProposalToGnatt[[#This Row],[Start Date]],Milestone_Marker,IF(AND(BG$27&gt;ProposalToGnatt[[#This Row],[Start Date]],BG$27&lt;ProposalToGnatt[[#This Row],[Start Date]]+ProposalToGnatt[[#This Row],[Days]]),$G$5,"")),"")</f>
        <v/>
      </c>
      <c r="BH39" s="36" t="str">
        <f ca="1">IFERROR(+IF(BH$27=ProposalToGnatt[[#This Row],[Start Date]],Milestone_Marker,IF(AND(BH$27&gt;ProposalToGnatt[[#This Row],[Start Date]],BH$27&lt;ProposalToGnatt[[#This Row],[Start Date]]+ProposalToGnatt[[#This Row],[Days]]),$G$5,"")),"")</f>
        <v/>
      </c>
      <c r="BI39" s="36" t="str">
        <f ca="1">IFERROR(+IF(BI$27=ProposalToGnatt[[#This Row],[Start Date]],Milestone_Marker,IF(AND(BI$27&gt;ProposalToGnatt[[#This Row],[Start Date]],BI$27&lt;ProposalToGnatt[[#This Row],[Start Date]]+ProposalToGnatt[[#This Row],[Days]]),$G$5,"")),"")</f>
        <v/>
      </c>
      <c r="BJ39" s="36" t="str">
        <f ca="1">IFERROR(+IF(BJ$27=ProposalToGnatt[[#This Row],[Start Date]],Milestone_Marker,IF(AND(BJ$27&gt;ProposalToGnatt[[#This Row],[Start Date]],BJ$27&lt;ProposalToGnatt[[#This Row],[Start Date]]+ProposalToGnatt[[#This Row],[Days]]),$G$5,"")),"")</f>
        <v/>
      </c>
      <c r="BK39" s="36" t="str">
        <f ca="1">IFERROR(+IF(BK$27=ProposalToGnatt[[#This Row],[Start Date]],Milestone_Marker,IF(AND(BK$27&gt;ProposalToGnatt[[#This Row],[Start Date]],BK$27&lt;ProposalToGnatt[[#This Row],[Start Date]]+ProposalToGnatt[[#This Row],[Days]]),$G$5,"")),"")</f>
        <v/>
      </c>
      <c r="BL39" s="36" t="str">
        <f ca="1">IFERROR(+IF(BL$27=ProposalToGnatt[[#This Row],[Start Date]],Milestone_Marker,IF(AND(BL$27&gt;ProposalToGnatt[[#This Row],[Start Date]],BL$27&lt;ProposalToGnatt[[#This Row],[Start Date]]+ProposalToGnatt[[#This Row],[Days]]),$G$5,"")),"")</f>
        <v/>
      </c>
      <c r="BM39" s="36" t="str">
        <f ca="1">IFERROR(+IF(BM$27=ProposalToGnatt[[#This Row],[Start Date]],Milestone_Marker,IF(AND(BM$27&gt;ProposalToGnatt[[#This Row],[Start Date]],BM$27&lt;ProposalToGnatt[[#This Row],[Start Date]]+ProposalToGnatt[[#This Row],[Days]]),$G$5,"")),"")</f>
        <v/>
      </c>
      <c r="BN39" s="36" t="str">
        <f ca="1">IFERROR(+IF(BN$27=ProposalToGnatt[[#This Row],[Start Date]],Milestone_Marker,IF(AND(BN$27&gt;ProposalToGnatt[[#This Row],[Start Date]],BN$27&lt;ProposalToGnatt[[#This Row],[Start Date]]+ProposalToGnatt[[#This Row],[Days]]),$G$5,"")),"")</f>
        <v/>
      </c>
      <c r="BO39" s="36" t="str">
        <f ca="1">IFERROR(+IF(BO$27=ProposalToGnatt[[#This Row],[Start Date]],Milestone_Marker,IF(AND(BO$27&gt;ProposalToGnatt[[#This Row],[Start Date]],BO$27&lt;ProposalToGnatt[[#This Row],[Start Date]]+ProposalToGnatt[[#This Row],[Days]]),$G$5,"")),"")</f>
        <v/>
      </c>
      <c r="BP39" s="36" t="str">
        <f ca="1">IFERROR(+IF(BP$27=ProposalToGnatt[[#This Row],[Start Date]],Milestone_Marker,IF(AND(BP$27&gt;ProposalToGnatt[[#This Row],[Start Date]],BP$27&lt;ProposalToGnatt[[#This Row],[Start Date]]+ProposalToGnatt[[#This Row],[Days]]),$G$5,"")),"")</f>
        <v/>
      </c>
      <c r="BQ39" s="36" t="str">
        <f ca="1">IFERROR(+IF(BQ$27=ProposalToGnatt[[#This Row],[Start Date]],Milestone_Marker,IF(AND(BQ$27&gt;ProposalToGnatt[[#This Row],[Start Date]],BQ$27&lt;ProposalToGnatt[[#This Row],[Start Date]]+ProposalToGnatt[[#This Row],[Days]]),$G$5,"")),"")</f>
        <v/>
      </c>
      <c r="BR39" s="36" t="str">
        <f ca="1">IFERROR(+IF(BR$27=ProposalToGnatt[[#This Row],[Start Date]],Milestone_Marker,IF(AND(BR$27&gt;ProposalToGnatt[[#This Row],[Start Date]],BR$27&lt;ProposalToGnatt[[#This Row],[Start Date]]+ProposalToGnatt[[#This Row],[Days]]),$G$5,"")),"")</f>
        <v/>
      </c>
      <c r="BS39" s="36" t="str">
        <f ca="1">IFERROR(+IF(BS$27=ProposalToGnatt[[#This Row],[Start Date]],Milestone_Marker,IF(AND(BS$27&gt;ProposalToGnatt[[#This Row],[Start Date]],BS$27&lt;ProposalToGnatt[[#This Row],[Start Date]]+ProposalToGnatt[[#This Row],[Days]]),$G$5,"")),"")</f>
        <v/>
      </c>
      <c r="BT39" s="36" t="str">
        <f ca="1">IFERROR(+IF(BT$27=ProposalToGnatt[[#This Row],[Start Date]],Milestone_Marker,IF(AND(BT$27&gt;ProposalToGnatt[[#This Row],[Start Date]],BT$27&lt;ProposalToGnatt[[#This Row],[Start Date]]+ProposalToGnatt[[#This Row],[Days]]),$G$5,"")),"")</f>
        <v/>
      </c>
      <c r="BU39" s="36" t="str">
        <f ca="1">IFERROR(+IF(BU$27=ProposalToGnatt[[#This Row],[Start Date]],Milestone_Marker,IF(AND(BU$27&gt;ProposalToGnatt[[#This Row],[Start Date]],BU$27&lt;ProposalToGnatt[[#This Row],[Start Date]]+ProposalToGnatt[[#This Row],[Days]]),$G$5,"")),"")</f>
        <v/>
      </c>
      <c r="BV39" s="36" t="str">
        <f ca="1">IFERROR(+IF(BV$27=ProposalToGnatt[[#This Row],[Start Date]],Milestone_Marker,IF(AND(BV$27&gt;ProposalToGnatt[[#This Row],[Start Date]],BV$27&lt;ProposalToGnatt[[#This Row],[Start Date]]+ProposalToGnatt[[#This Row],[Days]]),$G$5,"")),"")</f>
        <v/>
      </c>
      <c r="BW39" s="36" t="str">
        <f ca="1">IFERROR(+IF(BW$27=ProposalToGnatt[[#This Row],[Start Date]],Milestone_Marker,IF(AND(BW$27&gt;ProposalToGnatt[[#This Row],[Start Date]],BW$27&lt;ProposalToGnatt[[#This Row],[Start Date]]+ProposalToGnatt[[#This Row],[Days]]),$G$5,"")),"")</f>
        <v/>
      </c>
      <c r="BX39" s="36" t="str">
        <f ca="1">IFERROR(+IF(BX$27=ProposalToGnatt[[#This Row],[Start Date]],Milestone_Marker,IF(AND(BX$27&gt;ProposalToGnatt[[#This Row],[Start Date]],BX$27&lt;ProposalToGnatt[[#This Row],[Start Date]]+ProposalToGnatt[[#This Row],[Days]]),$G$5,"")),"")</f>
        <v/>
      </c>
      <c r="BY39" s="36" t="str">
        <f ca="1">IFERROR(+IF(BY$27=ProposalToGnatt[[#This Row],[Start Date]],Milestone_Marker,IF(AND(BY$27&gt;ProposalToGnatt[[#This Row],[Start Date]],BY$27&lt;ProposalToGnatt[[#This Row],[Start Date]]+ProposalToGnatt[[#This Row],[Days]]),$G$5,"")),"")</f>
        <v/>
      </c>
      <c r="BZ39" s="36" t="str">
        <f ca="1">IFERROR(+IF(BZ$27=ProposalToGnatt[[#This Row],[Start Date]],Milestone_Marker,IF(AND(BZ$27&gt;ProposalToGnatt[[#This Row],[Start Date]],BZ$27&lt;ProposalToGnatt[[#This Row],[Start Date]]+ProposalToGnatt[[#This Row],[Days]]),$G$5,"")),"")</f>
        <v/>
      </c>
      <c r="CA39" s="36" t="str">
        <f ca="1">IFERROR(+IF(CA$27=ProposalToGnatt[[#This Row],[Start Date]],Milestone_Marker,IF(AND(CA$27&gt;ProposalToGnatt[[#This Row],[Start Date]],CA$27&lt;ProposalToGnatt[[#This Row],[Start Date]]+ProposalToGnatt[[#This Row],[Days]]),$G$5,"")),"")</f>
        <v/>
      </c>
      <c r="CB39" s="36" t="str">
        <f ca="1">IFERROR(+IF(CB$27=ProposalToGnatt[[#This Row],[Start Date]],Milestone_Marker,IF(AND(CB$27&gt;ProposalToGnatt[[#This Row],[Start Date]],CB$27&lt;ProposalToGnatt[[#This Row],[Start Date]]+ProposalToGnatt[[#This Row],[Days]]),$G$5,"")),"")</f>
        <v/>
      </c>
      <c r="CC39" s="36" t="str">
        <f ca="1">IFERROR(+IF(CC$27=ProposalToGnatt[[#This Row],[Start Date]],Milestone_Marker,IF(AND(CC$27&gt;ProposalToGnatt[[#This Row],[Start Date]],CC$27&lt;ProposalToGnatt[[#This Row],[Start Date]]+ProposalToGnatt[[#This Row],[Days]]),$G$5,"")),"")</f>
        <v/>
      </c>
      <c r="CD39" s="36" t="str">
        <f ca="1">IFERROR(+IF(CD$27=ProposalToGnatt[[#This Row],[Start Date]],Milestone_Marker,IF(AND(CD$27&gt;ProposalToGnatt[[#This Row],[Start Date]],CD$27&lt;ProposalToGnatt[[#This Row],[Start Date]]+ProposalToGnatt[[#This Row],[Days]]),$G$5,"")),"")</f>
        <v/>
      </c>
      <c r="CE39" s="36" t="str">
        <f ca="1">IFERROR(+IF(CE$27=ProposalToGnatt[[#This Row],[Start Date]],Milestone_Marker,IF(AND(CE$27&gt;ProposalToGnatt[[#This Row],[Start Date]],CE$27&lt;ProposalToGnatt[[#This Row],[Start Date]]+ProposalToGnatt[[#This Row],[Days]]),$G$5,"")),"")</f>
        <v/>
      </c>
      <c r="CF39" s="36" t="str">
        <f ca="1">IFERROR(+IF(CF$27=ProposalToGnatt[[#This Row],[Start Date]],Milestone_Marker,IF(AND(CF$27&gt;ProposalToGnatt[[#This Row],[Start Date]],CF$27&lt;ProposalToGnatt[[#This Row],[Start Date]]+ProposalToGnatt[[#This Row],[Days]]),$G$5,"")),"")</f>
        <v/>
      </c>
      <c r="CG39" s="36" t="str">
        <f ca="1">IFERROR(+IF(CG$27=ProposalToGnatt[[#This Row],[Start Date]],Milestone_Marker,IF(AND(CG$27&gt;ProposalToGnatt[[#This Row],[Start Date]],CG$27&lt;ProposalToGnatt[[#This Row],[Start Date]]+ProposalToGnatt[[#This Row],[Days]]),$G$5,"")),"")</f>
        <v/>
      </c>
      <c r="CH39" s="36" t="str">
        <f ca="1">IFERROR(+IF(CH$27=ProposalToGnatt[[#This Row],[Start Date]],Milestone_Marker,IF(AND(CH$27&gt;ProposalToGnatt[[#This Row],[Start Date]],CH$27&lt;ProposalToGnatt[[#This Row],[Start Date]]+ProposalToGnatt[[#This Row],[Days]]),$G$5,"")),"")</f>
        <v/>
      </c>
      <c r="CI39" s="36" t="str">
        <f ca="1">IFERROR(+IF(CI$27=ProposalToGnatt[[#This Row],[Start Date]],Milestone_Marker,IF(AND(CI$27&gt;ProposalToGnatt[[#This Row],[Start Date]],CI$27&lt;ProposalToGnatt[[#This Row],[Start Date]]+ProposalToGnatt[[#This Row],[Days]]),$G$5,"")),"")</f>
        <v/>
      </c>
      <c r="CJ39" s="36" t="str">
        <f ca="1">IFERROR(+IF(CJ$27=ProposalToGnatt[[#This Row],[Start Date]],Milestone_Marker,IF(AND(CJ$27&gt;ProposalToGnatt[[#This Row],[Start Date]],CJ$27&lt;ProposalToGnatt[[#This Row],[Start Date]]+ProposalToGnatt[[#This Row],[Days]]),$G$5,"")),"")</f>
        <v/>
      </c>
      <c r="CK39" s="36" t="str">
        <f ca="1">IFERROR(+IF(CK$27=ProposalToGnatt[[#This Row],[Start Date]],Milestone_Marker,IF(AND(CK$27&gt;ProposalToGnatt[[#This Row],[Start Date]],CK$27&lt;ProposalToGnatt[[#This Row],[Start Date]]+ProposalToGnatt[[#This Row],[Days]]),$G$5,"")),"")</f>
        <v/>
      </c>
      <c r="CL39" s="36" t="str">
        <f ca="1">IFERROR(+IF(CL$27=ProposalToGnatt[[#This Row],[Start Date]],Milestone_Marker,IF(AND(CL$27&gt;ProposalToGnatt[[#This Row],[Start Date]],CL$27&lt;ProposalToGnatt[[#This Row],[Start Date]]+ProposalToGnatt[[#This Row],[Days]]),$G$5,"")),"")</f>
        <v/>
      </c>
      <c r="CM39" s="36" t="str">
        <f ca="1">IFERROR(+IF(CM$27=ProposalToGnatt[[#This Row],[Start Date]],Milestone_Marker,IF(AND(CM$27&gt;ProposalToGnatt[[#This Row],[Start Date]],CM$27&lt;ProposalToGnatt[[#This Row],[Start Date]]+ProposalToGnatt[[#This Row],[Days]]),$G$5,"")),"")</f>
        <v/>
      </c>
      <c r="CN39" s="36" t="str">
        <f ca="1">IFERROR(+IF(CN$27=ProposalToGnatt[[#This Row],[Start Date]],Milestone_Marker,IF(AND(CN$27&gt;ProposalToGnatt[[#This Row],[Start Date]],CN$27&lt;ProposalToGnatt[[#This Row],[Start Date]]+ProposalToGnatt[[#This Row],[Days]]),$G$5,"")),"")</f>
        <v/>
      </c>
      <c r="CO39" s="36" t="str">
        <f ca="1">IFERROR(+IF(CO$27=ProposalToGnatt[[#This Row],[Start Date]],Milestone_Marker,IF(AND(CO$27&gt;ProposalToGnatt[[#This Row],[Start Date]],CO$27&lt;ProposalToGnatt[[#This Row],[Start Date]]+ProposalToGnatt[[#This Row],[Days]]),$G$5,"")),"")</f>
        <v/>
      </c>
      <c r="CP39" s="36" t="str">
        <f ca="1">IFERROR(+IF(CP$27=ProposalToGnatt[[#This Row],[Start Date]],Milestone_Marker,IF(AND(CP$27&gt;ProposalToGnatt[[#This Row],[Start Date]],CP$27&lt;ProposalToGnatt[[#This Row],[Start Date]]+ProposalToGnatt[[#This Row],[Days]]),$G$5,"")),"")</f>
        <v/>
      </c>
      <c r="CQ39" s="36" t="str">
        <f ca="1">IFERROR(+IF(CQ$27=ProposalToGnatt[[#This Row],[Start Date]],Milestone_Marker,IF(AND(CQ$27&gt;ProposalToGnatt[[#This Row],[Start Date]],CQ$27&lt;ProposalToGnatt[[#This Row],[Start Date]]+ProposalToGnatt[[#This Row],[Days]]),$G$5,"")),"")</f>
        <v/>
      </c>
      <c r="CR39" s="36" t="str">
        <f ca="1">IFERROR(+IF(CR$27=ProposalToGnatt[[#This Row],[Start Date]],Milestone_Marker,IF(AND(CR$27&gt;ProposalToGnatt[[#This Row],[Start Date]],CR$27&lt;ProposalToGnatt[[#This Row],[Start Date]]+ProposalToGnatt[[#This Row],[Days]]),$G$5,"")),"")</f>
        <v/>
      </c>
      <c r="CS39" s="36" t="str">
        <f ca="1">IFERROR(+IF(CS$27=ProposalToGnatt[[#This Row],[Start Date]],Milestone_Marker,IF(AND(CS$27&gt;ProposalToGnatt[[#This Row],[Start Date]],CS$27&lt;ProposalToGnatt[[#This Row],[Start Date]]+ProposalToGnatt[[#This Row],[Days]]),$G$5,"")),"")</f>
        <v/>
      </c>
      <c r="CT39" s="36" t="str">
        <f ca="1">IFERROR(+IF(CT$27=ProposalToGnatt[[#This Row],[Start Date]],Milestone_Marker,IF(AND(CT$27&gt;ProposalToGnatt[[#This Row],[Start Date]],CT$27&lt;ProposalToGnatt[[#This Row],[Start Date]]+ProposalToGnatt[[#This Row],[Days]]),$G$5,"")),"")</f>
        <v/>
      </c>
      <c r="CU39" s="36" t="str">
        <f ca="1">IFERROR(+IF(CU$27=ProposalToGnatt[[#This Row],[Start Date]],Milestone_Marker,IF(AND(CU$27&gt;ProposalToGnatt[[#This Row],[Start Date]],CU$27&lt;ProposalToGnatt[[#This Row],[Start Date]]+ProposalToGnatt[[#This Row],[Days]]),$G$5,"")),"")</f>
        <v/>
      </c>
      <c r="CV39" s="36"/>
      <c r="CW39" s="36"/>
      <c r="CX39" s="36"/>
      <c r="CY39" s="36"/>
      <c r="CZ39" s="36"/>
      <c r="DA39" s="36"/>
      <c r="DB39" s="36"/>
      <c r="DC39" s="36"/>
      <c r="DD39" s="36"/>
      <c r="DE39" s="36"/>
      <c r="DF39" s="36"/>
      <c r="DG39" s="36"/>
      <c r="DH39" s="36"/>
      <c r="DI39" s="36"/>
      <c r="DJ39" s="36"/>
      <c r="DK39" s="36"/>
      <c r="DL39" s="36"/>
      <c r="DM39" s="36"/>
      <c r="DN39" s="36"/>
      <c r="DO39" s="36"/>
      <c r="DP39" s="36"/>
      <c r="DQ39" s="36"/>
      <c r="DR39" s="36"/>
      <c r="DS39" s="36"/>
      <c r="DT39" s="36"/>
      <c r="DU39" s="36"/>
    </row>
    <row r="40" spans="1:125" s="41" customFormat="1" ht="15" x14ac:dyDescent="0.25">
      <c r="A40" t="s">
        <v>267</v>
      </c>
      <c r="B40">
        <v>22</v>
      </c>
      <c r="C40"/>
      <c r="D40" t="s">
        <v>898</v>
      </c>
      <c r="E40" s="568" t="s">
        <v>899</v>
      </c>
      <c r="F40">
        <v>1</v>
      </c>
      <c r="G40" s="14">
        <v>95</v>
      </c>
      <c r="H40" s="14">
        <v>95</v>
      </c>
      <c r="I40" t="s">
        <v>3</v>
      </c>
      <c r="J40">
        <v>1</v>
      </c>
      <c r="K40" s="249"/>
      <c r="L40"/>
      <c r="M40" s="14"/>
      <c r="N40" s="300">
        <v>95</v>
      </c>
      <c r="O40" s="554"/>
      <c r="P40" s="36" t="str">
        <f ca="1">IFERROR(+IF(P$27=ProposalToGnatt[[#This Row],[Start Date]],Milestone_Marker,IF(AND(P$27&gt;ProposalToGnatt[[#This Row],[Start Date]],P$27&lt;ProposalToGnatt[[#This Row],[Start Date]]+ProposalToGnatt[[#This Row],[Days]]),$G$5,"")),"")</f>
        <v/>
      </c>
      <c r="Q40" s="36" t="str">
        <f ca="1">IFERROR(+IF(Q$27=ProposalToGnatt[[#This Row],[Start Date]],Milestone_Marker,IF(AND(Q$27&gt;ProposalToGnatt[[#This Row],[Start Date]],Q$27&lt;ProposalToGnatt[[#This Row],[Start Date]]+ProposalToGnatt[[#This Row],[Days]]),$G$5,"")),"")</f>
        <v/>
      </c>
      <c r="R40" s="36" t="str">
        <f ca="1">IFERROR(+IF(R$27=ProposalToGnatt[[#This Row],[Start Date]],Milestone_Marker,IF(AND(R$27&gt;ProposalToGnatt[[#This Row],[Start Date]],R$27&lt;ProposalToGnatt[[#This Row],[Start Date]]+ProposalToGnatt[[#This Row],[Days]]),$G$5,"")),"")</f>
        <v/>
      </c>
      <c r="S40" s="36" t="str">
        <f ca="1">IFERROR(+IF(S$27=ProposalToGnatt[[#This Row],[Start Date]],Milestone_Marker,IF(AND(S$27&gt;ProposalToGnatt[[#This Row],[Start Date]],S$27&lt;ProposalToGnatt[[#This Row],[Start Date]]+ProposalToGnatt[[#This Row],[Days]]),$G$5,"")),"")</f>
        <v/>
      </c>
      <c r="T40" s="36" t="str">
        <f ca="1">IFERROR(+IF(T$27=ProposalToGnatt[[#This Row],[Start Date]],Milestone_Marker,IF(AND(T$27&gt;ProposalToGnatt[[#This Row],[Start Date]],T$27&lt;ProposalToGnatt[[#This Row],[Start Date]]+ProposalToGnatt[[#This Row],[Days]]),$G$5,"")),"")</f>
        <v/>
      </c>
      <c r="U40" s="36" t="str">
        <f ca="1">IFERROR(+IF(U$27=ProposalToGnatt[[#This Row],[Start Date]],Milestone_Marker,IF(AND(U$27&gt;ProposalToGnatt[[#This Row],[Start Date]],U$27&lt;ProposalToGnatt[[#This Row],[Start Date]]+ProposalToGnatt[[#This Row],[Days]]),$G$5,"")),"")</f>
        <v/>
      </c>
      <c r="V40" s="36" t="str">
        <f ca="1">IFERROR(+IF(V$27=ProposalToGnatt[[#This Row],[Start Date]],Milestone_Marker,IF(AND(V$27&gt;ProposalToGnatt[[#This Row],[Start Date]],V$27&lt;ProposalToGnatt[[#This Row],[Start Date]]+ProposalToGnatt[[#This Row],[Days]]),$G$5,"")),"")</f>
        <v/>
      </c>
      <c r="W40" s="36" t="str">
        <f ca="1">IFERROR(+IF(W$27=ProposalToGnatt[[#This Row],[Start Date]],Milestone_Marker,IF(AND(W$27&gt;ProposalToGnatt[[#This Row],[Start Date]],W$27&lt;ProposalToGnatt[[#This Row],[Start Date]]+ProposalToGnatt[[#This Row],[Days]]),$G$5,"")),"")</f>
        <v/>
      </c>
      <c r="X40" s="36" t="str">
        <f ca="1">IFERROR(+IF(X$27=ProposalToGnatt[[#This Row],[Start Date]],Milestone_Marker,IF(AND(X$27&gt;ProposalToGnatt[[#This Row],[Start Date]],X$27&lt;ProposalToGnatt[[#This Row],[Start Date]]+ProposalToGnatt[[#This Row],[Days]]),$G$5,"")),"")</f>
        <v/>
      </c>
      <c r="Y40" s="36" t="str">
        <f ca="1">IFERROR(+IF(Y$27=ProposalToGnatt[[#This Row],[Start Date]],Milestone_Marker,IF(AND(Y$27&gt;ProposalToGnatt[[#This Row],[Start Date]],Y$27&lt;ProposalToGnatt[[#This Row],[Start Date]]+ProposalToGnatt[[#This Row],[Days]]),$G$5,"")),"")</f>
        <v/>
      </c>
      <c r="Z40" s="36" t="str">
        <f ca="1">IFERROR(+IF(Z$27=ProposalToGnatt[[#This Row],[Start Date]],Milestone_Marker,IF(AND(Z$27&gt;ProposalToGnatt[[#This Row],[Start Date]],Z$27&lt;ProposalToGnatt[[#This Row],[Start Date]]+ProposalToGnatt[[#This Row],[Days]]),$G$5,"")),"")</f>
        <v/>
      </c>
      <c r="AA40" s="36" t="str">
        <f ca="1">IFERROR(+IF(AA$27=ProposalToGnatt[[#This Row],[Start Date]],Milestone_Marker,IF(AND(AA$27&gt;ProposalToGnatt[[#This Row],[Start Date]],AA$27&lt;ProposalToGnatt[[#This Row],[Start Date]]+ProposalToGnatt[[#This Row],[Days]]),$G$5,"")),"")</f>
        <v/>
      </c>
      <c r="AB40" s="36" t="str">
        <f ca="1">IFERROR(+IF(AB$27=ProposalToGnatt[[#This Row],[Start Date]],Milestone_Marker,IF(AND(AB$27&gt;ProposalToGnatt[[#This Row],[Start Date]],AB$27&lt;ProposalToGnatt[[#This Row],[Start Date]]+ProposalToGnatt[[#This Row],[Days]]),$G$5,"")),"")</f>
        <v/>
      </c>
      <c r="AC40" s="36" t="str">
        <f ca="1">IFERROR(+IF(AC$27=ProposalToGnatt[[#This Row],[Start Date]],Milestone_Marker,IF(AND(AC$27&gt;ProposalToGnatt[[#This Row],[Start Date]],AC$27&lt;ProposalToGnatt[[#This Row],[Start Date]]+ProposalToGnatt[[#This Row],[Days]]),$G$5,"")),"")</f>
        <v/>
      </c>
      <c r="AD40" s="36" t="str">
        <f ca="1">IFERROR(+IF(AD$27=ProposalToGnatt[[#This Row],[Start Date]],Milestone_Marker,IF(AND(AD$27&gt;ProposalToGnatt[[#This Row],[Start Date]],AD$27&lt;ProposalToGnatt[[#This Row],[Start Date]]+ProposalToGnatt[[#This Row],[Days]]),$G$5,"")),"")</f>
        <v/>
      </c>
      <c r="AE40" s="36" t="str">
        <f ca="1">IFERROR(+IF(AE$27=ProposalToGnatt[[#This Row],[Start Date]],Milestone_Marker,IF(AND(AE$27&gt;ProposalToGnatt[[#This Row],[Start Date]],AE$27&lt;ProposalToGnatt[[#This Row],[Start Date]]+ProposalToGnatt[[#This Row],[Days]]),$G$5,"")),"")</f>
        <v/>
      </c>
      <c r="AF40" s="36" t="str">
        <f ca="1">IFERROR(+IF(AF$27=ProposalToGnatt[[#This Row],[Start Date]],Milestone_Marker,IF(AND(AF$27&gt;ProposalToGnatt[[#This Row],[Start Date]],AF$27&lt;ProposalToGnatt[[#This Row],[Start Date]]+ProposalToGnatt[[#This Row],[Days]]),$G$5,"")),"")</f>
        <v/>
      </c>
      <c r="AG40" s="36" t="str">
        <f ca="1">IFERROR(+IF(AG$27=ProposalToGnatt[[#This Row],[Start Date]],Milestone_Marker,IF(AND(AG$27&gt;ProposalToGnatt[[#This Row],[Start Date]],AG$27&lt;ProposalToGnatt[[#This Row],[Start Date]]+ProposalToGnatt[[#This Row],[Days]]),$G$5,"")),"")</f>
        <v/>
      </c>
      <c r="AH40" s="36" t="str">
        <f ca="1">IFERROR(+IF(AH$27=ProposalToGnatt[[#This Row],[Start Date]],Milestone_Marker,IF(AND(AH$27&gt;ProposalToGnatt[[#This Row],[Start Date]],AH$27&lt;ProposalToGnatt[[#This Row],[Start Date]]+ProposalToGnatt[[#This Row],[Days]]),$G$5,"")),"")</f>
        <v/>
      </c>
      <c r="AI40" s="36" t="str">
        <f ca="1">IFERROR(+IF(AI$27=ProposalToGnatt[[#This Row],[Start Date]],Milestone_Marker,IF(AND(AI$27&gt;ProposalToGnatt[[#This Row],[Start Date]],AI$27&lt;ProposalToGnatt[[#This Row],[Start Date]]+ProposalToGnatt[[#This Row],[Days]]),$G$5,"")),"")</f>
        <v/>
      </c>
      <c r="AJ40" s="36" t="str">
        <f ca="1">IFERROR(+IF(AJ$27=ProposalToGnatt[[#This Row],[Start Date]],Milestone_Marker,IF(AND(AJ$27&gt;ProposalToGnatt[[#This Row],[Start Date]],AJ$27&lt;ProposalToGnatt[[#This Row],[Start Date]]+ProposalToGnatt[[#This Row],[Days]]),$G$5,"")),"")</f>
        <v/>
      </c>
      <c r="AK40" s="36" t="str">
        <f ca="1">IFERROR(+IF(AK$27=ProposalToGnatt[[#This Row],[Start Date]],Milestone_Marker,IF(AND(AK$27&gt;ProposalToGnatt[[#This Row],[Start Date]],AK$27&lt;ProposalToGnatt[[#This Row],[Start Date]]+ProposalToGnatt[[#This Row],[Days]]),$G$5,"")),"")</f>
        <v/>
      </c>
      <c r="AL40" s="36" t="str">
        <f ca="1">IFERROR(+IF(AL$27=ProposalToGnatt[[#This Row],[Start Date]],Milestone_Marker,IF(AND(AL$27&gt;ProposalToGnatt[[#This Row],[Start Date]],AL$27&lt;ProposalToGnatt[[#This Row],[Start Date]]+ProposalToGnatt[[#This Row],[Days]]),$G$5,"")),"")</f>
        <v/>
      </c>
      <c r="AM40" s="36" t="str">
        <f ca="1">IFERROR(+IF(AM$27=ProposalToGnatt[[#This Row],[Start Date]],Milestone_Marker,IF(AND(AM$27&gt;ProposalToGnatt[[#This Row],[Start Date]],AM$27&lt;ProposalToGnatt[[#This Row],[Start Date]]+ProposalToGnatt[[#This Row],[Days]]),$G$5,"")),"")</f>
        <v/>
      </c>
      <c r="AN40" s="36" t="str">
        <f ca="1">IFERROR(+IF(AN$27=ProposalToGnatt[[#This Row],[Start Date]],Milestone_Marker,IF(AND(AN$27&gt;ProposalToGnatt[[#This Row],[Start Date]],AN$27&lt;ProposalToGnatt[[#This Row],[Start Date]]+ProposalToGnatt[[#This Row],[Days]]),$G$5,"")),"")</f>
        <v/>
      </c>
      <c r="AO40" s="36" t="str">
        <f ca="1">IFERROR(+IF(AO$27=ProposalToGnatt[[#This Row],[Start Date]],Milestone_Marker,IF(AND(AO$27&gt;ProposalToGnatt[[#This Row],[Start Date]],AO$27&lt;ProposalToGnatt[[#This Row],[Start Date]]+ProposalToGnatt[[#This Row],[Days]]),$G$5,"")),"")</f>
        <v/>
      </c>
      <c r="AP40" s="36" t="str">
        <f ca="1">IFERROR(+IF(AP$27=ProposalToGnatt[[#This Row],[Start Date]],Milestone_Marker,IF(AND(AP$27&gt;ProposalToGnatt[[#This Row],[Start Date]],AP$27&lt;ProposalToGnatt[[#This Row],[Start Date]]+ProposalToGnatt[[#This Row],[Days]]),$G$5,"")),"")</f>
        <v/>
      </c>
      <c r="AQ40" s="36" t="str">
        <f ca="1">IFERROR(+IF(AQ$27=ProposalToGnatt[[#This Row],[Start Date]],Milestone_Marker,IF(AND(AQ$27&gt;ProposalToGnatt[[#This Row],[Start Date]],AQ$27&lt;ProposalToGnatt[[#This Row],[Start Date]]+ProposalToGnatt[[#This Row],[Days]]),$G$5,"")),"")</f>
        <v/>
      </c>
      <c r="AR40" s="36" t="str">
        <f ca="1">IFERROR(+IF(AR$27=ProposalToGnatt[[#This Row],[Start Date]],Milestone_Marker,IF(AND(AR$27&gt;ProposalToGnatt[[#This Row],[Start Date]],AR$27&lt;ProposalToGnatt[[#This Row],[Start Date]]+ProposalToGnatt[[#This Row],[Days]]),$G$5,"")),"")</f>
        <v/>
      </c>
      <c r="AS40" s="36" t="str">
        <f ca="1">IFERROR(+IF(AS$27=ProposalToGnatt[[#This Row],[Start Date]],Milestone_Marker,IF(AND(AS$27&gt;ProposalToGnatt[[#This Row],[Start Date]],AS$27&lt;ProposalToGnatt[[#This Row],[Start Date]]+ProposalToGnatt[[#This Row],[Days]]),$G$5,"")),"")</f>
        <v/>
      </c>
      <c r="AT40" s="36" t="str">
        <f ca="1">IFERROR(+IF(AT$27=ProposalToGnatt[[#This Row],[Start Date]],Milestone_Marker,IF(AND(AT$27&gt;ProposalToGnatt[[#This Row],[Start Date]],AT$27&lt;ProposalToGnatt[[#This Row],[Start Date]]+ProposalToGnatt[[#This Row],[Days]]),$G$5,"")),"")</f>
        <v/>
      </c>
      <c r="AU40" s="36" t="str">
        <f ca="1">IFERROR(+IF(AU$27=ProposalToGnatt[[#This Row],[Start Date]],Milestone_Marker,IF(AND(AU$27&gt;ProposalToGnatt[[#This Row],[Start Date]],AU$27&lt;ProposalToGnatt[[#This Row],[Start Date]]+ProposalToGnatt[[#This Row],[Days]]),$G$5,"")),"")</f>
        <v/>
      </c>
      <c r="AV40" s="36" t="str">
        <f ca="1">IFERROR(+IF(AV$27=ProposalToGnatt[[#This Row],[Start Date]],Milestone_Marker,IF(AND(AV$27&gt;ProposalToGnatt[[#This Row],[Start Date]],AV$27&lt;ProposalToGnatt[[#This Row],[Start Date]]+ProposalToGnatt[[#This Row],[Days]]),$G$5,"")),"")</f>
        <v/>
      </c>
      <c r="AW40" s="36" t="str">
        <f ca="1">IFERROR(+IF(AW$27=ProposalToGnatt[[#This Row],[Start Date]],Milestone_Marker,IF(AND(AW$27&gt;ProposalToGnatt[[#This Row],[Start Date]],AW$27&lt;ProposalToGnatt[[#This Row],[Start Date]]+ProposalToGnatt[[#This Row],[Days]]),$G$5,"")),"")</f>
        <v/>
      </c>
      <c r="AX40" s="36" t="str">
        <f ca="1">IFERROR(+IF(AX$27=ProposalToGnatt[[#This Row],[Start Date]],Milestone_Marker,IF(AND(AX$27&gt;ProposalToGnatt[[#This Row],[Start Date]],AX$27&lt;ProposalToGnatt[[#This Row],[Start Date]]+ProposalToGnatt[[#This Row],[Days]]),$G$5,"")),"")</f>
        <v/>
      </c>
      <c r="AY40" s="36" t="str">
        <f ca="1">IFERROR(+IF(AY$27=ProposalToGnatt[[#This Row],[Start Date]],Milestone_Marker,IF(AND(AY$27&gt;ProposalToGnatt[[#This Row],[Start Date]],AY$27&lt;ProposalToGnatt[[#This Row],[Start Date]]+ProposalToGnatt[[#This Row],[Days]]),$G$5,"")),"")</f>
        <v/>
      </c>
      <c r="AZ40" s="36" t="str">
        <f ca="1">IFERROR(+IF(AZ$27=ProposalToGnatt[[#This Row],[Start Date]],Milestone_Marker,IF(AND(AZ$27&gt;ProposalToGnatt[[#This Row],[Start Date]],AZ$27&lt;ProposalToGnatt[[#This Row],[Start Date]]+ProposalToGnatt[[#This Row],[Days]]),$G$5,"")),"")</f>
        <v/>
      </c>
      <c r="BA40" s="36" t="str">
        <f ca="1">IFERROR(+IF(BA$27=ProposalToGnatt[[#This Row],[Start Date]],Milestone_Marker,IF(AND(BA$27&gt;ProposalToGnatt[[#This Row],[Start Date]],BA$27&lt;ProposalToGnatt[[#This Row],[Start Date]]+ProposalToGnatt[[#This Row],[Days]]),$G$5,"")),"")</f>
        <v/>
      </c>
      <c r="BB40" s="36" t="str">
        <f ca="1">IFERROR(+IF(BB$27=ProposalToGnatt[[#This Row],[Start Date]],Milestone_Marker,IF(AND(BB$27&gt;ProposalToGnatt[[#This Row],[Start Date]],BB$27&lt;ProposalToGnatt[[#This Row],[Start Date]]+ProposalToGnatt[[#This Row],[Days]]),$G$5,"")),"")</f>
        <v/>
      </c>
      <c r="BC40" s="36" t="str">
        <f ca="1">IFERROR(+IF(BC$27=ProposalToGnatt[[#This Row],[Start Date]],Milestone_Marker,IF(AND(BC$27&gt;ProposalToGnatt[[#This Row],[Start Date]],BC$27&lt;ProposalToGnatt[[#This Row],[Start Date]]+ProposalToGnatt[[#This Row],[Days]]),$G$5,"")),"")</f>
        <v/>
      </c>
      <c r="BD40" s="36" t="str">
        <f ca="1">IFERROR(+IF(BD$27=ProposalToGnatt[[#This Row],[Start Date]],Milestone_Marker,IF(AND(BD$27&gt;ProposalToGnatt[[#This Row],[Start Date]],BD$27&lt;ProposalToGnatt[[#This Row],[Start Date]]+ProposalToGnatt[[#This Row],[Days]]),$G$5,"")),"")</f>
        <v/>
      </c>
      <c r="BE40" s="36" t="str">
        <f ca="1">IFERROR(+IF(BE$27=ProposalToGnatt[[#This Row],[Start Date]],Milestone_Marker,IF(AND(BE$27&gt;ProposalToGnatt[[#This Row],[Start Date]],BE$27&lt;ProposalToGnatt[[#This Row],[Start Date]]+ProposalToGnatt[[#This Row],[Days]]),$G$5,"")),"")</f>
        <v/>
      </c>
      <c r="BF40" s="36" t="str">
        <f ca="1">IFERROR(+IF(BF$27=ProposalToGnatt[[#This Row],[Start Date]],Milestone_Marker,IF(AND(BF$27&gt;ProposalToGnatt[[#This Row],[Start Date]],BF$27&lt;ProposalToGnatt[[#This Row],[Start Date]]+ProposalToGnatt[[#This Row],[Days]]),$G$5,"")),"")</f>
        <v/>
      </c>
      <c r="BG40" s="36" t="str">
        <f ca="1">IFERROR(+IF(BG$27=ProposalToGnatt[[#This Row],[Start Date]],Milestone_Marker,IF(AND(BG$27&gt;ProposalToGnatt[[#This Row],[Start Date]],BG$27&lt;ProposalToGnatt[[#This Row],[Start Date]]+ProposalToGnatt[[#This Row],[Days]]),$G$5,"")),"")</f>
        <v/>
      </c>
      <c r="BH40" s="36" t="str">
        <f ca="1">IFERROR(+IF(BH$27=ProposalToGnatt[[#This Row],[Start Date]],Milestone_Marker,IF(AND(BH$27&gt;ProposalToGnatt[[#This Row],[Start Date]],BH$27&lt;ProposalToGnatt[[#This Row],[Start Date]]+ProposalToGnatt[[#This Row],[Days]]),$G$5,"")),"")</f>
        <v/>
      </c>
      <c r="BI40" s="36" t="str">
        <f ca="1">IFERROR(+IF(BI$27=ProposalToGnatt[[#This Row],[Start Date]],Milestone_Marker,IF(AND(BI$27&gt;ProposalToGnatt[[#This Row],[Start Date]],BI$27&lt;ProposalToGnatt[[#This Row],[Start Date]]+ProposalToGnatt[[#This Row],[Days]]),$G$5,"")),"")</f>
        <v/>
      </c>
      <c r="BJ40" s="36" t="str">
        <f ca="1">IFERROR(+IF(BJ$27=ProposalToGnatt[[#This Row],[Start Date]],Milestone_Marker,IF(AND(BJ$27&gt;ProposalToGnatt[[#This Row],[Start Date]],BJ$27&lt;ProposalToGnatt[[#This Row],[Start Date]]+ProposalToGnatt[[#This Row],[Days]]),$G$5,"")),"")</f>
        <v/>
      </c>
      <c r="BK40" s="36" t="str">
        <f ca="1">IFERROR(+IF(BK$27=ProposalToGnatt[[#This Row],[Start Date]],Milestone_Marker,IF(AND(BK$27&gt;ProposalToGnatt[[#This Row],[Start Date]],BK$27&lt;ProposalToGnatt[[#This Row],[Start Date]]+ProposalToGnatt[[#This Row],[Days]]),$G$5,"")),"")</f>
        <v/>
      </c>
      <c r="BL40" s="36" t="str">
        <f ca="1">IFERROR(+IF(BL$27=ProposalToGnatt[[#This Row],[Start Date]],Milestone_Marker,IF(AND(BL$27&gt;ProposalToGnatt[[#This Row],[Start Date]],BL$27&lt;ProposalToGnatt[[#This Row],[Start Date]]+ProposalToGnatt[[#This Row],[Days]]),$G$5,"")),"")</f>
        <v/>
      </c>
      <c r="BM40" s="36" t="str">
        <f ca="1">IFERROR(+IF(BM$27=ProposalToGnatt[[#This Row],[Start Date]],Milestone_Marker,IF(AND(BM$27&gt;ProposalToGnatt[[#This Row],[Start Date]],BM$27&lt;ProposalToGnatt[[#This Row],[Start Date]]+ProposalToGnatt[[#This Row],[Days]]),$G$5,"")),"")</f>
        <v/>
      </c>
      <c r="BN40" s="36" t="str">
        <f ca="1">IFERROR(+IF(BN$27=ProposalToGnatt[[#This Row],[Start Date]],Milestone_Marker,IF(AND(BN$27&gt;ProposalToGnatt[[#This Row],[Start Date]],BN$27&lt;ProposalToGnatt[[#This Row],[Start Date]]+ProposalToGnatt[[#This Row],[Days]]),$G$5,"")),"")</f>
        <v/>
      </c>
      <c r="BO40" s="36" t="str">
        <f ca="1">IFERROR(+IF(BO$27=ProposalToGnatt[[#This Row],[Start Date]],Milestone_Marker,IF(AND(BO$27&gt;ProposalToGnatt[[#This Row],[Start Date]],BO$27&lt;ProposalToGnatt[[#This Row],[Start Date]]+ProposalToGnatt[[#This Row],[Days]]),$G$5,"")),"")</f>
        <v/>
      </c>
      <c r="BP40" s="36" t="str">
        <f ca="1">IFERROR(+IF(BP$27=ProposalToGnatt[[#This Row],[Start Date]],Milestone_Marker,IF(AND(BP$27&gt;ProposalToGnatt[[#This Row],[Start Date]],BP$27&lt;ProposalToGnatt[[#This Row],[Start Date]]+ProposalToGnatt[[#This Row],[Days]]),$G$5,"")),"")</f>
        <v/>
      </c>
      <c r="BQ40" s="36" t="str">
        <f ca="1">IFERROR(+IF(BQ$27=ProposalToGnatt[[#This Row],[Start Date]],Milestone_Marker,IF(AND(BQ$27&gt;ProposalToGnatt[[#This Row],[Start Date]],BQ$27&lt;ProposalToGnatt[[#This Row],[Start Date]]+ProposalToGnatt[[#This Row],[Days]]),$G$5,"")),"")</f>
        <v/>
      </c>
      <c r="BR40" s="36" t="str">
        <f ca="1">IFERROR(+IF(BR$27=ProposalToGnatt[[#This Row],[Start Date]],Milestone_Marker,IF(AND(BR$27&gt;ProposalToGnatt[[#This Row],[Start Date]],BR$27&lt;ProposalToGnatt[[#This Row],[Start Date]]+ProposalToGnatt[[#This Row],[Days]]),$G$5,"")),"")</f>
        <v/>
      </c>
      <c r="BS40" s="36" t="str">
        <f ca="1">IFERROR(+IF(BS$27=ProposalToGnatt[[#This Row],[Start Date]],Milestone_Marker,IF(AND(BS$27&gt;ProposalToGnatt[[#This Row],[Start Date]],BS$27&lt;ProposalToGnatt[[#This Row],[Start Date]]+ProposalToGnatt[[#This Row],[Days]]),$G$5,"")),"")</f>
        <v/>
      </c>
      <c r="BT40" s="36" t="str">
        <f ca="1">IFERROR(+IF(BT$27=ProposalToGnatt[[#This Row],[Start Date]],Milestone_Marker,IF(AND(BT$27&gt;ProposalToGnatt[[#This Row],[Start Date]],BT$27&lt;ProposalToGnatt[[#This Row],[Start Date]]+ProposalToGnatt[[#This Row],[Days]]),$G$5,"")),"")</f>
        <v/>
      </c>
      <c r="BU40" s="36" t="str">
        <f ca="1">IFERROR(+IF(BU$27=ProposalToGnatt[[#This Row],[Start Date]],Milestone_Marker,IF(AND(BU$27&gt;ProposalToGnatt[[#This Row],[Start Date]],BU$27&lt;ProposalToGnatt[[#This Row],[Start Date]]+ProposalToGnatt[[#This Row],[Days]]),$G$5,"")),"")</f>
        <v/>
      </c>
      <c r="BV40" s="36" t="str">
        <f ca="1">IFERROR(+IF(BV$27=ProposalToGnatt[[#This Row],[Start Date]],Milestone_Marker,IF(AND(BV$27&gt;ProposalToGnatt[[#This Row],[Start Date]],BV$27&lt;ProposalToGnatt[[#This Row],[Start Date]]+ProposalToGnatt[[#This Row],[Days]]),$G$5,"")),"")</f>
        <v/>
      </c>
      <c r="BW40" s="36" t="str">
        <f ca="1">IFERROR(+IF(BW$27=ProposalToGnatt[[#This Row],[Start Date]],Milestone_Marker,IF(AND(BW$27&gt;ProposalToGnatt[[#This Row],[Start Date]],BW$27&lt;ProposalToGnatt[[#This Row],[Start Date]]+ProposalToGnatt[[#This Row],[Days]]),$G$5,"")),"")</f>
        <v/>
      </c>
      <c r="BX40" s="36" t="str">
        <f ca="1">IFERROR(+IF(BX$27=ProposalToGnatt[[#This Row],[Start Date]],Milestone_Marker,IF(AND(BX$27&gt;ProposalToGnatt[[#This Row],[Start Date]],BX$27&lt;ProposalToGnatt[[#This Row],[Start Date]]+ProposalToGnatt[[#This Row],[Days]]),$G$5,"")),"")</f>
        <v/>
      </c>
      <c r="BY40" s="36" t="str">
        <f ca="1">IFERROR(+IF(BY$27=ProposalToGnatt[[#This Row],[Start Date]],Milestone_Marker,IF(AND(BY$27&gt;ProposalToGnatt[[#This Row],[Start Date]],BY$27&lt;ProposalToGnatt[[#This Row],[Start Date]]+ProposalToGnatt[[#This Row],[Days]]),$G$5,"")),"")</f>
        <v/>
      </c>
      <c r="BZ40" s="36" t="str">
        <f ca="1">IFERROR(+IF(BZ$27=ProposalToGnatt[[#This Row],[Start Date]],Milestone_Marker,IF(AND(BZ$27&gt;ProposalToGnatt[[#This Row],[Start Date]],BZ$27&lt;ProposalToGnatt[[#This Row],[Start Date]]+ProposalToGnatt[[#This Row],[Days]]),$G$5,"")),"")</f>
        <v/>
      </c>
      <c r="CA40" s="36" t="str">
        <f ca="1">IFERROR(+IF(CA$27=ProposalToGnatt[[#This Row],[Start Date]],Milestone_Marker,IF(AND(CA$27&gt;ProposalToGnatt[[#This Row],[Start Date]],CA$27&lt;ProposalToGnatt[[#This Row],[Start Date]]+ProposalToGnatt[[#This Row],[Days]]),$G$5,"")),"")</f>
        <v/>
      </c>
      <c r="CB40" s="36" t="str">
        <f ca="1">IFERROR(+IF(CB$27=ProposalToGnatt[[#This Row],[Start Date]],Milestone_Marker,IF(AND(CB$27&gt;ProposalToGnatt[[#This Row],[Start Date]],CB$27&lt;ProposalToGnatt[[#This Row],[Start Date]]+ProposalToGnatt[[#This Row],[Days]]),$G$5,"")),"")</f>
        <v/>
      </c>
      <c r="CC40" s="36" t="str">
        <f ca="1">IFERROR(+IF(CC$27=ProposalToGnatt[[#This Row],[Start Date]],Milestone_Marker,IF(AND(CC$27&gt;ProposalToGnatt[[#This Row],[Start Date]],CC$27&lt;ProposalToGnatt[[#This Row],[Start Date]]+ProposalToGnatt[[#This Row],[Days]]),$G$5,"")),"")</f>
        <v/>
      </c>
      <c r="CD40" s="36" t="str">
        <f ca="1">IFERROR(+IF(CD$27=ProposalToGnatt[[#This Row],[Start Date]],Milestone_Marker,IF(AND(CD$27&gt;ProposalToGnatt[[#This Row],[Start Date]],CD$27&lt;ProposalToGnatt[[#This Row],[Start Date]]+ProposalToGnatt[[#This Row],[Days]]),$G$5,"")),"")</f>
        <v/>
      </c>
      <c r="CE40" s="36" t="str">
        <f ca="1">IFERROR(+IF(CE$27=ProposalToGnatt[[#This Row],[Start Date]],Milestone_Marker,IF(AND(CE$27&gt;ProposalToGnatt[[#This Row],[Start Date]],CE$27&lt;ProposalToGnatt[[#This Row],[Start Date]]+ProposalToGnatt[[#This Row],[Days]]),$G$5,"")),"")</f>
        <v/>
      </c>
      <c r="CF40" s="36" t="str">
        <f ca="1">IFERROR(+IF(CF$27=ProposalToGnatt[[#This Row],[Start Date]],Milestone_Marker,IF(AND(CF$27&gt;ProposalToGnatt[[#This Row],[Start Date]],CF$27&lt;ProposalToGnatt[[#This Row],[Start Date]]+ProposalToGnatt[[#This Row],[Days]]),$G$5,"")),"")</f>
        <v/>
      </c>
      <c r="CG40" s="36" t="str">
        <f ca="1">IFERROR(+IF(CG$27=ProposalToGnatt[[#This Row],[Start Date]],Milestone_Marker,IF(AND(CG$27&gt;ProposalToGnatt[[#This Row],[Start Date]],CG$27&lt;ProposalToGnatt[[#This Row],[Start Date]]+ProposalToGnatt[[#This Row],[Days]]),$G$5,"")),"")</f>
        <v/>
      </c>
      <c r="CH40" s="36" t="str">
        <f ca="1">IFERROR(+IF(CH$27=ProposalToGnatt[[#This Row],[Start Date]],Milestone_Marker,IF(AND(CH$27&gt;ProposalToGnatt[[#This Row],[Start Date]],CH$27&lt;ProposalToGnatt[[#This Row],[Start Date]]+ProposalToGnatt[[#This Row],[Days]]),$G$5,"")),"")</f>
        <v/>
      </c>
      <c r="CI40" s="36" t="str">
        <f ca="1">IFERROR(+IF(CI$27=ProposalToGnatt[[#This Row],[Start Date]],Milestone_Marker,IF(AND(CI$27&gt;ProposalToGnatt[[#This Row],[Start Date]],CI$27&lt;ProposalToGnatt[[#This Row],[Start Date]]+ProposalToGnatt[[#This Row],[Days]]),$G$5,"")),"")</f>
        <v/>
      </c>
      <c r="CJ40" s="36" t="str">
        <f ca="1">IFERROR(+IF(CJ$27=ProposalToGnatt[[#This Row],[Start Date]],Milestone_Marker,IF(AND(CJ$27&gt;ProposalToGnatt[[#This Row],[Start Date]],CJ$27&lt;ProposalToGnatt[[#This Row],[Start Date]]+ProposalToGnatt[[#This Row],[Days]]),$G$5,"")),"")</f>
        <v/>
      </c>
      <c r="CK40" s="36" t="str">
        <f ca="1">IFERROR(+IF(CK$27=ProposalToGnatt[[#This Row],[Start Date]],Milestone_Marker,IF(AND(CK$27&gt;ProposalToGnatt[[#This Row],[Start Date]],CK$27&lt;ProposalToGnatt[[#This Row],[Start Date]]+ProposalToGnatt[[#This Row],[Days]]),$G$5,"")),"")</f>
        <v/>
      </c>
      <c r="CL40" s="36" t="str">
        <f ca="1">IFERROR(+IF(CL$27=ProposalToGnatt[[#This Row],[Start Date]],Milestone_Marker,IF(AND(CL$27&gt;ProposalToGnatt[[#This Row],[Start Date]],CL$27&lt;ProposalToGnatt[[#This Row],[Start Date]]+ProposalToGnatt[[#This Row],[Days]]),$G$5,"")),"")</f>
        <v/>
      </c>
      <c r="CM40" s="36" t="str">
        <f ca="1">IFERROR(+IF(CM$27=ProposalToGnatt[[#This Row],[Start Date]],Milestone_Marker,IF(AND(CM$27&gt;ProposalToGnatt[[#This Row],[Start Date]],CM$27&lt;ProposalToGnatt[[#This Row],[Start Date]]+ProposalToGnatt[[#This Row],[Days]]),$G$5,"")),"")</f>
        <v/>
      </c>
      <c r="CN40" s="36" t="str">
        <f ca="1">IFERROR(+IF(CN$27=ProposalToGnatt[[#This Row],[Start Date]],Milestone_Marker,IF(AND(CN$27&gt;ProposalToGnatt[[#This Row],[Start Date]],CN$27&lt;ProposalToGnatt[[#This Row],[Start Date]]+ProposalToGnatt[[#This Row],[Days]]),$G$5,"")),"")</f>
        <v/>
      </c>
      <c r="CO40" s="36" t="str">
        <f ca="1">IFERROR(+IF(CO$27=ProposalToGnatt[[#This Row],[Start Date]],Milestone_Marker,IF(AND(CO$27&gt;ProposalToGnatt[[#This Row],[Start Date]],CO$27&lt;ProposalToGnatt[[#This Row],[Start Date]]+ProposalToGnatt[[#This Row],[Days]]),$G$5,"")),"")</f>
        <v/>
      </c>
      <c r="CP40" s="36" t="str">
        <f ca="1">IFERROR(+IF(CP$27=ProposalToGnatt[[#This Row],[Start Date]],Milestone_Marker,IF(AND(CP$27&gt;ProposalToGnatt[[#This Row],[Start Date]],CP$27&lt;ProposalToGnatt[[#This Row],[Start Date]]+ProposalToGnatt[[#This Row],[Days]]),$G$5,"")),"")</f>
        <v/>
      </c>
      <c r="CQ40" s="36" t="str">
        <f ca="1">IFERROR(+IF(CQ$27=ProposalToGnatt[[#This Row],[Start Date]],Milestone_Marker,IF(AND(CQ$27&gt;ProposalToGnatt[[#This Row],[Start Date]],CQ$27&lt;ProposalToGnatt[[#This Row],[Start Date]]+ProposalToGnatt[[#This Row],[Days]]),$G$5,"")),"")</f>
        <v/>
      </c>
      <c r="CR40" s="36" t="str">
        <f ca="1">IFERROR(+IF(CR$27=ProposalToGnatt[[#This Row],[Start Date]],Milestone_Marker,IF(AND(CR$27&gt;ProposalToGnatt[[#This Row],[Start Date]],CR$27&lt;ProposalToGnatt[[#This Row],[Start Date]]+ProposalToGnatt[[#This Row],[Days]]),$G$5,"")),"")</f>
        <v/>
      </c>
      <c r="CS40" s="36" t="str">
        <f ca="1">IFERROR(+IF(CS$27=ProposalToGnatt[[#This Row],[Start Date]],Milestone_Marker,IF(AND(CS$27&gt;ProposalToGnatt[[#This Row],[Start Date]],CS$27&lt;ProposalToGnatt[[#This Row],[Start Date]]+ProposalToGnatt[[#This Row],[Days]]),$G$5,"")),"")</f>
        <v/>
      </c>
      <c r="CT40" s="36" t="str">
        <f ca="1">IFERROR(+IF(CT$27=ProposalToGnatt[[#This Row],[Start Date]],Milestone_Marker,IF(AND(CT$27&gt;ProposalToGnatt[[#This Row],[Start Date]],CT$27&lt;ProposalToGnatt[[#This Row],[Start Date]]+ProposalToGnatt[[#This Row],[Days]]),$G$5,"")),"")</f>
        <v/>
      </c>
      <c r="CU40" s="36" t="str">
        <f ca="1">IFERROR(+IF(CU$27=ProposalToGnatt[[#This Row],[Start Date]],Milestone_Marker,IF(AND(CU$27&gt;ProposalToGnatt[[#This Row],[Start Date]],CU$27&lt;ProposalToGnatt[[#This Row],[Start Date]]+ProposalToGnatt[[#This Row],[Days]]),$G$5,"")),"")</f>
        <v/>
      </c>
      <c r="CV40" s="36"/>
      <c r="CW40" s="36"/>
      <c r="CX40" s="36"/>
      <c r="CY40" s="36"/>
      <c r="CZ40" s="36"/>
      <c r="DA40" s="36"/>
      <c r="DB40" s="36"/>
      <c r="DC40" s="36"/>
      <c r="DD40" s="36"/>
      <c r="DE40" s="36"/>
      <c r="DF40" s="36"/>
      <c r="DG40" s="36"/>
      <c r="DH40" s="36"/>
      <c r="DI40" s="36"/>
      <c r="DJ40" s="36"/>
      <c r="DK40" s="36"/>
      <c r="DL40" s="36"/>
      <c r="DM40" s="36"/>
      <c r="DN40" s="36"/>
      <c r="DO40" s="36"/>
      <c r="DP40" s="36"/>
      <c r="DQ40" s="36"/>
      <c r="DR40" s="36"/>
      <c r="DS40" s="36"/>
      <c r="DT40" s="36"/>
      <c r="DU40" s="36"/>
    </row>
    <row r="41" spans="1:125" s="41" customFormat="1" ht="30" customHeight="1" x14ac:dyDescent="0.25">
      <c r="A41" t="s">
        <v>267</v>
      </c>
      <c r="B41">
        <v>23</v>
      </c>
      <c r="C41"/>
      <c r="D41" t="s">
        <v>900</v>
      </c>
      <c r="E41" s="568" t="s">
        <v>901</v>
      </c>
      <c r="F41">
        <v>1</v>
      </c>
      <c r="G41" s="14">
        <v>160</v>
      </c>
      <c r="H41" s="14">
        <v>160</v>
      </c>
      <c r="I41" t="s">
        <v>3</v>
      </c>
      <c r="J41">
        <v>1</v>
      </c>
      <c r="K41" s="249"/>
      <c r="L41"/>
      <c r="M41" s="14"/>
      <c r="N41" s="300">
        <v>160</v>
      </c>
      <c r="O41" s="554"/>
      <c r="P41" s="36" t="str">
        <f ca="1">IFERROR(+IF(P$27=ProposalToGnatt[[#This Row],[Start Date]],Milestone_Marker,IF(AND(P$27&gt;ProposalToGnatt[[#This Row],[Start Date]],P$27&lt;ProposalToGnatt[[#This Row],[Start Date]]+ProposalToGnatt[[#This Row],[Days]]),$G$5,"")),"")</f>
        <v/>
      </c>
      <c r="Q41" s="36" t="str">
        <f ca="1">IFERROR(+IF(Q$27=ProposalToGnatt[[#This Row],[Start Date]],Milestone_Marker,IF(AND(Q$27&gt;ProposalToGnatt[[#This Row],[Start Date]],Q$27&lt;ProposalToGnatt[[#This Row],[Start Date]]+ProposalToGnatt[[#This Row],[Days]]),$G$5,"")),"")</f>
        <v/>
      </c>
      <c r="R41" s="36" t="str">
        <f ca="1">IFERROR(+IF(R$27=ProposalToGnatt[[#This Row],[Start Date]],Milestone_Marker,IF(AND(R$27&gt;ProposalToGnatt[[#This Row],[Start Date]],R$27&lt;ProposalToGnatt[[#This Row],[Start Date]]+ProposalToGnatt[[#This Row],[Days]]),$G$5,"")),"")</f>
        <v/>
      </c>
      <c r="S41" s="36" t="str">
        <f ca="1">IFERROR(+IF(S$27=ProposalToGnatt[[#This Row],[Start Date]],Milestone_Marker,IF(AND(S$27&gt;ProposalToGnatt[[#This Row],[Start Date]],S$27&lt;ProposalToGnatt[[#This Row],[Start Date]]+ProposalToGnatt[[#This Row],[Days]]),$G$5,"")),"")</f>
        <v/>
      </c>
      <c r="T41" s="36" t="str">
        <f ca="1">IFERROR(+IF(T$27=ProposalToGnatt[[#This Row],[Start Date]],Milestone_Marker,IF(AND(T$27&gt;ProposalToGnatt[[#This Row],[Start Date]],T$27&lt;ProposalToGnatt[[#This Row],[Start Date]]+ProposalToGnatt[[#This Row],[Days]]),$G$5,"")),"")</f>
        <v/>
      </c>
      <c r="U41" s="36" t="str">
        <f ca="1">IFERROR(+IF(U$27=ProposalToGnatt[[#This Row],[Start Date]],Milestone_Marker,IF(AND(U$27&gt;ProposalToGnatt[[#This Row],[Start Date]],U$27&lt;ProposalToGnatt[[#This Row],[Start Date]]+ProposalToGnatt[[#This Row],[Days]]),$G$5,"")),"")</f>
        <v/>
      </c>
      <c r="V41" s="36" t="str">
        <f ca="1">IFERROR(+IF(V$27=ProposalToGnatt[[#This Row],[Start Date]],Milestone_Marker,IF(AND(V$27&gt;ProposalToGnatt[[#This Row],[Start Date]],V$27&lt;ProposalToGnatt[[#This Row],[Start Date]]+ProposalToGnatt[[#This Row],[Days]]),$G$5,"")),"")</f>
        <v/>
      </c>
      <c r="W41" s="36" t="str">
        <f ca="1">IFERROR(+IF(W$27=ProposalToGnatt[[#This Row],[Start Date]],Milestone_Marker,IF(AND(W$27&gt;ProposalToGnatt[[#This Row],[Start Date]],W$27&lt;ProposalToGnatt[[#This Row],[Start Date]]+ProposalToGnatt[[#This Row],[Days]]),$G$5,"")),"")</f>
        <v/>
      </c>
      <c r="X41" s="36" t="str">
        <f ca="1">IFERROR(+IF(X$27=ProposalToGnatt[[#This Row],[Start Date]],Milestone_Marker,IF(AND(X$27&gt;ProposalToGnatt[[#This Row],[Start Date]],X$27&lt;ProposalToGnatt[[#This Row],[Start Date]]+ProposalToGnatt[[#This Row],[Days]]),$G$5,"")),"")</f>
        <v/>
      </c>
      <c r="Y41" s="36" t="str">
        <f ca="1">IFERROR(+IF(Y$27=ProposalToGnatt[[#This Row],[Start Date]],Milestone_Marker,IF(AND(Y$27&gt;ProposalToGnatt[[#This Row],[Start Date]],Y$27&lt;ProposalToGnatt[[#This Row],[Start Date]]+ProposalToGnatt[[#This Row],[Days]]),$G$5,"")),"")</f>
        <v/>
      </c>
      <c r="Z41" s="36" t="str">
        <f ca="1">IFERROR(+IF(Z$27=ProposalToGnatt[[#This Row],[Start Date]],Milestone_Marker,IF(AND(Z$27&gt;ProposalToGnatt[[#This Row],[Start Date]],Z$27&lt;ProposalToGnatt[[#This Row],[Start Date]]+ProposalToGnatt[[#This Row],[Days]]),$G$5,"")),"")</f>
        <v/>
      </c>
      <c r="AA41" s="36" t="str">
        <f ca="1">IFERROR(+IF(AA$27=ProposalToGnatt[[#This Row],[Start Date]],Milestone_Marker,IF(AND(AA$27&gt;ProposalToGnatt[[#This Row],[Start Date]],AA$27&lt;ProposalToGnatt[[#This Row],[Start Date]]+ProposalToGnatt[[#This Row],[Days]]),$G$5,"")),"")</f>
        <v/>
      </c>
      <c r="AB41" s="36" t="str">
        <f ca="1">IFERROR(+IF(AB$27=ProposalToGnatt[[#This Row],[Start Date]],Milestone_Marker,IF(AND(AB$27&gt;ProposalToGnatt[[#This Row],[Start Date]],AB$27&lt;ProposalToGnatt[[#This Row],[Start Date]]+ProposalToGnatt[[#This Row],[Days]]),$G$5,"")),"")</f>
        <v/>
      </c>
      <c r="AC41" s="36" t="str">
        <f ca="1">IFERROR(+IF(AC$27=ProposalToGnatt[[#This Row],[Start Date]],Milestone_Marker,IF(AND(AC$27&gt;ProposalToGnatt[[#This Row],[Start Date]],AC$27&lt;ProposalToGnatt[[#This Row],[Start Date]]+ProposalToGnatt[[#This Row],[Days]]),$G$5,"")),"")</f>
        <v/>
      </c>
      <c r="AD41" s="36" t="str">
        <f ca="1">IFERROR(+IF(AD$27=ProposalToGnatt[[#This Row],[Start Date]],Milestone_Marker,IF(AND(AD$27&gt;ProposalToGnatt[[#This Row],[Start Date]],AD$27&lt;ProposalToGnatt[[#This Row],[Start Date]]+ProposalToGnatt[[#This Row],[Days]]),$G$5,"")),"")</f>
        <v/>
      </c>
      <c r="AE41" s="36" t="str">
        <f ca="1">IFERROR(+IF(AE$27=ProposalToGnatt[[#This Row],[Start Date]],Milestone_Marker,IF(AND(AE$27&gt;ProposalToGnatt[[#This Row],[Start Date]],AE$27&lt;ProposalToGnatt[[#This Row],[Start Date]]+ProposalToGnatt[[#This Row],[Days]]),$G$5,"")),"")</f>
        <v/>
      </c>
      <c r="AF41" s="36" t="str">
        <f ca="1">IFERROR(+IF(AF$27=ProposalToGnatt[[#This Row],[Start Date]],Milestone_Marker,IF(AND(AF$27&gt;ProposalToGnatt[[#This Row],[Start Date]],AF$27&lt;ProposalToGnatt[[#This Row],[Start Date]]+ProposalToGnatt[[#This Row],[Days]]),$G$5,"")),"")</f>
        <v/>
      </c>
      <c r="AG41" s="36" t="str">
        <f ca="1">IFERROR(+IF(AG$27=ProposalToGnatt[[#This Row],[Start Date]],Milestone_Marker,IF(AND(AG$27&gt;ProposalToGnatt[[#This Row],[Start Date]],AG$27&lt;ProposalToGnatt[[#This Row],[Start Date]]+ProposalToGnatt[[#This Row],[Days]]),$G$5,"")),"")</f>
        <v/>
      </c>
      <c r="AH41" s="36" t="str">
        <f ca="1">IFERROR(+IF(AH$27=ProposalToGnatt[[#This Row],[Start Date]],Milestone_Marker,IF(AND(AH$27&gt;ProposalToGnatt[[#This Row],[Start Date]],AH$27&lt;ProposalToGnatt[[#This Row],[Start Date]]+ProposalToGnatt[[#This Row],[Days]]),$G$5,"")),"")</f>
        <v/>
      </c>
      <c r="AI41" s="36" t="str">
        <f ca="1">IFERROR(+IF(AI$27=ProposalToGnatt[[#This Row],[Start Date]],Milestone_Marker,IF(AND(AI$27&gt;ProposalToGnatt[[#This Row],[Start Date]],AI$27&lt;ProposalToGnatt[[#This Row],[Start Date]]+ProposalToGnatt[[#This Row],[Days]]),$G$5,"")),"")</f>
        <v/>
      </c>
      <c r="AJ41" s="36" t="str">
        <f ca="1">IFERROR(+IF(AJ$27=ProposalToGnatt[[#This Row],[Start Date]],Milestone_Marker,IF(AND(AJ$27&gt;ProposalToGnatt[[#This Row],[Start Date]],AJ$27&lt;ProposalToGnatt[[#This Row],[Start Date]]+ProposalToGnatt[[#This Row],[Days]]),$G$5,"")),"")</f>
        <v/>
      </c>
      <c r="AK41" s="36" t="str">
        <f ca="1">IFERROR(+IF(AK$27=ProposalToGnatt[[#This Row],[Start Date]],Milestone_Marker,IF(AND(AK$27&gt;ProposalToGnatt[[#This Row],[Start Date]],AK$27&lt;ProposalToGnatt[[#This Row],[Start Date]]+ProposalToGnatt[[#This Row],[Days]]),$G$5,"")),"")</f>
        <v/>
      </c>
      <c r="AL41" s="36" t="str">
        <f ca="1">IFERROR(+IF(AL$27=ProposalToGnatt[[#This Row],[Start Date]],Milestone_Marker,IF(AND(AL$27&gt;ProposalToGnatt[[#This Row],[Start Date]],AL$27&lt;ProposalToGnatt[[#This Row],[Start Date]]+ProposalToGnatt[[#This Row],[Days]]),$G$5,"")),"")</f>
        <v/>
      </c>
      <c r="AM41" s="36" t="str">
        <f ca="1">IFERROR(+IF(AM$27=ProposalToGnatt[[#This Row],[Start Date]],Milestone_Marker,IF(AND(AM$27&gt;ProposalToGnatt[[#This Row],[Start Date]],AM$27&lt;ProposalToGnatt[[#This Row],[Start Date]]+ProposalToGnatt[[#This Row],[Days]]),$G$5,"")),"")</f>
        <v/>
      </c>
      <c r="AN41" s="36" t="str">
        <f ca="1">IFERROR(+IF(AN$27=ProposalToGnatt[[#This Row],[Start Date]],Milestone_Marker,IF(AND(AN$27&gt;ProposalToGnatt[[#This Row],[Start Date]],AN$27&lt;ProposalToGnatt[[#This Row],[Start Date]]+ProposalToGnatt[[#This Row],[Days]]),$G$5,"")),"")</f>
        <v/>
      </c>
      <c r="AO41" s="36" t="str">
        <f ca="1">IFERROR(+IF(AO$27=ProposalToGnatt[[#This Row],[Start Date]],Milestone_Marker,IF(AND(AO$27&gt;ProposalToGnatt[[#This Row],[Start Date]],AO$27&lt;ProposalToGnatt[[#This Row],[Start Date]]+ProposalToGnatt[[#This Row],[Days]]),$G$5,"")),"")</f>
        <v/>
      </c>
      <c r="AP41" s="36" t="str">
        <f ca="1">IFERROR(+IF(AP$27=ProposalToGnatt[[#This Row],[Start Date]],Milestone_Marker,IF(AND(AP$27&gt;ProposalToGnatt[[#This Row],[Start Date]],AP$27&lt;ProposalToGnatt[[#This Row],[Start Date]]+ProposalToGnatt[[#This Row],[Days]]),$G$5,"")),"")</f>
        <v/>
      </c>
      <c r="AQ41" s="36" t="str">
        <f ca="1">IFERROR(+IF(AQ$27=ProposalToGnatt[[#This Row],[Start Date]],Milestone_Marker,IF(AND(AQ$27&gt;ProposalToGnatt[[#This Row],[Start Date]],AQ$27&lt;ProposalToGnatt[[#This Row],[Start Date]]+ProposalToGnatt[[#This Row],[Days]]),$G$5,"")),"")</f>
        <v/>
      </c>
      <c r="AR41" s="36" t="str">
        <f ca="1">IFERROR(+IF(AR$27=ProposalToGnatt[[#This Row],[Start Date]],Milestone_Marker,IF(AND(AR$27&gt;ProposalToGnatt[[#This Row],[Start Date]],AR$27&lt;ProposalToGnatt[[#This Row],[Start Date]]+ProposalToGnatt[[#This Row],[Days]]),$G$5,"")),"")</f>
        <v/>
      </c>
      <c r="AS41" s="36" t="str">
        <f ca="1">IFERROR(+IF(AS$27=ProposalToGnatt[[#This Row],[Start Date]],Milestone_Marker,IF(AND(AS$27&gt;ProposalToGnatt[[#This Row],[Start Date]],AS$27&lt;ProposalToGnatt[[#This Row],[Start Date]]+ProposalToGnatt[[#This Row],[Days]]),$G$5,"")),"")</f>
        <v/>
      </c>
      <c r="AT41" s="36" t="str">
        <f ca="1">IFERROR(+IF(AT$27=ProposalToGnatt[[#This Row],[Start Date]],Milestone_Marker,IF(AND(AT$27&gt;ProposalToGnatt[[#This Row],[Start Date]],AT$27&lt;ProposalToGnatt[[#This Row],[Start Date]]+ProposalToGnatt[[#This Row],[Days]]),$G$5,"")),"")</f>
        <v/>
      </c>
      <c r="AU41" s="36" t="str">
        <f ca="1">IFERROR(+IF(AU$27=ProposalToGnatt[[#This Row],[Start Date]],Milestone_Marker,IF(AND(AU$27&gt;ProposalToGnatt[[#This Row],[Start Date]],AU$27&lt;ProposalToGnatt[[#This Row],[Start Date]]+ProposalToGnatt[[#This Row],[Days]]),$G$5,"")),"")</f>
        <v/>
      </c>
      <c r="AV41" s="36" t="str">
        <f ca="1">IFERROR(+IF(AV$27=ProposalToGnatt[[#This Row],[Start Date]],Milestone_Marker,IF(AND(AV$27&gt;ProposalToGnatt[[#This Row],[Start Date]],AV$27&lt;ProposalToGnatt[[#This Row],[Start Date]]+ProposalToGnatt[[#This Row],[Days]]),$G$5,"")),"")</f>
        <v/>
      </c>
      <c r="AW41" s="36" t="str">
        <f ca="1">IFERROR(+IF(AW$27=ProposalToGnatt[[#This Row],[Start Date]],Milestone_Marker,IF(AND(AW$27&gt;ProposalToGnatt[[#This Row],[Start Date]],AW$27&lt;ProposalToGnatt[[#This Row],[Start Date]]+ProposalToGnatt[[#This Row],[Days]]),$G$5,"")),"")</f>
        <v/>
      </c>
      <c r="AX41" s="36" t="str">
        <f ca="1">IFERROR(+IF(AX$27=ProposalToGnatt[[#This Row],[Start Date]],Milestone_Marker,IF(AND(AX$27&gt;ProposalToGnatt[[#This Row],[Start Date]],AX$27&lt;ProposalToGnatt[[#This Row],[Start Date]]+ProposalToGnatt[[#This Row],[Days]]),$G$5,"")),"")</f>
        <v/>
      </c>
      <c r="AY41" s="36" t="str">
        <f ca="1">IFERROR(+IF(AY$27=ProposalToGnatt[[#This Row],[Start Date]],Milestone_Marker,IF(AND(AY$27&gt;ProposalToGnatt[[#This Row],[Start Date]],AY$27&lt;ProposalToGnatt[[#This Row],[Start Date]]+ProposalToGnatt[[#This Row],[Days]]),$G$5,"")),"")</f>
        <v/>
      </c>
      <c r="AZ41" s="36" t="str">
        <f ca="1">IFERROR(+IF(AZ$27=ProposalToGnatt[[#This Row],[Start Date]],Milestone_Marker,IF(AND(AZ$27&gt;ProposalToGnatt[[#This Row],[Start Date]],AZ$27&lt;ProposalToGnatt[[#This Row],[Start Date]]+ProposalToGnatt[[#This Row],[Days]]),$G$5,"")),"")</f>
        <v/>
      </c>
      <c r="BA41" s="36" t="str">
        <f ca="1">IFERROR(+IF(BA$27=ProposalToGnatt[[#This Row],[Start Date]],Milestone_Marker,IF(AND(BA$27&gt;ProposalToGnatt[[#This Row],[Start Date]],BA$27&lt;ProposalToGnatt[[#This Row],[Start Date]]+ProposalToGnatt[[#This Row],[Days]]),$G$5,"")),"")</f>
        <v/>
      </c>
      <c r="BB41" s="36" t="str">
        <f ca="1">IFERROR(+IF(BB$27=ProposalToGnatt[[#This Row],[Start Date]],Milestone_Marker,IF(AND(BB$27&gt;ProposalToGnatt[[#This Row],[Start Date]],BB$27&lt;ProposalToGnatt[[#This Row],[Start Date]]+ProposalToGnatt[[#This Row],[Days]]),$G$5,"")),"")</f>
        <v/>
      </c>
      <c r="BC41" s="36" t="str">
        <f ca="1">IFERROR(+IF(BC$27=ProposalToGnatt[[#This Row],[Start Date]],Milestone_Marker,IF(AND(BC$27&gt;ProposalToGnatt[[#This Row],[Start Date]],BC$27&lt;ProposalToGnatt[[#This Row],[Start Date]]+ProposalToGnatt[[#This Row],[Days]]),$G$5,"")),"")</f>
        <v/>
      </c>
      <c r="BD41" s="36" t="str">
        <f ca="1">IFERROR(+IF(BD$27=ProposalToGnatt[[#This Row],[Start Date]],Milestone_Marker,IF(AND(BD$27&gt;ProposalToGnatt[[#This Row],[Start Date]],BD$27&lt;ProposalToGnatt[[#This Row],[Start Date]]+ProposalToGnatt[[#This Row],[Days]]),$G$5,"")),"")</f>
        <v/>
      </c>
      <c r="BE41" s="36" t="str">
        <f ca="1">IFERROR(+IF(BE$27=ProposalToGnatt[[#This Row],[Start Date]],Milestone_Marker,IF(AND(BE$27&gt;ProposalToGnatt[[#This Row],[Start Date]],BE$27&lt;ProposalToGnatt[[#This Row],[Start Date]]+ProposalToGnatt[[#This Row],[Days]]),$G$5,"")),"")</f>
        <v/>
      </c>
      <c r="BF41" s="36" t="str">
        <f ca="1">IFERROR(+IF(BF$27=ProposalToGnatt[[#This Row],[Start Date]],Milestone_Marker,IF(AND(BF$27&gt;ProposalToGnatt[[#This Row],[Start Date]],BF$27&lt;ProposalToGnatt[[#This Row],[Start Date]]+ProposalToGnatt[[#This Row],[Days]]),$G$5,"")),"")</f>
        <v/>
      </c>
      <c r="BG41" s="36" t="str">
        <f ca="1">IFERROR(+IF(BG$27=ProposalToGnatt[[#This Row],[Start Date]],Milestone_Marker,IF(AND(BG$27&gt;ProposalToGnatt[[#This Row],[Start Date]],BG$27&lt;ProposalToGnatt[[#This Row],[Start Date]]+ProposalToGnatt[[#This Row],[Days]]),$G$5,"")),"")</f>
        <v/>
      </c>
      <c r="BH41" s="36" t="str">
        <f ca="1">IFERROR(+IF(BH$27=ProposalToGnatt[[#This Row],[Start Date]],Milestone_Marker,IF(AND(BH$27&gt;ProposalToGnatt[[#This Row],[Start Date]],BH$27&lt;ProposalToGnatt[[#This Row],[Start Date]]+ProposalToGnatt[[#This Row],[Days]]),$G$5,"")),"")</f>
        <v/>
      </c>
      <c r="BI41" s="36" t="str">
        <f ca="1">IFERROR(+IF(BI$27=ProposalToGnatt[[#This Row],[Start Date]],Milestone_Marker,IF(AND(BI$27&gt;ProposalToGnatt[[#This Row],[Start Date]],BI$27&lt;ProposalToGnatt[[#This Row],[Start Date]]+ProposalToGnatt[[#This Row],[Days]]),$G$5,"")),"")</f>
        <v/>
      </c>
      <c r="BJ41" s="36" t="str">
        <f ca="1">IFERROR(+IF(BJ$27=ProposalToGnatt[[#This Row],[Start Date]],Milestone_Marker,IF(AND(BJ$27&gt;ProposalToGnatt[[#This Row],[Start Date]],BJ$27&lt;ProposalToGnatt[[#This Row],[Start Date]]+ProposalToGnatt[[#This Row],[Days]]),$G$5,"")),"")</f>
        <v/>
      </c>
      <c r="BK41" s="36" t="str">
        <f ca="1">IFERROR(+IF(BK$27=ProposalToGnatt[[#This Row],[Start Date]],Milestone_Marker,IF(AND(BK$27&gt;ProposalToGnatt[[#This Row],[Start Date]],BK$27&lt;ProposalToGnatt[[#This Row],[Start Date]]+ProposalToGnatt[[#This Row],[Days]]),$G$5,"")),"")</f>
        <v/>
      </c>
      <c r="BL41" s="36" t="str">
        <f ca="1">IFERROR(+IF(BL$27=ProposalToGnatt[[#This Row],[Start Date]],Milestone_Marker,IF(AND(BL$27&gt;ProposalToGnatt[[#This Row],[Start Date]],BL$27&lt;ProposalToGnatt[[#This Row],[Start Date]]+ProposalToGnatt[[#This Row],[Days]]),$G$5,"")),"")</f>
        <v/>
      </c>
      <c r="BM41" s="36" t="str">
        <f ca="1">IFERROR(+IF(BM$27=ProposalToGnatt[[#This Row],[Start Date]],Milestone_Marker,IF(AND(BM$27&gt;ProposalToGnatt[[#This Row],[Start Date]],BM$27&lt;ProposalToGnatt[[#This Row],[Start Date]]+ProposalToGnatt[[#This Row],[Days]]),$G$5,"")),"")</f>
        <v/>
      </c>
      <c r="BN41" s="36" t="str">
        <f ca="1">IFERROR(+IF(BN$27=ProposalToGnatt[[#This Row],[Start Date]],Milestone_Marker,IF(AND(BN$27&gt;ProposalToGnatt[[#This Row],[Start Date]],BN$27&lt;ProposalToGnatt[[#This Row],[Start Date]]+ProposalToGnatt[[#This Row],[Days]]),$G$5,"")),"")</f>
        <v/>
      </c>
      <c r="BO41" s="36" t="str">
        <f ca="1">IFERROR(+IF(BO$27=ProposalToGnatt[[#This Row],[Start Date]],Milestone_Marker,IF(AND(BO$27&gt;ProposalToGnatt[[#This Row],[Start Date]],BO$27&lt;ProposalToGnatt[[#This Row],[Start Date]]+ProposalToGnatt[[#This Row],[Days]]),$G$5,"")),"")</f>
        <v/>
      </c>
      <c r="BP41" s="36" t="str">
        <f ca="1">IFERROR(+IF(BP$27=ProposalToGnatt[[#This Row],[Start Date]],Milestone_Marker,IF(AND(BP$27&gt;ProposalToGnatt[[#This Row],[Start Date]],BP$27&lt;ProposalToGnatt[[#This Row],[Start Date]]+ProposalToGnatt[[#This Row],[Days]]),$G$5,"")),"")</f>
        <v/>
      </c>
      <c r="BQ41" s="36" t="str">
        <f ca="1">IFERROR(+IF(BQ$27=ProposalToGnatt[[#This Row],[Start Date]],Milestone_Marker,IF(AND(BQ$27&gt;ProposalToGnatt[[#This Row],[Start Date]],BQ$27&lt;ProposalToGnatt[[#This Row],[Start Date]]+ProposalToGnatt[[#This Row],[Days]]),$G$5,"")),"")</f>
        <v/>
      </c>
      <c r="BR41" s="36" t="str">
        <f ca="1">IFERROR(+IF(BR$27=ProposalToGnatt[[#This Row],[Start Date]],Milestone_Marker,IF(AND(BR$27&gt;ProposalToGnatt[[#This Row],[Start Date]],BR$27&lt;ProposalToGnatt[[#This Row],[Start Date]]+ProposalToGnatt[[#This Row],[Days]]),$G$5,"")),"")</f>
        <v/>
      </c>
      <c r="BS41" s="36" t="str">
        <f ca="1">IFERROR(+IF(BS$27=ProposalToGnatt[[#This Row],[Start Date]],Milestone_Marker,IF(AND(BS$27&gt;ProposalToGnatt[[#This Row],[Start Date]],BS$27&lt;ProposalToGnatt[[#This Row],[Start Date]]+ProposalToGnatt[[#This Row],[Days]]),$G$5,"")),"")</f>
        <v/>
      </c>
      <c r="BT41" s="36" t="str">
        <f ca="1">IFERROR(+IF(BT$27=ProposalToGnatt[[#This Row],[Start Date]],Milestone_Marker,IF(AND(BT$27&gt;ProposalToGnatt[[#This Row],[Start Date]],BT$27&lt;ProposalToGnatt[[#This Row],[Start Date]]+ProposalToGnatt[[#This Row],[Days]]),$G$5,"")),"")</f>
        <v/>
      </c>
      <c r="BU41" s="36" t="str">
        <f ca="1">IFERROR(+IF(BU$27=ProposalToGnatt[[#This Row],[Start Date]],Milestone_Marker,IF(AND(BU$27&gt;ProposalToGnatt[[#This Row],[Start Date]],BU$27&lt;ProposalToGnatt[[#This Row],[Start Date]]+ProposalToGnatt[[#This Row],[Days]]),$G$5,"")),"")</f>
        <v/>
      </c>
      <c r="BV41" s="36" t="str">
        <f ca="1">IFERROR(+IF(BV$27=ProposalToGnatt[[#This Row],[Start Date]],Milestone_Marker,IF(AND(BV$27&gt;ProposalToGnatt[[#This Row],[Start Date]],BV$27&lt;ProposalToGnatt[[#This Row],[Start Date]]+ProposalToGnatt[[#This Row],[Days]]),$G$5,"")),"")</f>
        <v/>
      </c>
      <c r="BW41" s="36" t="str">
        <f ca="1">IFERROR(+IF(BW$27=ProposalToGnatt[[#This Row],[Start Date]],Milestone_Marker,IF(AND(BW$27&gt;ProposalToGnatt[[#This Row],[Start Date]],BW$27&lt;ProposalToGnatt[[#This Row],[Start Date]]+ProposalToGnatt[[#This Row],[Days]]),$G$5,"")),"")</f>
        <v/>
      </c>
      <c r="BX41" s="36" t="str">
        <f ca="1">IFERROR(+IF(BX$27=ProposalToGnatt[[#This Row],[Start Date]],Milestone_Marker,IF(AND(BX$27&gt;ProposalToGnatt[[#This Row],[Start Date]],BX$27&lt;ProposalToGnatt[[#This Row],[Start Date]]+ProposalToGnatt[[#This Row],[Days]]),$G$5,"")),"")</f>
        <v/>
      </c>
      <c r="BY41" s="36" t="str">
        <f ca="1">IFERROR(+IF(BY$27=ProposalToGnatt[[#This Row],[Start Date]],Milestone_Marker,IF(AND(BY$27&gt;ProposalToGnatt[[#This Row],[Start Date]],BY$27&lt;ProposalToGnatt[[#This Row],[Start Date]]+ProposalToGnatt[[#This Row],[Days]]),$G$5,"")),"")</f>
        <v/>
      </c>
      <c r="BZ41" s="36" t="str">
        <f ca="1">IFERROR(+IF(BZ$27=ProposalToGnatt[[#This Row],[Start Date]],Milestone_Marker,IF(AND(BZ$27&gt;ProposalToGnatt[[#This Row],[Start Date]],BZ$27&lt;ProposalToGnatt[[#This Row],[Start Date]]+ProposalToGnatt[[#This Row],[Days]]),$G$5,"")),"")</f>
        <v/>
      </c>
      <c r="CA41" s="36" t="str">
        <f ca="1">IFERROR(+IF(CA$27=ProposalToGnatt[[#This Row],[Start Date]],Milestone_Marker,IF(AND(CA$27&gt;ProposalToGnatt[[#This Row],[Start Date]],CA$27&lt;ProposalToGnatt[[#This Row],[Start Date]]+ProposalToGnatt[[#This Row],[Days]]),$G$5,"")),"")</f>
        <v/>
      </c>
      <c r="CB41" s="36" t="str">
        <f ca="1">IFERROR(+IF(CB$27=ProposalToGnatt[[#This Row],[Start Date]],Milestone_Marker,IF(AND(CB$27&gt;ProposalToGnatt[[#This Row],[Start Date]],CB$27&lt;ProposalToGnatt[[#This Row],[Start Date]]+ProposalToGnatt[[#This Row],[Days]]),$G$5,"")),"")</f>
        <v/>
      </c>
      <c r="CC41" s="36" t="str">
        <f ca="1">IFERROR(+IF(CC$27=ProposalToGnatt[[#This Row],[Start Date]],Milestone_Marker,IF(AND(CC$27&gt;ProposalToGnatt[[#This Row],[Start Date]],CC$27&lt;ProposalToGnatt[[#This Row],[Start Date]]+ProposalToGnatt[[#This Row],[Days]]),$G$5,"")),"")</f>
        <v/>
      </c>
      <c r="CD41" s="36" t="str">
        <f ca="1">IFERROR(+IF(CD$27=ProposalToGnatt[[#This Row],[Start Date]],Milestone_Marker,IF(AND(CD$27&gt;ProposalToGnatt[[#This Row],[Start Date]],CD$27&lt;ProposalToGnatt[[#This Row],[Start Date]]+ProposalToGnatt[[#This Row],[Days]]),$G$5,"")),"")</f>
        <v/>
      </c>
      <c r="CE41" s="36" t="str">
        <f ca="1">IFERROR(+IF(CE$27=ProposalToGnatt[[#This Row],[Start Date]],Milestone_Marker,IF(AND(CE$27&gt;ProposalToGnatt[[#This Row],[Start Date]],CE$27&lt;ProposalToGnatt[[#This Row],[Start Date]]+ProposalToGnatt[[#This Row],[Days]]),$G$5,"")),"")</f>
        <v/>
      </c>
      <c r="CF41" s="36" t="str">
        <f ca="1">IFERROR(+IF(CF$27=ProposalToGnatt[[#This Row],[Start Date]],Milestone_Marker,IF(AND(CF$27&gt;ProposalToGnatt[[#This Row],[Start Date]],CF$27&lt;ProposalToGnatt[[#This Row],[Start Date]]+ProposalToGnatt[[#This Row],[Days]]),$G$5,"")),"")</f>
        <v/>
      </c>
      <c r="CG41" s="36" t="str">
        <f ca="1">IFERROR(+IF(CG$27=ProposalToGnatt[[#This Row],[Start Date]],Milestone_Marker,IF(AND(CG$27&gt;ProposalToGnatt[[#This Row],[Start Date]],CG$27&lt;ProposalToGnatt[[#This Row],[Start Date]]+ProposalToGnatt[[#This Row],[Days]]),$G$5,"")),"")</f>
        <v/>
      </c>
      <c r="CH41" s="36" t="str">
        <f ca="1">IFERROR(+IF(CH$27=ProposalToGnatt[[#This Row],[Start Date]],Milestone_Marker,IF(AND(CH$27&gt;ProposalToGnatt[[#This Row],[Start Date]],CH$27&lt;ProposalToGnatt[[#This Row],[Start Date]]+ProposalToGnatt[[#This Row],[Days]]),$G$5,"")),"")</f>
        <v/>
      </c>
      <c r="CI41" s="36" t="str">
        <f ca="1">IFERROR(+IF(CI$27=ProposalToGnatt[[#This Row],[Start Date]],Milestone_Marker,IF(AND(CI$27&gt;ProposalToGnatt[[#This Row],[Start Date]],CI$27&lt;ProposalToGnatt[[#This Row],[Start Date]]+ProposalToGnatt[[#This Row],[Days]]),$G$5,"")),"")</f>
        <v/>
      </c>
      <c r="CJ41" s="36" t="str">
        <f ca="1">IFERROR(+IF(CJ$27=ProposalToGnatt[[#This Row],[Start Date]],Milestone_Marker,IF(AND(CJ$27&gt;ProposalToGnatt[[#This Row],[Start Date]],CJ$27&lt;ProposalToGnatt[[#This Row],[Start Date]]+ProposalToGnatt[[#This Row],[Days]]),$G$5,"")),"")</f>
        <v/>
      </c>
      <c r="CK41" s="36" t="str">
        <f ca="1">IFERROR(+IF(CK$27=ProposalToGnatt[[#This Row],[Start Date]],Milestone_Marker,IF(AND(CK$27&gt;ProposalToGnatt[[#This Row],[Start Date]],CK$27&lt;ProposalToGnatt[[#This Row],[Start Date]]+ProposalToGnatt[[#This Row],[Days]]),$G$5,"")),"")</f>
        <v/>
      </c>
      <c r="CL41" s="36" t="str">
        <f ca="1">IFERROR(+IF(CL$27=ProposalToGnatt[[#This Row],[Start Date]],Milestone_Marker,IF(AND(CL$27&gt;ProposalToGnatt[[#This Row],[Start Date]],CL$27&lt;ProposalToGnatt[[#This Row],[Start Date]]+ProposalToGnatt[[#This Row],[Days]]),$G$5,"")),"")</f>
        <v/>
      </c>
      <c r="CM41" s="36" t="str">
        <f ca="1">IFERROR(+IF(CM$27=ProposalToGnatt[[#This Row],[Start Date]],Milestone_Marker,IF(AND(CM$27&gt;ProposalToGnatt[[#This Row],[Start Date]],CM$27&lt;ProposalToGnatt[[#This Row],[Start Date]]+ProposalToGnatt[[#This Row],[Days]]),$G$5,"")),"")</f>
        <v/>
      </c>
      <c r="CN41" s="36" t="str">
        <f ca="1">IFERROR(+IF(CN$27=ProposalToGnatt[[#This Row],[Start Date]],Milestone_Marker,IF(AND(CN$27&gt;ProposalToGnatt[[#This Row],[Start Date]],CN$27&lt;ProposalToGnatt[[#This Row],[Start Date]]+ProposalToGnatt[[#This Row],[Days]]),$G$5,"")),"")</f>
        <v/>
      </c>
      <c r="CO41" s="36" t="str">
        <f ca="1">IFERROR(+IF(CO$27=ProposalToGnatt[[#This Row],[Start Date]],Milestone_Marker,IF(AND(CO$27&gt;ProposalToGnatt[[#This Row],[Start Date]],CO$27&lt;ProposalToGnatt[[#This Row],[Start Date]]+ProposalToGnatt[[#This Row],[Days]]),$G$5,"")),"")</f>
        <v/>
      </c>
      <c r="CP41" s="36" t="str">
        <f ca="1">IFERROR(+IF(CP$27=ProposalToGnatt[[#This Row],[Start Date]],Milestone_Marker,IF(AND(CP$27&gt;ProposalToGnatt[[#This Row],[Start Date]],CP$27&lt;ProposalToGnatt[[#This Row],[Start Date]]+ProposalToGnatt[[#This Row],[Days]]),$G$5,"")),"")</f>
        <v/>
      </c>
      <c r="CQ41" s="36" t="str">
        <f ca="1">IFERROR(+IF(CQ$27=ProposalToGnatt[[#This Row],[Start Date]],Milestone_Marker,IF(AND(CQ$27&gt;ProposalToGnatt[[#This Row],[Start Date]],CQ$27&lt;ProposalToGnatt[[#This Row],[Start Date]]+ProposalToGnatt[[#This Row],[Days]]),$G$5,"")),"")</f>
        <v/>
      </c>
      <c r="CR41" s="36" t="str">
        <f ca="1">IFERROR(+IF(CR$27=ProposalToGnatt[[#This Row],[Start Date]],Milestone_Marker,IF(AND(CR$27&gt;ProposalToGnatt[[#This Row],[Start Date]],CR$27&lt;ProposalToGnatt[[#This Row],[Start Date]]+ProposalToGnatt[[#This Row],[Days]]),$G$5,"")),"")</f>
        <v/>
      </c>
      <c r="CS41" s="36" t="str">
        <f ca="1">IFERROR(+IF(CS$27=ProposalToGnatt[[#This Row],[Start Date]],Milestone_Marker,IF(AND(CS$27&gt;ProposalToGnatt[[#This Row],[Start Date]],CS$27&lt;ProposalToGnatt[[#This Row],[Start Date]]+ProposalToGnatt[[#This Row],[Days]]),$G$5,"")),"")</f>
        <v/>
      </c>
      <c r="CT41" s="36" t="str">
        <f ca="1">IFERROR(+IF(CT$27=ProposalToGnatt[[#This Row],[Start Date]],Milestone_Marker,IF(AND(CT$27&gt;ProposalToGnatt[[#This Row],[Start Date]],CT$27&lt;ProposalToGnatt[[#This Row],[Start Date]]+ProposalToGnatt[[#This Row],[Days]]),$G$5,"")),"")</f>
        <v/>
      </c>
      <c r="CU41" s="36" t="str">
        <f ca="1">IFERROR(+IF(CU$27=ProposalToGnatt[[#This Row],[Start Date]],Milestone_Marker,IF(AND(CU$27&gt;ProposalToGnatt[[#This Row],[Start Date]],CU$27&lt;ProposalToGnatt[[#This Row],[Start Date]]+ProposalToGnatt[[#This Row],[Days]]),$G$5,"")),"")</f>
        <v/>
      </c>
      <c r="CV41" s="36"/>
      <c r="CW41" s="36"/>
      <c r="CX41" s="36"/>
      <c r="CY41" s="36"/>
      <c r="CZ41" s="36"/>
      <c r="DA41" s="36"/>
      <c r="DB41" s="36"/>
      <c r="DC41" s="36"/>
      <c r="DD41" s="36"/>
      <c r="DE41" s="36"/>
      <c r="DF41" s="36"/>
      <c r="DG41" s="36"/>
      <c r="DH41" s="36"/>
      <c r="DI41" s="36"/>
      <c r="DJ41" s="36"/>
      <c r="DK41" s="36"/>
      <c r="DL41" s="36"/>
      <c r="DM41" s="36"/>
      <c r="DN41" s="36"/>
      <c r="DO41" s="36"/>
      <c r="DP41" s="36"/>
      <c r="DQ41" s="36"/>
      <c r="DR41" s="36"/>
      <c r="DS41" s="36"/>
      <c r="DT41" s="36"/>
      <c r="DU41" s="36"/>
    </row>
    <row r="42" spans="1:125" s="41" customFormat="1" ht="15" customHeight="1" x14ac:dyDescent="0.25">
      <c r="A42" t="s">
        <v>267</v>
      </c>
      <c r="B42">
        <v>24</v>
      </c>
      <c r="C42"/>
      <c r="D42" t="s">
        <v>903</v>
      </c>
      <c r="E42" s="568" t="s">
        <v>902</v>
      </c>
      <c r="F42">
        <v>4</v>
      </c>
      <c r="G42" s="14">
        <v>45</v>
      </c>
      <c r="H42" s="14">
        <v>180</v>
      </c>
      <c r="I42" t="s">
        <v>3</v>
      </c>
      <c r="J42">
        <v>1</v>
      </c>
      <c r="K42" s="249"/>
      <c r="L42"/>
      <c r="M42" s="14"/>
      <c r="N42" s="300">
        <v>180</v>
      </c>
      <c r="O42" s="554"/>
      <c r="P42" s="36" t="str">
        <f ca="1">IFERROR(+IF(P$27=ProposalToGnatt[[#This Row],[Start Date]],Milestone_Marker,IF(AND(P$27&gt;ProposalToGnatt[[#This Row],[Start Date]],P$27&lt;ProposalToGnatt[[#This Row],[Start Date]]+ProposalToGnatt[[#This Row],[Days]]),$G$5,"")),"")</f>
        <v/>
      </c>
      <c r="Q42" s="36" t="str">
        <f ca="1">IFERROR(+IF(Q$27=ProposalToGnatt[[#This Row],[Start Date]],Milestone_Marker,IF(AND(Q$27&gt;ProposalToGnatt[[#This Row],[Start Date]],Q$27&lt;ProposalToGnatt[[#This Row],[Start Date]]+ProposalToGnatt[[#This Row],[Days]]),$G$5,"")),"")</f>
        <v/>
      </c>
      <c r="R42" s="36" t="str">
        <f ca="1">IFERROR(+IF(R$27=ProposalToGnatt[[#This Row],[Start Date]],Milestone_Marker,IF(AND(R$27&gt;ProposalToGnatt[[#This Row],[Start Date]],R$27&lt;ProposalToGnatt[[#This Row],[Start Date]]+ProposalToGnatt[[#This Row],[Days]]),$G$5,"")),"")</f>
        <v/>
      </c>
      <c r="S42" s="36" t="str">
        <f ca="1">IFERROR(+IF(S$27=ProposalToGnatt[[#This Row],[Start Date]],Milestone_Marker,IF(AND(S$27&gt;ProposalToGnatt[[#This Row],[Start Date]],S$27&lt;ProposalToGnatt[[#This Row],[Start Date]]+ProposalToGnatt[[#This Row],[Days]]),$G$5,"")),"")</f>
        <v/>
      </c>
      <c r="T42" s="36" t="str">
        <f ca="1">IFERROR(+IF(T$27=ProposalToGnatt[[#This Row],[Start Date]],Milestone_Marker,IF(AND(T$27&gt;ProposalToGnatt[[#This Row],[Start Date]],T$27&lt;ProposalToGnatt[[#This Row],[Start Date]]+ProposalToGnatt[[#This Row],[Days]]),$G$5,"")),"")</f>
        <v/>
      </c>
      <c r="U42" s="36" t="str">
        <f ca="1">IFERROR(+IF(U$27=ProposalToGnatt[[#This Row],[Start Date]],Milestone_Marker,IF(AND(U$27&gt;ProposalToGnatt[[#This Row],[Start Date]],U$27&lt;ProposalToGnatt[[#This Row],[Start Date]]+ProposalToGnatt[[#This Row],[Days]]),$G$5,"")),"")</f>
        <v/>
      </c>
      <c r="V42" s="36" t="str">
        <f ca="1">IFERROR(+IF(V$27=ProposalToGnatt[[#This Row],[Start Date]],Milestone_Marker,IF(AND(V$27&gt;ProposalToGnatt[[#This Row],[Start Date]],V$27&lt;ProposalToGnatt[[#This Row],[Start Date]]+ProposalToGnatt[[#This Row],[Days]]),$G$5,"")),"")</f>
        <v/>
      </c>
      <c r="W42" s="36" t="str">
        <f ca="1">IFERROR(+IF(W$27=ProposalToGnatt[[#This Row],[Start Date]],Milestone_Marker,IF(AND(W$27&gt;ProposalToGnatt[[#This Row],[Start Date]],W$27&lt;ProposalToGnatt[[#This Row],[Start Date]]+ProposalToGnatt[[#This Row],[Days]]),$G$5,"")),"")</f>
        <v/>
      </c>
      <c r="X42" s="36" t="str">
        <f ca="1">IFERROR(+IF(X$27=ProposalToGnatt[[#This Row],[Start Date]],Milestone_Marker,IF(AND(X$27&gt;ProposalToGnatt[[#This Row],[Start Date]],X$27&lt;ProposalToGnatt[[#This Row],[Start Date]]+ProposalToGnatt[[#This Row],[Days]]),$G$5,"")),"")</f>
        <v/>
      </c>
      <c r="Y42" s="36" t="str">
        <f ca="1">IFERROR(+IF(Y$27=ProposalToGnatt[[#This Row],[Start Date]],Milestone_Marker,IF(AND(Y$27&gt;ProposalToGnatt[[#This Row],[Start Date]],Y$27&lt;ProposalToGnatt[[#This Row],[Start Date]]+ProposalToGnatt[[#This Row],[Days]]),$G$5,"")),"")</f>
        <v/>
      </c>
      <c r="Z42" s="36" t="str">
        <f ca="1">IFERROR(+IF(Z$27=ProposalToGnatt[[#This Row],[Start Date]],Milestone_Marker,IF(AND(Z$27&gt;ProposalToGnatt[[#This Row],[Start Date]],Z$27&lt;ProposalToGnatt[[#This Row],[Start Date]]+ProposalToGnatt[[#This Row],[Days]]),$G$5,"")),"")</f>
        <v/>
      </c>
      <c r="AA42" s="36" t="str">
        <f ca="1">IFERROR(+IF(AA$27=ProposalToGnatt[[#This Row],[Start Date]],Milestone_Marker,IF(AND(AA$27&gt;ProposalToGnatt[[#This Row],[Start Date]],AA$27&lt;ProposalToGnatt[[#This Row],[Start Date]]+ProposalToGnatt[[#This Row],[Days]]),$G$5,"")),"")</f>
        <v/>
      </c>
      <c r="AB42" s="36" t="str">
        <f ca="1">IFERROR(+IF(AB$27=ProposalToGnatt[[#This Row],[Start Date]],Milestone_Marker,IF(AND(AB$27&gt;ProposalToGnatt[[#This Row],[Start Date]],AB$27&lt;ProposalToGnatt[[#This Row],[Start Date]]+ProposalToGnatt[[#This Row],[Days]]),$G$5,"")),"")</f>
        <v/>
      </c>
      <c r="AC42" s="36" t="str">
        <f ca="1">IFERROR(+IF(AC$27=ProposalToGnatt[[#This Row],[Start Date]],Milestone_Marker,IF(AND(AC$27&gt;ProposalToGnatt[[#This Row],[Start Date]],AC$27&lt;ProposalToGnatt[[#This Row],[Start Date]]+ProposalToGnatt[[#This Row],[Days]]),$G$5,"")),"")</f>
        <v/>
      </c>
      <c r="AD42" s="36" t="str">
        <f ca="1">IFERROR(+IF(AD$27=ProposalToGnatt[[#This Row],[Start Date]],Milestone_Marker,IF(AND(AD$27&gt;ProposalToGnatt[[#This Row],[Start Date]],AD$27&lt;ProposalToGnatt[[#This Row],[Start Date]]+ProposalToGnatt[[#This Row],[Days]]),$G$5,"")),"")</f>
        <v/>
      </c>
      <c r="AE42" s="36" t="str">
        <f ca="1">IFERROR(+IF(AE$27=ProposalToGnatt[[#This Row],[Start Date]],Milestone_Marker,IF(AND(AE$27&gt;ProposalToGnatt[[#This Row],[Start Date]],AE$27&lt;ProposalToGnatt[[#This Row],[Start Date]]+ProposalToGnatt[[#This Row],[Days]]),$G$5,"")),"")</f>
        <v/>
      </c>
      <c r="AF42" s="36" t="str">
        <f ca="1">IFERROR(+IF(AF$27=ProposalToGnatt[[#This Row],[Start Date]],Milestone_Marker,IF(AND(AF$27&gt;ProposalToGnatt[[#This Row],[Start Date]],AF$27&lt;ProposalToGnatt[[#This Row],[Start Date]]+ProposalToGnatt[[#This Row],[Days]]),$G$5,"")),"")</f>
        <v/>
      </c>
      <c r="AG42" s="36" t="str">
        <f ca="1">IFERROR(+IF(AG$27=ProposalToGnatt[[#This Row],[Start Date]],Milestone_Marker,IF(AND(AG$27&gt;ProposalToGnatt[[#This Row],[Start Date]],AG$27&lt;ProposalToGnatt[[#This Row],[Start Date]]+ProposalToGnatt[[#This Row],[Days]]),$G$5,"")),"")</f>
        <v/>
      </c>
      <c r="AH42" s="36" t="str">
        <f ca="1">IFERROR(+IF(AH$27=ProposalToGnatt[[#This Row],[Start Date]],Milestone_Marker,IF(AND(AH$27&gt;ProposalToGnatt[[#This Row],[Start Date]],AH$27&lt;ProposalToGnatt[[#This Row],[Start Date]]+ProposalToGnatt[[#This Row],[Days]]),$G$5,"")),"")</f>
        <v/>
      </c>
      <c r="AI42" s="36" t="str">
        <f ca="1">IFERROR(+IF(AI$27=ProposalToGnatt[[#This Row],[Start Date]],Milestone_Marker,IF(AND(AI$27&gt;ProposalToGnatt[[#This Row],[Start Date]],AI$27&lt;ProposalToGnatt[[#This Row],[Start Date]]+ProposalToGnatt[[#This Row],[Days]]),$G$5,"")),"")</f>
        <v/>
      </c>
      <c r="AJ42" s="36" t="str">
        <f ca="1">IFERROR(+IF(AJ$27=ProposalToGnatt[[#This Row],[Start Date]],Milestone_Marker,IF(AND(AJ$27&gt;ProposalToGnatt[[#This Row],[Start Date]],AJ$27&lt;ProposalToGnatt[[#This Row],[Start Date]]+ProposalToGnatt[[#This Row],[Days]]),$G$5,"")),"")</f>
        <v/>
      </c>
      <c r="AK42" s="36" t="str">
        <f ca="1">IFERROR(+IF(AK$27=ProposalToGnatt[[#This Row],[Start Date]],Milestone_Marker,IF(AND(AK$27&gt;ProposalToGnatt[[#This Row],[Start Date]],AK$27&lt;ProposalToGnatt[[#This Row],[Start Date]]+ProposalToGnatt[[#This Row],[Days]]),$G$5,"")),"")</f>
        <v/>
      </c>
      <c r="AL42" s="36" t="str">
        <f ca="1">IFERROR(+IF(AL$27=ProposalToGnatt[[#This Row],[Start Date]],Milestone_Marker,IF(AND(AL$27&gt;ProposalToGnatt[[#This Row],[Start Date]],AL$27&lt;ProposalToGnatt[[#This Row],[Start Date]]+ProposalToGnatt[[#This Row],[Days]]),$G$5,"")),"")</f>
        <v/>
      </c>
      <c r="AM42" s="36" t="str">
        <f ca="1">IFERROR(+IF(AM$27=ProposalToGnatt[[#This Row],[Start Date]],Milestone_Marker,IF(AND(AM$27&gt;ProposalToGnatt[[#This Row],[Start Date]],AM$27&lt;ProposalToGnatt[[#This Row],[Start Date]]+ProposalToGnatt[[#This Row],[Days]]),$G$5,"")),"")</f>
        <v/>
      </c>
      <c r="AN42" s="36" t="str">
        <f ca="1">IFERROR(+IF(AN$27=ProposalToGnatt[[#This Row],[Start Date]],Milestone_Marker,IF(AND(AN$27&gt;ProposalToGnatt[[#This Row],[Start Date]],AN$27&lt;ProposalToGnatt[[#This Row],[Start Date]]+ProposalToGnatt[[#This Row],[Days]]),$G$5,"")),"")</f>
        <v/>
      </c>
      <c r="AO42" s="36" t="str">
        <f ca="1">IFERROR(+IF(AO$27=ProposalToGnatt[[#This Row],[Start Date]],Milestone_Marker,IF(AND(AO$27&gt;ProposalToGnatt[[#This Row],[Start Date]],AO$27&lt;ProposalToGnatt[[#This Row],[Start Date]]+ProposalToGnatt[[#This Row],[Days]]),$G$5,"")),"")</f>
        <v/>
      </c>
      <c r="AP42" s="36" t="str">
        <f ca="1">IFERROR(+IF(AP$27=ProposalToGnatt[[#This Row],[Start Date]],Milestone_Marker,IF(AND(AP$27&gt;ProposalToGnatt[[#This Row],[Start Date]],AP$27&lt;ProposalToGnatt[[#This Row],[Start Date]]+ProposalToGnatt[[#This Row],[Days]]),$G$5,"")),"")</f>
        <v/>
      </c>
      <c r="AQ42" s="36" t="str">
        <f ca="1">IFERROR(+IF(AQ$27=ProposalToGnatt[[#This Row],[Start Date]],Milestone_Marker,IF(AND(AQ$27&gt;ProposalToGnatt[[#This Row],[Start Date]],AQ$27&lt;ProposalToGnatt[[#This Row],[Start Date]]+ProposalToGnatt[[#This Row],[Days]]),$G$5,"")),"")</f>
        <v/>
      </c>
      <c r="AR42" s="36" t="str">
        <f ca="1">IFERROR(+IF(AR$27=ProposalToGnatt[[#This Row],[Start Date]],Milestone_Marker,IF(AND(AR$27&gt;ProposalToGnatt[[#This Row],[Start Date]],AR$27&lt;ProposalToGnatt[[#This Row],[Start Date]]+ProposalToGnatt[[#This Row],[Days]]),$G$5,"")),"")</f>
        <v/>
      </c>
      <c r="AS42" s="36" t="str">
        <f ca="1">IFERROR(+IF(AS$27=ProposalToGnatt[[#This Row],[Start Date]],Milestone_Marker,IF(AND(AS$27&gt;ProposalToGnatt[[#This Row],[Start Date]],AS$27&lt;ProposalToGnatt[[#This Row],[Start Date]]+ProposalToGnatt[[#This Row],[Days]]),$G$5,"")),"")</f>
        <v/>
      </c>
      <c r="AT42" s="36" t="str">
        <f ca="1">IFERROR(+IF(AT$27=ProposalToGnatt[[#This Row],[Start Date]],Milestone_Marker,IF(AND(AT$27&gt;ProposalToGnatt[[#This Row],[Start Date]],AT$27&lt;ProposalToGnatt[[#This Row],[Start Date]]+ProposalToGnatt[[#This Row],[Days]]),$G$5,"")),"")</f>
        <v/>
      </c>
      <c r="AU42" s="36" t="str">
        <f ca="1">IFERROR(+IF(AU$27=ProposalToGnatt[[#This Row],[Start Date]],Milestone_Marker,IF(AND(AU$27&gt;ProposalToGnatt[[#This Row],[Start Date]],AU$27&lt;ProposalToGnatt[[#This Row],[Start Date]]+ProposalToGnatt[[#This Row],[Days]]),$G$5,"")),"")</f>
        <v/>
      </c>
      <c r="AV42" s="36" t="str">
        <f ca="1">IFERROR(+IF(AV$27=ProposalToGnatt[[#This Row],[Start Date]],Milestone_Marker,IF(AND(AV$27&gt;ProposalToGnatt[[#This Row],[Start Date]],AV$27&lt;ProposalToGnatt[[#This Row],[Start Date]]+ProposalToGnatt[[#This Row],[Days]]),$G$5,"")),"")</f>
        <v/>
      </c>
      <c r="AW42" s="36" t="str">
        <f ca="1">IFERROR(+IF(AW$27=ProposalToGnatt[[#This Row],[Start Date]],Milestone_Marker,IF(AND(AW$27&gt;ProposalToGnatt[[#This Row],[Start Date]],AW$27&lt;ProposalToGnatt[[#This Row],[Start Date]]+ProposalToGnatt[[#This Row],[Days]]),$G$5,"")),"")</f>
        <v/>
      </c>
      <c r="AX42" s="36" t="str">
        <f ca="1">IFERROR(+IF(AX$27=ProposalToGnatt[[#This Row],[Start Date]],Milestone_Marker,IF(AND(AX$27&gt;ProposalToGnatt[[#This Row],[Start Date]],AX$27&lt;ProposalToGnatt[[#This Row],[Start Date]]+ProposalToGnatt[[#This Row],[Days]]),$G$5,"")),"")</f>
        <v/>
      </c>
      <c r="AY42" s="36" t="str">
        <f ca="1">IFERROR(+IF(AY$27=ProposalToGnatt[[#This Row],[Start Date]],Milestone_Marker,IF(AND(AY$27&gt;ProposalToGnatt[[#This Row],[Start Date]],AY$27&lt;ProposalToGnatt[[#This Row],[Start Date]]+ProposalToGnatt[[#This Row],[Days]]),$G$5,"")),"")</f>
        <v/>
      </c>
      <c r="AZ42" s="36" t="str">
        <f ca="1">IFERROR(+IF(AZ$27=ProposalToGnatt[[#This Row],[Start Date]],Milestone_Marker,IF(AND(AZ$27&gt;ProposalToGnatt[[#This Row],[Start Date]],AZ$27&lt;ProposalToGnatt[[#This Row],[Start Date]]+ProposalToGnatt[[#This Row],[Days]]),$G$5,"")),"")</f>
        <v/>
      </c>
      <c r="BA42" s="36" t="str">
        <f ca="1">IFERROR(+IF(BA$27=ProposalToGnatt[[#This Row],[Start Date]],Milestone_Marker,IF(AND(BA$27&gt;ProposalToGnatt[[#This Row],[Start Date]],BA$27&lt;ProposalToGnatt[[#This Row],[Start Date]]+ProposalToGnatt[[#This Row],[Days]]),$G$5,"")),"")</f>
        <v/>
      </c>
      <c r="BB42" s="36" t="str">
        <f ca="1">IFERROR(+IF(BB$27=ProposalToGnatt[[#This Row],[Start Date]],Milestone_Marker,IF(AND(BB$27&gt;ProposalToGnatt[[#This Row],[Start Date]],BB$27&lt;ProposalToGnatt[[#This Row],[Start Date]]+ProposalToGnatt[[#This Row],[Days]]),$G$5,"")),"")</f>
        <v/>
      </c>
      <c r="BC42" s="36" t="str">
        <f ca="1">IFERROR(+IF(BC$27=ProposalToGnatt[[#This Row],[Start Date]],Milestone_Marker,IF(AND(BC$27&gt;ProposalToGnatt[[#This Row],[Start Date]],BC$27&lt;ProposalToGnatt[[#This Row],[Start Date]]+ProposalToGnatt[[#This Row],[Days]]),$G$5,"")),"")</f>
        <v/>
      </c>
      <c r="BD42" s="36" t="str">
        <f ca="1">IFERROR(+IF(BD$27=ProposalToGnatt[[#This Row],[Start Date]],Milestone_Marker,IF(AND(BD$27&gt;ProposalToGnatt[[#This Row],[Start Date]],BD$27&lt;ProposalToGnatt[[#This Row],[Start Date]]+ProposalToGnatt[[#This Row],[Days]]),$G$5,"")),"")</f>
        <v/>
      </c>
      <c r="BE42" s="36" t="str">
        <f ca="1">IFERROR(+IF(BE$27=ProposalToGnatt[[#This Row],[Start Date]],Milestone_Marker,IF(AND(BE$27&gt;ProposalToGnatt[[#This Row],[Start Date]],BE$27&lt;ProposalToGnatt[[#This Row],[Start Date]]+ProposalToGnatt[[#This Row],[Days]]),$G$5,"")),"")</f>
        <v/>
      </c>
      <c r="BF42" s="36" t="str">
        <f ca="1">IFERROR(+IF(BF$27=ProposalToGnatt[[#This Row],[Start Date]],Milestone_Marker,IF(AND(BF$27&gt;ProposalToGnatt[[#This Row],[Start Date]],BF$27&lt;ProposalToGnatt[[#This Row],[Start Date]]+ProposalToGnatt[[#This Row],[Days]]),$G$5,"")),"")</f>
        <v/>
      </c>
      <c r="BG42" s="36" t="str">
        <f ca="1">IFERROR(+IF(BG$27=ProposalToGnatt[[#This Row],[Start Date]],Milestone_Marker,IF(AND(BG$27&gt;ProposalToGnatt[[#This Row],[Start Date]],BG$27&lt;ProposalToGnatt[[#This Row],[Start Date]]+ProposalToGnatt[[#This Row],[Days]]),$G$5,"")),"")</f>
        <v/>
      </c>
      <c r="BH42" s="36" t="str">
        <f ca="1">IFERROR(+IF(BH$27=ProposalToGnatt[[#This Row],[Start Date]],Milestone_Marker,IF(AND(BH$27&gt;ProposalToGnatt[[#This Row],[Start Date]],BH$27&lt;ProposalToGnatt[[#This Row],[Start Date]]+ProposalToGnatt[[#This Row],[Days]]),$G$5,"")),"")</f>
        <v/>
      </c>
      <c r="BI42" s="36" t="str">
        <f ca="1">IFERROR(+IF(BI$27=ProposalToGnatt[[#This Row],[Start Date]],Milestone_Marker,IF(AND(BI$27&gt;ProposalToGnatt[[#This Row],[Start Date]],BI$27&lt;ProposalToGnatt[[#This Row],[Start Date]]+ProposalToGnatt[[#This Row],[Days]]),$G$5,"")),"")</f>
        <v/>
      </c>
      <c r="BJ42" s="36" t="str">
        <f ca="1">IFERROR(+IF(BJ$27=ProposalToGnatt[[#This Row],[Start Date]],Milestone_Marker,IF(AND(BJ$27&gt;ProposalToGnatt[[#This Row],[Start Date]],BJ$27&lt;ProposalToGnatt[[#This Row],[Start Date]]+ProposalToGnatt[[#This Row],[Days]]),$G$5,"")),"")</f>
        <v/>
      </c>
      <c r="BK42" s="36" t="str">
        <f ca="1">IFERROR(+IF(BK$27=ProposalToGnatt[[#This Row],[Start Date]],Milestone_Marker,IF(AND(BK$27&gt;ProposalToGnatt[[#This Row],[Start Date]],BK$27&lt;ProposalToGnatt[[#This Row],[Start Date]]+ProposalToGnatt[[#This Row],[Days]]),$G$5,"")),"")</f>
        <v/>
      </c>
      <c r="BL42" s="36" t="str">
        <f ca="1">IFERROR(+IF(BL$27=ProposalToGnatt[[#This Row],[Start Date]],Milestone_Marker,IF(AND(BL$27&gt;ProposalToGnatt[[#This Row],[Start Date]],BL$27&lt;ProposalToGnatt[[#This Row],[Start Date]]+ProposalToGnatt[[#This Row],[Days]]),$G$5,"")),"")</f>
        <v/>
      </c>
      <c r="BM42" s="36" t="str">
        <f ca="1">IFERROR(+IF(BM$27=ProposalToGnatt[[#This Row],[Start Date]],Milestone_Marker,IF(AND(BM$27&gt;ProposalToGnatt[[#This Row],[Start Date]],BM$27&lt;ProposalToGnatt[[#This Row],[Start Date]]+ProposalToGnatt[[#This Row],[Days]]),$G$5,"")),"")</f>
        <v/>
      </c>
      <c r="BN42" s="36" t="str">
        <f ca="1">IFERROR(+IF(BN$27=ProposalToGnatt[[#This Row],[Start Date]],Milestone_Marker,IF(AND(BN$27&gt;ProposalToGnatt[[#This Row],[Start Date]],BN$27&lt;ProposalToGnatt[[#This Row],[Start Date]]+ProposalToGnatt[[#This Row],[Days]]),$G$5,"")),"")</f>
        <v/>
      </c>
      <c r="BO42" s="36" t="str">
        <f ca="1">IFERROR(+IF(BO$27=ProposalToGnatt[[#This Row],[Start Date]],Milestone_Marker,IF(AND(BO$27&gt;ProposalToGnatt[[#This Row],[Start Date]],BO$27&lt;ProposalToGnatt[[#This Row],[Start Date]]+ProposalToGnatt[[#This Row],[Days]]),$G$5,"")),"")</f>
        <v/>
      </c>
      <c r="BP42" s="36" t="str">
        <f ca="1">IFERROR(+IF(BP$27=ProposalToGnatt[[#This Row],[Start Date]],Milestone_Marker,IF(AND(BP$27&gt;ProposalToGnatt[[#This Row],[Start Date]],BP$27&lt;ProposalToGnatt[[#This Row],[Start Date]]+ProposalToGnatt[[#This Row],[Days]]),$G$5,"")),"")</f>
        <v/>
      </c>
      <c r="BQ42" s="36" t="str">
        <f ca="1">IFERROR(+IF(BQ$27=ProposalToGnatt[[#This Row],[Start Date]],Milestone_Marker,IF(AND(BQ$27&gt;ProposalToGnatt[[#This Row],[Start Date]],BQ$27&lt;ProposalToGnatt[[#This Row],[Start Date]]+ProposalToGnatt[[#This Row],[Days]]),$G$5,"")),"")</f>
        <v/>
      </c>
      <c r="BR42" s="36" t="str">
        <f ca="1">IFERROR(+IF(BR$27=ProposalToGnatt[[#This Row],[Start Date]],Milestone_Marker,IF(AND(BR$27&gt;ProposalToGnatt[[#This Row],[Start Date]],BR$27&lt;ProposalToGnatt[[#This Row],[Start Date]]+ProposalToGnatt[[#This Row],[Days]]),$G$5,"")),"")</f>
        <v/>
      </c>
      <c r="BS42" s="36" t="str">
        <f ca="1">IFERROR(+IF(BS$27=ProposalToGnatt[[#This Row],[Start Date]],Milestone_Marker,IF(AND(BS$27&gt;ProposalToGnatt[[#This Row],[Start Date]],BS$27&lt;ProposalToGnatt[[#This Row],[Start Date]]+ProposalToGnatt[[#This Row],[Days]]),$G$5,"")),"")</f>
        <v/>
      </c>
      <c r="BT42" s="36" t="str">
        <f ca="1">IFERROR(+IF(BT$27=ProposalToGnatt[[#This Row],[Start Date]],Milestone_Marker,IF(AND(BT$27&gt;ProposalToGnatt[[#This Row],[Start Date]],BT$27&lt;ProposalToGnatt[[#This Row],[Start Date]]+ProposalToGnatt[[#This Row],[Days]]),$G$5,"")),"")</f>
        <v/>
      </c>
      <c r="BU42" s="36" t="str">
        <f ca="1">IFERROR(+IF(BU$27=ProposalToGnatt[[#This Row],[Start Date]],Milestone_Marker,IF(AND(BU$27&gt;ProposalToGnatt[[#This Row],[Start Date]],BU$27&lt;ProposalToGnatt[[#This Row],[Start Date]]+ProposalToGnatt[[#This Row],[Days]]),$G$5,"")),"")</f>
        <v/>
      </c>
      <c r="BV42" s="36" t="str">
        <f ca="1">IFERROR(+IF(BV$27=ProposalToGnatt[[#This Row],[Start Date]],Milestone_Marker,IF(AND(BV$27&gt;ProposalToGnatt[[#This Row],[Start Date]],BV$27&lt;ProposalToGnatt[[#This Row],[Start Date]]+ProposalToGnatt[[#This Row],[Days]]),$G$5,"")),"")</f>
        <v/>
      </c>
      <c r="BW42" s="36" t="str">
        <f ca="1">IFERROR(+IF(BW$27=ProposalToGnatt[[#This Row],[Start Date]],Milestone_Marker,IF(AND(BW$27&gt;ProposalToGnatt[[#This Row],[Start Date]],BW$27&lt;ProposalToGnatt[[#This Row],[Start Date]]+ProposalToGnatt[[#This Row],[Days]]),$G$5,"")),"")</f>
        <v/>
      </c>
      <c r="BX42" s="36" t="str">
        <f ca="1">IFERROR(+IF(BX$27=ProposalToGnatt[[#This Row],[Start Date]],Milestone_Marker,IF(AND(BX$27&gt;ProposalToGnatt[[#This Row],[Start Date]],BX$27&lt;ProposalToGnatt[[#This Row],[Start Date]]+ProposalToGnatt[[#This Row],[Days]]),$G$5,"")),"")</f>
        <v/>
      </c>
      <c r="BY42" s="36" t="str">
        <f ca="1">IFERROR(+IF(BY$27=ProposalToGnatt[[#This Row],[Start Date]],Milestone_Marker,IF(AND(BY$27&gt;ProposalToGnatt[[#This Row],[Start Date]],BY$27&lt;ProposalToGnatt[[#This Row],[Start Date]]+ProposalToGnatt[[#This Row],[Days]]),$G$5,"")),"")</f>
        <v/>
      </c>
      <c r="BZ42" s="36" t="str">
        <f ca="1">IFERROR(+IF(BZ$27=ProposalToGnatt[[#This Row],[Start Date]],Milestone_Marker,IF(AND(BZ$27&gt;ProposalToGnatt[[#This Row],[Start Date]],BZ$27&lt;ProposalToGnatt[[#This Row],[Start Date]]+ProposalToGnatt[[#This Row],[Days]]),$G$5,"")),"")</f>
        <v/>
      </c>
      <c r="CA42" s="36" t="str">
        <f ca="1">IFERROR(+IF(CA$27=ProposalToGnatt[[#This Row],[Start Date]],Milestone_Marker,IF(AND(CA$27&gt;ProposalToGnatt[[#This Row],[Start Date]],CA$27&lt;ProposalToGnatt[[#This Row],[Start Date]]+ProposalToGnatt[[#This Row],[Days]]),$G$5,"")),"")</f>
        <v/>
      </c>
      <c r="CB42" s="36" t="str">
        <f ca="1">IFERROR(+IF(CB$27=ProposalToGnatt[[#This Row],[Start Date]],Milestone_Marker,IF(AND(CB$27&gt;ProposalToGnatt[[#This Row],[Start Date]],CB$27&lt;ProposalToGnatt[[#This Row],[Start Date]]+ProposalToGnatt[[#This Row],[Days]]),$G$5,"")),"")</f>
        <v/>
      </c>
      <c r="CC42" s="36" t="str">
        <f ca="1">IFERROR(+IF(CC$27=ProposalToGnatt[[#This Row],[Start Date]],Milestone_Marker,IF(AND(CC$27&gt;ProposalToGnatt[[#This Row],[Start Date]],CC$27&lt;ProposalToGnatt[[#This Row],[Start Date]]+ProposalToGnatt[[#This Row],[Days]]),$G$5,"")),"")</f>
        <v/>
      </c>
      <c r="CD42" s="36" t="str">
        <f ca="1">IFERROR(+IF(CD$27=ProposalToGnatt[[#This Row],[Start Date]],Milestone_Marker,IF(AND(CD$27&gt;ProposalToGnatt[[#This Row],[Start Date]],CD$27&lt;ProposalToGnatt[[#This Row],[Start Date]]+ProposalToGnatt[[#This Row],[Days]]),$G$5,"")),"")</f>
        <v/>
      </c>
      <c r="CE42" s="36" t="str">
        <f ca="1">IFERROR(+IF(CE$27=ProposalToGnatt[[#This Row],[Start Date]],Milestone_Marker,IF(AND(CE$27&gt;ProposalToGnatt[[#This Row],[Start Date]],CE$27&lt;ProposalToGnatt[[#This Row],[Start Date]]+ProposalToGnatt[[#This Row],[Days]]),$G$5,"")),"")</f>
        <v/>
      </c>
      <c r="CF42" s="36" t="str">
        <f ca="1">IFERROR(+IF(CF$27=ProposalToGnatt[[#This Row],[Start Date]],Milestone_Marker,IF(AND(CF$27&gt;ProposalToGnatt[[#This Row],[Start Date]],CF$27&lt;ProposalToGnatt[[#This Row],[Start Date]]+ProposalToGnatt[[#This Row],[Days]]),$G$5,"")),"")</f>
        <v/>
      </c>
      <c r="CG42" s="36" t="str">
        <f ca="1">IFERROR(+IF(CG$27=ProposalToGnatt[[#This Row],[Start Date]],Milestone_Marker,IF(AND(CG$27&gt;ProposalToGnatt[[#This Row],[Start Date]],CG$27&lt;ProposalToGnatt[[#This Row],[Start Date]]+ProposalToGnatt[[#This Row],[Days]]),$G$5,"")),"")</f>
        <v/>
      </c>
      <c r="CH42" s="36" t="str">
        <f ca="1">IFERROR(+IF(CH$27=ProposalToGnatt[[#This Row],[Start Date]],Milestone_Marker,IF(AND(CH$27&gt;ProposalToGnatt[[#This Row],[Start Date]],CH$27&lt;ProposalToGnatt[[#This Row],[Start Date]]+ProposalToGnatt[[#This Row],[Days]]),$G$5,"")),"")</f>
        <v/>
      </c>
      <c r="CI42" s="36" t="str">
        <f ca="1">IFERROR(+IF(CI$27=ProposalToGnatt[[#This Row],[Start Date]],Milestone_Marker,IF(AND(CI$27&gt;ProposalToGnatt[[#This Row],[Start Date]],CI$27&lt;ProposalToGnatt[[#This Row],[Start Date]]+ProposalToGnatt[[#This Row],[Days]]),$G$5,"")),"")</f>
        <v/>
      </c>
      <c r="CJ42" s="36" t="str">
        <f ca="1">IFERROR(+IF(CJ$27=ProposalToGnatt[[#This Row],[Start Date]],Milestone_Marker,IF(AND(CJ$27&gt;ProposalToGnatt[[#This Row],[Start Date]],CJ$27&lt;ProposalToGnatt[[#This Row],[Start Date]]+ProposalToGnatt[[#This Row],[Days]]),$G$5,"")),"")</f>
        <v/>
      </c>
      <c r="CK42" s="36" t="str">
        <f ca="1">IFERROR(+IF(CK$27=ProposalToGnatt[[#This Row],[Start Date]],Milestone_Marker,IF(AND(CK$27&gt;ProposalToGnatt[[#This Row],[Start Date]],CK$27&lt;ProposalToGnatt[[#This Row],[Start Date]]+ProposalToGnatt[[#This Row],[Days]]),$G$5,"")),"")</f>
        <v/>
      </c>
      <c r="CL42" s="36" t="str">
        <f ca="1">IFERROR(+IF(CL$27=ProposalToGnatt[[#This Row],[Start Date]],Milestone_Marker,IF(AND(CL$27&gt;ProposalToGnatt[[#This Row],[Start Date]],CL$27&lt;ProposalToGnatt[[#This Row],[Start Date]]+ProposalToGnatt[[#This Row],[Days]]),$G$5,"")),"")</f>
        <v/>
      </c>
      <c r="CM42" s="36" t="str">
        <f ca="1">IFERROR(+IF(CM$27=ProposalToGnatt[[#This Row],[Start Date]],Milestone_Marker,IF(AND(CM$27&gt;ProposalToGnatt[[#This Row],[Start Date]],CM$27&lt;ProposalToGnatt[[#This Row],[Start Date]]+ProposalToGnatt[[#This Row],[Days]]),$G$5,"")),"")</f>
        <v/>
      </c>
      <c r="CN42" s="36" t="str">
        <f ca="1">IFERROR(+IF(CN$27=ProposalToGnatt[[#This Row],[Start Date]],Milestone_Marker,IF(AND(CN$27&gt;ProposalToGnatt[[#This Row],[Start Date]],CN$27&lt;ProposalToGnatt[[#This Row],[Start Date]]+ProposalToGnatt[[#This Row],[Days]]),$G$5,"")),"")</f>
        <v/>
      </c>
      <c r="CO42" s="36" t="str">
        <f ca="1">IFERROR(+IF(CO$27=ProposalToGnatt[[#This Row],[Start Date]],Milestone_Marker,IF(AND(CO$27&gt;ProposalToGnatt[[#This Row],[Start Date]],CO$27&lt;ProposalToGnatt[[#This Row],[Start Date]]+ProposalToGnatt[[#This Row],[Days]]),$G$5,"")),"")</f>
        <v/>
      </c>
      <c r="CP42" s="36" t="str">
        <f ca="1">IFERROR(+IF(CP$27=ProposalToGnatt[[#This Row],[Start Date]],Milestone_Marker,IF(AND(CP$27&gt;ProposalToGnatt[[#This Row],[Start Date]],CP$27&lt;ProposalToGnatt[[#This Row],[Start Date]]+ProposalToGnatt[[#This Row],[Days]]),$G$5,"")),"")</f>
        <v/>
      </c>
      <c r="CQ42" s="36" t="str">
        <f ca="1">IFERROR(+IF(CQ$27=ProposalToGnatt[[#This Row],[Start Date]],Milestone_Marker,IF(AND(CQ$27&gt;ProposalToGnatt[[#This Row],[Start Date]],CQ$27&lt;ProposalToGnatt[[#This Row],[Start Date]]+ProposalToGnatt[[#This Row],[Days]]),$G$5,"")),"")</f>
        <v/>
      </c>
      <c r="CR42" s="36" t="str">
        <f ca="1">IFERROR(+IF(CR$27=ProposalToGnatt[[#This Row],[Start Date]],Milestone_Marker,IF(AND(CR$27&gt;ProposalToGnatt[[#This Row],[Start Date]],CR$27&lt;ProposalToGnatt[[#This Row],[Start Date]]+ProposalToGnatt[[#This Row],[Days]]),$G$5,"")),"")</f>
        <v/>
      </c>
      <c r="CS42" s="36" t="str">
        <f ca="1">IFERROR(+IF(CS$27=ProposalToGnatt[[#This Row],[Start Date]],Milestone_Marker,IF(AND(CS$27&gt;ProposalToGnatt[[#This Row],[Start Date]],CS$27&lt;ProposalToGnatt[[#This Row],[Start Date]]+ProposalToGnatt[[#This Row],[Days]]),$G$5,"")),"")</f>
        <v/>
      </c>
      <c r="CT42" s="36" t="str">
        <f ca="1">IFERROR(+IF(CT$27=ProposalToGnatt[[#This Row],[Start Date]],Milestone_Marker,IF(AND(CT$27&gt;ProposalToGnatt[[#This Row],[Start Date]],CT$27&lt;ProposalToGnatt[[#This Row],[Start Date]]+ProposalToGnatt[[#This Row],[Days]]),$G$5,"")),"")</f>
        <v/>
      </c>
      <c r="CU42" s="36" t="str">
        <f ca="1">IFERROR(+IF(CU$27=ProposalToGnatt[[#This Row],[Start Date]],Milestone_Marker,IF(AND(CU$27&gt;ProposalToGnatt[[#This Row],[Start Date]],CU$27&lt;ProposalToGnatt[[#This Row],[Start Date]]+ProposalToGnatt[[#This Row],[Days]]),$G$5,"")),"")</f>
        <v/>
      </c>
      <c r="CV42" s="36"/>
      <c r="CW42" s="36"/>
      <c r="CX42" s="36"/>
      <c r="CY42" s="36"/>
      <c r="CZ42" s="36"/>
      <c r="DA42" s="36"/>
      <c r="DB42" s="36"/>
      <c r="DC42" s="36"/>
      <c r="DD42" s="36"/>
      <c r="DE42" s="36"/>
      <c r="DF42" s="36"/>
      <c r="DG42" s="36"/>
      <c r="DH42" s="36"/>
      <c r="DI42" s="36"/>
      <c r="DJ42" s="36"/>
      <c r="DK42" s="36"/>
      <c r="DL42" s="36"/>
      <c r="DM42" s="36"/>
      <c r="DN42" s="36"/>
      <c r="DO42" s="36"/>
      <c r="DP42" s="36"/>
      <c r="DQ42" s="36"/>
      <c r="DR42" s="36"/>
      <c r="DS42" s="36"/>
      <c r="DT42" s="36"/>
      <c r="DU42" s="36"/>
    </row>
    <row r="43" spans="1:125" s="41" customFormat="1" ht="15" x14ac:dyDescent="0.25">
      <c r="A43" t="s">
        <v>267</v>
      </c>
      <c r="B43">
        <v>25</v>
      </c>
      <c r="C43"/>
      <c r="D43" t="s">
        <v>904</v>
      </c>
      <c r="E43" s="568" t="s">
        <v>935</v>
      </c>
      <c r="F43">
        <v>2</v>
      </c>
      <c r="G43" s="14">
        <v>75</v>
      </c>
      <c r="H43" s="14">
        <v>150</v>
      </c>
      <c r="I43" t="s">
        <v>3</v>
      </c>
      <c r="J43">
        <v>1</v>
      </c>
      <c r="K43" s="249"/>
      <c r="L43"/>
      <c r="M43" s="14"/>
      <c r="N43" s="300">
        <v>150</v>
      </c>
      <c r="O43" s="554"/>
      <c r="P43" s="36" t="str">
        <f ca="1">IFERROR(+IF(P$27=ProposalToGnatt[[#This Row],[Start Date]],Milestone_Marker,IF(AND(P$27&gt;ProposalToGnatt[[#This Row],[Start Date]],P$27&lt;ProposalToGnatt[[#This Row],[Start Date]]+ProposalToGnatt[[#This Row],[Days]]),$G$5,"")),"")</f>
        <v/>
      </c>
      <c r="Q43" s="36" t="str">
        <f ca="1">IFERROR(+IF(Q$27=ProposalToGnatt[[#This Row],[Start Date]],Milestone_Marker,IF(AND(Q$27&gt;ProposalToGnatt[[#This Row],[Start Date]],Q$27&lt;ProposalToGnatt[[#This Row],[Start Date]]+ProposalToGnatt[[#This Row],[Days]]),$G$5,"")),"")</f>
        <v/>
      </c>
      <c r="R43" s="36" t="str">
        <f ca="1">IFERROR(+IF(R$27=ProposalToGnatt[[#This Row],[Start Date]],Milestone_Marker,IF(AND(R$27&gt;ProposalToGnatt[[#This Row],[Start Date]],R$27&lt;ProposalToGnatt[[#This Row],[Start Date]]+ProposalToGnatt[[#This Row],[Days]]),$G$5,"")),"")</f>
        <v/>
      </c>
      <c r="S43" s="36" t="str">
        <f ca="1">IFERROR(+IF(S$27=ProposalToGnatt[[#This Row],[Start Date]],Milestone_Marker,IF(AND(S$27&gt;ProposalToGnatt[[#This Row],[Start Date]],S$27&lt;ProposalToGnatt[[#This Row],[Start Date]]+ProposalToGnatt[[#This Row],[Days]]),$G$5,"")),"")</f>
        <v/>
      </c>
      <c r="T43" s="36" t="str">
        <f ca="1">IFERROR(+IF(T$27=ProposalToGnatt[[#This Row],[Start Date]],Milestone_Marker,IF(AND(T$27&gt;ProposalToGnatt[[#This Row],[Start Date]],T$27&lt;ProposalToGnatt[[#This Row],[Start Date]]+ProposalToGnatt[[#This Row],[Days]]),$G$5,"")),"")</f>
        <v/>
      </c>
      <c r="U43" s="36" t="str">
        <f ca="1">IFERROR(+IF(U$27=ProposalToGnatt[[#This Row],[Start Date]],Milestone_Marker,IF(AND(U$27&gt;ProposalToGnatt[[#This Row],[Start Date]],U$27&lt;ProposalToGnatt[[#This Row],[Start Date]]+ProposalToGnatt[[#This Row],[Days]]),$G$5,"")),"")</f>
        <v/>
      </c>
      <c r="V43" s="36" t="str">
        <f ca="1">IFERROR(+IF(V$27=ProposalToGnatt[[#This Row],[Start Date]],Milestone_Marker,IF(AND(V$27&gt;ProposalToGnatt[[#This Row],[Start Date]],V$27&lt;ProposalToGnatt[[#This Row],[Start Date]]+ProposalToGnatt[[#This Row],[Days]]),$G$5,"")),"")</f>
        <v/>
      </c>
      <c r="W43" s="36" t="str">
        <f ca="1">IFERROR(+IF(W$27=ProposalToGnatt[[#This Row],[Start Date]],Milestone_Marker,IF(AND(W$27&gt;ProposalToGnatt[[#This Row],[Start Date]],W$27&lt;ProposalToGnatt[[#This Row],[Start Date]]+ProposalToGnatt[[#This Row],[Days]]),$G$5,"")),"")</f>
        <v/>
      </c>
      <c r="X43" s="36" t="str">
        <f ca="1">IFERROR(+IF(X$27=ProposalToGnatt[[#This Row],[Start Date]],Milestone_Marker,IF(AND(X$27&gt;ProposalToGnatt[[#This Row],[Start Date]],X$27&lt;ProposalToGnatt[[#This Row],[Start Date]]+ProposalToGnatt[[#This Row],[Days]]),$G$5,"")),"")</f>
        <v/>
      </c>
      <c r="Y43" s="36" t="str">
        <f ca="1">IFERROR(+IF(Y$27=ProposalToGnatt[[#This Row],[Start Date]],Milestone_Marker,IF(AND(Y$27&gt;ProposalToGnatt[[#This Row],[Start Date]],Y$27&lt;ProposalToGnatt[[#This Row],[Start Date]]+ProposalToGnatt[[#This Row],[Days]]),$G$5,"")),"")</f>
        <v/>
      </c>
      <c r="Z43" s="36" t="str">
        <f ca="1">IFERROR(+IF(Z$27=ProposalToGnatt[[#This Row],[Start Date]],Milestone_Marker,IF(AND(Z$27&gt;ProposalToGnatt[[#This Row],[Start Date]],Z$27&lt;ProposalToGnatt[[#This Row],[Start Date]]+ProposalToGnatt[[#This Row],[Days]]),$G$5,"")),"")</f>
        <v/>
      </c>
      <c r="AA43" s="36" t="str">
        <f ca="1">IFERROR(+IF(AA$27=ProposalToGnatt[[#This Row],[Start Date]],Milestone_Marker,IF(AND(AA$27&gt;ProposalToGnatt[[#This Row],[Start Date]],AA$27&lt;ProposalToGnatt[[#This Row],[Start Date]]+ProposalToGnatt[[#This Row],[Days]]),$G$5,"")),"")</f>
        <v/>
      </c>
      <c r="AB43" s="36" t="str">
        <f ca="1">IFERROR(+IF(AB$27=ProposalToGnatt[[#This Row],[Start Date]],Milestone_Marker,IF(AND(AB$27&gt;ProposalToGnatt[[#This Row],[Start Date]],AB$27&lt;ProposalToGnatt[[#This Row],[Start Date]]+ProposalToGnatt[[#This Row],[Days]]),$G$5,"")),"")</f>
        <v/>
      </c>
      <c r="AC43" s="36" t="str">
        <f ca="1">IFERROR(+IF(AC$27=ProposalToGnatt[[#This Row],[Start Date]],Milestone_Marker,IF(AND(AC$27&gt;ProposalToGnatt[[#This Row],[Start Date]],AC$27&lt;ProposalToGnatt[[#This Row],[Start Date]]+ProposalToGnatt[[#This Row],[Days]]),$G$5,"")),"")</f>
        <v/>
      </c>
      <c r="AD43" s="36" t="str">
        <f ca="1">IFERROR(+IF(AD$27=ProposalToGnatt[[#This Row],[Start Date]],Milestone_Marker,IF(AND(AD$27&gt;ProposalToGnatt[[#This Row],[Start Date]],AD$27&lt;ProposalToGnatt[[#This Row],[Start Date]]+ProposalToGnatt[[#This Row],[Days]]),$G$5,"")),"")</f>
        <v/>
      </c>
      <c r="AE43" s="36" t="str">
        <f ca="1">IFERROR(+IF(AE$27=ProposalToGnatt[[#This Row],[Start Date]],Milestone_Marker,IF(AND(AE$27&gt;ProposalToGnatt[[#This Row],[Start Date]],AE$27&lt;ProposalToGnatt[[#This Row],[Start Date]]+ProposalToGnatt[[#This Row],[Days]]),$G$5,"")),"")</f>
        <v/>
      </c>
      <c r="AF43" s="36" t="str">
        <f ca="1">IFERROR(+IF(AF$27=ProposalToGnatt[[#This Row],[Start Date]],Milestone_Marker,IF(AND(AF$27&gt;ProposalToGnatt[[#This Row],[Start Date]],AF$27&lt;ProposalToGnatt[[#This Row],[Start Date]]+ProposalToGnatt[[#This Row],[Days]]),$G$5,"")),"")</f>
        <v/>
      </c>
      <c r="AG43" s="36" t="str">
        <f ca="1">IFERROR(+IF(AG$27=ProposalToGnatt[[#This Row],[Start Date]],Milestone_Marker,IF(AND(AG$27&gt;ProposalToGnatt[[#This Row],[Start Date]],AG$27&lt;ProposalToGnatt[[#This Row],[Start Date]]+ProposalToGnatt[[#This Row],[Days]]),$G$5,"")),"")</f>
        <v/>
      </c>
      <c r="AH43" s="36" t="str">
        <f ca="1">IFERROR(+IF(AH$27=ProposalToGnatt[[#This Row],[Start Date]],Milestone_Marker,IF(AND(AH$27&gt;ProposalToGnatt[[#This Row],[Start Date]],AH$27&lt;ProposalToGnatt[[#This Row],[Start Date]]+ProposalToGnatt[[#This Row],[Days]]),$G$5,"")),"")</f>
        <v/>
      </c>
      <c r="AI43" s="36" t="str">
        <f ca="1">IFERROR(+IF(AI$27=ProposalToGnatt[[#This Row],[Start Date]],Milestone_Marker,IF(AND(AI$27&gt;ProposalToGnatt[[#This Row],[Start Date]],AI$27&lt;ProposalToGnatt[[#This Row],[Start Date]]+ProposalToGnatt[[#This Row],[Days]]),$G$5,"")),"")</f>
        <v/>
      </c>
      <c r="AJ43" s="36" t="str">
        <f ca="1">IFERROR(+IF(AJ$27=ProposalToGnatt[[#This Row],[Start Date]],Milestone_Marker,IF(AND(AJ$27&gt;ProposalToGnatt[[#This Row],[Start Date]],AJ$27&lt;ProposalToGnatt[[#This Row],[Start Date]]+ProposalToGnatt[[#This Row],[Days]]),$G$5,"")),"")</f>
        <v/>
      </c>
      <c r="AK43" s="36" t="str">
        <f ca="1">IFERROR(+IF(AK$27=ProposalToGnatt[[#This Row],[Start Date]],Milestone_Marker,IF(AND(AK$27&gt;ProposalToGnatt[[#This Row],[Start Date]],AK$27&lt;ProposalToGnatt[[#This Row],[Start Date]]+ProposalToGnatt[[#This Row],[Days]]),$G$5,"")),"")</f>
        <v/>
      </c>
      <c r="AL43" s="36" t="str">
        <f ca="1">IFERROR(+IF(AL$27=ProposalToGnatt[[#This Row],[Start Date]],Milestone_Marker,IF(AND(AL$27&gt;ProposalToGnatt[[#This Row],[Start Date]],AL$27&lt;ProposalToGnatt[[#This Row],[Start Date]]+ProposalToGnatt[[#This Row],[Days]]),$G$5,"")),"")</f>
        <v/>
      </c>
      <c r="AM43" s="36" t="str">
        <f ca="1">IFERROR(+IF(AM$27=ProposalToGnatt[[#This Row],[Start Date]],Milestone_Marker,IF(AND(AM$27&gt;ProposalToGnatt[[#This Row],[Start Date]],AM$27&lt;ProposalToGnatt[[#This Row],[Start Date]]+ProposalToGnatt[[#This Row],[Days]]),$G$5,"")),"")</f>
        <v/>
      </c>
      <c r="AN43" s="36" t="str">
        <f ca="1">IFERROR(+IF(AN$27=ProposalToGnatt[[#This Row],[Start Date]],Milestone_Marker,IF(AND(AN$27&gt;ProposalToGnatt[[#This Row],[Start Date]],AN$27&lt;ProposalToGnatt[[#This Row],[Start Date]]+ProposalToGnatt[[#This Row],[Days]]),$G$5,"")),"")</f>
        <v/>
      </c>
      <c r="AO43" s="36" t="str">
        <f ca="1">IFERROR(+IF(AO$27=ProposalToGnatt[[#This Row],[Start Date]],Milestone_Marker,IF(AND(AO$27&gt;ProposalToGnatt[[#This Row],[Start Date]],AO$27&lt;ProposalToGnatt[[#This Row],[Start Date]]+ProposalToGnatt[[#This Row],[Days]]),$G$5,"")),"")</f>
        <v/>
      </c>
      <c r="AP43" s="36" t="str">
        <f ca="1">IFERROR(+IF(AP$27=ProposalToGnatt[[#This Row],[Start Date]],Milestone_Marker,IF(AND(AP$27&gt;ProposalToGnatt[[#This Row],[Start Date]],AP$27&lt;ProposalToGnatt[[#This Row],[Start Date]]+ProposalToGnatt[[#This Row],[Days]]),$G$5,"")),"")</f>
        <v/>
      </c>
      <c r="AQ43" s="36" t="str">
        <f ca="1">IFERROR(+IF(AQ$27=ProposalToGnatt[[#This Row],[Start Date]],Milestone_Marker,IF(AND(AQ$27&gt;ProposalToGnatt[[#This Row],[Start Date]],AQ$27&lt;ProposalToGnatt[[#This Row],[Start Date]]+ProposalToGnatt[[#This Row],[Days]]),$G$5,"")),"")</f>
        <v/>
      </c>
      <c r="AR43" s="36" t="str">
        <f ca="1">IFERROR(+IF(AR$27=ProposalToGnatt[[#This Row],[Start Date]],Milestone_Marker,IF(AND(AR$27&gt;ProposalToGnatt[[#This Row],[Start Date]],AR$27&lt;ProposalToGnatt[[#This Row],[Start Date]]+ProposalToGnatt[[#This Row],[Days]]),$G$5,"")),"")</f>
        <v/>
      </c>
      <c r="AS43" s="36" t="str">
        <f ca="1">IFERROR(+IF(AS$27=ProposalToGnatt[[#This Row],[Start Date]],Milestone_Marker,IF(AND(AS$27&gt;ProposalToGnatt[[#This Row],[Start Date]],AS$27&lt;ProposalToGnatt[[#This Row],[Start Date]]+ProposalToGnatt[[#This Row],[Days]]),$G$5,"")),"")</f>
        <v/>
      </c>
      <c r="AT43" s="36" t="str">
        <f ca="1">IFERROR(+IF(AT$27=ProposalToGnatt[[#This Row],[Start Date]],Milestone_Marker,IF(AND(AT$27&gt;ProposalToGnatt[[#This Row],[Start Date]],AT$27&lt;ProposalToGnatt[[#This Row],[Start Date]]+ProposalToGnatt[[#This Row],[Days]]),$G$5,"")),"")</f>
        <v/>
      </c>
      <c r="AU43" s="36" t="str">
        <f ca="1">IFERROR(+IF(AU$27=ProposalToGnatt[[#This Row],[Start Date]],Milestone_Marker,IF(AND(AU$27&gt;ProposalToGnatt[[#This Row],[Start Date]],AU$27&lt;ProposalToGnatt[[#This Row],[Start Date]]+ProposalToGnatt[[#This Row],[Days]]),$G$5,"")),"")</f>
        <v/>
      </c>
      <c r="AV43" s="36" t="str">
        <f ca="1">IFERROR(+IF(AV$27=ProposalToGnatt[[#This Row],[Start Date]],Milestone_Marker,IF(AND(AV$27&gt;ProposalToGnatt[[#This Row],[Start Date]],AV$27&lt;ProposalToGnatt[[#This Row],[Start Date]]+ProposalToGnatt[[#This Row],[Days]]),$G$5,"")),"")</f>
        <v/>
      </c>
      <c r="AW43" s="36" t="str">
        <f ca="1">IFERROR(+IF(AW$27=ProposalToGnatt[[#This Row],[Start Date]],Milestone_Marker,IF(AND(AW$27&gt;ProposalToGnatt[[#This Row],[Start Date]],AW$27&lt;ProposalToGnatt[[#This Row],[Start Date]]+ProposalToGnatt[[#This Row],[Days]]),$G$5,"")),"")</f>
        <v/>
      </c>
      <c r="AX43" s="36" t="str">
        <f ca="1">IFERROR(+IF(AX$27=ProposalToGnatt[[#This Row],[Start Date]],Milestone_Marker,IF(AND(AX$27&gt;ProposalToGnatt[[#This Row],[Start Date]],AX$27&lt;ProposalToGnatt[[#This Row],[Start Date]]+ProposalToGnatt[[#This Row],[Days]]),$G$5,"")),"")</f>
        <v/>
      </c>
      <c r="AY43" s="36" t="str">
        <f ca="1">IFERROR(+IF(AY$27=ProposalToGnatt[[#This Row],[Start Date]],Milestone_Marker,IF(AND(AY$27&gt;ProposalToGnatt[[#This Row],[Start Date]],AY$27&lt;ProposalToGnatt[[#This Row],[Start Date]]+ProposalToGnatt[[#This Row],[Days]]),$G$5,"")),"")</f>
        <v/>
      </c>
      <c r="AZ43" s="36" t="str">
        <f ca="1">IFERROR(+IF(AZ$27=ProposalToGnatt[[#This Row],[Start Date]],Milestone_Marker,IF(AND(AZ$27&gt;ProposalToGnatt[[#This Row],[Start Date]],AZ$27&lt;ProposalToGnatt[[#This Row],[Start Date]]+ProposalToGnatt[[#This Row],[Days]]),$G$5,"")),"")</f>
        <v/>
      </c>
      <c r="BA43" s="36" t="str">
        <f ca="1">IFERROR(+IF(BA$27=ProposalToGnatt[[#This Row],[Start Date]],Milestone_Marker,IF(AND(BA$27&gt;ProposalToGnatt[[#This Row],[Start Date]],BA$27&lt;ProposalToGnatt[[#This Row],[Start Date]]+ProposalToGnatt[[#This Row],[Days]]),$G$5,"")),"")</f>
        <v/>
      </c>
      <c r="BB43" s="36" t="str">
        <f ca="1">IFERROR(+IF(BB$27=ProposalToGnatt[[#This Row],[Start Date]],Milestone_Marker,IF(AND(BB$27&gt;ProposalToGnatt[[#This Row],[Start Date]],BB$27&lt;ProposalToGnatt[[#This Row],[Start Date]]+ProposalToGnatt[[#This Row],[Days]]),$G$5,"")),"")</f>
        <v/>
      </c>
      <c r="BC43" s="36" t="str">
        <f ca="1">IFERROR(+IF(BC$27=ProposalToGnatt[[#This Row],[Start Date]],Milestone_Marker,IF(AND(BC$27&gt;ProposalToGnatt[[#This Row],[Start Date]],BC$27&lt;ProposalToGnatt[[#This Row],[Start Date]]+ProposalToGnatt[[#This Row],[Days]]),$G$5,"")),"")</f>
        <v/>
      </c>
      <c r="BD43" s="36" t="str">
        <f ca="1">IFERROR(+IF(BD$27=ProposalToGnatt[[#This Row],[Start Date]],Milestone_Marker,IF(AND(BD$27&gt;ProposalToGnatt[[#This Row],[Start Date]],BD$27&lt;ProposalToGnatt[[#This Row],[Start Date]]+ProposalToGnatt[[#This Row],[Days]]),$G$5,"")),"")</f>
        <v/>
      </c>
      <c r="BE43" s="36" t="str">
        <f ca="1">IFERROR(+IF(BE$27=ProposalToGnatt[[#This Row],[Start Date]],Milestone_Marker,IF(AND(BE$27&gt;ProposalToGnatt[[#This Row],[Start Date]],BE$27&lt;ProposalToGnatt[[#This Row],[Start Date]]+ProposalToGnatt[[#This Row],[Days]]),$G$5,"")),"")</f>
        <v/>
      </c>
      <c r="BF43" s="36" t="str">
        <f ca="1">IFERROR(+IF(BF$27=ProposalToGnatt[[#This Row],[Start Date]],Milestone_Marker,IF(AND(BF$27&gt;ProposalToGnatt[[#This Row],[Start Date]],BF$27&lt;ProposalToGnatt[[#This Row],[Start Date]]+ProposalToGnatt[[#This Row],[Days]]),$G$5,"")),"")</f>
        <v/>
      </c>
      <c r="BG43" s="36" t="str">
        <f ca="1">IFERROR(+IF(BG$27=ProposalToGnatt[[#This Row],[Start Date]],Milestone_Marker,IF(AND(BG$27&gt;ProposalToGnatt[[#This Row],[Start Date]],BG$27&lt;ProposalToGnatt[[#This Row],[Start Date]]+ProposalToGnatt[[#This Row],[Days]]),$G$5,"")),"")</f>
        <v/>
      </c>
      <c r="BH43" s="36" t="str">
        <f ca="1">IFERROR(+IF(BH$27=ProposalToGnatt[[#This Row],[Start Date]],Milestone_Marker,IF(AND(BH$27&gt;ProposalToGnatt[[#This Row],[Start Date]],BH$27&lt;ProposalToGnatt[[#This Row],[Start Date]]+ProposalToGnatt[[#This Row],[Days]]),$G$5,"")),"")</f>
        <v/>
      </c>
      <c r="BI43" s="36" t="str">
        <f ca="1">IFERROR(+IF(BI$27=ProposalToGnatt[[#This Row],[Start Date]],Milestone_Marker,IF(AND(BI$27&gt;ProposalToGnatt[[#This Row],[Start Date]],BI$27&lt;ProposalToGnatt[[#This Row],[Start Date]]+ProposalToGnatt[[#This Row],[Days]]),$G$5,"")),"")</f>
        <v/>
      </c>
      <c r="BJ43" s="36" t="str">
        <f ca="1">IFERROR(+IF(BJ$27=ProposalToGnatt[[#This Row],[Start Date]],Milestone_Marker,IF(AND(BJ$27&gt;ProposalToGnatt[[#This Row],[Start Date]],BJ$27&lt;ProposalToGnatt[[#This Row],[Start Date]]+ProposalToGnatt[[#This Row],[Days]]),$G$5,"")),"")</f>
        <v/>
      </c>
      <c r="BK43" s="36" t="str">
        <f ca="1">IFERROR(+IF(BK$27=ProposalToGnatt[[#This Row],[Start Date]],Milestone_Marker,IF(AND(BK$27&gt;ProposalToGnatt[[#This Row],[Start Date]],BK$27&lt;ProposalToGnatt[[#This Row],[Start Date]]+ProposalToGnatt[[#This Row],[Days]]),$G$5,"")),"")</f>
        <v/>
      </c>
      <c r="BL43" s="36" t="str">
        <f ca="1">IFERROR(+IF(BL$27=ProposalToGnatt[[#This Row],[Start Date]],Milestone_Marker,IF(AND(BL$27&gt;ProposalToGnatt[[#This Row],[Start Date]],BL$27&lt;ProposalToGnatt[[#This Row],[Start Date]]+ProposalToGnatt[[#This Row],[Days]]),$G$5,"")),"")</f>
        <v/>
      </c>
      <c r="BM43" s="36" t="str">
        <f ca="1">IFERROR(+IF(BM$27=ProposalToGnatt[[#This Row],[Start Date]],Milestone_Marker,IF(AND(BM$27&gt;ProposalToGnatt[[#This Row],[Start Date]],BM$27&lt;ProposalToGnatt[[#This Row],[Start Date]]+ProposalToGnatt[[#This Row],[Days]]),$G$5,"")),"")</f>
        <v/>
      </c>
      <c r="BN43" s="36" t="str">
        <f ca="1">IFERROR(+IF(BN$27=ProposalToGnatt[[#This Row],[Start Date]],Milestone_Marker,IF(AND(BN$27&gt;ProposalToGnatt[[#This Row],[Start Date]],BN$27&lt;ProposalToGnatt[[#This Row],[Start Date]]+ProposalToGnatt[[#This Row],[Days]]),$G$5,"")),"")</f>
        <v/>
      </c>
      <c r="BO43" s="36" t="str">
        <f ca="1">IFERROR(+IF(BO$27=ProposalToGnatt[[#This Row],[Start Date]],Milestone_Marker,IF(AND(BO$27&gt;ProposalToGnatt[[#This Row],[Start Date]],BO$27&lt;ProposalToGnatt[[#This Row],[Start Date]]+ProposalToGnatt[[#This Row],[Days]]),$G$5,"")),"")</f>
        <v/>
      </c>
      <c r="BP43" s="36" t="str">
        <f ca="1">IFERROR(+IF(BP$27=ProposalToGnatt[[#This Row],[Start Date]],Milestone_Marker,IF(AND(BP$27&gt;ProposalToGnatt[[#This Row],[Start Date]],BP$27&lt;ProposalToGnatt[[#This Row],[Start Date]]+ProposalToGnatt[[#This Row],[Days]]),$G$5,"")),"")</f>
        <v/>
      </c>
      <c r="BQ43" s="36" t="str">
        <f ca="1">IFERROR(+IF(BQ$27=ProposalToGnatt[[#This Row],[Start Date]],Milestone_Marker,IF(AND(BQ$27&gt;ProposalToGnatt[[#This Row],[Start Date]],BQ$27&lt;ProposalToGnatt[[#This Row],[Start Date]]+ProposalToGnatt[[#This Row],[Days]]),$G$5,"")),"")</f>
        <v/>
      </c>
      <c r="BR43" s="36" t="str">
        <f ca="1">IFERROR(+IF(BR$27=ProposalToGnatt[[#This Row],[Start Date]],Milestone_Marker,IF(AND(BR$27&gt;ProposalToGnatt[[#This Row],[Start Date]],BR$27&lt;ProposalToGnatt[[#This Row],[Start Date]]+ProposalToGnatt[[#This Row],[Days]]),$G$5,"")),"")</f>
        <v/>
      </c>
      <c r="BS43" s="36" t="str">
        <f ca="1">IFERROR(+IF(BS$27=ProposalToGnatt[[#This Row],[Start Date]],Milestone_Marker,IF(AND(BS$27&gt;ProposalToGnatt[[#This Row],[Start Date]],BS$27&lt;ProposalToGnatt[[#This Row],[Start Date]]+ProposalToGnatt[[#This Row],[Days]]),$G$5,"")),"")</f>
        <v/>
      </c>
      <c r="BT43" s="36" t="str">
        <f ca="1">IFERROR(+IF(BT$27=ProposalToGnatt[[#This Row],[Start Date]],Milestone_Marker,IF(AND(BT$27&gt;ProposalToGnatt[[#This Row],[Start Date]],BT$27&lt;ProposalToGnatt[[#This Row],[Start Date]]+ProposalToGnatt[[#This Row],[Days]]),$G$5,"")),"")</f>
        <v/>
      </c>
      <c r="BU43" s="36" t="str">
        <f ca="1">IFERROR(+IF(BU$27=ProposalToGnatt[[#This Row],[Start Date]],Milestone_Marker,IF(AND(BU$27&gt;ProposalToGnatt[[#This Row],[Start Date]],BU$27&lt;ProposalToGnatt[[#This Row],[Start Date]]+ProposalToGnatt[[#This Row],[Days]]),$G$5,"")),"")</f>
        <v/>
      </c>
      <c r="BV43" s="36" t="str">
        <f ca="1">IFERROR(+IF(BV$27=ProposalToGnatt[[#This Row],[Start Date]],Milestone_Marker,IF(AND(BV$27&gt;ProposalToGnatt[[#This Row],[Start Date]],BV$27&lt;ProposalToGnatt[[#This Row],[Start Date]]+ProposalToGnatt[[#This Row],[Days]]),$G$5,"")),"")</f>
        <v/>
      </c>
      <c r="BW43" s="36" t="str">
        <f ca="1">IFERROR(+IF(BW$27=ProposalToGnatt[[#This Row],[Start Date]],Milestone_Marker,IF(AND(BW$27&gt;ProposalToGnatt[[#This Row],[Start Date]],BW$27&lt;ProposalToGnatt[[#This Row],[Start Date]]+ProposalToGnatt[[#This Row],[Days]]),$G$5,"")),"")</f>
        <v/>
      </c>
      <c r="BX43" s="36" t="str">
        <f ca="1">IFERROR(+IF(BX$27=ProposalToGnatt[[#This Row],[Start Date]],Milestone_Marker,IF(AND(BX$27&gt;ProposalToGnatt[[#This Row],[Start Date]],BX$27&lt;ProposalToGnatt[[#This Row],[Start Date]]+ProposalToGnatt[[#This Row],[Days]]),$G$5,"")),"")</f>
        <v/>
      </c>
      <c r="BY43" s="36" t="str">
        <f ca="1">IFERROR(+IF(BY$27=ProposalToGnatt[[#This Row],[Start Date]],Milestone_Marker,IF(AND(BY$27&gt;ProposalToGnatt[[#This Row],[Start Date]],BY$27&lt;ProposalToGnatt[[#This Row],[Start Date]]+ProposalToGnatt[[#This Row],[Days]]),$G$5,"")),"")</f>
        <v/>
      </c>
      <c r="BZ43" s="36" t="str">
        <f ca="1">IFERROR(+IF(BZ$27=ProposalToGnatt[[#This Row],[Start Date]],Milestone_Marker,IF(AND(BZ$27&gt;ProposalToGnatt[[#This Row],[Start Date]],BZ$27&lt;ProposalToGnatt[[#This Row],[Start Date]]+ProposalToGnatt[[#This Row],[Days]]),$G$5,"")),"")</f>
        <v/>
      </c>
      <c r="CA43" s="36" t="str">
        <f ca="1">IFERROR(+IF(CA$27=ProposalToGnatt[[#This Row],[Start Date]],Milestone_Marker,IF(AND(CA$27&gt;ProposalToGnatt[[#This Row],[Start Date]],CA$27&lt;ProposalToGnatt[[#This Row],[Start Date]]+ProposalToGnatt[[#This Row],[Days]]),$G$5,"")),"")</f>
        <v/>
      </c>
      <c r="CB43" s="36" t="str">
        <f ca="1">IFERROR(+IF(CB$27=ProposalToGnatt[[#This Row],[Start Date]],Milestone_Marker,IF(AND(CB$27&gt;ProposalToGnatt[[#This Row],[Start Date]],CB$27&lt;ProposalToGnatt[[#This Row],[Start Date]]+ProposalToGnatt[[#This Row],[Days]]),$G$5,"")),"")</f>
        <v/>
      </c>
      <c r="CC43" s="36" t="str">
        <f ca="1">IFERROR(+IF(CC$27=ProposalToGnatt[[#This Row],[Start Date]],Milestone_Marker,IF(AND(CC$27&gt;ProposalToGnatt[[#This Row],[Start Date]],CC$27&lt;ProposalToGnatt[[#This Row],[Start Date]]+ProposalToGnatt[[#This Row],[Days]]),$G$5,"")),"")</f>
        <v/>
      </c>
      <c r="CD43" s="36" t="str">
        <f ca="1">IFERROR(+IF(CD$27=ProposalToGnatt[[#This Row],[Start Date]],Milestone_Marker,IF(AND(CD$27&gt;ProposalToGnatt[[#This Row],[Start Date]],CD$27&lt;ProposalToGnatt[[#This Row],[Start Date]]+ProposalToGnatt[[#This Row],[Days]]),$G$5,"")),"")</f>
        <v/>
      </c>
      <c r="CE43" s="36" t="str">
        <f ca="1">IFERROR(+IF(CE$27=ProposalToGnatt[[#This Row],[Start Date]],Milestone_Marker,IF(AND(CE$27&gt;ProposalToGnatt[[#This Row],[Start Date]],CE$27&lt;ProposalToGnatt[[#This Row],[Start Date]]+ProposalToGnatt[[#This Row],[Days]]),$G$5,"")),"")</f>
        <v/>
      </c>
      <c r="CF43" s="36" t="str">
        <f ca="1">IFERROR(+IF(CF$27=ProposalToGnatt[[#This Row],[Start Date]],Milestone_Marker,IF(AND(CF$27&gt;ProposalToGnatt[[#This Row],[Start Date]],CF$27&lt;ProposalToGnatt[[#This Row],[Start Date]]+ProposalToGnatt[[#This Row],[Days]]),$G$5,"")),"")</f>
        <v/>
      </c>
      <c r="CG43" s="36" t="str">
        <f ca="1">IFERROR(+IF(CG$27=ProposalToGnatt[[#This Row],[Start Date]],Milestone_Marker,IF(AND(CG$27&gt;ProposalToGnatt[[#This Row],[Start Date]],CG$27&lt;ProposalToGnatt[[#This Row],[Start Date]]+ProposalToGnatt[[#This Row],[Days]]),$G$5,"")),"")</f>
        <v/>
      </c>
      <c r="CH43" s="36" t="str">
        <f ca="1">IFERROR(+IF(CH$27=ProposalToGnatt[[#This Row],[Start Date]],Milestone_Marker,IF(AND(CH$27&gt;ProposalToGnatt[[#This Row],[Start Date]],CH$27&lt;ProposalToGnatt[[#This Row],[Start Date]]+ProposalToGnatt[[#This Row],[Days]]),$G$5,"")),"")</f>
        <v/>
      </c>
      <c r="CI43" s="36" t="str">
        <f ca="1">IFERROR(+IF(CI$27=ProposalToGnatt[[#This Row],[Start Date]],Milestone_Marker,IF(AND(CI$27&gt;ProposalToGnatt[[#This Row],[Start Date]],CI$27&lt;ProposalToGnatt[[#This Row],[Start Date]]+ProposalToGnatt[[#This Row],[Days]]),$G$5,"")),"")</f>
        <v/>
      </c>
      <c r="CJ43" s="36" t="str">
        <f ca="1">IFERROR(+IF(CJ$27=ProposalToGnatt[[#This Row],[Start Date]],Milestone_Marker,IF(AND(CJ$27&gt;ProposalToGnatt[[#This Row],[Start Date]],CJ$27&lt;ProposalToGnatt[[#This Row],[Start Date]]+ProposalToGnatt[[#This Row],[Days]]),$G$5,"")),"")</f>
        <v/>
      </c>
      <c r="CK43" s="36" t="str">
        <f ca="1">IFERROR(+IF(CK$27=ProposalToGnatt[[#This Row],[Start Date]],Milestone_Marker,IF(AND(CK$27&gt;ProposalToGnatt[[#This Row],[Start Date]],CK$27&lt;ProposalToGnatt[[#This Row],[Start Date]]+ProposalToGnatt[[#This Row],[Days]]),$G$5,"")),"")</f>
        <v/>
      </c>
      <c r="CL43" s="36" t="str">
        <f ca="1">IFERROR(+IF(CL$27=ProposalToGnatt[[#This Row],[Start Date]],Milestone_Marker,IF(AND(CL$27&gt;ProposalToGnatt[[#This Row],[Start Date]],CL$27&lt;ProposalToGnatt[[#This Row],[Start Date]]+ProposalToGnatt[[#This Row],[Days]]),$G$5,"")),"")</f>
        <v/>
      </c>
      <c r="CM43" s="36" t="str">
        <f ca="1">IFERROR(+IF(CM$27=ProposalToGnatt[[#This Row],[Start Date]],Milestone_Marker,IF(AND(CM$27&gt;ProposalToGnatt[[#This Row],[Start Date]],CM$27&lt;ProposalToGnatt[[#This Row],[Start Date]]+ProposalToGnatt[[#This Row],[Days]]),$G$5,"")),"")</f>
        <v/>
      </c>
      <c r="CN43" s="36" t="str">
        <f ca="1">IFERROR(+IF(CN$27=ProposalToGnatt[[#This Row],[Start Date]],Milestone_Marker,IF(AND(CN$27&gt;ProposalToGnatt[[#This Row],[Start Date]],CN$27&lt;ProposalToGnatt[[#This Row],[Start Date]]+ProposalToGnatt[[#This Row],[Days]]),$G$5,"")),"")</f>
        <v/>
      </c>
      <c r="CO43" s="36" t="str">
        <f ca="1">IFERROR(+IF(CO$27=ProposalToGnatt[[#This Row],[Start Date]],Milestone_Marker,IF(AND(CO$27&gt;ProposalToGnatt[[#This Row],[Start Date]],CO$27&lt;ProposalToGnatt[[#This Row],[Start Date]]+ProposalToGnatt[[#This Row],[Days]]),$G$5,"")),"")</f>
        <v/>
      </c>
      <c r="CP43" s="36" t="str">
        <f ca="1">IFERROR(+IF(CP$27=ProposalToGnatt[[#This Row],[Start Date]],Milestone_Marker,IF(AND(CP$27&gt;ProposalToGnatt[[#This Row],[Start Date]],CP$27&lt;ProposalToGnatt[[#This Row],[Start Date]]+ProposalToGnatt[[#This Row],[Days]]),$G$5,"")),"")</f>
        <v/>
      </c>
      <c r="CQ43" s="36" t="str">
        <f ca="1">IFERROR(+IF(CQ$27=ProposalToGnatt[[#This Row],[Start Date]],Milestone_Marker,IF(AND(CQ$27&gt;ProposalToGnatt[[#This Row],[Start Date]],CQ$27&lt;ProposalToGnatt[[#This Row],[Start Date]]+ProposalToGnatt[[#This Row],[Days]]),$G$5,"")),"")</f>
        <v/>
      </c>
      <c r="CR43" s="36" t="str">
        <f ca="1">IFERROR(+IF(CR$27=ProposalToGnatt[[#This Row],[Start Date]],Milestone_Marker,IF(AND(CR$27&gt;ProposalToGnatt[[#This Row],[Start Date]],CR$27&lt;ProposalToGnatt[[#This Row],[Start Date]]+ProposalToGnatt[[#This Row],[Days]]),$G$5,"")),"")</f>
        <v/>
      </c>
      <c r="CS43" s="36" t="str">
        <f ca="1">IFERROR(+IF(CS$27=ProposalToGnatt[[#This Row],[Start Date]],Milestone_Marker,IF(AND(CS$27&gt;ProposalToGnatt[[#This Row],[Start Date]],CS$27&lt;ProposalToGnatt[[#This Row],[Start Date]]+ProposalToGnatt[[#This Row],[Days]]),$G$5,"")),"")</f>
        <v/>
      </c>
      <c r="CT43" s="36" t="str">
        <f ca="1">IFERROR(+IF(CT$27=ProposalToGnatt[[#This Row],[Start Date]],Milestone_Marker,IF(AND(CT$27&gt;ProposalToGnatt[[#This Row],[Start Date]],CT$27&lt;ProposalToGnatt[[#This Row],[Start Date]]+ProposalToGnatt[[#This Row],[Days]]),$G$5,"")),"")</f>
        <v/>
      </c>
      <c r="CU43" s="36" t="str">
        <f ca="1">IFERROR(+IF(CU$27=ProposalToGnatt[[#This Row],[Start Date]],Milestone_Marker,IF(AND(CU$27&gt;ProposalToGnatt[[#This Row],[Start Date]],CU$27&lt;ProposalToGnatt[[#This Row],[Start Date]]+ProposalToGnatt[[#This Row],[Days]]),$G$5,"")),"")</f>
        <v/>
      </c>
      <c r="CV43" s="36"/>
      <c r="CW43" s="36"/>
      <c r="CX43" s="36"/>
      <c r="CY43" s="36"/>
      <c r="CZ43" s="36"/>
      <c r="DA43" s="36"/>
      <c r="DB43" s="36"/>
      <c r="DC43" s="36"/>
      <c r="DD43" s="36"/>
      <c r="DE43" s="36"/>
      <c r="DF43" s="36"/>
      <c r="DG43" s="36"/>
      <c r="DH43" s="36"/>
      <c r="DI43" s="36"/>
      <c r="DJ43" s="36"/>
      <c r="DK43" s="36"/>
      <c r="DL43" s="36"/>
      <c r="DM43" s="36"/>
      <c r="DN43" s="36"/>
      <c r="DO43" s="36"/>
      <c r="DP43" s="36"/>
      <c r="DQ43" s="36"/>
      <c r="DR43" s="36"/>
      <c r="DS43" s="36"/>
      <c r="DT43" s="36"/>
      <c r="DU43" s="36"/>
    </row>
    <row r="44" spans="1:125" s="41" customFormat="1" ht="15" x14ac:dyDescent="0.25">
      <c r="A44" t="s">
        <v>267</v>
      </c>
      <c r="B44">
        <v>26</v>
      </c>
      <c r="C44"/>
      <c r="D44" t="s">
        <v>905</v>
      </c>
      <c r="E44" s="568" t="s">
        <v>906</v>
      </c>
      <c r="F44">
        <v>3</v>
      </c>
      <c r="G44" s="14">
        <v>45</v>
      </c>
      <c r="H44" s="14">
        <v>135</v>
      </c>
      <c r="I44" t="s">
        <v>3</v>
      </c>
      <c r="J44">
        <v>1</v>
      </c>
      <c r="K44" s="249"/>
      <c r="L44"/>
      <c r="M44" s="14"/>
      <c r="N44" s="300">
        <v>135</v>
      </c>
      <c r="O44" s="554"/>
      <c r="P44" s="36" t="str">
        <f ca="1">IFERROR(+IF(P$27=ProposalToGnatt[[#This Row],[Start Date]],Milestone_Marker,IF(AND(P$27&gt;ProposalToGnatt[[#This Row],[Start Date]],P$27&lt;ProposalToGnatt[[#This Row],[Start Date]]+ProposalToGnatt[[#This Row],[Days]]),$G$5,"")),"")</f>
        <v/>
      </c>
      <c r="Q44" s="36" t="str">
        <f ca="1">IFERROR(+IF(Q$27=ProposalToGnatt[[#This Row],[Start Date]],Milestone_Marker,IF(AND(Q$27&gt;ProposalToGnatt[[#This Row],[Start Date]],Q$27&lt;ProposalToGnatt[[#This Row],[Start Date]]+ProposalToGnatt[[#This Row],[Days]]),$G$5,"")),"")</f>
        <v/>
      </c>
      <c r="R44" s="36" t="str">
        <f ca="1">IFERROR(+IF(R$27=ProposalToGnatt[[#This Row],[Start Date]],Milestone_Marker,IF(AND(R$27&gt;ProposalToGnatt[[#This Row],[Start Date]],R$27&lt;ProposalToGnatt[[#This Row],[Start Date]]+ProposalToGnatt[[#This Row],[Days]]),$G$5,"")),"")</f>
        <v/>
      </c>
      <c r="S44" s="36" t="str">
        <f ca="1">IFERROR(+IF(S$27=ProposalToGnatt[[#This Row],[Start Date]],Milestone_Marker,IF(AND(S$27&gt;ProposalToGnatt[[#This Row],[Start Date]],S$27&lt;ProposalToGnatt[[#This Row],[Start Date]]+ProposalToGnatt[[#This Row],[Days]]),$G$5,"")),"")</f>
        <v/>
      </c>
      <c r="T44" s="36" t="str">
        <f ca="1">IFERROR(+IF(T$27=ProposalToGnatt[[#This Row],[Start Date]],Milestone_Marker,IF(AND(T$27&gt;ProposalToGnatt[[#This Row],[Start Date]],T$27&lt;ProposalToGnatt[[#This Row],[Start Date]]+ProposalToGnatt[[#This Row],[Days]]),$G$5,"")),"")</f>
        <v/>
      </c>
      <c r="U44" s="36" t="str">
        <f ca="1">IFERROR(+IF(U$27=ProposalToGnatt[[#This Row],[Start Date]],Milestone_Marker,IF(AND(U$27&gt;ProposalToGnatt[[#This Row],[Start Date]],U$27&lt;ProposalToGnatt[[#This Row],[Start Date]]+ProposalToGnatt[[#This Row],[Days]]),$G$5,"")),"")</f>
        <v/>
      </c>
      <c r="V44" s="36" t="str">
        <f ca="1">IFERROR(+IF(V$27=ProposalToGnatt[[#This Row],[Start Date]],Milestone_Marker,IF(AND(V$27&gt;ProposalToGnatt[[#This Row],[Start Date]],V$27&lt;ProposalToGnatt[[#This Row],[Start Date]]+ProposalToGnatt[[#This Row],[Days]]),$G$5,"")),"")</f>
        <v/>
      </c>
      <c r="W44" s="36" t="str">
        <f ca="1">IFERROR(+IF(W$27=ProposalToGnatt[[#This Row],[Start Date]],Milestone_Marker,IF(AND(W$27&gt;ProposalToGnatt[[#This Row],[Start Date]],W$27&lt;ProposalToGnatt[[#This Row],[Start Date]]+ProposalToGnatt[[#This Row],[Days]]),$G$5,"")),"")</f>
        <v/>
      </c>
      <c r="X44" s="36" t="str">
        <f ca="1">IFERROR(+IF(X$27=ProposalToGnatt[[#This Row],[Start Date]],Milestone_Marker,IF(AND(X$27&gt;ProposalToGnatt[[#This Row],[Start Date]],X$27&lt;ProposalToGnatt[[#This Row],[Start Date]]+ProposalToGnatt[[#This Row],[Days]]),$G$5,"")),"")</f>
        <v/>
      </c>
      <c r="Y44" s="36" t="str">
        <f ca="1">IFERROR(+IF(Y$27=ProposalToGnatt[[#This Row],[Start Date]],Milestone_Marker,IF(AND(Y$27&gt;ProposalToGnatt[[#This Row],[Start Date]],Y$27&lt;ProposalToGnatt[[#This Row],[Start Date]]+ProposalToGnatt[[#This Row],[Days]]),$G$5,"")),"")</f>
        <v/>
      </c>
      <c r="Z44" s="36" t="str">
        <f ca="1">IFERROR(+IF(Z$27=ProposalToGnatt[[#This Row],[Start Date]],Milestone_Marker,IF(AND(Z$27&gt;ProposalToGnatt[[#This Row],[Start Date]],Z$27&lt;ProposalToGnatt[[#This Row],[Start Date]]+ProposalToGnatt[[#This Row],[Days]]),$G$5,"")),"")</f>
        <v/>
      </c>
      <c r="AA44" s="36" t="str">
        <f ca="1">IFERROR(+IF(AA$27=ProposalToGnatt[[#This Row],[Start Date]],Milestone_Marker,IF(AND(AA$27&gt;ProposalToGnatt[[#This Row],[Start Date]],AA$27&lt;ProposalToGnatt[[#This Row],[Start Date]]+ProposalToGnatt[[#This Row],[Days]]),$G$5,"")),"")</f>
        <v/>
      </c>
      <c r="AB44" s="36" t="str">
        <f ca="1">IFERROR(+IF(AB$27=ProposalToGnatt[[#This Row],[Start Date]],Milestone_Marker,IF(AND(AB$27&gt;ProposalToGnatt[[#This Row],[Start Date]],AB$27&lt;ProposalToGnatt[[#This Row],[Start Date]]+ProposalToGnatt[[#This Row],[Days]]),$G$5,"")),"")</f>
        <v/>
      </c>
      <c r="AC44" s="36" t="str">
        <f ca="1">IFERROR(+IF(AC$27=ProposalToGnatt[[#This Row],[Start Date]],Milestone_Marker,IF(AND(AC$27&gt;ProposalToGnatt[[#This Row],[Start Date]],AC$27&lt;ProposalToGnatt[[#This Row],[Start Date]]+ProposalToGnatt[[#This Row],[Days]]),$G$5,"")),"")</f>
        <v/>
      </c>
      <c r="AD44" s="36" t="str">
        <f ca="1">IFERROR(+IF(AD$27=ProposalToGnatt[[#This Row],[Start Date]],Milestone_Marker,IF(AND(AD$27&gt;ProposalToGnatt[[#This Row],[Start Date]],AD$27&lt;ProposalToGnatt[[#This Row],[Start Date]]+ProposalToGnatt[[#This Row],[Days]]),$G$5,"")),"")</f>
        <v/>
      </c>
      <c r="AE44" s="36" t="str">
        <f ca="1">IFERROR(+IF(AE$27=ProposalToGnatt[[#This Row],[Start Date]],Milestone_Marker,IF(AND(AE$27&gt;ProposalToGnatt[[#This Row],[Start Date]],AE$27&lt;ProposalToGnatt[[#This Row],[Start Date]]+ProposalToGnatt[[#This Row],[Days]]),$G$5,"")),"")</f>
        <v/>
      </c>
      <c r="AF44" s="36" t="str">
        <f ca="1">IFERROR(+IF(AF$27=ProposalToGnatt[[#This Row],[Start Date]],Milestone_Marker,IF(AND(AF$27&gt;ProposalToGnatt[[#This Row],[Start Date]],AF$27&lt;ProposalToGnatt[[#This Row],[Start Date]]+ProposalToGnatt[[#This Row],[Days]]),$G$5,"")),"")</f>
        <v/>
      </c>
      <c r="AG44" s="36" t="str">
        <f ca="1">IFERROR(+IF(AG$27=ProposalToGnatt[[#This Row],[Start Date]],Milestone_Marker,IF(AND(AG$27&gt;ProposalToGnatt[[#This Row],[Start Date]],AG$27&lt;ProposalToGnatt[[#This Row],[Start Date]]+ProposalToGnatt[[#This Row],[Days]]),$G$5,"")),"")</f>
        <v/>
      </c>
      <c r="AH44" s="36" t="str">
        <f ca="1">IFERROR(+IF(AH$27=ProposalToGnatt[[#This Row],[Start Date]],Milestone_Marker,IF(AND(AH$27&gt;ProposalToGnatt[[#This Row],[Start Date]],AH$27&lt;ProposalToGnatt[[#This Row],[Start Date]]+ProposalToGnatt[[#This Row],[Days]]),$G$5,"")),"")</f>
        <v/>
      </c>
      <c r="AI44" s="36" t="str">
        <f ca="1">IFERROR(+IF(AI$27=ProposalToGnatt[[#This Row],[Start Date]],Milestone_Marker,IF(AND(AI$27&gt;ProposalToGnatt[[#This Row],[Start Date]],AI$27&lt;ProposalToGnatt[[#This Row],[Start Date]]+ProposalToGnatt[[#This Row],[Days]]),$G$5,"")),"")</f>
        <v/>
      </c>
      <c r="AJ44" s="36" t="str">
        <f ca="1">IFERROR(+IF(AJ$27=ProposalToGnatt[[#This Row],[Start Date]],Milestone_Marker,IF(AND(AJ$27&gt;ProposalToGnatt[[#This Row],[Start Date]],AJ$27&lt;ProposalToGnatt[[#This Row],[Start Date]]+ProposalToGnatt[[#This Row],[Days]]),$G$5,"")),"")</f>
        <v/>
      </c>
      <c r="AK44" s="36" t="str">
        <f ca="1">IFERROR(+IF(AK$27=ProposalToGnatt[[#This Row],[Start Date]],Milestone_Marker,IF(AND(AK$27&gt;ProposalToGnatt[[#This Row],[Start Date]],AK$27&lt;ProposalToGnatt[[#This Row],[Start Date]]+ProposalToGnatt[[#This Row],[Days]]),$G$5,"")),"")</f>
        <v/>
      </c>
      <c r="AL44" s="36" t="str">
        <f ca="1">IFERROR(+IF(AL$27=ProposalToGnatt[[#This Row],[Start Date]],Milestone_Marker,IF(AND(AL$27&gt;ProposalToGnatt[[#This Row],[Start Date]],AL$27&lt;ProposalToGnatt[[#This Row],[Start Date]]+ProposalToGnatt[[#This Row],[Days]]),$G$5,"")),"")</f>
        <v/>
      </c>
      <c r="AM44" s="36" t="str">
        <f ca="1">IFERROR(+IF(AM$27=ProposalToGnatt[[#This Row],[Start Date]],Milestone_Marker,IF(AND(AM$27&gt;ProposalToGnatt[[#This Row],[Start Date]],AM$27&lt;ProposalToGnatt[[#This Row],[Start Date]]+ProposalToGnatt[[#This Row],[Days]]),$G$5,"")),"")</f>
        <v/>
      </c>
      <c r="AN44" s="36" t="str">
        <f ca="1">IFERROR(+IF(AN$27=ProposalToGnatt[[#This Row],[Start Date]],Milestone_Marker,IF(AND(AN$27&gt;ProposalToGnatt[[#This Row],[Start Date]],AN$27&lt;ProposalToGnatt[[#This Row],[Start Date]]+ProposalToGnatt[[#This Row],[Days]]),$G$5,"")),"")</f>
        <v/>
      </c>
      <c r="AO44" s="36" t="str">
        <f ca="1">IFERROR(+IF(AO$27=ProposalToGnatt[[#This Row],[Start Date]],Milestone_Marker,IF(AND(AO$27&gt;ProposalToGnatt[[#This Row],[Start Date]],AO$27&lt;ProposalToGnatt[[#This Row],[Start Date]]+ProposalToGnatt[[#This Row],[Days]]),$G$5,"")),"")</f>
        <v/>
      </c>
      <c r="AP44" s="36" t="str">
        <f ca="1">IFERROR(+IF(AP$27=ProposalToGnatt[[#This Row],[Start Date]],Milestone_Marker,IF(AND(AP$27&gt;ProposalToGnatt[[#This Row],[Start Date]],AP$27&lt;ProposalToGnatt[[#This Row],[Start Date]]+ProposalToGnatt[[#This Row],[Days]]),$G$5,"")),"")</f>
        <v/>
      </c>
      <c r="AQ44" s="36" t="str">
        <f ca="1">IFERROR(+IF(AQ$27=ProposalToGnatt[[#This Row],[Start Date]],Milestone_Marker,IF(AND(AQ$27&gt;ProposalToGnatt[[#This Row],[Start Date]],AQ$27&lt;ProposalToGnatt[[#This Row],[Start Date]]+ProposalToGnatt[[#This Row],[Days]]),$G$5,"")),"")</f>
        <v/>
      </c>
      <c r="AR44" s="36" t="str">
        <f ca="1">IFERROR(+IF(AR$27=ProposalToGnatt[[#This Row],[Start Date]],Milestone_Marker,IF(AND(AR$27&gt;ProposalToGnatt[[#This Row],[Start Date]],AR$27&lt;ProposalToGnatt[[#This Row],[Start Date]]+ProposalToGnatt[[#This Row],[Days]]),$G$5,"")),"")</f>
        <v/>
      </c>
      <c r="AS44" s="36" t="str">
        <f ca="1">IFERROR(+IF(AS$27=ProposalToGnatt[[#This Row],[Start Date]],Milestone_Marker,IF(AND(AS$27&gt;ProposalToGnatt[[#This Row],[Start Date]],AS$27&lt;ProposalToGnatt[[#This Row],[Start Date]]+ProposalToGnatt[[#This Row],[Days]]),$G$5,"")),"")</f>
        <v/>
      </c>
      <c r="AT44" s="36" t="str">
        <f ca="1">IFERROR(+IF(AT$27=ProposalToGnatt[[#This Row],[Start Date]],Milestone_Marker,IF(AND(AT$27&gt;ProposalToGnatt[[#This Row],[Start Date]],AT$27&lt;ProposalToGnatt[[#This Row],[Start Date]]+ProposalToGnatt[[#This Row],[Days]]),$G$5,"")),"")</f>
        <v/>
      </c>
      <c r="AU44" s="36" t="str">
        <f ca="1">IFERROR(+IF(AU$27=ProposalToGnatt[[#This Row],[Start Date]],Milestone_Marker,IF(AND(AU$27&gt;ProposalToGnatt[[#This Row],[Start Date]],AU$27&lt;ProposalToGnatt[[#This Row],[Start Date]]+ProposalToGnatt[[#This Row],[Days]]),$G$5,"")),"")</f>
        <v/>
      </c>
      <c r="AV44" s="36" t="str">
        <f ca="1">IFERROR(+IF(AV$27=ProposalToGnatt[[#This Row],[Start Date]],Milestone_Marker,IF(AND(AV$27&gt;ProposalToGnatt[[#This Row],[Start Date]],AV$27&lt;ProposalToGnatt[[#This Row],[Start Date]]+ProposalToGnatt[[#This Row],[Days]]),$G$5,"")),"")</f>
        <v/>
      </c>
      <c r="AW44" s="36" t="str">
        <f ca="1">IFERROR(+IF(AW$27=ProposalToGnatt[[#This Row],[Start Date]],Milestone_Marker,IF(AND(AW$27&gt;ProposalToGnatt[[#This Row],[Start Date]],AW$27&lt;ProposalToGnatt[[#This Row],[Start Date]]+ProposalToGnatt[[#This Row],[Days]]),$G$5,"")),"")</f>
        <v/>
      </c>
      <c r="AX44" s="36" t="str">
        <f ca="1">IFERROR(+IF(AX$27=ProposalToGnatt[[#This Row],[Start Date]],Milestone_Marker,IF(AND(AX$27&gt;ProposalToGnatt[[#This Row],[Start Date]],AX$27&lt;ProposalToGnatt[[#This Row],[Start Date]]+ProposalToGnatt[[#This Row],[Days]]),$G$5,"")),"")</f>
        <v/>
      </c>
      <c r="AY44" s="36" t="str">
        <f ca="1">IFERROR(+IF(AY$27=ProposalToGnatt[[#This Row],[Start Date]],Milestone_Marker,IF(AND(AY$27&gt;ProposalToGnatt[[#This Row],[Start Date]],AY$27&lt;ProposalToGnatt[[#This Row],[Start Date]]+ProposalToGnatt[[#This Row],[Days]]),$G$5,"")),"")</f>
        <v/>
      </c>
      <c r="AZ44" s="36" t="str">
        <f ca="1">IFERROR(+IF(AZ$27=ProposalToGnatt[[#This Row],[Start Date]],Milestone_Marker,IF(AND(AZ$27&gt;ProposalToGnatt[[#This Row],[Start Date]],AZ$27&lt;ProposalToGnatt[[#This Row],[Start Date]]+ProposalToGnatt[[#This Row],[Days]]),$G$5,"")),"")</f>
        <v/>
      </c>
      <c r="BA44" s="36" t="str">
        <f ca="1">IFERROR(+IF(BA$27=ProposalToGnatt[[#This Row],[Start Date]],Milestone_Marker,IF(AND(BA$27&gt;ProposalToGnatt[[#This Row],[Start Date]],BA$27&lt;ProposalToGnatt[[#This Row],[Start Date]]+ProposalToGnatt[[#This Row],[Days]]),$G$5,"")),"")</f>
        <v/>
      </c>
      <c r="BB44" s="36" t="str">
        <f ca="1">IFERROR(+IF(BB$27=ProposalToGnatt[[#This Row],[Start Date]],Milestone_Marker,IF(AND(BB$27&gt;ProposalToGnatt[[#This Row],[Start Date]],BB$27&lt;ProposalToGnatt[[#This Row],[Start Date]]+ProposalToGnatt[[#This Row],[Days]]),$G$5,"")),"")</f>
        <v/>
      </c>
      <c r="BC44" s="36" t="str">
        <f ca="1">IFERROR(+IF(BC$27=ProposalToGnatt[[#This Row],[Start Date]],Milestone_Marker,IF(AND(BC$27&gt;ProposalToGnatt[[#This Row],[Start Date]],BC$27&lt;ProposalToGnatt[[#This Row],[Start Date]]+ProposalToGnatt[[#This Row],[Days]]),$G$5,"")),"")</f>
        <v/>
      </c>
      <c r="BD44" s="36" t="str">
        <f ca="1">IFERROR(+IF(BD$27=ProposalToGnatt[[#This Row],[Start Date]],Milestone_Marker,IF(AND(BD$27&gt;ProposalToGnatt[[#This Row],[Start Date]],BD$27&lt;ProposalToGnatt[[#This Row],[Start Date]]+ProposalToGnatt[[#This Row],[Days]]),$G$5,"")),"")</f>
        <v/>
      </c>
      <c r="BE44" s="36" t="str">
        <f ca="1">IFERROR(+IF(BE$27=ProposalToGnatt[[#This Row],[Start Date]],Milestone_Marker,IF(AND(BE$27&gt;ProposalToGnatt[[#This Row],[Start Date]],BE$27&lt;ProposalToGnatt[[#This Row],[Start Date]]+ProposalToGnatt[[#This Row],[Days]]),$G$5,"")),"")</f>
        <v/>
      </c>
      <c r="BF44" s="36" t="str">
        <f ca="1">IFERROR(+IF(BF$27=ProposalToGnatt[[#This Row],[Start Date]],Milestone_Marker,IF(AND(BF$27&gt;ProposalToGnatt[[#This Row],[Start Date]],BF$27&lt;ProposalToGnatt[[#This Row],[Start Date]]+ProposalToGnatt[[#This Row],[Days]]),$G$5,"")),"")</f>
        <v/>
      </c>
      <c r="BG44" s="36" t="str">
        <f ca="1">IFERROR(+IF(BG$27=ProposalToGnatt[[#This Row],[Start Date]],Milestone_Marker,IF(AND(BG$27&gt;ProposalToGnatt[[#This Row],[Start Date]],BG$27&lt;ProposalToGnatt[[#This Row],[Start Date]]+ProposalToGnatt[[#This Row],[Days]]),$G$5,"")),"")</f>
        <v/>
      </c>
      <c r="BH44" s="36" t="str">
        <f ca="1">IFERROR(+IF(BH$27=ProposalToGnatt[[#This Row],[Start Date]],Milestone_Marker,IF(AND(BH$27&gt;ProposalToGnatt[[#This Row],[Start Date]],BH$27&lt;ProposalToGnatt[[#This Row],[Start Date]]+ProposalToGnatt[[#This Row],[Days]]),$G$5,"")),"")</f>
        <v/>
      </c>
      <c r="BI44" s="36" t="str">
        <f ca="1">IFERROR(+IF(BI$27=ProposalToGnatt[[#This Row],[Start Date]],Milestone_Marker,IF(AND(BI$27&gt;ProposalToGnatt[[#This Row],[Start Date]],BI$27&lt;ProposalToGnatt[[#This Row],[Start Date]]+ProposalToGnatt[[#This Row],[Days]]),$G$5,"")),"")</f>
        <v/>
      </c>
      <c r="BJ44" s="36" t="str">
        <f ca="1">IFERROR(+IF(BJ$27=ProposalToGnatt[[#This Row],[Start Date]],Milestone_Marker,IF(AND(BJ$27&gt;ProposalToGnatt[[#This Row],[Start Date]],BJ$27&lt;ProposalToGnatt[[#This Row],[Start Date]]+ProposalToGnatt[[#This Row],[Days]]),$G$5,"")),"")</f>
        <v/>
      </c>
      <c r="BK44" s="36" t="str">
        <f ca="1">IFERROR(+IF(BK$27=ProposalToGnatt[[#This Row],[Start Date]],Milestone_Marker,IF(AND(BK$27&gt;ProposalToGnatt[[#This Row],[Start Date]],BK$27&lt;ProposalToGnatt[[#This Row],[Start Date]]+ProposalToGnatt[[#This Row],[Days]]),$G$5,"")),"")</f>
        <v/>
      </c>
      <c r="BL44" s="36" t="str">
        <f ca="1">IFERROR(+IF(BL$27=ProposalToGnatt[[#This Row],[Start Date]],Milestone_Marker,IF(AND(BL$27&gt;ProposalToGnatt[[#This Row],[Start Date]],BL$27&lt;ProposalToGnatt[[#This Row],[Start Date]]+ProposalToGnatt[[#This Row],[Days]]),$G$5,"")),"")</f>
        <v/>
      </c>
      <c r="BM44" s="36" t="str">
        <f ca="1">IFERROR(+IF(BM$27=ProposalToGnatt[[#This Row],[Start Date]],Milestone_Marker,IF(AND(BM$27&gt;ProposalToGnatt[[#This Row],[Start Date]],BM$27&lt;ProposalToGnatt[[#This Row],[Start Date]]+ProposalToGnatt[[#This Row],[Days]]),$G$5,"")),"")</f>
        <v/>
      </c>
      <c r="BN44" s="36" t="str">
        <f ca="1">IFERROR(+IF(BN$27=ProposalToGnatt[[#This Row],[Start Date]],Milestone_Marker,IF(AND(BN$27&gt;ProposalToGnatt[[#This Row],[Start Date]],BN$27&lt;ProposalToGnatt[[#This Row],[Start Date]]+ProposalToGnatt[[#This Row],[Days]]),$G$5,"")),"")</f>
        <v/>
      </c>
      <c r="BO44" s="36" t="str">
        <f ca="1">IFERROR(+IF(BO$27=ProposalToGnatt[[#This Row],[Start Date]],Milestone_Marker,IF(AND(BO$27&gt;ProposalToGnatt[[#This Row],[Start Date]],BO$27&lt;ProposalToGnatt[[#This Row],[Start Date]]+ProposalToGnatt[[#This Row],[Days]]),$G$5,"")),"")</f>
        <v/>
      </c>
      <c r="BP44" s="36" t="str">
        <f ca="1">IFERROR(+IF(BP$27=ProposalToGnatt[[#This Row],[Start Date]],Milestone_Marker,IF(AND(BP$27&gt;ProposalToGnatt[[#This Row],[Start Date]],BP$27&lt;ProposalToGnatt[[#This Row],[Start Date]]+ProposalToGnatt[[#This Row],[Days]]),$G$5,"")),"")</f>
        <v/>
      </c>
      <c r="BQ44" s="36" t="str">
        <f ca="1">IFERROR(+IF(BQ$27=ProposalToGnatt[[#This Row],[Start Date]],Milestone_Marker,IF(AND(BQ$27&gt;ProposalToGnatt[[#This Row],[Start Date]],BQ$27&lt;ProposalToGnatt[[#This Row],[Start Date]]+ProposalToGnatt[[#This Row],[Days]]),$G$5,"")),"")</f>
        <v/>
      </c>
      <c r="BR44" s="36" t="str">
        <f ca="1">IFERROR(+IF(BR$27=ProposalToGnatt[[#This Row],[Start Date]],Milestone_Marker,IF(AND(BR$27&gt;ProposalToGnatt[[#This Row],[Start Date]],BR$27&lt;ProposalToGnatt[[#This Row],[Start Date]]+ProposalToGnatt[[#This Row],[Days]]),$G$5,"")),"")</f>
        <v/>
      </c>
      <c r="BS44" s="36" t="str">
        <f ca="1">IFERROR(+IF(BS$27=ProposalToGnatt[[#This Row],[Start Date]],Milestone_Marker,IF(AND(BS$27&gt;ProposalToGnatt[[#This Row],[Start Date]],BS$27&lt;ProposalToGnatt[[#This Row],[Start Date]]+ProposalToGnatt[[#This Row],[Days]]),$G$5,"")),"")</f>
        <v/>
      </c>
      <c r="BT44" s="36" t="str">
        <f ca="1">IFERROR(+IF(BT$27=ProposalToGnatt[[#This Row],[Start Date]],Milestone_Marker,IF(AND(BT$27&gt;ProposalToGnatt[[#This Row],[Start Date]],BT$27&lt;ProposalToGnatt[[#This Row],[Start Date]]+ProposalToGnatt[[#This Row],[Days]]),$G$5,"")),"")</f>
        <v/>
      </c>
      <c r="BU44" s="36" t="str">
        <f ca="1">IFERROR(+IF(BU$27=ProposalToGnatt[[#This Row],[Start Date]],Milestone_Marker,IF(AND(BU$27&gt;ProposalToGnatt[[#This Row],[Start Date]],BU$27&lt;ProposalToGnatt[[#This Row],[Start Date]]+ProposalToGnatt[[#This Row],[Days]]),$G$5,"")),"")</f>
        <v/>
      </c>
      <c r="BV44" s="36" t="str">
        <f ca="1">IFERROR(+IF(BV$27=ProposalToGnatt[[#This Row],[Start Date]],Milestone_Marker,IF(AND(BV$27&gt;ProposalToGnatt[[#This Row],[Start Date]],BV$27&lt;ProposalToGnatt[[#This Row],[Start Date]]+ProposalToGnatt[[#This Row],[Days]]),$G$5,"")),"")</f>
        <v/>
      </c>
      <c r="BW44" s="36" t="str">
        <f ca="1">IFERROR(+IF(BW$27=ProposalToGnatt[[#This Row],[Start Date]],Milestone_Marker,IF(AND(BW$27&gt;ProposalToGnatt[[#This Row],[Start Date]],BW$27&lt;ProposalToGnatt[[#This Row],[Start Date]]+ProposalToGnatt[[#This Row],[Days]]),$G$5,"")),"")</f>
        <v/>
      </c>
      <c r="BX44" s="36" t="str">
        <f ca="1">IFERROR(+IF(BX$27=ProposalToGnatt[[#This Row],[Start Date]],Milestone_Marker,IF(AND(BX$27&gt;ProposalToGnatt[[#This Row],[Start Date]],BX$27&lt;ProposalToGnatt[[#This Row],[Start Date]]+ProposalToGnatt[[#This Row],[Days]]),$G$5,"")),"")</f>
        <v/>
      </c>
      <c r="BY44" s="36" t="str">
        <f ca="1">IFERROR(+IF(BY$27=ProposalToGnatt[[#This Row],[Start Date]],Milestone_Marker,IF(AND(BY$27&gt;ProposalToGnatt[[#This Row],[Start Date]],BY$27&lt;ProposalToGnatt[[#This Row],[Start Date]]+ProposalToGnatt[[#This Row],[Days]]),$G$5,"")),"")</f>
        <v/>
      </c>
      <c r="BZ44" s="36" t="str">
        <f ca="1">IFERROR(+IF(BZ$27=ProposalToGnatt[[#This Row],[Start Date]],Milestone_Marker,IF(AND(BZ$27&gt;ProposalToGnatt[[#This Row],[Start Date]],BZ$27&lt;ProposalToGnatt[[#This Row],[Start Date]]+ProposalToGnatt[[#This Row],[Days]]),$G$5,"")),"")</f>
        <v/>
      </c>
      <c r="CA44" s="36" t="str">
        <f ca="1">IFERROR(+IF(CA$27=ProposalToGnatt[[#This Row],[Start Date]],Milestone_Marker,IF(AND(CA$27&gt;ProposalToGnatt[[#This Row],[Start Date]],CA$27&lt;ProposalToGnatt[[#This Row],[Start Date]]+ProposalToGnatt[[#This Row],[Days]]),$G$5,"")),"")</f>
        <v/>
      </c>
      <c r="CB44" s="36" t="str">
        <f ca="1">IFERROR(+IF(CB$27=ProposalToGnatt[[#This Row],[Start Date]],Milestone_Marker,IF(AND(CB$27&gt;ProposalToGnatt[[#This Row],[Start Date]],CB$27&lt;ProposalToGnatt[[#This Row],[Start Date]]+ProposalToGnatt[[#This Row],[Days]]),$G$5,"")),"")</f>
        <v/>
      </c>
      <c r="CC44" s="36" t="str">
        <f ca="1">IFERROR(+IF(CC$27=ProposalToGnatt[[#This Row],[Start Date]],Milestone_Marker,IF(AND(CC$27&gt;ProposalToGnatt[[#This Row],[Start Date]],CC$27&lt;ProposalToGnatt[[#This Row],[Start Date]]+ProposalToGnatt[[#This Row],[Days]]),$G$5,"")),"")</f>
        <v/>
      </c>
      <c r="CD44" s="36" t="str">
        <f ca="1">IFERROR(+IF(CD$27=ProposalToGnatt[[#This Row],[Start Date]],Milestone_Marker,IF(AND(CD$27&gt;ProposalToGnatt[[#This Row],[Start Date]],CD$27&lt;ProposalToGnatt[[#This Row],[Start Date]]+ProposalToGnatt[[#This Row],[Days]]),$G$5,"")),"")</f>
        <v/>
      </c>
      <c r="CE44" s="36" t="str">
        <f ca="1">IFERROR(+IF(CE$27=ProposalToGnatt[[#This Row],[Start Date]],Milestone_Marker,IF(AND(CE$27&gt;ProposalToGnatt[[#This Row],[Start Date]],CE$27&lt;ProposalToGnatt[[#This Row],[Start Date]]+ProposalToGnatt[[#This Row],[Days]]),$G$5,"")),"")</f>
        <v/>
      </c>
      <c r="CF44" s="36" t="str">
        <f ca="1">IFERROR(+IF(CF$27=ProposalToGnatt[[#This Row],[Start Date]],Milestone_Marker,IF(AND(CF$27&gt;ProposalToGnatt[[#This Row],[Start Date]],CF$27&lt;ProposalToGnatt[[#This Row],[Start Date]]+ProposalToGnatt[[#This Row],[Days]]),$G$5,"")),"")</f>
        <v/>
      </c>
      <c r="CG44" s="36" t="str">
        <f ca="1">IFERROR(+IF(CG$27=ProposalToGnatt[[#This Row],[Start Date]],Milestone_Marker,IF(AND(CG$27&gt;ProposalToGnatt[[#This Row],[Start Date]],CG$27&lt;ProposalToGnatt[[#This Row],[Start Date]]+ProposalToGnatt[[#This Row],[Days]]),$G$5,"")),"")</f>
        <v/>
      </c>
      <c r="CH44" s="36" t="str">
        <f ca="1">IFERROR(+IF(CH$27=ProposalToGnatt[[#This Row],[Start Date]],Milestone_Marker,IF(AND(CH$27&gt;ProposalToGnatt[[#This Row],[Start Date]],CH$27&lt;ProposalToGnatt[[#This Row],[Start Date]]+ProposalToGnatt[[#This Row],[Days]]),$G$5,"")),"")</f>
        <v/>
      </c>
      <c r="CI44" s="36" t="str">
        <f ca="1">IFERROR(+IF(CI$27=ProposalToGnatt[[#This Row],[Start Date]],Milestone_Marker,IF(AND(CI$27&gt;ProposalToGnatt[[#This Row],[Start Date]],CI$27&lt;ProposalToGnatt[[#This Row],[Start Date]]+ProposalToGnatt[[#This Row],[Days]]),$G$5,"")),"")</f>
        <v/>
      </c>
      <c r="CJ44" s="36" t="str">
        <f ca="1">IFERROR(+IF(CJ$27=ProposalToGnatt[[#This Row],[Start Date]],Milestone_Marker,IF(AND(CJ$27&gt;ProposalToGnatt[[#This Row],[Start Date]],CJ$27&lt;ProposalToGnatt[[#This Row],[Start Date]]+ProposalToGnatt[[#This Row],[Days]]),$G$5,"")),"")</f>
        <v/>
      </c>
      <c r="CK44" s="36" t="str">
        <f ca="1">IFERROR(+IF(CK$27=ProposalToGnatt[[#This Row],[Start Date]],Milestone_Marker,IF(AND(CK$27&gt;ProposalToGnatt[[#This Row],[Start Date]],CK$27&lt;ProposalToGnatt[[#This Row],[Start Date]]+ProposalToGnatt[[#This Row],[Days]]),$G$5,"")),"")</f>
        <v/>
      </c>
      <c r="CL44" s="36" t="str">
        <f ca="1">IFERROR(+IF(CL$27=ProposalToGnatt[[#This Row],[Start Date]],Milestone_Marker,IF(AND(CL$27&gt;ProposalToGnatt[[#This Row],[Start Date]],CL$27&lt;ProposalToGnatt[[#This Row],[Start Date]]+ProposalToGnatt[[#This Row],[Days]]),$G$5,"")),"")</f>
        <v/>
      </c>
      <c r="CM44" s="36" t="str">
        <f ca="1">IFERROR(+IF(CM$27=ProposalToGnatt[[#This Row],[Start Date]],Milestone_Marker,IF(AND(CM$27&gt;ProposalToGnatt[[#This Row],[Start Date]],CM$27&lt;ProposalToGnatt[[#This Row],[Start Date]]+ProposalToGnatt[[#This Row],[Days]]),$G$5,"")),"")</f>
        <v/>
      </c>
      <c r="CN44" s="36" t="str">
        <f ca="1">IFERROR(+IF(CN$27=ProposalToGnatt[[#This Row],[Start Date]],Milestone_Marker,IF(AND(CN$27&gt;ProposalToGnatt[[#This Row],[Start Date]],CN$27&lt;ProposalToGnatt[[#This Row],[Start Date]]+ProposalToGnatt[[#This Row],[Days]]),$G$5,"")),"")</f>
        <v/>
      </c>
      <c r="CO44" s="36" t="str">
        <f ca="1">IFERROR(+IF(CO$27=ProposalToGnatt[[#This Row],[Start Date]],Milestone_Marker,IF(AND(CO$27&gt;ProposalToGnatt[[#This Row],[Start Date]],CO$27&lt;ProposalToGnatt[[#This Row],[Start Date]]+ProposalToGnatt[[#This Row],[Days]]),$G$5,"")),"")</f>
        <v/>
      </c>
      <c r="CP44" s="36" t="str">
        <f ca="1">IFERROR(+IF(CP$27=ProposalToGnatt[[#This Row],[Start Date]],Milestone_Marker,IF(AND(CP$27&gt;ProposalToGnatt[[#This Row],[Start Date]],CP$27&lt;ProposalToGnatt[[#This Row],[Start Date]]+ProposalToGnatt[[#This Row],[Days]]),$G$5,"")),"")</f>
        <v/>
      </c>
      <c r="CQ44" s="36" t="str">
        <f ca="1">IFERROR(+IF(CQ$27=ProposalToGnatt[[#This Row],[Start Date]],Milestone_Marker,IF(AND(CQ$27&gt;ProposalToGnatt[[#This Row],[Start Date]],CQ$27&lt;ProposalToGnatt[[#This Row],[Start Date]]+ProposalToGnatt[[#This Row],[Days]]),$G$5,"")),"")</f>
        <v/>
      </c>
      <c r="CR44" s="36" t="str">
        <f ca="1">IFERROR(+IF(CR$27=ProposalToGnatt[[#This Row],[Start Date]],Milestone_Marker,IF(AND(CR$27&gt;ProposalToGnatt[[#This Row],[Start Date]],CR$27&lt;ProposalToGnatt[[#This Row],[Start Date]]+ProposalToGnatt[[#This Row],[Days]]),$G$5,"")),"")</f>
        <v/>
      </c>
      <c r="CS44" s="36" t="str">
        <f ca="1">IFERROR(+IF(CS$27=ProposalToGnatt[[#This Row],[Start Date]],Milestone_Marker,IF(AND(CS$27&gt;ProposalToGnatt[[#This Row],[Start Date]],CS$27&lt;ProposalToGnatt[[#This Row],[Start Date]]+ProposalToGnatt[[#This Row],[Days]]),$G$5,"")),"")</f>
        <v/>
      </c>
      <c r="CT44" s="36" t="str">
        <f ca="1">IFERROR(+IF(CT$27=ProposalToGnatt[[#This Row],[Start Date]],Milestone_Marker,IF(AND(CT$27&gt;ProposalToGnatt[[#This Row],[Start Date]],CT$27&lt;ProposalToGnatt[[#This Row],[Start Date]]+ProposalToGnatt[[#This Row],[Days]]),$G$5,"")),"")</f>
        <v/>
      </c>
      <c r="CU44" s="36" t="str">
        <f ca="1">IFERROR(+IF(CU$27=ProposalToGnatt[[#This Row],[Start Date]],Milestone_Marker,IF(AND(CU$27&gt;ProposalToGnatt[[#This Row],[Start Date]],CU$27&lt;ProposalToGnatt[[#This Row],[Start Date]]+ProposalToGnatt[[#This Row],[Days]]),$G$5,"")),"")</f>
        <v/>
      </c>
      <c r="CV44" s="36"/>
      <c r="CW44" s="36"/>
      <c r="CX44" s="36"/>
      <c r="CY44" s="36"/>
      <c r="CZ44" s="36"/>
      <c r="DA44" s="36"/>
      <c r="DB44" s="36"/>
      <c r="DC44" s="36"/>
      <c r="DD44" s="36"/>
      <c r="DE44" s="36"/>
      <c r="DF44" s="36"/>
      <c r="DG44" s="36"/>
      <c r="DH44" s="36"/>
      <c r="DI44" s="36"/>
      <c r="DJ44" s="36"/>
      <c r="DK44" s="36"/>
      <c r="DL44" s="36"/>
      <c r="DM44" s="36"/>
      <c r="DN44" s="36"/>
      <c r="DO44" s="36"/>
      <c r="DP44" s="36"/>
      <c r="DQ44" s="36"/>
      <c r="DR44" s="36"/>
      <c r="DS44" s="36"/>
      <c r="DT44" s="36"/>
      <c r="DU44" s="36"/>
    </row>
    <row r="45" spans="1:125" s="41" customFormat="1" ht="15" x14ac:dyDescent="0.25">
      <c r="A45" t="s">
        <v>267</v>
      </c>
      <c r="B45">
        <v>27</v>
      </c>
      <c r="C45"/>
      <c r="D45" t="s">
        <v>310</v>
      </c>
      <c r="E45" s="568" t="s">
        <v>940</v>
      </c>
      <c r="F45">
        <v>2</v>
      </c>
      <c r="G45" s="14">
        <v>10</v>
      </c>
      <c r="H45" s="14">
        <v>20</v>
      </c>
      <c r="I45" t="s">
        <v>3</v>
      </c>
      <c r="J45">
        <v>1</v>
      </c>
      <c r="K45" s="249"/>
      <c r="L45"/>
      <c r="M45" s="14"/>
      <c r="N45" s="300">
        <v>20</v>
      </c>
      <c r="O45" s="554"/>
      <c r="P45" s="36" t="str">
        <f ca="1">IFERROR(+IF(P$27=ProposalToGnatt[[#This Row],[Start Date]],Milestone_Marker,IF(AND(P$27&gt;ProposalToGnatt[[#This Row],[Start Date]],P$27&lt;ProposalToGnatt[[#This Row],[Start Date]]+ProposalToGnatt[[#This Row],[Days]]),$G$5,"")),"")</f>
        <v/>
      </c>
      <c r="Q45" s="36" t="str">
        <f ca="1">IFERROR(+IF(Q$27=ProposalToGnatt[[#This Row],[Start Date]],Milestone_Marker,IF(AND(Q$27&gt;ProposalToGnatt[[#This Row],[Start Date]],Q$27&lt;ProposalToGnatt[[#This Row],[Start Date]]+ProposalToGnatt[[#This Row],[Days]]),$G$5,"")),"")</f>
        <v/>
      </c>
      <c r="R45" s="36" t="str">
        <f ca="1">IFERROR(+IF(R$27=ProposalToGnatt[[#This Row],[Start Date]],Milestone_Marker,IF(AND(R$27&gt;ProposalToGnatt[[#This Row],[Start Date]],R$27&lt;ProposalToGnatt[[#This Row],[Start Date]]+ProposalToGnatt[[#This Row],[Days]]),$G$5,"")),"")</f>
        <v/>
      </c>
      <c r="S45" s="36" t="str">
        <f ca="1">IFERROR(+IF(S$27=ProposalToGnatt[[#This Row],[Start Date]],Milestone_Marker,IF(AND(S$27&gt;ProposalToGnatt[[#This Row],[Start Date]],S$27&lt;ProposalToGnatt[[#This Row],[Start Date]]+ProposalToGnatt[[#This Row],[Days]]),$G$5,"")),"")</f>
        <v/>
      </c>
      <c r="T45" s="36" t="str">
        <f ca="1">IFERROR(+IF(T$27=ProposalToGnatt[[#This Row],[Start Date]],Milestone_Marker,IF(AND(T$27&gt;ProposalToGnatt[[#This Row],[Start Date]],T$27&lt;ProposalToGnatt[[#This Row],[Start Date]]+ProposalToGnatt[[#This Row],[Days]]),$G$5,"")),"")</f>
        <v/>
      </c>
      <c r="U45" s="36" t="str">
        <f ca="1">IFERROR(+IF(U$27=ProposalToGnatt[[#This Row],[Start Date]],Milestone_Marker,IF(AND(U$27&gt;ProposalToGnatt[[#This Row],[Start Date]],U$27&lt;ProposalToGnatt[[#This Row],[Start Date]]+ProposalToGnatt[[#This Row],[Days]]),$G$5,"")),"")</f>
        <v/>
      </c>
      <c r="V45" s="36" t="str">
        <f ca="1">IFERROR(+IF(V$27=ProposalToGnatt[[#This Row],[Start Date]],Milestone_Marker,IF(AND(V$27&gt;ProposalToGnatt[[#This Row],[Start Date]],V$27&lt;ProposalToGnatt[[#This Row],[Start Date]]+ProposalToGnatt[[#This Row],[Days]]),$G$5,"")),"")</f>
        <v/>
      </c>
      <c r="W45" s="36" t="str">
        <f ca="1">IFERROR(+IF(W$27=ProposalToGnatt[[#This Row],[Start Date]],Milestone_Marker,IF(AND(W$27&gt;ProposalToGnatt[[#This Row],[Start Date]],W$27&lt;ProposalToGnatt[[#This Row],[Start Date]]+ProposalToGnatt[[#This Row],[Days]]),$G$5,"")),"")</f>
        <v/>
      </c>
      <c r="X45" s="36" t="str">
        <f ca="1">IFERROR(+IF(X$27=ProposalToGnatt[[#This Row],[Start Date]],Milestone_Marker,IF(AND(X$27&gt;ProposalToGnatt[[#This Row],[Start Date]],X$27&lt;ProposalToGnatt[[#This Row],[Start Date]]+ProposalToGnatt[[#This Row],[Days]]),$G$5,"")),"")</f>
        <v/>
      </c>
      <c r="Y45" s="36" t="str">
        <f ca="1">IFERROR(+IF(Y$27=ProposalToGnatt[[#This Row],[Start Date]],Milestone_Marker,IF(AND(Y$27&gt;ProposalToGnatt[[#This Row],[Start Date]],Y$27&lt;ProposalToGnatt[[#This Row],[Start Date]]+ProposalToGnatt[[#This Row],[Days]]),$G$5,"")),"")</f>
        <v/>
      </c>
      <c r="Z45" s="36" t="str">
        <f ca="1">IFERROR(+IF(Z$27=ProposalToGnatt[[#This Row],[Start Date]],Milestone_Marker,IF(AND(Z$27&gt;ProposalToGnatt[[#This Row],[Start Date]],Z$27&lt;ProposalToGnatt[[#This Row],[Start Date]]+ProposalToGnatt[[#This Row],[Days]]),$G$5,"")),"")</f>
        <v/>
      </c>
      <c r="AA45" s="36" t="str">
        <f ca="1">IFERROR(+IF(AA$27=ProposalToGnatt[[#This Row],[Start Date]],Milestone_Marker,IF(AND(AA$27&gt;ProposalToGnatt[[#This Row],[Start Date]],AA$27&lt;ProposalToGnatt[[#This Row],[Start Date]]+ProposalToGnatt[[#This Row],[Days]]),$G$5,"")),"")</f>
        <v/>
      </c>
      <c r="AB45" s="36" t="str">
        <f ca="1">IFERROR(+IF(AB$27=ProposalToGnatt[[#This Row],[Start Date]],Milestone_Marker,IF(AND(AB$27&gt;ProposalToGnatt[[#This Row],[Start Date]],AB$27&lt;ProposalToGnatt[[#This Row],[Start Date]]+ProposalToGnatt[[#This Row],[Days]]),$G$5,"")),"")</f>
        <v/>
      </c>
      <c r="AC45" s="36" t="str">
        <f ca="1">IFERROR(+IF(AC$27=ProposalToGnatt[[#This Row],[Start Date]],Milestone_Marker,IF(AND(AC$27&gt;ProposalToGnatt[[#This Row],[Start Date]],AC$27&lt;ProposalToGnatt[[#This Row],[Start Date]]+ProposalToGnatt[[#This Row],[Days]]),$G$5,"")),"")</f>
        <v/>
      </c>
      <c r="AD45" s="36" t="str">
        <f ca="1">IFERROR(+IF(AD$27=ProposalToGnatt[[#This Row],[Start Date]],Milestone_Marker,IF(AND(AD$27&gt;ProposalToGnatt[[#This Row],[Start Date]],AD$27&lt;ProposalToGnatt[[#This Row],[Start Date]]+ProposalToGnatt[[#This Row],[Days]]),$G$5,"")),"")</f>
        <v/>
      </c>
      <c r="AE45" s="36" t="str">
        <f ca="1">IFERROR(+IF(AE$27=ProposalToGnatt[[#This Row],[Start Date]],Milestone_Marker,IF(AND(AE$27&gt;ProposalToGnatt[[#This Row],[Start Date]],AE$27&lt;ProposalToGnatt[[#This Row],[Start Date]]+ProposalToGnatt[[#This Row],[Days]]),$G$5,"")),"")</f>
        <v/>
      </c>
      <c r="AF45" s="36" t="str">
        <f ca="1">IFERROR(+IF(AF$27=ProposalToGnatt[[#This Row],[Start Date]],Milestone_Marker,IF(AND(AF$27&gt;ProposalToGnatt[[#This Row],[Start Date]],AF$27&lt;ProposalToGnatt[[#This Row],[Start Date]]+ProposalToGnatt[[#This Row],[Days]]),$G$5,"")),"")</f>
        <v/>
      </c>
      <c r="AG45" s="36" t="str">
        <f ca="1">IFERROR(+IF(AG$27=ProposalToGnatt[[#This Row],[Start Date]],Milestone_Marker,IF(AND(AG$27&gt;ProposalToGnatt[[#This Row],[Start Date]],AG$27&lt;ProposalToGnatt[[#This Row],[Start Date]]+ProposalToGnatt[[#This Row],[Days]]),$G$5,"")),"")</f>
        <v/>
      </c>
      <c r="AH45" s="36" t="str">
        <f ca="1">IFERROR(+IF(AH$27=ProposalToGnatt[[#This Row],[Start Date]],Milestone_Marker,IF(AND(AH$27&gt;ProposalToGnatt[[#This Row],[Start Date]],AH$27&lt;ProposalToGnatt[[#This Row],[Start Date]]+ProposalToGnatt[[#This Row],[Days]]),$G$5,"")),"")</f>
        <v/>
      </c>
      <c r="AI45" s="36" t="str">
        <f ca="1">IFERROR(+IF(AI$27=ProposalToGnatt[[#This Row],[Start Date]],Milestone_Marker,IF(AND(AI$27&gt;ProposalToGnatt[[#This Row],[Start Date]],AI$27&lt;ProposalToGnatt[[#This Row],[Start Date]]+ProposalToGnatt[[#This Row],[Days]]),$G$5,"")),"")</f>
        <v/>
      </c>
      <c r="AJ45" s="36" t="str">
        <f ca="1">IFERROR(+IF(AJ$27=ProposalToGnatt[[#This Row],[Start Date]],Milestone_Marker,IF(AND(AJ$27&gt;ProposalToGnatt[[#This Row],[Start Date]],AJ$27&lt;ProposalToGnatt[[#This Row],[Start Date]]+ProposalToGnatt[[#This Row],[Days]]),$G$5,"")),"")</f>
        <v/>
      </c>
      <c r="AK45" s="36" t="str">
        <f ca="1">IFERROR(+IF(AK$27=ProposalToGnatt[[#This Row],[Start Date]],Milestone_Marker,IF(AND(AK$27&gt;ProposalToGnatt[[#This Row],[Start Date]],AK$27&lt;ProposalToGnatt[[#This Row],[Start Date]]+ProposalToGnatt[[#This Row],[Days]]),$G$5,"")),"")</f>
        <v/>
      </c>
      <c r="AL45" s="36" t="str">
        <f ca="1">IFERROR(+IF(AL$27=ProposalToGnatt[[#This Row],[Start Date]],Milestone_Marker,IF(AND(AL$27&gt;ProposalToGnatt[[#This Row],[Start Date]],AL$27&lt;ProposalToGnatt[[#This Row],[Start Date]]+ProposalToGnatt[[#This Row],[Days]]),$G$5,"")),"")</f>
        <v/>
      </c>
      <c r="AM45" s="36" t="str">
        <f ca="1">IFERROR(+IF(AM$27=ProposalToGnatt[[#This Row],[Start Date]],Milestone_Marker,IF(AND(AM$27&gt;ProposalToGnatt[[#This Row],[Start Date]],AM$27&lt;ProposalToGnatt[[#This Row],[Start Date]]+ProposalToGnatt[[#This Row],[Days]]),$G$5,"")),"")</f>
        <v/>
      </c>
      <c r="AN45" s="36" t="str">
        <f ca="1">IFERROR(+IF(AN$27=ProposalToGnatt[[#This Row],[Start Date]],Milestone_Marker,IF(AND(AN$27&gt;ProposalToGnatt[[#This Row],[Start Date]],AN$27&lt;ProposalToGnatt[[#This Row],[Start Date]]+ProposalToGnatt[[#This Row],[Days]]),$G$5,"")),"")</f>
        <v/>
      </c>
      <c r="AO45" s="36" t="str">
        <f ca="1">IFERROR(+IF(AO$27=ProposalToGnatt[[#This Row],[Start Date]],Milestone_Marker,IF(AND(AO$27&gt;ProposalToGnatt[[#This Row],[Start Date]],AO$27&lt;ProposalToGnatt[[#This Row],[Start Date]]+ProposalToGnatt[[#This Row],[Days]]),$G$5,"")),"")</f>
        <v/>
      </c>
      <c r="AP45" s="36" t="str">
        <f ca="1">IFERROR(+IF(AP$27=ProposalToGnatt[[#This Row],[Start Date]],Milestone_Marker,IF(AND(AP$27&gt;ProposalToGnatt[[#This Row],[Start Date]],AP$27&lt;ProposalToGnatt[[#This Row],[Start Date]]+ProposalToGnatt[[#This Row],[Days]]),$G$5,"")),"")</f>
        <v/>
      </c>
      <c r="AQ45" s="36" t="str">
        <f ca="1">IFERROR(+IF(AQ$27=ProposalToGnatt[[#This Row],[Start Date]],Milestone_Marker,IF(AND(AQ$27&gt;ProposalToGnatt[[#This Row],[Start Date]],AQ$27&lt;ProposalToGnatt[[#This Row],[Start Date]]+ProposalToGnatt[[#This Row],[Days]]),$G$5,"")),"")</f>
        <v/>
      </c>
      <c r="AR45" s="36" t="str">
        <f ca="1">IFERROR(+IF(AR$27=ProposalToGnatt[[#This Row],[Start Date]],Milestone_Marker,IF(AND(AR$27&gt;ProposalToGnatt[[#This Row],[Start Date]],AR$27&lt;ProposalToGnatt[[#This Row],[Start Date]]+ProposalToGnatt[[#This Row],[Days]]),$G$5,"")),"")</f>
        <v/>
      </c>
      <c r="AS45" s="36" t="str">
        <f ca="1">IFERROR(+IF(AS$27=ProposalToGnatt[[#This Row],[Start Date]],Milestone_Marker,IF(AND(AS$27&gt;ProposalToGnatt[[#This Row],[Start Date]],AS$27&lt;ProposalToGnatt[[#This Row],[Start Date]]+ProposalToGnatt[[#This Row],[Days]]),$G$5,"")),"")</f>
        <v/>
      </c>
      <c r="AT45" s="36" t="str">
        <f ca="1">IFERROR(+IF(AT$27=ProposalToGnatt[[#This Row],[Start Date]],Milestone_Marker,IF(AND(AT$27&gt;ProposalToGnatt[[#This Row],[Start Date]],AT$27&lt;ProposalToGnatt[[#This Row],[Start Date]]+ProposalToGnatt[[#This Row],[Days]]),$G$5,"")),"")</f>
        <v/>
      </c>
      <c r="AU45" s="36" t="str">
        <f ca="1">IFERROR(+IF(AU$27=ProposalToGnatt[[#This Row],[Start Date]],Milestone_Marker,IF(AND(AU$27&gt;ProposalToGnatt[[#This Row],[Start Date]],AU$27&lt;ProposalToGnatt[[#This Row],[Start Date]]+ProposalToGnatt[[#This Row],[Days]]),$G$5,"")),"")</f>
        <v/>
      </c>
      <c r="AV45" s="36" t="str">
        <f ca="1">IFERROR(+IF(AV$27=ProposalToGnatt[[#This Row],[Start Date]],Milestone_Marker,IF(AND(AV$27&gt;ProposalToGnatt[[#This Row],[Start Date]],AV$27&lt;ProposalToGnatt[[#This Row],[Start Date]]+ProposalToGnatt[[#This Row],[Days]]),$G$5,"")),"")</f>
        <v/>
      </c>
      <c r="AW45" s="36" t="str">
        <f ca="1">IFERROR(+IF(AW$27=ProposalToGnatt[[#This Row],[Start Date]],Milestone_Marker,IF(AND(AW$27&gt;ProposalToGnatt[[#This Row],[Start Date]],AW$27&lt;ProposalToGnatt[[#This Row],[Start Date]]+ProposalToGnatt[[#This Row],[Days]]),$G$5,"")),"")</f>
        <v/>
      </c>
      <c r="AX45" s="36" t="str">
        <f ca="1">IFERROR(+IF(AX$27=ProposalToGnatt[[#This Row],[Start Date]],Milestone_Marker,IF(AND(AX$27&gt;ProposalToGnatt[[#This Row],[Start Date]],AX$27&lt;ProposalToGnatt[[#This Row],[Start Date]]+ProposalToGnatt[[#This Row],[Days]]),$G$5,"")),"")</f>
        <v/>
      </c>
      <c r="AY45" s="36" t="str">
        <f ca="1">IFERROR(+IF(AY$27=ProposalToGnatt[[#This Row],[Start Date]],Milestone_Marker,IF(AND(AY$27&gt;ProposalToGnatt[[#This Row],[Start Date]],AY$27&lt;ProposalToGnatt[[#This Row],[Start Date]]+ProposalToGnatt[[#This Row],[Days]]),$G$5,"")),"")</f>
        <v/>
      </c>
      <c r="AZ45" s="36" t="str">
        <f ca="1">IFERROR(+IF(AZ$27=ProposalToGnatt[[#This Row],[Start Date]],Milestone_Marker,IF(AND(AZ$27&gt;ProposalToGnatt[[#This Row],[Start Date]],AZ$27&lt;ProposalToGnatt[[#This Row],[Start Date]]+ProposalToGnatt[[#This Row],[Days]]),$G$5,"")),"")</f>
        <v/>
      </c>
      <c r="BA45" s="36" t="str">
        <f ca="1">IFERROR(+IF(BA$27=ProposalToGnatt[[#This Row],[Start Date]],Milestone_Marker,IF(AND(BA$27&gt;ProposalToGnatt[[#This Row],[Start Date]],BA$27&lt;ProposalToGnatt[[#This Row],[Start Date]]+ProposalToGnatt[[#This Row],[Days]]),$G$5,"")),"")</f>
        <v/>
      </c>
      <c r="BB45" s="36" t="str">
        <f ca="1">IFERROR(+IF(BB$27=ProposalToGnatt[[#This Row],[Start Date]],Milestone_Marker,IF(AND(BB$27&gt;ProposalToGnatt[[#This Row],[Start Date]],BB$27&lt;ProposalToGnatt[[#This Row],[Start Date]]+ProposalToGnatt[[#This Row],[Days]]),$G$5,"")),"")</f>
        <v/>
      </c>
      <c r="BC45" s="36" t="str">
        <f ca="1">IFERROR(+IF(BC$27=ProposalToGnatt[[#This Row],[Start Date]],Milestone_Marker,IF(AND(BC$27&gt;ProposalToGnatt[[#This Row],[Start Date]],BC$27&lt;ProposalToGnatt[[#This Row],[Start Date]]+ProposalToGnatt[[#This Row],[Days]]),$G$5,"")),"")</f>
        <v/>
      </c>
      <c r="BD45" s="36" t="str">
        <f ca="1">IFERROR(+IF(BD$27=ProposalToGnatt[[#This Row],[Start Date]],Milestone_Marker,IF(AND(BD$27&gt;ProposalToGnatt[[#This Row],[Start Date]],BD$27&lt;ProposalToGnatt[[#This Row],[Start Date]]+ProposalToGnatt[[#This Row],[Days]]),$G$5,"")),"")</f>
        <v/>
      </c>
      <c r="BE45" s="36" t="str">
        <f ca="1">IFERROR(+IF(BE$27=ProposalToGnatt[[#This Row],[Start Date]],Milestone_Marker,IF(AND(BE$27&gt;ProposalToGnatt[[#This Row],[Start Date]],BE$27&lt;ProposalToGnatt[[#This Row],[Start Date]]+ProposalToGnatt[[#This Row],[Days]]),$G$5,"")),"")</f>
        <v/>
      </c>
      <c r="BF45" s="36" t="str">
        <f ca="1">IFERROR(+IF(BF$27=ProposalToGnatt[[#This Row],[Start Date]],Milestone_Marker,IF(AND(BF$27&gt;ProposalToGnatt[[#This Row],[Start Date]],BF$27&lt;ProposalToGnatt[[#This Row],[Start Date]]+ProposalToGnatt[[#This Row],[Days]]),$G$5,"")),"")</f>
        <v/>
      </c>
      <c r="BG45" s="36" t="str">
        <f ca="1">IFERROR(+IF(BG$27=ProposalToGnatt[[#This Row],[Start Date]],Milestone_Marker,IF(AND(BG$27&gt;ProposalToGnatt[[#This Row],[Start Date]],BG$27&lt;ProposalToGnatt[[#This Row],[Start Date]]+ProposalToGnatt[[#This Row],[Days]]),$G$5,"")),"")</f>
        <v/>
      </c>
      <c r="BH45" s="36" t="str">
        <f ca="1">IFERROR(+IF(BH$27=ProposalToGnatt[[#This Row],[Start Date]],Milestone_Marker,IF(AND(BH$27&gt;ProposalToGnatt[[#This Row],[Start Date]],BH$27&lt;ProposalToGnatt[[#This Row],[Start Date]]+ProposalToGnatt[[#This Row],[Days]]),$G$5,"")),"")</f>
        <v/>
      </c>
      <c r="BI45" s="36" t="str">
        <f ca="1">IFERROR(+IF(BI$27=ProposalToGnatt[[#This Row],[Start Date]],Milestone_Marker,IF(AND(BI$27&gt;ProposalToGnatt[[#This Row],[Start Date]],BI$27&lt;ProposalToGnatt[[#This Row],[Start Date]]+ProposalToGnatt[[#This Row],[Days]]),$G$5,"")),"")</f>
        <v/>
      </c>
      <c r="BJ45" s="36" t="str">
        <f ca="1">IFERROR(+IF(BJ$27=ProposalToGnatt[[#This Row],[Start Date]],Milestone_Marker,IF(AND(BJ$27&gt;ProposalToGnatt[[#This Row],[Start Date]],BJ$27&lt;ProposalToGnatt[[#This Row],[Start Date]]+ProposalToGnatt[[#This Row],[Days]]),$G$5,"")),"")</f>
        <v/>
      </c>
      <c r="BK45" s="36" t="str">
        <f ca="1">IFERROR(+IF(BK$27=ProposalToGnatt[[#This Row],[Start Date]],Milestone_Marker,IF(AND(BK$27&gt;ProposalToGnatt[[#This Row],[Start Date]],BK$27&lt;ProposalToGnatt[[#This Row],[Start Date]]+ProposalToGnatt[[#This Row],[Days]]),$G$5,"")),"")</f>
        <v/>
      </c>
      <c r="BL45" s="36" t="str">
        <f ca="1">IFERROR(+IF(BL$27=ProposalToGnatt[[#This Row],[Start Date]],Milestone_Marker,IF(AND(BL$27&gt;ProposalToGnatt[[#This Row],[Start Date]],BL$27&lt;ProposalToGnatt[[#This Row],[Start Date]]+ProposalToGnatt[[#This Row],[Days]]),$G$5,"")),"")</f>
        <v/>
      </c>
      <c r="BM45" s="36" t="str">
        <f ca="1">IFERROR(+IF(BM$27=ProposalToGnatt[[#This Row],[Start Date]],Milestone_Marker,IF(AND(BM$27&gt;ProposalToGnatt[[#This Row],[Start Date]],BM$27&lt;ProposalToGnatt[[#This Row],[Start Date]]+ProposalToGnatt[[#This Row],[Days]]),$G$5,"")),"")</f>
        <v/>
      </c>
      <c r="BN45" s="36" t="str">
        <f ca="1">IFERROR(+IF(BN$27=ProposalToGnatt[[#This Row],[Start Date]],Milestone_Marker,IF(AND(BN$27&gt;ProposalToGnatt[[#This Row],[Start Date]],BN$27&lt;ProposalToGnatt[[#This Row],[Start Date]]+ProposalToGnatt[[#This Row],[Days]]),$G$5,"")),"")</f>
        <v/>
      </c>
      <c r="BO45" s="36" t="str">
        <f ca="1">IFERROR(+IF(BO$27=ProposalToGnatt[[#This Row],[Start Date]],Milestone_Marker,IF(AND(BO$27&gt;ProposalToGnatt[[#This Row],[Start Date]],BO$27&lt;ProposalToGnatt[[#This Row],[Start Date]]+ProposalToGnatt[[#This Row],[Days]]),$G$5,"")),"")</f>
        <v/>
      </c>
      <c r="BP45" s="36" t="str">
        <f ca="1">IFERROR(+IF(BP$27=ProposalToGnatt[[#This Row],[Start Date]],Milestone_Marker,IF(AND(BP$27&gt;ProposalToGnatt[[#This Row],[Start Date]],BP$27&lt;ProposalToGnatt[[#This Row],[Start Date]]+ProposalToGnatt[[#This Row],[Days]]),$G$5,"")),"")</f>
        <v/>
      </c>
      <c r="BQ45" s="36" t="str">
        <f ca="1">IFERROR(+IF(BQ$27=ProposalToGnatt[[#This Row],[Start Date]],Milestone_Marker,IF(AND(BQ$27&gt;ProposalToGnatt[[#This Row],[Start Date]],BQ$27&lt;ProposalToGnatt[[#This Row],[Start Date]]+ProposalToGnatt[[#This Row],[Days]]),$G$5,"")),"")</f>
        <v/>
      </c>
      <c r="BR45" s="36" t="str">
        <f ca="1">IFERROR(+IF(BR$27=ProposalToGnatt[[#This Row],[Start Date]],Milestone_Marker,IF(AND(BR$27&gt;ProposalToGnatt[[#This Row],[Start Date]],BR$27&lt;ProposalToGnatt[[#This Row],[Start Date]]+ProposalToGnatt[[#This Row],[Days]]),$G$5,"")),"")</f>
        <v/>
      </c>
      <c r="BS45" s="36" t="str">
        <f ca="1">IFERROR(+IF(BS$27=ProposalToGnatt[[#This Row],[Start Date]],Milestone_Marker,IF(AND(BS$27&gt;ProposalToGnatt[[#This Row],[Start Date]],BS$27&lt;ProposalToGnatt[[#This Row],[Start Date]]+ProposalToGnatt[[#This Row],[Days]]),$G$5,"")),"")</f>
        <v/>
      </c>
      <c r="BT45" s="36" t="str">
        <f ca="1">IFERROR(+IF(BT$27=ProposalToGnatt[[#This Row],[Start Date]],Milestone_Marker,IF(AND(BT$27&gt;ProposalToGnatt[[#This Row],[Start Date]],BT$27&lt;ProposalToGnatt[[#This Row],[Start Date]]+ProposalToGnatt[[#This Row],[Days]]),$G$5,"")),"")</f>
        <v/>
      </c>
      <c r="BU45" s="36" t="str">
        <f ca="1">IFERROR(+IF(BU$27=ProposalToGnatt[[#This Row],[Start Date]],Milestone_Marker,IF(AND(BU$27&gt;ProposalToGnatt[[#This Row],[Start Date]],BU$27&lt;ProposalToGnatt[[#This Row],[Start Date]]+ProposalToGnatt[[#This Row],[Days]]),$G$5,"")),"")</f>
        <v/>
      </c>
      <c r="BV45" s="36" t="str">
        <f ca="1">IFERROR(+IF(BV$27=ProposalToGnatt[[#This Row],[Start Date]],Milestone_Marker,IF(AND(BV$27&gt;ProposalToGnatt[[#This Row],[Start Date]],BV$27&lt;ProposalToGnatt[[#This Row],[Start Date]]+ProposalToGnatt[[#This Row],[Days]]),$G$5,"")),"")</f>
        <v/>
      </c>
      <c r="BW45" s="36" t="str">
        <f ca="1">IFERROR(+IF(BW$27=ProposalToGnatt[[#This Row],[Start Date]],Milestone_Marker,IF(AND(BW$27&gt;ProposalToGnatt[[#This Row],[Start Date]],BW$27&lt;ProposalToGnatt[[#This Row],[Start Date]]+ProposalToGnatt[[#This Row],[Days]]),$G$5,"")),"")</f>
        <v/>
      </c>
      <c r="BX45" s="36" t="str">
        <f ca="1">IFERROR(+IF(BX$27=ProposalToGnatt[[#This Row],[Start Date]],Milestone_Marker,IF(AND(BX$27&gt;ProposalToGnatt[[#This Row],[Start Date]],BX$27&lt;ProposalToGnatt[[#This Row],[Start Date]]+ProposalToGnatt[[#This Row],[Days]]),$G$5,"")),"")</f>
        <v/>
      </c>
      <c r="BY45" s="36" t="str">
        <f ca="1">IFERROR(+IF(BY$27=ProposalToGnatt[[#This Row],[Start Date]],Milestone_Marker,IF(AND(BY$27&gt;ProposalToGnatt[[#This Row],[Start Date]],BY$27&lt;ProposalToGnatt[[#This Row],[Start Date]]+ProposalToGnatt[[#This Row],[Days]]),$G$5,"")),"")</f>
        <v/>
      </c>
      <c r="BZ45" s="36" t="str">
        <f ca="1">IFERROR(+IF(BZ$27=ProposalToGnatt[[#This Row],[Start Date]],Milestone_Marker,IF(AND(BZ$27&gt;ProposalToGnatt[[#This Row],[Start Date]],BZ$27&lt;ProposalToGnatt[[#This Row],[Start Date]]+ProposalToGnatt[[#This Row],[Days]]),$G$5,"")),"")</f>
        <v/>
      </c>
      <c r="CA45" s="36" t="str">
        <f ca="1">IFERROR(+IF(CA$27=ProposalToGnatt[[#This Row],[Start Date]],Milestone_Marker,IF(AND(CA$27&gt;ProposalToGnatt[[#This Row],[Start Date]],CA$27&lt;ProposalToGnatt[[#This Row],[Start Date]]+ProposalToGnatt[[#This Row],[Days]]),$G$5,"")),"")</f>
        <v/>
      </c>
      <c r="CB45" s="36" t="str">
        <f ca="1">IFERROR(+IF(CB$27=ProposalToGnatt[[#This Row],[Start Date]],Milestone_Marker,IF(AND(CB$27&gt;ProposalToGnatt[[#This Row],[Start Date]],CB$27&lt;ProposalToGnatt[[#This Row],[Start Date]]+ProposalToGnatt[[#This Row],[Days]]),$G$5,"")),"")</f>
        <v/>
      </c>
      <c r="CC45" s="36" t="str">
        <f ca="1">IFERROR(+IF(CC$27=ProposalToGnatt[[#This Row],[Start Date]],Milestone_Marker,IF(AND(CC$27&gt;ProposalToGnatt[[#This Row],[Start Date]],CC$27&lt;ProposalToGnatt[[#This Row],[Start Date]]+ProposalToGnatt[[#This Row],[Days]]),$G$5,"")),"")</f>
        <v/>
      </c>
      <c r="CD45" s="36" t="str">
        <f ca="1">IFERROR(+IF(CD$27=ProposalToGnatt[[#This Row],[Start Date]],Milestone_Marker,IF(AND(CD$27&gt;ProposalToGnatt[[#This Row],[Start Date]],CD$27&lt;ProposalToGnatt[[#This Row],[Start Date]]+ProposalToGnatt[[#This Row],[Days]]),$G$5,"")),"")</f>
        <v/>
      </c>
      <c r="CE45" s="36" t="str">
        <f ca="1">IFERROR(+IF(CE$27=ProposalToGnatt[[#This Row],[Start Date]],Milestone_Marker,IF(AND(CE$27&gt;ProposalToGnatt[[#This Row],[Start Date]],CE$27&lt;ProposalToGnatt[[#This Row],[Start Date]]+ProposalToGnatt[[#This Row],[Days]]),$G$5,"")),"")</f>
        <v/>
      </c>
      <c r="CF45" s="36" t="str">
        <f ca="1">IFERROR(+IF(CF$27=ProposalToGnatt[[#This Row],[Start Date]],Milestone_Marker,IF(AND(CF$27&gt;ProposalToGnatt[[#This Row],[Start Date]],CF$27&lt;ProposalToGnatt[[#This Row],[Start Date]]+ProposalToGnatt[[#This Row],[Days]]),$G$5,"")),"")</f>
        <v/>
      </c>
      <c r="CG45" s="36" t="str">
        <f ca="1">IFERROR(+IF(CG$27=ProposalToGnatt[[#This Row],[Start Date]],Milestone_Marker,IF(AND(CG$27&gt;ProposalToGnatt[[#This Row],[Start Date]],CG$27&lt;ProposalToGnatt[[#This Row],[Start Date]]+ProposalToGnatt[[#This Row],[Days]]),$G$5,"")),"")</f>
        <v/>
      </c>
      <c r="CH45" s="36" t="str">
        <f ca="1">IFERROR(+IF(CH$27=ProposalToGnatt[[#This Row],[Start Date]],Milestone_Marker,IF(AND(CH$27&gt;ProposalToGnatt[[#This Row],[Start Date]],CH$27&lt;ProposalToGnatt[[#This Row],[Start Date]]+ProposalToGnatt[[#This Row],[Days]]),$G$5,"")),"")</f>
        <v/>
      </c>
      <c r="CI45" s="36" t="str">
        <f ca="1">IFERROR(+IF(CI$27=ProposalToGnatt[[#This Row],[Start Date]],Milestone_Marker,IF(AND(CI$27&gt;ProposalToGnatt[[#This Row],[Start Date]],CI$27&lt;ProposalToGnatt[[#This Row],[Start Date]]+ProposalToGnatt[[#This Row],[Days]]),$G$5,"")),"")</f>
        <v/>
      </c>
      <c r="CJ45" s="36" t="str">
        <f ca="1">IFERROR(+IF(CJ$27=ProposalToGnatt[[#This Row],[Start Date]],Milestone_Marker,IF(AND(CJ$27&gt;ProposalToGnatt[[#This Row],[Start Date]],CJ$27&lt;ProposalToGnatt[[#This Row],[Start Date]]+ProposalToGnatt[[#This Row],[Days]]),$G$5,"")),"")</f>
        <v/>
      </c>
      <c r="CK45" s="36" t="str">
        <f ca="1">IFERROR(+IF(CK$27=ProposalToGnatt[[#This Row],[Start Date]],Milestone_Marker,IF(AND(CK$27&gt;ProposalToGnatt[[#This Row],[Start Date]],CK$27&lt;ProposalToGnatt[[#This Row],[Start Date]]+ProposalToGnatt[[#This Row],[Days]]),$G$5,"")),"")</f>
        <v/>
      </c>
      <c r="CL45" s="36" t="str">
        <f ca="1">IFERROR(+IF(CL$27=ProposalToGnatt[[#This Row],[Start Date]],Milestone_Marker,IF(AND(CL$27&gt;ProposalToGnatt[[#This Row],[Start Date]],CL$27&lt;ProposalToGnatt[[#This Row],[Start Date]]+ProposalToGnatt[[#This Row],[Days]]),$G$5,"")),"")</f>
        <v/>
      </c>
      <c r="CM45" s="36" t="str">
        <f ca="1">IFERROR(+IF(CM$27=ProposalToGnatt[[#This Row],[Start Date]],Milestone_Marker,IF(AND(CM$27&gt;ProposalToGnatt[[#This Row],[Start Date]],CM$27&lt;ProposalToGnatt[[#This Row],[Start Date]]+ProposalToGnatt[[#This Row],[Days]]),$G$5,"")),"")</f>
        <v/>
      </c>
      <c r="CN45" s="36" t="str">
        <f ca="1">IFERROR(+IF(CN$27=ProposalToGnatt[[#This Row],[Start Date]],Milestone_Marker,IF(AND(CN$27&gt;ProposalToGnatt[[#This Row],[Start Date]],CN$27&lt;ProposalToGnatt[[#This Row],[Start Date]]+ProposalToGnatt[[#This Row],[Days]]),$G$5,"")),"")</f>
        <v/>
      </c>
      <c r="CO45" s="36" t="str">
        <f ca="1">IFERROR(+IF(CO$27=ProposalToGnatt[[#This Row],[Start Date]],Milestone_Marker,IF(AND(CO$27&gt;ProposalToGnatt[[#This Row],[Start Date]],CO$27&lt;ProposalToGnatt[[#This Row],[Start Date]]+ProposalToGnatt[[#This Row],[Days]]),$G$5,"")),"")</f>
        <v/>
      </c>
      <c r="CP45" s="36" t="str">
        <f ca="1">IFERROR(+IF(CP$27=ProposalToGnatt[[#This Row],[Start Date]],Milestone_Marker,IF(AND(CP$27&gt;ProposalToGnatt[[#This Row],[Start Date]],CP$27&lt;ProposalToGnatt[[#This Row],[Start Date]]+ProposalToGnatt[[#This Row],[Days]]),$G$5,"")),"")</f>
        <v/>
      </c>
      <c r="CQ45" s="36" t="str">
        <f ca="1">IFERROR(+IF(CQ$27=ProposalToGnatt[[#This Row],[Start Date]],Milestone_Marker,IF(AND(CQ$27&gt;ProposalToGnatt[[#This Row],[Start Date]],CQ$27&lt;ProposalToGnatt[[#This Row],[Start Date]]+ProposalToGnatt[[#This Row],[Days]]),$G$5,"")),"")</f>
        <v/>
      </c>
      <c r="CR45" s="36" t="str">
        <f ca="1">IFERROR(+IF(CR$27=ProposalToGnatt[[#This Row],[Start Date]],Milestone_Marker,IF(AND(CR$27&gt;ProposalToGnatt[[#This Row],[Start Date]],CR$27&lt;ProposalToGnatt[[#This Row],[Start Date]]+ProposalToGnatt[[#This Row],[Days]]),$G$5,"")),"")</f>
        <v/>
      </c>
      <c r="CS45" s="36" t="str">
        <f ca="1">IFERROR(+IF(CS$27=ProposalToGnatt[[#This Row],[Start Date]],Milestone_Marker,IF(AND(CS$27&gt;ProposalToGnatt[[#This Row],[Start Date]],CS$27&lt;ProposalToGnatt[[#This Row],[Start Date]]+ProposalToGnatt[[#This Row],[Days]]),$G$5,"")),"")</f>
        <v/>
      </c>
      <c r="CT45" s="36" t="str">
        <f ca="1">IFERROR(+IF(CT$27=ProposalToGnatt[[#This Row],[Start Date]],Milestone_Marker,IF(AND(CT$27&gt;ProposalToGnatt[[#This Row],[Start Date]],CT$27&lt;ProposalToGnatt[[#This Row],[Start Date]]+ProposalToGnatt[[#This Row],[Days]]),$G$5,"")),"")</f>
        <v/>
      </c>
      <c r="CU45" s="36" t="str">
        <f ca="1">IFERROR(+IF(CU$27=ProposalToGnatt[[#This Row],[Start Date]],Milestone_Marker,IF(AND(CU$27&gt;ProposalToGnatt[[#This Row],[Start Date]],CU$27&lt;ProposalToGnatt[[#This Row],[Start Date]]+ProposalToGnatt[[#This Row],[Days]]),$G$5,"")),"")</f>
        <v/>
      </c>
      <c r="CV45" s="36"/>
      <c r="CW45" s="36"/>
      <c r="CX45" s="36"/>
      <c r="CY45" s="36"/>
      <c r="CZ45" s="36"/>
      <c r="DA45" s="36"/>
      <c r="DB45" s="36"/>
      <c r="DC45" s="36"/>
      <c r="DD45" s="36"/>
      <c r="DE45" s="36"/>
      <c r="DF45" s="36"/>
      <c r="DG45" s="36"/>
      <c r="DH45" s="36"/>
      <c r="DI45" s="36"/>
      <c r="DJ45" s="36"/>
      <c r="DK45" s="36"/>
      <c r="DL45" s="36"/>
      <c r="DM45" s="36"/>
      <c r="DN45" s="36"/>
      <c r="DO45" s="36"/>
      <c r="DP45" s="36"/>
      <c r="DQ45" s="36"/>
      <c r="DR45" s="36"/>
      <c r="DS45" s="36"/>
      <c r="DT45" s="36"/>
      <c r="DU45" s="36"/>
    </row>
    <row r="46" spans="1:125" s="41" customFormat="1" ht="15" customHeight="1" x14ac:dyDescent="0.25">
      <c r="A46" t="s">
        <v>267</v>
      </c>
      <c r="B46">
        <v>28</v>
      </c>
      <c r="C46"/>
      <c r="D46" t="s">
        <v>907</v>
      </c>
      <c r="E46" s="568" t="s">
        <v>941</v>
      </c>
      <c r="F46">
        <v>2</v>
      </c>
      <c r="G46" s="14">
        <v>45</v>
      </c>
      <c r="H46" s="14">
        <v>90</v>
      </c>
      <c r="I46" t="s">
        <v>3</v>
      </c>
      <c r="J46">
        <v>1</v>
      </c>
      <c r="K46" s="249"/>
      <c r="L46"/>
      <c r="M46" s="14"/>
      <c r="N46" s="300">
        <v>90</v>
      </c>
      <c r="O46" s="554"/>
      <c r="P46" s="36" t="str">
        <f ca="1">IFERROR(+IF(P$27=ProposalToGnatt[[#This Row],[Start Date]],Milestone_Marker,IF(AND(P$27&gt;ProposalToGnatt[[#This Row],[Start Date]],P$27&lt;ProposalToGnatt[[#This Row],[Start Date]]+ProposalToGnatt[[#This Row],[Days]]),$G$5,"")),"")</f>
        <v/>
      </c>
      <c r="Q46" s="36" t="str">
        <f ca="1">IFERROR(+IF(Q$27=ProposalToGnatt[[#This Row],[Start Date]],Milestone_Marker,IF(AND(Q$27&gt;ProposalToGnatt[[#This Row],[Start Date]],Q$27&lt;ProposalToGnatt[[#This Row],[Start Date]]+ProposalToGnatt[[#This Row],[Days]]),$G$5,"")),"")</f>
        <v/>
      </c>
      <c r="R46" s="36" t="str">
        <f ca="1">IFERROR(+IF(R$27=ProposalToGnatt[[#This Row],[Start Date]],Milestone_Marker,IF(AND(R$27&gt;ProposalToGnatt[[#This Row],[Start Date]],R$27&lt;ProposalToGnatt[[#This Row],[Start Date]]+ProposalToGnatt[[#This Row],[Days]]),$G$5,"")),"")</f>
        <v/>
      </c>
      <c r="S46" s="36" t="str">
        <f ca="1">IFERROR(+IF(S$27=ProposalToGnatt[[#This Row],[Start Date]],Milestone_Marker,IF(AND(S$27&gt;ProposalToGnatt[[#This Row],[Start Date]],S$27&lt;ProposalToGnatt[[#This Row],[Start Date]]+ProposalToGnatt[[#This Row],[Days]]),$G$5,"")),"")</f>
        <v/>
      </c>
      <c r="T46" s="36" t="str">
        <f ca="1">IFERROR(+IF(T$27=ProposalToGnatt[[#This Row],[Start Date]],Milestone_Marker,IF(AND(T$27&gt;ProposalToGnatt[[#This Row],[Start Date]],T$27&lt;ProposalToGnatt[[#This Row],[Start Date]]+ProposalToGnatt[[#This Row],[Days]]),$G$5,"")),"")</f>
        <v/>
      </c>
      <c r="U46" s="36" t="str">
        <f ca="1">IFERROR(+IF(U$27=ProposalToGnatt[[#This Row],[Start Date]],Milestone_Marker,IF(AND(U$27&gt;ProposalToGnatt[[#This Row],[Start Date]],U$27&lt;ProposalToGnatt[[#This Row],[Start Date]]+ProposalToGnatt[[#This Row],[Days]]),$G$5,"")),"")</f>
        <v/>
      </c>
      <c r="V46" s="36" t="str">
        <f ca="1">IFERROR(+IF(V$27=ProposalToGnatt[[#This Row],[Start Date]],Milestone_Marker,IF(AND(V$27&gt;ProposalToGnatt[[#This Row],[Start Date]],V$27&lt;ProposalToGnatt[[#This Row],[Start Date]]+ProposalToGnatt[[#This Row],[Days]]),$G$5,"")),"")</f>
        <v/>
      </c>
      <c r="W46" s="36" t="str">
        <f ca="1">IFERROR(+IF(W$27=ProposalToGnatt[[#This Row],[Start Date]],Milestone_Marker,IF(AND(W$27&gt;ProposalToGnatt[[#This Row],[Start Date]],W$27&lt;ProposalToGnatt[[#This Row],[Start Date]]+ProposalToGnatt[[#This Row],[Days]]),$G$5,"")),"")</f>
        <v/>
      </c>
      <c r="X46" s="36" t="str">
        <f ca="1">IFERROR(+IF(X$27=ProposalToGnatt[[#This Row],[Start Date]],Milestone_Marker,IF(AND(X$27&gt;ProposalToGnatt[[#This Row],[Start Date]],X$27&lt;ProposalToGnatt[[#This Row],[Start Date]]+ProposalToGnatt[[#This Row],[Days]]),$G$5,"")),"")</f>
        <v/>
      </c>
      <c r="Y46" s="36" t="str">
        <f ca="1">IFERROR(+IF(Y$27=ProposalToGnatt[[#This Row],[Start Date]],Milestone_Marker,IF(AND(Y$27&gt;ProposalToGnatt[[#This Row],[Start Date]],Y$27&lt;ProposalToGnatt[[#This Row],[Start Date]]+ProposalToGnatt[[#This Row],[Days]]),$G$5,"")),"")</f>
        <v/>
      </c>
      <c r="Z46" s="36" t="str">
        <f ca="1">IFERROR(+IF(Z$27=ProposalToGnatt[[#This Row],[Start Date]],Milestone_Marker,IF(AND(Z$27&gt;ProposalToGnatt[[#This Row],[Start Date]],Z$27&lt;ProposalToGnatt[[#This Row],[Start Date]]+ProposalToGnatt[[#This Row],[Days]]),$G$5,"")),"")</f>
        <v/>
      </c>
      <c r="AA46" s="36" t="str">
        <f ca="1">IFERROR(+IF(AA$27=ProposalToGnatt[[#This Row],[Start Date]],Milestone_Marker,IF(AND(AA$27&gt;ProposalToGnatt[[#This Row],[Start Date]],AA$27&lt;ProposalToGnatt[[#This Row],[Start Date]]+ProposalToGnatt[[#This Row],[Days]]),$G$5,"")),"")</f>
        <v/>
      </c>
      <c r="AB46" s="36" t="str">
        <f ca="1">IFERROR(+IF(AB$27=ProposalToGnatt[[#This Row],[Start Date]],Milestone_Marker,IF(AND(AB$27&gt;ProposalToGnatt[[#This Row],[Start Date]],AB$27&lt;ProposalToGnatt[[#This Row],[Start Date]]+ProposalToGnatt[[#This Row],[Days]]),$G$5,"")),"")</f>
        <v/>
      </c>
      <c r="AC46" s="36" t="str">
        <f ca="1">IFERROR(+IF(AC$27=ProposalToGnatt[[#This Row],[Start Date]],Milestone_Marker,IF(AND(AC$27&gt;ProposalToGnatt[[#This Row],[Start Date]],AC$27&lt;ProposalToGnatt[[#This Row],[Start Date]]+ProposalToGnatt[[#This Row],[Days]]),$G$5,"")),"")</f>
        <v/>
      </c>
      <c r="AD46" s="36" t="str">
        <f ca="1">IFERROR(+IF(AD$27=ProposalToGnatt[[#This Row],[Start Date]],Milestone_Marker,IF(AND(AD$27&gt;ProposalToGnatt[[#This Row],[Start Date]],AD$27&lt;ProposalToGnatt[[#This Row],[Start Date]]+ProposalToGnatt[[#This Row],[Days]]),$G$5,"")),"")</f>
        <v/>
      </c>
      <c r="AE46" s="36" t="str">
        <f ca="1">IFERROR(+IF(AE$27=ProposalToGnatt[[#This Row],[Start Date]],Milestone_Marker,IF(AND(AE$27&gt;ProposalToGnatt[[#This Row],[Start Date]],AE$27&lt;ProposalToGnatt[[#This Row],[Start Date]]+ProposalToGnatt[[#This Row],[Days]]),$G$5,"")),"")</f>
        <v/>
      </c>
      <c r="AF46" s="36" t="str">
        <f ca="1">IFERROR(+IF(AF$27=ProposalToGnatt[[#This Row],[Start Date]],Milestone_Marker,IF(AND(AF$27&gt;ProposalToGnatt[[#This Row],[Start Date]],AF$27&lt;ProposalToGnatt[[#This Row],[Start Date]]+ProposalToGnatt[[#This Row],[Days]]),$G$5,"")),"")</f>
        <v/>
      </c>
      <c r="AG46" s="36" t="str">
        <f ca="1">IFERROR(+IF(AG$27=ProposalToGnatt[[#This Row],[Start Date]],Milestone_Marker,IF(AND(AG$27&gt;ProposalToGnatt[[#This Row],[Start Date]],AG$27&lt;ProposalToGnatt[[#This Row],[Start Date]]+ProposalToGnatt[[#This Row],[Days]]),$G$5,"")),"")</f>
        <v/>
      </c>
      <c r="AH46" s="36" t="str">
        <f ca="1">IFERROR(+IF(AH$27=ProposalToGnatt[[#This Row],[Start Date]],Milestone_Marker,IF(AND(AH$27&gt;ProposalToGnatt[[#This Row],[Start Date]],AH$27&lt;ProposalToGnatt[[#This Row],[Start Date]]+ProposalToGnatt[[#This Row],[Days]]),$G$5,"")),"")</f>
        <v/>
      </c>
      <c r="AI46" s="36" t="str">
        <f ca="1">IFERROR(+IF(AI$27=ProposalToGnatt[[#This Row],[Start Date]],Milestone_Marker,IF(AND(AI$27&gt;ProposalToGnatt[[#This Row],[Start Date]],AI$27&lt;ProposalToGnatt[[#This Row],[Start Date]]+ProposalToGnatt[[#This Row],[Days]]),$G$5,"")),"")</f>
        <v/>
      </c>
      <c r="AJ46" s="36" t="str">
        <f ca="1">IFERROR(+IF(AJ$27=ProposalToGnatt[[#This Row],[Start Date]],Milestone_Marker,IF(AND(AJ$27&gt;ProposalToGnatt[[#This Row],[Start Date]],AJ$27&lt;ProposalToGnatt[[#This Row],[Start Date]]+ProposalToGnatt[[#This Row],[Days]]),$G$5,"")),"")</f>
        <v/>
      </c>
      <c r="AK46" s="36" t="str">
        <f ca="1">IFERROR(+IF(AK$27=ProposalToGnatt[[#This Row],[Start Date]],Milestone_Marker,IF(AND(AK$27&gt;ProposalToGnatt[[#This Row],[Start Date]],AK$27&lt;ProposalToGnatt[[#This Row],[Start Date]]+ProposalToGnatt[[#This Row],[Days]]),$G$5,"")),"")</f>
        <v/>
      </c>
      <c r="AL46" s="36" t="str">
        <f ca="1">IFERROR(+IF(AL$27=ProposalToGnatt[[#This Row],[Start Date]],Milestone_Marker,IF(AND(AL$27&gt;ProposalToGnatt[[#This Row],[Start Date]],AL$27&lt;ProposalToGnatt[[#This Row],[Start Date]]+ProposalToGnatt[[#This Row],[Days]]),$G$5,"")),"")</f>
        <v/>
      </c>
      <c r="AM46" s="36" t="str">
        <f ca="1">IFERROR(+IF(AM$27=ProposalToGnatt[[#This Row],[Start Date]],Milestone_Marker,IF(AND(AM$27&gt;ProposalToGnatt[[#This Row],[Start Date]],AM$27&lt;ProposalToGnatt[[#This Row],[Start Date]]+ProposalToGnatt[[#This Row],[Days]]),$G$5,"")),"")</f>
        <v/>
      </c>
      <c r="AN46" s="36" t="str">
        <f ca="1">IFERROR(+IF(AN$27=ProposalToGnatt[[#This Row],[Start Date]],Milestone_Marker,IF(AND(AN$27&gt;ProposalToGnatt[[#This Row],[Start Date]],AN$27&lt;ProposalToGnatt[[#This Row],[Start Date]]+ProposalToGnatt[[#This Row],[Days]]),$G$5,"")),"")</f>
        <v/>
      </c>
      <c r="AO46" s="36" t="str">
        <f ca="1">IFERROR(+IF(AO$27=ProposalToGnatt[[#This Row],[Start Date]],Milestone_Marker,IF(AND(AO$27&gt;ProposalToGnatt[[#This Row],[Start Date]],AO$27&lt;ProposalToGnatt[[#This Row],[Start Date]]+ProposalToGnatt[[#This Row],[Days]]),$G$5,"")),"")</f>
        <v/>
      </c>
      <c r="AP46" s="36" t="str">
        <f ca="1">IFERROR(+IF(AP$27=ProposalToGnatt[[#This Row],[Start Date]],Milestone_Marker,IF(AND(AP$27&gt;ProposalToGnatt[[#This Row],[Start Date]],AP$27&lt;ProposalToGnatt[[#This Row],[Start Date]]+ProposalToGnatt[[#This Row],[Days]]),$G$5,"")),"")</f>
        <v/>
      </c>
      <c r="AQ46" s="36" t="str">
        <f ca="1">IFERROR(+IF(AQ$27=ProposalToGnatt[[#This Row],[Start Date]],Milestone_Marker,IF(AND(AQ$27&gt;ProposalToGnatt[[#This Row],[Start Date]],AQ$27&lt;ProposalToGnatt[[#This Row],[Start Date]]+ProposalToGnatt[[#This Row],[Days]]),$G$5,"")),"")</f>
        <v/>
      </c>
      <c r="AR46" s="36" t="str">
        <f ca="1">IFERROR(+IF(AR$27=ProposalToGnatt[[#This Row],[Start Date]],Milestone_Marker,IF(AND(AR$27&gt;ProposalToGnatt[[#This Row],[Start Date]],AR$27&lt;ProposalToGnatt[[#This Row],[Start Date]]+ProposalToGnatt[[#This Row],[Days]]),$G$5,"")),"")</f>
        <v/>
      </c>
      <c r="AS46" s="36" t="str">
        <f ca="1">IFERROR(+IF(AS$27=ProposalToGnatt[[#This Row],[Start Date]],Milestone_Marker,IF(AND(AS$27&gt;ProposalToGnatt[[#This Row],[Start Date]],AS$27&lt;ProposalToGnatt[[#This Row],[Start Date]]+ProposalToGnatt[[#This Row],[Days]]),$G$5,"")),"")</f>
        <v/>
      </c>
      <c r="AT46" s="36" t="str">
        <f ca="1">IFERROR(+IF(AT$27=ProposalToGnatt[[#This Row],[Start Date]],Milestone_Marker,IF(AND(AT$27&gt;ProposalToGnatt[[#This Row],[Start Date]],AT$27&lt;ProposalToGnatt[[#This Row],[Start Date]]+ProposalToGnatt[[#This Row],[Days]]),$G$5,"")),"")</f>
        <v/>
      </c>
      <c r="AU46" s="36" t="str">
        <f ca="1">IFERROR(+IF(AU$27=ProposalToGnatt[[#This Row],[Start Date]],Milestone_Marker,IF(AND(AU$27&gt;ProposalToGnatt[[#This Row],[Start Date]],AU$27&lt;ProposalToGnatt[[#This Row],[Start Date]]+ProposalToGnatt[[#This Row],[Days]]),$G$5,"")),"")</f>
        <v/>
      </c>
      <c r="AV46" s="36" t="str">
        <f ca="1">IFERROR(+IF(AV$27=ProposalToGnatt[[#This Row],[Start Date]],Milestone_Marker,IF(AND(AV$27&gt;ProposalToGnatt[[#This Row],[Start Date]],AV$27&lt;ProposalToGnatt[[#This Row],[Start Date]]+ProposalToGnatt[[#This Row],[Days]]),$G$5,"")),"")</f>
        <v/>
      </c>
      <c r="AW46" s="36" t="str">
        <f ca="1">IFERROR(+IF(AW$27=ProposalToGnatt[[#This Row],[Start Date]],Milestone_Marker,IF(AND(AW$27&gt;ProposalToGnatt[[#This Row],[Start Date]],AW$27&lt;ProposalToGnatt[[#This Row],[Start Date]]+ProposalToGnatt[[#This Row],[Days]]),$G$5,"")),"")</f>
        <v/>
      </c>
      <c r="AX46" s="36" t="str">
        <f ca="1">IFERROR(+IF(AX$27=ProposalToGnatt[[#This Row],[Start Date]],Milestone_Marker,IF(AND(AX$27&gt;ProposalToGnatt[[#This Row],[Start Date]],AX$27&lt;ProposalToGnatt[[#This Row],[Start Date]]+ProposalToGnatt[[#This Row],[Days]]),$G$5,"")),"")</f>
        <v/>
      </c>
      <c r="AY46" s="36" t="str">
        <f ca="1">IFERROR(+IF(AY$27=ProposalToGnatt[[#This Row],[Start Date]],Milestone_Marker,IF(AND(AY$27&gt;ProposalToGnatt[[#This Row],[Start Date]],AY$27&lt;ProposalToGnatt[[#This Row],[Start Date]]+ProposalToGnatt[[#This Row],[Days]]),$G$5,"")),"")</f>
        <v/>
      </c>
      <c r="AZ46" s="36" t="str">
        <f ca="1">IFERROR(+IF(AZ$27=ProposalToGnatt[[#This Row],[Start Date]],Milestone_Marker,IF(AND(AZ$27&gt;ProposalToGnatt[[#This Row],[Start Date]],AZ$27&lt;ProposalToGnatt[[#This Row],[Start Date]]+ProposalToGnatt[[#This Row],[Days]]),$G$5,"")),"")</f>
        <v/>
      </c>
      <c r="BA46" s="36" t="str">
        <f ca="1">IFERROR(+IF(BA$27=ProposalToGnatt[[#This Row],[Start Date]],Milestone_Marker,IF(AND(BA$27&gt;ProposalToGnatt[[#This Row],[Start Date]],BA$27&lt;ProposalToGnatt[[#This Row],[Start Date]]+ProposalToGnatt[[#This Row],[Days]]),$G$5,"")),"")</f>
        <v/>
      </c>
      <c r="BB46" s="36" t="str">
        <f ca="1">IFERROR(+IF(BB$27=ProposalToGnatt[[#This Row],[Start Date]],Milestone_Marker,IF(AND(BB$27&gt;ProposalToGnatt[[#This Row],[Start Date]],BB$27&lt;ProposalToGnatt[[#This Row],[Start Date]]+ProposalToGnatt[[#This Row],[Days]]),$G$5,"")),"")</f>
        <v/>
      </c>
      <c r="BC46" s="36" t="str">
        <f ca="1">IFERROR(+IF(BC$27=ProposalToGnatt[[#This Row],[Start Date]],Milestone_Marker,IF(AND(BC$27&gt;ProposalToGnatt[[#This Row],[Start Date]],BC$27&lt;ProposalToGnatt[[#This Row],[Start Date]]+ProposalToGnatt[[#This Row],[Days]]),$G$5,"")),"")</f>
        <v/>
      </c>
      <c r="BD46" s="36" t="str">
        <f ca="1">IFERROR(+IF(BD$27=ProposalToGnatt[[#This Row],[Start Date]],Milestone_Marker,IF(AND(BD$27&gt;ProposalToGnatt[[#This Row],[Start Date]],BD$27&lt;ProposalToGnatt[[#This Row],[Start Date]]+ProposalToGnatt[[#This Row],[Days]]),$G$5,"")),"")</f>
        <v/>
      </c>
      <c r="BE46" s="36" t="str">
        <f ca="1">IFERROR(+IF(BE$27=ProposalToGnatt[[#This Row],[Start Date]],Milestone_Marker,IF(AND(BE$27&gt;ProposalToGnatt[[#This Row],[Start Date]],BE$27&lt;ProposalToGnatt[[#This Row],[Start Date]]+ProposalToGnatt[[#This Row],[Days]]),$G$5,"")),"")</f>
        <v/>
      </c>
      <c r="BF46" s="36" t="str">
        <f ca="1">IFERROR(+IF(BF$27=ProposalToGnatt[[#This Row],[Start Date]],Milestone_Marker,IF(AND(BF$27&gt;ProposalToGnatt[[#This Row],[Start Date]],BF$27&lt;ProposalToGnatt[[#This Row],[Start Date]]+ProposalToGnatt[[#This Row],[Days]]),$G$5,"")),"")</f>
        <v/>
      </c>
      <c r="BG46" s="36" t="str">
        <f ca="1">IFERROR(+IF(BG$27=ProposalToGnatt[[#This Row],[Start Date]],Milestone_Marker,IF(AND(BG$27&gt;ProposalToGnatt[[#This Row],[Start Date]],BG$27&lt;ProposalToGnatt[[#This Row],[Start Date]]+ProposalToGnatt[[#This Row],[Days]]),$G$5,"")),"")</f>
        <v/>
      </c>
      <c r="BH46" s="36" t="str">
        <f ca="1">IFERROR(+IF(BH$27=ProposalToGnatt[[#This Row],[Start Date]],Milestone_Marker,IF(AND(BH$27&gt;ProposalToGnatt[[#This Row],[Start Date]],BH$27&lt;ProposalToGnatt[[#This Row],[Start Date]]+ProposalToGnatt[[#This Row],[Days]]),$G$5,"")),"")</f>
        <v/>
      </c>
      <c r="BI46" s="36" t="str">
        <f ca="1">IFERROR(+IF(BI$27=ProposalToGnatt[[#This Row],[Start Date]],Milestone_Marker,IF(AND(BI$27&gt;ProposalToGnatt[[#This Row],[Start Date]],BI$27&lt;ProposalToGnatt[[#This Row],[Start Date]]+ProposalToGnatt[[#This Row],[Days]]),$G$5,"")),"")</f>
        <v/>
      </c>
      <c r="BJ46" s="36" t="str">
        <f ca="1">IFERROR(+IF(BJ$27=ProposalToGnatt[[#This Row],[Start Date]],Milestone_Marker,IF(AND(BJ$27&gt;ProposalToGnatt[[#This Row],[Start Date]],BJ$27&lt;ProposalToGnatt[[#This Row],[Start Date]]+ProposalToGnatt[[#This Row],[Days]]),$G$5,"")),"")</f>
        <v/>
      </c>
      <c r="BK46" s="36" t="str">
        <f ca="1">IFERROR(+IF(BK$27=ProposalToGnatt[[#This Row],[Start Date]],Milestone_Marker,IF(AND(BK$27&gt;ProposalToGnatt[[#This Row],[Start Date]],BK$27&lt;ProposalToGnatt[[#This Row],[Start Date]]+ProposalToGnatt[[#This Row],[Days]]),$G$5,"")),"")</f>
        <v/>
      </c>
      <c r="BL46" s="36" t="str">
        <f ca="1">IFERROR(+IF(BL$27=ProposalToGnatt[[#This Row],[Start Date]],Milestone_Marker,IF(AND(BL$27&gt;ProposalToGnatt[[#This Row],[Start Date]],BL$27&lt;ProposalToGnatt[[#This Row],[Start Date]]+ProposalToGnatt[[#This Row],[Days]]),$G$5,"")),"")</f>
        <v/>
      </c>
      <c r="BM46" s="36" t="str">
        <f ca="1">IFERROR(+IF(BM$27=ProposalToGnatt[[#This Row],[Start Date]],Milestone_Marker,IF(AND(BM$27&gt;ProposalToGnatt[[#This Row],[Start Date]],BM$27&lt;ProposalToGnatt[[#This Row],[Start Date]]+ProposalToGnatt[[#This Row],[Days]]),$G$5,"")),"")</f>
        <v/>
      </c>
      <c r="BN46" s="36" t="str">
        <f ca="1">IFERROR(+IF(BN$27=ProposalToGnatt[[#This Row],[Start Date]],Milestone_Marker,IF(AND(BN$27&gt;ProposalToGnatt[[#This Row],[Start Date]],BN$27&lt;ProposalToGnatt[[#This Row],[Start Date]]+ProposalToGnatt[[#This Row],[Days]]),$G$5,"")),"")</f>
        <v/>
      </c>
      <c r="BO46" s="36" t="str">
        <f ca="1">IFERROR(+IF(BO$27=ProposalToGnatt[[#This Row],[Start Date]],Milestone_Marker,IF(AND(BO$27&gt;ProposalToGnatt[[#This Row],[Start Date]],BO$27&lt;ProposalToGnatt[[#This Row],[Start Date]]+ProposalToGnatt[[#This Row],[Days]]),$G$5,"")),"")</f>
        <v/>
      </c>
      <c r="BP46" s="36" t="str">
        <f ca="1">IFERROR(+IF(BP$27=ProposalToGnatt[[#This Row],[Start Date]],Milestone_Marker,IF(AND(BP$27&gt;ProposalToGnatt[[#This Row],[Start Date]],BP$27&lt;ProposalToGnatt[[#This Row],[Start Date]]+ProposalToGnatt[[#This Row],[Days]]),$G$5,"")),"")</f>
        <v/>
      </c>
      <c r="BQ46" s="36" t="str">
        <f ca="1">IFERROR(+IF(BQ$27=ProposalToGnatt[[#This Row],[Start Date]],Milestone_Marker,IF(AND(BQ$27&gt;ProposalToGnatt[[#This Row],[Start Date]],BQ$27&lt;ProposalToGnatt[[#This Row],[Start Date]]+ProposalToGnatt[[#This Row],[Days]]),$G$5,"")),"")</f>
        <v/>
      </c>
      <c r="BR46" s="36" t="str">
        <f ca="1">IFERROR(+IF(BR$27=ProposalToGnatt[[#This Row],[Start Date]],Milestone_Marker,IF(AND(BR$27&gt;ProposalToGnatt[[#This Row],[Start Date]],BR$27&lt;ProposalToGnatt[[#This Row],[Start Date]]+ProposalToGnatt[[#This Row],[Days]]),$G$5,"")),"")</f>
        <v/>
      </c>
      <c r="BS46" s="36" t="str">
        <f ca="1">IFERROR(+IF(BS$27=ProposalToGnatt[[#This Row],[Start Date]],Milestone_Marker,IF(AND(BS$27&gt;ProposalToGnatt[[#This Row],[Start Date]],BS$27&lt;ProposalToGnatt[[#This Row],[Start Date]]+ProposalToGnatt[[#This Row],[Days]]),$G$5,"")),"")</f>
        <v/>
      </c>
      <c r="BT46" s="36" t="str">
        <f ca="1">IFERROR(+IF(BT$27=ProposalToGnatt[[#This Row],[Start Date]],Milestone_Marker,IF(AND(BT$27&gt;ProposalToGnatt[[#This Row],[Start Date]],BT$27&lt;ProposalToGnatt[[#This Row],[Start Date]]+ProposalToGnatt[[#This Row],[Days]]),$G$5,"")),"")</f>
        <v/>
      </c>
      <c r="BU46" s="36" t="str">
        <f ca="1">IFERROR(+IF(BU$27=ProposalToGnatt[[#This Row],[Start Date]],Milestone_Marker,IF(AND(BU$27&gt;ProposalToGnatt[[#This Row],[Start Date]],BU$27&lt;ProposalToGnatt[[#This Row],[Start Date]]+ProposalToGnatt[[#This Row],[Days]]),$G$5,"")),"")</f>
        <v/>
      </c>
      <c r="BV46" s="36" t="str">
        <f ca="1">IFERROR(+IF(BV$27=ProposalToGnatt[[#This Row],[Start Date]],Milestone_Marker,IF(AND(BV$27&gt;ProposalToGnatt[[#This Row],[Start Date]],BV$27&lt;ProposalToGnatt[[#This Row],[Start Date]]+ProposalToGnatt[[#This Row],[Days]]),$G$5,"")),"")</f>
        <v/>
      </c>
      <c r="BW46" s="36" t="str">
        <f ca="1">IFERROR(+IF(BW$27=ProposalToGnatt[[#This Row],[Start Date]],Milestone_Marker,IF(AND(BW$27&gt;ProposalToGnatt[[#This Row],[Start Date]],BW$27&lt;ProposalToGnatt[[#This Row],[Start Date]]+ProposalToGnatt[[#This Row],[Days]]),$G$5,"")),"")</f>
        <v/>
      </c>
      <c r="BX46" s="36" t="str">
        <f ca="1">IFERROR(+IF(BX$27=ProposalToGnatt[[#This Row],[Start Date]],Milestone_Marker,IF(AND(BX$27&gt;ProposalToGnatt[[#This Row],[Start Date]],BX$27&lt;ProposalToGnatt[[#This Row],[Start Date]]+ProposalToGnatt[[#This Row],[Days]]),$G$5,"")),"")</f>
        <v/>
      </c>
      <c r="BY46" s="36" t="str">
        <f ca="1">IFERROR(+IF(BY$27=ProposalToGnatt[[#This Row],[Start Date]],Milestone_Marker,IF(AND(BY$27&gt;ProposalToGnatt[[#This Row],[Start Date]],BY$27&lt;ProposalToGnatt[[#This Row],[Start Date]]+ProposalToGnatt[[#This Row],[Days]]),$G$5,"")),"")</f>
        <v/>
      </c>
      <c r="BZ46" s="36" t="str">
        <f ca="1">IFERROR(+IF(BZ$27=ProposalToGnatt[[#This Row],[Start Date]],Milestone_Marker,IF(AND(BZ$27&gt;ProposalToGnatt[[#This Row],[Start Date]],BZ$27&lt;ProposalToGnatt[[#This Row],[Start Date]]+ProposalToGnatt[[#This Row],[Days]]),$G$5,"")),"")</f>
        <v/>
      </c>
      <c r="CA46" s="36" t="str">
        <f ca="1">IFERROR(+IF(CA$27=ProposalToGnatt[[#This Row],[Start Date]],Milestone_Marker,IF(AND(CA$27&gt;ProposalToGnatt[[#This Row],[Start Date]],CA$27&lt;ProposalToGnatt[[#This Row],[Start Date]]+ProposalToGnatt[[#This Row],[Days]]),$G$5,"")),"")</f>
        <v/>
      </c>
      <c r="CB46" s="36" t="str">
        <f ca="1">IFERROR(+IF(CB$27=ProposalToGnatt[[#This Row],[Start Date]],Milestone_Marker,IF(AND(CB$27&gt;ProposalToGnatt[[#This Row],[Start Date]],CB$27&lt;ProposalToGnatt[[#This Row],[Start Date]]+ProposalToGnatt[[#This Row],[Days]]),$G$5,"")),"")</f>
        <v/>
      </c>
      <c r="CC46" s="36" t="str">
        <f ca="1">IFERROR(+IF(CC$27=ProposalToGnatt[[#This Row],[Start Date]],Milestone_Marker,IF(AND(CC$27&gt;ProposalToGnatt[[#This Row],[Start Date]],CC$27&lt;ProposalToGnatt[[#This Row],[Start Date]]+ProposalToGnatt[[#This Row],[Days]]),$G$5,"")),"")</f>
        <v/>
      </c>
      <c r="CD46" s="36" t="str">
        <f ca="1">IFERROR(+IF(CD$27=ProposalToGnatt[[#This Row],[Start Date]],Milestone_Marker,IF(AND(CD$27&gt;ProposalToGnatt[[#This Row],[Start Date]],CD$27&lt;ProposalToGnatt[[#This Row],[Start Date]]+ProposalToGnatt[[#This Row],[Days]]),$G$5,"")),"")</f>
        <v/>
      </c>
      <c r="CE46" s="36" t="str">
        <f ca="1">IFERROR(+IF(CE$27=ProposalToGnatt[[#This Row],[Start Date]],Milestone_Marker,IF(AND(CE$27&gt;ProposalToGnatt[[#This Row],[Start Date]],CE$27&lt;ProposalToGnatt[[#This Row],[Start Date]]+ProposalToGnatt[[#This Row],[Days]]),$G$5,"")),"")</f>
        <v/>
      </c>
      <c r="CF46" s="36" t="str">
        <f ca="1">IFERROR(+IF(CF$27=ProposalToGnatt[[#This Row],[Start Date]],Milestone_Marker,IF(AND(CF$27&gt;ProposalToGnatt[[#This Row],[Start Date]],CF$27&lt;ProposalToGnatt[[#This Row],[Start Date]]+ProposalToGnatt[[#This Row],[Days]]),$G$5,"")),"")</f>
        <v/>
      </c>
      <c r="CG46" s="36" t="str">
        <f ca="1">IFERROR(+IF(CG$27=ProposalToGnatt[[#This Row],[Start Date]],Milestone_Marker,IF(AND(CG$27&gt;ProposalToGnatt[[#This Row],[Start Date]],CG$27&lt;ProposalToGnatt[[#This Row],[Start Date]]+ProposalToGnatt[[#This Row],[Days]]),$G$5,"")),"")</f>
        <v/>
      </c>
      <c r="CH46" s="36" t="str">
        <f ca="1">IFERROR(+IF(CH$27=ProposalToGnatt[[#This Row],[Start Date]],Milestone_Marker,IF(AND(CH$27&gt;ProposalToGnatt[[#This Row],[Start Date]],CH$27&lt;ProposalToGnatt[[#This Row],[Start Date]]+ProposalToGnatt[[#This Row],[Days]]),$G$5,"")),"")</f>
        <v/>
      </c>
      <c r="CI46" s="36" t="str">
        <f ca="1">IFERROR(+IF(CI$27=ProposalToGnatt[[#This Row],[Start Date]],Milestone_Marker,IF(AND(CI$27&gt;ProposalToGnatt[[#This Row],[Start Date]],CI$27&lt;ProposalToGnatt[[#This Row],[Start Date]]+ProposalToGnatt[[#This Row],[Days]]),$G$5,"")),"")</f>
        <v/>
      </c>
      <c r="CJ46" s="36" t="str">
        <f ca="1">IFERROR(+IF(CJ$27=ProposalToGnatt[[#This Row],[Start Date]],Milestone_Marker,IF(AND(CJ$27&gt;ProposalToGnatt[[#This Row],[Start Date]],CJ$27&lt;ProposalToGnatt[[#This Row],[Start Date]]+ProposalToGnatt[[#This Row],[Days]]),$G$5,"")),"")</f>
        <v/>
      </c>
      <c r="CK46" s="36" t="str">
        <f ca="1">IFERROR(+IF(CK$27=ProposalToGnatt[[#This Row],[Start Date]],Milestone_Marker,IF(AND(CK$27&gt;ProposalToGnatt[[#This Row],[Start Date]],CK$27&lt;ProposalToGnatt[[#This Row],[Start Date]]+ProposalToGnatt[[#This Row],[Days]]),$G$5,"")),"")</f>
        <v/>
      </c>
      <c r="CL46" s="36" t="str">
        <f ca="1">IFERROR(+IF(CL$27=ProposalToGnatt[[#This Row],[Start Date]],Milestone_Marker,IF(AND(CL$27&gt;ProposalToGnatt[[#This Row],[Start Date]],CL$27&lt;ProposalToGnatt[[#This Row],[Start Date]]+ProposalToGnatt[[#This Row],[Days]]),$G$5,"")),"")</f>
        <v/>
      </c>
      <c r="CM46" s="36" t="str">
        <f ca="1">IFERROR(+IF(CM$27=ProposalToGnatt[[#This Row],[Start Date]],Milestone_Marker,IF(AND(CM$27&gt;ProposalToGnatt[[#This Row],[Start Date]],CM$27&lt;ProposalToGnatt[[#This Row],[Start Date]]+ProposalToGnatt[[#This Row],[Days]]),$G$5,"")),"")</f>
        <v/>
      </c>
      <c r="CN46" s="36" t="str">
        <f ca="1">IFERROR(+IF(CN$27=ProposalToGnatt[[#This Row],[Start Date]],Milestone_Marker,IF(AND(CN$27&gt;ProposalToGnatt[[#This Row],[Start Date]],CN$27&lt;ProposalToGnatt[[#This Row],[Start Date]]+ProposalToGnatt[[#This Row],[Days]]),$G$5,"")),"")</f>
        <v/>
      </c>
      <c r="CO46" s="36" t="str">
        <f ca="1">IFERROR(+IF(CO$27=ProposalToGnatt[[#This Row],[Start Date]],Milestone_Marker,IF(AND(CO$27&gt;ProposalToGnatt[[#This Row],[Start Date]],CO$27&lt;ProposalToGnatt[[#This Row],[Start Date]]+ProposalToGnatt[[#This Row],[Days]]),$G$5,"")),"")</f>
        <v/>
      </c>
      <c r="CP46" s="36" t="str">
        <f ca="1">IFERROR(+IF(CP$27=ProposalToGnatt[[#This Row],[Start Date]],Milestone_Marker,IF(AND(CP$27&gt;ProposalToGnatt[[#This Row],[Start Date]],CP$27&lt;ProposalToGnatt[[#This Row],[Start Date]]+ProposalToGnatt[[#This Row],[Days]]),$G$5,"")),"")</f>
        <v/>
      </c>
      <c r="CQ46" s="36" t="str">
        <f ca="1">IFERROR(+IF(CQ$27=ProposalToGnatt[[#This Row],[Start Date]],Milestone_Marker,IF(AND(CQ$27&gt;ProposalToGnatt[[#This Row],[Start Date]],CQ$27&lt;ProposalToGnatt[[#This Row],[Start Date]]+ProposalToGnatt[[#This Row],[Days]]),$G$5,"")),"")</f>
        <v/>
      </c>
      <c r="CR46" s="36" t="str">
        <f ca="1">IFERROR(+IF(CR$27=ProposalToGnatt[[#This Row],[Start Date]],Milestone_Marker,IF(AND(CR$27&gt;ProposalToGnatt[[#This Row],[Start Date]],CR$27&lt;ProposalToGnatt[[#This Row],[Start Date]]+ProposalToGnatt[[#This Row],[Days]]),$G$5,"")),"")</f>
        <v/>
      </c>
      <c r="CS46" s="36" t="str">
        <f ca="1">IFERROR(+IF(CS$27=ProposalToGnatt[[#This Row],[Start Date]],Milestone_Marker,IF(AND(CS$27&gt;ProposalToGnatt[[#This Row],[Start Date]],CS$27&lt;ProposalToGnatt[[#This Row],[Start Date]]+ProposalToGnatt[[#This Row],[Days]]),$G$5,"")),"")</f>
        <v/>
      </c>
      <c r="CT46" s="36" t="str">
        <f ca="1">IFERROR(+IF(CT$27=ProposalToGnatt[[#This Row],[Start Date]],Milestone_Marker,IF(AND(CT$27&gt;ProposalToGnatt[[#This Row],[Start Date]],CT$27&lt;ProposalToGnatt[[#This Row],[Start Date]]+ProposalToGnatt[[#This Row],[Days]]),$G$5,"")),"")</f>
        <v/>
      </c>
      <c r="CU46" s="36" t="str">
        <f ca="1">IFERROR(+IF(CU$27=ProposalToGnatt[[#This Row],[Start Date]],Milestone_Marker,IF(AND(CU$27&gt;ProposalToGnatt[[#This Row],[Start Date]],CU$27&lt;ProposalToGnatt[[#This Row],[Start Date]]+ProposalToGnatt[[#This Row],[Days]]),$G$5,"")),"")</f>
        <v/>
      </c>
      <c r="CV46" s="36"/>
      <c r="CW46" s="36"/>
      <c r="CX46" s="36"/>
      <c r="CY46" s="36"/>
      <c r="CZ46" s="36"/>
      <c r="DA46" s="36"/>
      <c r="DB46" s="36"/>
      <c r="DC46" s="36"/>
      <c r="DD46" s="36"/>
      <c r="DE46" s="36"/>
      <c r="DF46" s="36"/>
      <c r="DG46" s="36"/>
      <c r="DH46" s="36"/>
      <c r="DI46" s="36"/>
      <c r="DJ46" s="36"/>
      <c r="DK46" s="36"/>
      <c r="DL46" s="36"/>
      <c r="DM46" s="36"/>
      <c r="DN46" s="36"/>
      <c r="DO46" s="36"/>
      <c r="DP46" s="36"/>
      <c r="DQ46" s="36"/>
      <c r="DR46" s="36"/>
      <c r="DS46" s="36"/>
      <c r="DT46" s="36"/>
      <c r="DU46" s="36"/>
    </row>
    <row r="47" spans="1:125" s="41" customFormat="1" ht="15" x14ac:dyDescent="0.25">
      <c r="A47" t="s">
        <v>267</v>
      </c>
      <c r="B47">
        <v>29</v>
      </c>
      <c r="C47"/>
      <c r="D47" t="s">
        <v>908</v>
      </c>
      <c r="E47" s="568" t="s">
        <v>909</v>
      </c>
      <c r="F47">
        <v>1</v>
      </c>
      <c r="G47" s="14">
        <v>55</v>
      </c>
      <c r="H47" s="14">
        <v>55</v>
      </c>
      <c r="I47" t="s">
        <v>3</v>
      </c>
      <c r="J47">
        <v>1</v>
      </c>
      <c r="K47" s="249"/>
      <c r="L47"/>
      <c r="M47" s="14"/>
      <c r="N47" s="300">
        <v>55</v>
      </c>
      <c r="O47" s="554"/>
      <c r="P47" s="36" t="str">
        <f ca="1">IFERROR(+IF(P$27=ProposalToGnatt[[#This Row],[Start Date]],Milestone_Marker,IF(AND(P$27&gt;ProposalToGnatt[[#This Row],[Start Date]],P$27&lt;ProposalToGnatt[[#This Row],[Start Date]]+ProposalToGnatt[[#This Row],[Days]]),$G$5,"")),"")</f>
        <v/>
      </c>
      <c r="Q47" s="36" t="str">
        <f ca="1">IFERROR(+IF(Q$27=ProposalToGnatt[[#This Row],[Start Date]],Milestone_Marker,IF(AND(Q$27&gt;ProposalToGnatt[[#This Row],[Start Date]],Q$27&lt;ProposalToGnatt[[#This Row],[Start Date]]+ProposalToGnatt[[#This Row],[Days]]),$G$5,"")),"")</f>
        <v/>
      </c>
      <c r="R47" s="36" t="str">
        <f ca="1">IFERROR(+IF(R$27=ProposalToGnatt[[#This Row],[Start Date]],Milestone_Marker,IF(AND(R$27&gt;ProposalToGnatt[[#This Row],[Start Date]],R$27&lt;ProposalToGnatt[[#This Row],[Start Date]]+ProposalToGnatt[[#This Row],[Days]]),$G$5,"")),"")</f>
        <v/>
      </c>
      <c r="S47" s="36" t="str">
        <f ca="1">IFERROR(+IF(S$27=ProposalToGnatt[[#This Row],[Start Date]],Milestone_Marker,IF(AND(S$27&gt;ProposalToGnatt[[#This Row],[Start Date]],S$27&lt;ProposalToGnatt[[#This Row],[Start Date]]+ProposalToGnatt[[#This Row],[Days]]),$G$5,"")),"")</f>
        <v/>
      </c>
      <c r="T47" s="36" t="str">
        <f ca="1">IFERROR(+IF(T$27=ProposalToGnatt[[#This Row],[Start Date]],Milestone_Marker,IF(AND(T$27&gt;ProposalToGnatt[[#This Row],[Start Date]],T$27&lt;ProposalToGnatt[[#This Row],[Start Date]]+ProposalToGnatt[[#This Row],[Days]]),$G$5,"")),"")</f>
        <v/>
      </c>
      <c r="U47" s="36" t="str">
        <f ca="1">IFERROR(+IF(U$27=ProposalToGnatt[[#This Row],[Start Date]],Milestone_Marker,IF(AND(U$27&gt;ProposalToGnatt[[#This Row],[Start Date]],U$27&lt;ProposalToGnatt[[#This Row],[Start Date]]+ProposalToGnatt[[#This Row],[Days]]),$G$5,"")),"")</f>
        <v/>
      </c>
      <c r="V47" s="36" t="str">
        <f ca="1">IFERROR(+IF(V$27=ProposalToGnatt[[#This Row],[Start Date]],Milestone_Marker,IF(AND(V$27&gt;ProposalToGnatt[[#This Row],[Start Date]],V$27&lt;ProposalToGnatt[[#This Row],[Start Date]]+ProposalToGnatt[[#This Row],[Days]]),$G$5,"")),"")</f>
        <v/>
      </c>
      <c r="W47" s="36" t="str">
        <f ca="1">IFERROR(+IF(W$27=ProposalToGnatt[[#This Row],[Start Date]],Milestone_Marker,IF(AND(W$27&gt;ProposalToGnatt[[#This Row],[Start Date]],W$27&lt;ProposalToGnatt[[#This Row],[Start Date]]+ProposalToGnatt[[#This Row],[Days]]),$G$5,"")),"")</f>
        <v/>
      </c>
      <c r="X47" s="36" t="str">
        <f ca="1">IFERROR(+IF(X$27=ProposalToGnatt[[#This Row],[Start Date]],Milestone_Marker,IF(AND(X$27&gt;ProposalToGnatt[[#This Row],[Start Date]],X$27&lt;ProposalToGnatt[[#This Row],[Start Date]]+ProposalToGnatt[[#This Row],[Days]]),$G$5,"")),"")</f>
        <v/>
      </c>
      <c r="Y47" s="36" t="str">
        <f ca="1">IFERROR(+IF(Y$27=ProposalToGnatt[[#This Row],[Start Date]],Milestone_Marker,IF(AND(Y$27&gt;ProposalToGnatt[[#This Row],[Start Date]],Y$27&lt;ProposalToGnatt[[#This Row],[Start Date]]+ProposalToGnatt[[#This Row],[Days]]),$G$5,"")),"")</f>
        <v/>
      </c>
      <c r="Z47" s="36" t="str">
        <f ca="1">IFERROR(+IF(Z$27=ProposalToGnatt[[#This Row],[Start Date]],Milestone_Marker,IF(AND(Z$27&gt;ProposalToGnatt[[#This Row],[Start Date]],Z$27&lt;ProposalToGnatt[[#This Row],[Start Date]]+ProposalToGnatt[[#This Row],[Days]]),$G$5,"")),"")</f>
        <v/>
      </c>
      <c r="AA47" s="36" t="str">
        <f ca="1">IFERROR(+IF(AA$27=ProposalToGnatt[[#This Row],[Start Date]],Milestone_Marker,IF(AND(AA$27&gt;ProposalToGnatt[[#This Row],[Start Date]],AA$27&lt;ProposalToGnatt[[#This Row],[Start Date]]+ProposalToGnatt[[#This Row],[Days]]),$G$5,"")),"")</f>
        <v/>
      </c>
      <c r="AB47" s="36" t="str">
        <f ca="1">IFERROR(+IF(AB$27=ProposalToGnatt[[#This Row],[Start Date]],Milestone_Marker,IF(AND(AB$27&gt;ProposalToGnatt[[#This Row],[Start Date]],AB$27&lt;ProposalToGnatt[[#This Row],[Start Date]]+ProposalToGnatt[[#This Row],[Days]]),$G$5,"")),"")</f>
        <v/>
      </c>
      <c r="AC47" s="36" t="str">
        <f ca="1">IFERROR(+IF(AC$27=ProposalToGnatt[[#This Row],[Start Date]],Milestone_Marker,IF(AND(AC$27&gt;ProposalToGnatt[[#This Row],[Start Date]],AC$27&lt;ProposalToGnatt[[#This Row],[Start Date]]+ProposalToGnatt[[#This Row],[Days]]),$G$5,"")),"")</f>
        <v/>
      </c>
      <c r="AD47" s="36" t="str">
        <f ca="1">IFERROR(+IF(AD$27=ProposalToGnatt[[#This Row],[Start Date]],Milestone_Marker,IF(AND(AD$27&gt;ProposalToGnatt[[#This Row],[Start Date]],AD$27&lt;ProposalToGnatt[[#This Row],[Start Date]]+ProposalToGnatt[[#This Row],[Days]]),$G$5,"")),"")</f>
        <v/>
      </c>
      <c r="AE47" s="36" t="str">
        <f ca="1">IFERROR(+IF(AE$27=ProposalToGnatt[[#This Row],[Start Date]],Milestone_Marker,IF(AND(AE$27&gt;ProposalToGnatt[[#This Row],[Start Date]],AE$27&lt;ProposalToGnatt[[#This Row],[Start Date]]+ProposalToGnatt[[#This Row],[Days]]),$G$5,"")),"")</f>
        <v/>
      </c>
      <c r="AF47" s="36" t="str">
        <f ca="1">IFERROR(+IF(AF$27=ProposalToGnatt[[#This Row],[Start Date]],Milestone_Marker,IF(AND(AF$27&gt;ProposalToGnatt[[#This Row],[Start Date]],AF$27&lt;ProposalToGnatt[[#This Row],[Start Date]]+ProposalToGnatt[[#This Row],[Days]]),$G$5,"")),"")</f>
        <v/>
      </c>
      <c r="AG47" s="36" t="str">
        <f ca="1">IFERROR(+IF(AG$27=ProposalToGnatt[[#This Row],[Start Date]],Milestone_Marker,IF(AND(AG$27&gt;ProposalToGnatt[[#This Row],[Start Date]],AG$27&lt;ProposalToGnatt[[#This Row],[Start Date]]+ProposalToGnatt[[#This Row],[Days]]),$G$5,"")),"")</f>
        <v/>
      </c>
      <c r="AH47" s="36" t="str">
        <f ca="1">IFERROR(+IF(AH$27=ProposalToGnatt[[#This Row],[Start Date]],Milestone_Marker,IF(AND(AH$27&gt;ProposalToGnatt[[#This Row],[Start Date]],AH$27&lt;ProposalToGnatt[[#This Row],[Start Date]]+ProposalToGnatt[[#This Row],[Days]]),$G$5,"")),"")</f>
        <v/>
      </c>
      <c r="AI47" s="36" t="str">
        <f ca="1">IFERROR(+IF(AI$27=ProposalToGnatt[[#This Row],[Start Date]],Milestone_Marker,IF(AND(AI$27&gt;ProposalToGnatt[[#This Row],[Start Date]],AI$27&lt;ProposalToGnatt[[#This Row],[Start Date]]+ProposalToGnatt[[#This Row],[Days]]),$G$5,"")),"")</f>
        <v/>
      </c>
      <c r="AJ47" s="36" t="str">
        <f ca="1">IFERROR(+IF(AJ$27=ProposalToGnatt[[#This Row],[Start Date]],Milestone_Marker,IF(AND(AJ$27&gt;ProposalToGnatt[[#This Row],[Start Date]],AJ$27&lt;ProposalToGnatt[[#This Row],[Start Date]]+ProposalToGnatt[[#This Row],[Days]]),$G$5,"")),"")</f>
        <v/>
      </c>
      <c r="AK47" s="36" t="str">
        <f ca="1">IFERROR(+IF(AK$27=ProposalToGnatt[[#This Row],[Start Date]],Milestone_Marker,IF(AND(AK$27&gt;ProposalToGnatt[[#This Row],[Start Date]],AK$27&lt;ProposalToGnatt[[#This Row],[Start Date]]+ProposalToGnatt[[#This Row],[Days]]),$G$5,"")),"")</f>
        <v/>
      </c>
      <c r="AL47" s="36" t="str">
        <f ca="1">IFERROR(+IF(AL$27=ProposalToGnatt[[#This Row],[Start Date]],Milestone_Marker,IF(AND(AL$27&gt;ProposalToGnatt[[#This Row],[Start Date]],AL$27&lt;ProposalToGnatt[[#This Row],[Start Date]]+ProposalToGnatt[[#This Row],[Days]]),$G$5,"")),"")</f>
        <v/>
      </c>
      <c r="AM47" s="36" t="str">
        <f ca="1">IFERROR(+IF(AM$27=ProposalToGnatt[[#This Row],[Start Date]],Milestone_Marker,IF(AND(AM$27&gt;ProposalToGnatt[[#This Row],[Start Date]],AM$27&lt;ProposalToGnatt[[#This Row],[Start Date]]+ProposalToGnatt[[#This Row],[Days]]),$G$5,"")),"")</f>
        <v/>
      </c>
      <c r="AN47" s="36" t="str">
        <f ca="1">IFERROR(+IF(AN$27=ProposalToGnatt[[#This Row],[Start Date]],Milestone_Marker,IF(AND(AN$27&gt;ProposalToGnatt[[#This Row],[Start Date]],AN$27&lt;ProposalToGnatt[[#This Row],[Start Date]]+ProposalToGnatt[[#This Row],[Days]]),$G$5,"")),"")</f>
        <v/>
      </c>
      <c r="AO47" s="36" t="str">
        <f ca="1">IFERROR(+IF(AO$27=ProposalToGnatt[[#This Row],[Start Date]],Milestone_Marker,IF(AND(AO$27&gt;ProposalToGnatt[[#This Row],[Start Date]],AO$27&lt;ProposalToGnatt[[#This Row],[Start Date]]+ProposalToGnatt[[#This Row],[Days]]),$G$5,"")),"")</f>
        <v/>
      </c>
      <c r="AP47" s="36" t="str">
        <f ca="1">IFERROR(+IF(AP$27=ProposalToGnatt[[#This Row],[Start Date]],Milestone_Marker,IF(AND(AP$27&gt;ProposalToGnatt[[#This Row],[Start Date]],AP$27&lt;ProposalToGnatt[[#This Row],[Start Date]]+ProposalToGnatt[[#This Row],[Days]]),$G$5,"")),"")</f>
        <v/>
      </c>
      <c r="AQ47" s="36" t="str">
        <f ca="1">IFERROR(+IF(AQ$27=ProposalToGnatt[[#This Row],[Start Date]],Milestone_Marker,IF(AND(AQ$27&gt;ProposalToGnatt[[#This Row],[Start Date]],AQ$27&lt;ProposalToGnatt[[#This Row],[Start Date]]+ProposalToGnatt[[#This Row],[Days]]),$G$5,"")),"")</f>
        <v/>
      </c>
      <c r="AR47" s="36" t="str">
        <f ca="1">IFERROR(+IF(AR$27=ProposalToGnatt[[#This Row],[Start Date]],Milestone_Marker,IF(AND(AR$27&gt;ProposalToGnatt[[#This Row],[Start Date]],AR$27&lt;ProposalToGnatt[[#This Row],[Start Date]]+ProposalToGnatt[[#This Row],[Days]]),$G$5,"")),"")</f>
        <v/>
      </c>
      <c r="AS47" s="36" t="str">
        <f ca="1">IFERROR(+IF(AS$27=ProposalToGnatt[[#This Row],[Start Date]],Milestone_Marker,IF(AND(AS$27&gt;ProposalToGnatt[[#This Row],[Start Date]],AS$27&lt;ProposalToGnatt[[#This Row],[Start Date]]+ProposalToGnatt[[#This Row],[Days]]),$G$5,"")),"")</f>
        <v/>
      </c>
      <c r="AT47" s="36" t="str">
        <f ca="1">IFERROR(+IF(AT$27=ProposalToGnatt[[#This Row],[Start Date]],Milestone_Marker,IF(AND(AT$27&gt;ProposalToGnatt[[#This Row],[Start Date]],AT$27&lt;ProposalToGnatt[[#This Row],[Start Date]]+ProposalToGnatt[[#This Row],[Days]]),$G$5,"")),"")</f>
        <v/>
      </c>
      <c r="AU47" s="36" t="str">
        <f ca="1">IFERROR(+IF(AU$27=ProposalToGnatt[[#This Row],[Start Date]],Milestone_Marker,IF(AND(AU$27&gt;ProposalToGnatt[[#This Row],[Start Date]],AU$27&lt;ProposalToGnatt[[#This Row],[Start Date]]+ProposalToGnatt[[#This Row],[Days]]),$G$5,"")),"")</f>
        <v/>
      </c>
      <c r="AV47" s="36" t="str">
        <f ca="1">IFERROR(+IF(AV$27=ProposalToGnatt[[#This Row],[Start Date]],Milestone_Marker,IF(AND(AV$27&gt;ProposalToGnatt[[#This Row],[Start Date]],AV$27&lt;ProposalToGnatt[[#This Row],[Start Date]]+ProposalToGnatt[[#This Row],[Days]]),$G$5,"")),"")</f>
        <v/>
      </c>
      <c r="AW47" s="36" t="str">
        <f ca="1">IFERROR(+IF(AW$27=ProposalToGnatt[[#This Row],[Start Date]],Milestone_Marker,IF(AND(AW$27&gt;ProposalToGnatt[[#This Row],[Start Date]],AW$27&lt;ProposalToGnatt[[#This Row],[Start Date]]+ProposalToGnatt[[#This Row],[Days]]),$G$5,"")),"")</f>
        <v/>
      </c>
      <c r="AX47" s="36" t="str">
        <f ca="1">IFERROR(+IF(AX$27=ProposalToGnatt[[#This Row],[Start Date]],Milestone_Marker,IF(AND(AX$27&gt;ProposalToGnatt[[#This Row],[Start Date]],AX$27&lt;ProposalToGnatt[[#This Row],[Start Date]]+ProposalToGnatt[[#This Row],[Days]]),$G$5,"")),"")</f>
        <v/>
      </c>
      <c r="AY47" s="36" t="str">
        <f ca="1">IFERROR(+IF(AY$27=ProposalToGnatt[[#This Row],[Start Date]],Milestone_Marker,IF(AND(AY$27&gt;ProposalToGnatt[[#This Row],[Start Date]],AY$27&lt;ProposalToGnatt[[#This Row],[Start Date]]+ProposalToGnatt[[#This Row],[Days]]),$G$5,"")),"")</f>
        <v/>
      </c>
      <c r="AZ47" s="36" t="str">
        <f ca="1">IFERROR(+IF(AZ$27=ProposalToGnatt[[#This Row],[Start Date]],Milestone_Marker,IF(AND(AZ$27&gt;ProposalToGnatt[[#This Row],[Start Date]],AZ$27&lt;ProposalToGnatt[[#This Row],[Start Date]]+ProposalToGnatt[[#This Row],[Days]]),$G$5,"")),"")</f>
        <v/>
      </c>
      <c r="BA47" s="36" t="str">
        <f ca="1">IFERROR(+IF(BA$27=ProposalToGnatt[[#This Row],[Start Date]],Milestone_Marker,IF(AND(BA$27&gt;ProposalToGnatt[[#This Row],[Start Date]],BA$27&lt;ProposalToGnatt[[#This Row],[Start Date]]+ProposalToGnatt[[#This Row],[Days]]),$G$5,"")),"")</f>
        <v/>
      </c>
      <c r="BB47" s="36" t="str">
        <f ca="1">IFERROR(+IF(BB$27=ProposalToGnatt[[#This Row],[Start Date]],Milestone_Marker,IF(AND(BB$27&gt;ProposalToGnatt[[#This Row],[Start Date]],BB$27&lt;ProposalToGnatt[[#This Row],[Start Date]]+ProposalToGnatt[[#This Row],[Days]]),$G$5,"")),"")</f>
        <v/>
      </c>
      <c r="BC47" s="36" t="str">
        <f ca="1">IFERROR(+IF(BC$27=ProposalToGnatt[[#This Row],[Start Date]],Milestone_Marker,IF(AND(BC$27&gt;ProposalToGnatt[[#This Row],[Start Date]],BC$27&lt;ProposalToGnatt[[#This Row],[Start Date]]+ProposalToGnatt[[#This Row],[Days]]),$G$5,"")),"")</f>
        <v/>
      </c>
      <c r="BD47" s="36" t="str">
        <f ca="1">IFERROR(+IF(BD$27=ProposalToGnatt[[#This Row],[Start Date]],Milestone_Marker,IF(AND(BD$27&gt;ProposalToGnatt[[#This Row],[Start Date]],BD$27&lt;ProposalToGnatt[[#This Row],[Start Date]]+ProposalToGnatt[[#This Row],[Days]]),$G$5,"")),"")</f>
        <v/>
      </c>
      <c r="BE47" s="36" t="str">
        <f ca="1">IFERROR(+IF(BE$27=ProposalToGnatt[[#This Row],[Start Date]],Milestone_Marker,IF(AND(BE$27&gt;ProposalToGnatt[[#This Row],[Start Date]],BE$27&lt;ProposalToGnatt[[#This Row],[Start Date]]+ProposalToGnatt[[#This Row],[Days]]),$G$5,"")),"")</f>
        <v/>
      </c>
      <c r="BF47" s="36" t="str">
        <f ca="1">IFERROR(+IF(BF$27=ProposalToGnatt[[#This Row],[Start Date]],Milestone_Marker,IF(AND(BF$27&gt;ProposalToGnatt[[#This Row],[Start Date]],BF$27&lt;ProposalToGnatt[[#This Row],[Start Date]]+ProposalToGnatt[[#This Row],[Days]]),$G$5,"")),"")</f>
        <v/>
      </c>
      <c r="BG47" s="36" t="str">
        <f ca="1">IFERROR(+IF(BG$27=ProposalToGnatt[[#This Row],[Start Date]],Milestone_Marker,IF(AND(BG$27&gt;ProposalToGnatt[[#This Row],[Start Date]],BG$27&lt;ProposalToGnatt[[#This Row],[Start Date]]+ProposalToGnatt[[#This Row],[Days]]),$G$5,"")),"")</f>
        <v/>
      </c>
      <c r="BH47" s="36" t="str">
        <f ca="1">IFERROR(+IF(BH$27=ProposalToGnatt[[#This Row],[Start Date]],Milestone_Marker,IF(AND(BH$27&gt;ProposalToGnatt[[#This Row],[Start Date]],BH$27&lt;ProposalToGnatt[[#This Row],[Start Date]]+ProposalToGnatt[[#This Row],[Days]]),$G$5,"")),"")</f>
        <v/>
      </c>
      <c r="BI47" s="36" t="str">
        <f ca="1">IFERROR(+IF(BI$27=ProposalToGnatt[[#This Row],[Start Date]],Milestone_Marker,IF(AND(BI$27&gt;ProposalToGnatt[[#This Row],[Start Date]],BI$27&lt;ProposalToGnatt[[#This Row],[Start Date]]+ProposalToGnatt[[#This Row],[Days]]),$G$5,"")),"")</f>
        <v/>
      </c>
      <c r="BJ47" s="36" t="str">
        <f ca="1">IFERROR(+IF(BJ$27=ProposalToGnatt[[#This Row],[Start Date]],Milestone_Marker,IF(AND(BJ$27&gt;ProposalToGnatt[[#This Row],[Start Date]],BJ$27&lt;ProposalToGnatt[[#This Row],[Start Date]]+ProposalToGnatt[[#This Row],[Days]]),$G$5,"")),"")</f>
        <v/>
      </c>
      <c r="BK47" s="36" t="str">
        <f ca="1">IFERROR(+IF(BK$27=ProposalToGnatt[[#This Row],[Start Date]],Milestone_Marker,IF(AND(BK$27&gt;ProposalToGnatt[[#This Row],[Start Date]],BK$27&lt;ProposalToGnatt[[#This Row],[Start Date]]+ProposalToGnatt[[#This Row],[Days]]),$G$5,"")),"")</f>
        <v/>
      </c>
      <c r="BL47" s="36" t="str">
        <f ca="1">IFERROR(+IF(BL$27=ProposalToGnatt[[#This Row],[Start Date]],Milestone_Marker,IF(AND(BL$27&gt;ProposalToGnatt[[#This Row],[Start Date]],BL$27&lt;ProposalToGnatt[[#This Row],[Start Date]]+ProposalToGnatt[[#This Row],[Days]]),$G$5,"")),"")</f>
        <v/>
      </c>
      <c r="BM47" s="36" t="str">
        <f ca="1">IFERROR(+IF(BM$27=ProposalToGnatt[[#This Row],[Start Date]],Milestone_Marker,IF(AND(BM$27&gt;ProposalToGnatt[[#This Row],[Start Date]],BM$27&lt;ProposalToGnatt[[#This Row],[Start Date]]+ProposalToGnatt[[#This Row],[Days]]),$G$5,"")),"")</f>
        <v/>
      </c>
      <c r="BN47" s="36" t="str">
        <f ca="1">IFERROR(+IF(BN$27=ProposalToGnatt[[#This Row],[Start Date]],Milestone_Marker,IF(AND(BN$27&gt;ProposalToGnatt[[#This Row],[Start Date]],BN$27&lt;ProposalToGnatt[[#This Row],[Start Date]]+ProposalToGnatt[[#This Row],[Days]]),$G$5,"")),"")</f>
        <v/>
      </c>
      <c r="BO47" s="36" t="str">
        <f ca="1">IFERROR(+IF(BO$27=ProposalToGnatt[[#This Row],[Start Date]],Milestone_Marker,IF(AND(BO$27&gt;ProposalToGnatt[[#This Row],[Start Date]],BO$27&lt;ProposalToGnatt[[#This Row],[Start Date]]+ProposalToGnatt[[#This Row],[Days]]),$G$5,"")),"")</f>
        <v/>
      </c>
      <c r="BP47" s="36" t="str">
        <f ca="1">IFERROR(+IF(BP$27=ProposalToGnatt[[#This Row],[Start Date]],Milestone_Marker,IF(AND(BP$27&gt;ProposalToGnatt[[#This Row],[Start Date]],BP$27&lt;ProposalToGnatt[[#This Row],[Start Date]]+ProposalToGnatt[[#This Row],[Days]]),$G$5,"")),"")</f>
        <v/>
      </c>
      <c r="BQ47" s="36" t="str">
        <f ca="1">IFERROR(+IF(BQ$27=ProposalToGnatt[[#This Row],[Start Date]],Milestone_Marker,IF(AND(BQ$27&gt;ProposalToGnatt[[#This Row],[Start Date]],BQ$27&lt;ProposalToGnatt[[#This Row],[Start Date]]+ProposalToGnatt[[#This Row],[Days]]),$G$5,"")),"")</f>
        <v/>
      </c>
      <c r="BR47" s="36" t="str">
        <f ca="1">IFERROR(+IF(BR$27=ProposalToGnatt[[#This Row],[Start Date]],Milestone_Marker,IF(AND(BR$27&gt;ProposalToGnatt[[#This Row],[Start Date]],BR$27&lt;ProposalToGnatt[[#This Row],[Start Date]]+ProposalToGnatt[[#This Row],[Days]]),$G$5,"")),"")</f>
        <v/>
      </c>
      <c r="BS47" s="36" t="str">
        <f ca="1">IFERROR(+IF(BS$27=ProposalToGnatt[[#This Row],[Start Date]],Milestone_Marker,IF(AND(BS$27&gt;ProposalToGnatt[[#This Row],[Start Date]],BS$27&lt;ProposalToGnatt[[#This Row],[Start Date]]+ProposalToGnatt[[#This Row],[Days]]),$G$5,"")),"")</f>
        <v/>
      </c>
      <c r="BT47" s="36" t="str">
        <f ca="1">IFERROR(+IF(BT$27=ProposalToGnatt[[#This Row],[Start Date]],Milestone_Marker,IF(AND(BT$27&gt;ProposalToGnatt[[#This Row],[Start Date]],BT$27&lt;ProposalToGnatt[[#This Row],[Start Date]]+ProposalToGnatt[[#This Row],[Days]]),$G$5,"")),"")</f>
        <v/>
      </c>
      <c r="BU47" s="36" t="str">
        <f ca="1">IFERROR(+IF(BU$27=ProposalToGnatt[[#This Row],[Start Date]],Milestone_Marker,IF(AND(BU$27&gt;ProposalToGnatt[[#This Row],[Start Date]],BU$27&lt;ProposalToGnatt[[#This Row],[Start Date]]+ProposalToGnatt[[#This Row],[Days]]),$G$5,"")),"")</f>
        <v/>
      </c>
      <c r="BV47" s="36" t="str">
        <f ca="1">IFERROR(+IF(BV$27=ProposalToGnatt[[#This Row],[Start Date]],Milestone_Marker,IF(AND(BV$27&gt;ProposalToGnatt[[#This Row],[Start Date]],BV$27&lt;ProposalToGnatt[[#This Row],[Start Date]]+ProposalToGnatt[[#This Row],[Days]]),$G$5,"")),"")</f>
        <v/>
      </c>
      <c r="BW47" s="36" t="str">
        <f ca="1">IFERROR(+IF(BW$27=ProposalToGnatt[[#This Row],[Start Date]],Milestone_Marker,IF(AND(BW$27&gt;ProposalToGnatt[[#This Row],[Start Date]],BW$27&lt;ProposalToGnatt[[#This Row],[Start Date]]+ProposalToGnatt[[#This Row],[Days]]),$G$5,"")),"")</f>
        <v/>
      </c>
      <c r="BX47" s="36" t="str">
        <f ca="1">IFERROR(+IF(BX$27=ProposalToGnatt[[#This Row],[Start Date]],Milestone_Marker,IF(AND(BX$27&gt;ProposalToGnatt[[#This Row],[Start Date]],BX$27&lt;ProposalToGnatt[[#This Row],[Start Date]]+ProposalToGnatt[[#This Row],[Days]]),$G$5,"")),"")</f>
        <v/>
      </c>
      <c r="BY47" s="36" t="str">
        <f ca="1">IFERROR(+IF(BY$27=ProposalToGnatt[[#This Row],[Start Date]],Milestone_Marker,IF(AND(BY$27&gt;ProposalToGnatt[[#This Row],[Start Date]],BY$27&lt;ProposalToGnatt[[#This Row],[Start Date]]+ProposalToGnatt[[#This Row],[Days]]),$G$5,"")),"")</f>
        <v/>
      </c>
      <c r="BZ47" s="36" t="str">
        <f ca="1">IFERROR(+IF(BZ$27=ProposalToGnatt[[#This Row],[Start Date]],Milestone_Marker,IF(AND(BZ$27&gt;ProposalToGnatt[[#This Row],[Start Date]],BZ$27&lt;ProposalToGnatt[[#This Row],[Start Date]]+ProposalToGnatt[[#This Row],[Days]]),$G$5,"")),"")</f>
        <v/>
      </c>
      <c r="CA47" s="36" t="str">
        <f ca="1">IFERROR(+IF(CA$27=ProposalToGnatt[[#This Row],[Start Date]],Milestone_Marker,IF(AND(CA$27&gt;ProposalToGnatt[[#This Row],[Start Date]],CA$27&lt;ProposalToGnatt[[#This Row],[Start Date]]+ProposalToGnatt[[#This Row],[Days]]),$G$5,"")),"")</f>
        <v/>
      </c>
      <c r="CB47" s="36" t="str">
        <f ca="1">IFERROR(+IF(CB$27=ProposalToGnatt[[#This Row],[Start Date]],Milestone_Marker,IF(AND(CB$27&gt;ProposalToGnatt[[#This Row],[Start Date]],CB$27&lt;ProposalToGnatt[[#This Row],[Start Date]]+ProposalToGnatt[[#This Row],[Days]]),$G$5,"")),"")</f>
        <v/>
      </c>
      <c r="CC47" s="36" t="str">
        <f ca="1">IFERROR(+IF(CC$27=ProposalToGnatt[[#This Row],[Start Date]],Milestone_Marker,IF(AND(CC$27&gt;ProposalToGnatt[[#This Row],[Start Date]],CC$27&lt;ProposalToGnatt[[#This Row],[Start Date]]+ProposalToGnatt[[#This Row],[Days]]),$G$5,"")),"")</f>
        <v/>
      </c>
      <c r="CD47" s="36" t="str">
        <f ca="1">IFERROR(+IF(CD$27=ProposalToGnatt[[#This Row],[Start Date]],Milestone_Marker,IF(AND(CD$27&gt;ProposalToGnatt[[#This Row],[Start Date]],CD$27&lt;ProposalToGnatt[[#This Row],[Start Date]]+ProposalToGnatt[[#This Row],[Days]]),$G$5,"")),"")</f>
        <v/>
      </c>
      <c r="CE47" s="36" t="str">
        <f ca="1">IFERROR(+IF(CE$27=ProposalToGnatt[[#This Row],[Start Date]],Milestone_Marker,IF(AND(CE$27&gt;ProposalToGnatt[[#This Row],[Start Date]],CE$27&lt;ProposalToGnatt[[#This Row],[Start Date]]+ProposalToGnatt[[#This Row],[Days]]),$G$5,"")),"")</f>
        <v/>
      </c>
      <c r="CF47" s="36" t="str">
        <f ca="1">IFERROR(+IF(CF$27=ProposalToGnatt[[#This Row],[Start Date]],Milestone_Marker,IF(AND(CF$27&gt;ProposalToGnatt[[#This Row],[Start Date]],CF$27&lt;ProposalToGnatt[[#This Row],[Start Date]]+ProposalToGnatt[[#This Row],[Days]]),$G$5,"")),"")</f>
        <v/>
      </c>
      <c r="CG47" s="36" t="str">
        <f ca="1">IFERROR(+IF(CG$27=ProposalToGnatt[[#This Row],[Start Date]],Milestone_Marker,IF(AND(CG$27&gt;ProposalToGnatt[[#This Row],[Start Date]],CG$27&lt;ProposalToGnatt[[#This Row],[Start Date]]+ProposalToGnatt[[#This Row],[Days]]),$G$5,"")),"")</f>
        <v/>
      </c>
      <c r="CH47" s="36" t="str">
        <f ca="1">IFERROR(+IF(CH$27=ProposalToGnatt[[#This Row],[Start Date]],Milestone_Marker,IF(AND(CH$27&gt;ProposalToGnatt[[#This Row],[Start Date]],CH$27&lt;ProposalToGnatt[[#This Row],[Start Date]]+ProposalToGnatt[[#This Row],[Days]]),$G$5,"")),"")</f>
        <v/>
      </c>
      <c r="CI47" s="36" t="str">
        <f ca="1">IFERROR(+IF(CI$27=ProposalToGnatt[[#This Row],[Start Date]],Milestone_Marker,IF(AND(CI$27&gt;ProposalToGnatt[[#This Row],[Start Date]],CI$27&lt;ProposalToGnatt[[#This Row],[Start Date]]+ProposalToGnatt[[#This Row],[Days]]),$G$5,"")),"")</f>
        <v/>
      </c>
      <c r="CJ47" s="36" t="str">
        <f ca="1">IFERROR(+IF(CJ$27=ProposalToGnatt[[#This Row],[Start Date]],Milestone_Marker,IF(AND(CJ$27&gt;ProposalToGnatt[[#This Row],[Start Date]],CJ$27&lt;ProposalToGnatt[[#This Row],[Start Date]]+ProposalToGnatt[[#This Row],[Days]]),$G$5,"")),"")</f>
        <v/>
      </c>
      <c r="CK47" s="36" t="str">
        <f ca="1">IFERROR(+IF(CK$27=ProposalToGnatt[[#This Row],[Start Date]],Milestone_Marker,IF(AND(CK$27&gt;ProposalToGnatt[[#This Row],[Start Date]],CK$27&lt;ProposalToGnatt[[#This Row],[Start Date]]+ProposalToGnatt[[#This Row],[Days]]),$G$5,"")),"")</f>
        <v/>
      </c>
      <c r="CL47" s="36" t="str">
        <f ca="1">IFERROR(+IF(CL$27=ProposalToGnatt[[#This Row],[Start Date]],Milestone_Marker,IF(AND(CL$27&gt;ProposalToGnatt[[#This Row],[Start Date]],CL$27&lt;ProposalToGnatt[[#This Row],[Start Date]]+ProposalToGnatt[[#This Row],[Days]]),$G$5,"")),"")</f>
        <v/>
      </c>
      <c r="CM47" s="36" t="str">
        <f ca="1">IFERROR(+IF(CM$27=ProposalToGnatt[[#This Row],[Start Date]],Milestone_Marker,IF(AND(CM$27&gt;ProposalToGnatt[[#This Row],[Start Date]],CM$27&lt;ProposalToGnatt[[#This Row],[Start Date]]+ProposalToGnatt[[#This Row],[Days]]),$G$5,"")),"")</f>
        <v/>
      </c>
      <c r="CN47" s="36" t="str">
        <f ca="1">IFERROR(+IF(CN$27=ProposalToGnatt[[#This Row],[Start Date]],Milestone_Marker,IF(AND(CN$27&gt;ProposalToGnatt[[#This Row],[Start Date]],CN$27&lt;ProposalToGnatt[[#This Row],[Start Date]]+ProposalToGnatt[[#This Row],[Days]]),$G$5,"")),"")</f>
        <v/>
      </c>
      <c r="CO47" s="36" t="str">
        <f ca="1">IFERROR(+IF(CO$27=ProposalToGnatt[[#This Row],[Start Date]],Milestone_Marker,IF(AND(CO$27&gt;ProposalToGnatt[[#This Row],[Start Date]],CO$27&lt;ProposalToGnatt[[#This Row],[Start Date]]+ProposalToGnatt[[#This Row],[Days]]),$G$5,"")),"")</f>
        <v/>
      </c>
      <c r="CP47" s="36" t="str">
        <f ca="1">IFERROR(+IF(CP$27=ProposalToGnatt[[#This Row],[Start Date]],Milestone_Marker,IF(AND(CP$27&gt;ProposalToGnatt[[#This Row],[Start Date]],CP$27&lt;ProposalToGnatt[[#This Row],[Start Date]]+ProposalToGnatt[[#This Row],[Days]]),$G$5,"")),"")</f>
        <v/>
      </c>
      <c r="CQ47" s="36" t="str">
        <f ca="1">IFERROR(+IF(CQ$27=ProposalToGnatt[[#This Row],[Start Date]],Milestone_Marker,IF(AND(CQ$27&gt;ProposalToGnatt[[#This Row],[Start Date]],CQ$27&lt;ProposalToGnatt[[#This Row],[Start Date]]+ProposalToGnatt[[#This Row],[Days]]),$G$5,"")),"")</f>
        <v/>
      </c>
      <c r="CR47" s="36" t="str">
        <f ca="1">IFERROR(+IF(CR$27=ProposalToGnatt[[#This Row],[Start Date]],Milestone_Marker,IF(AND(CR$27&gt;ProposalToGnatt[[#This Row],[Start Date]],CR$27&lt;ProposalToGnatt[[#This Row],[Start Date]]+ProposalToGnatt[[#This Row],[Days]]),$G$5,"")),"")</f>
        <v/>
      </c>
      <c r="CS47" s="36" t="str">
        <f ca="1">IFERROR(+IF(CS$27=ProposalToGnatt[[#This Row],[Start Date]],Milestone_Marker,IF(AND(CS$27&gt;ProposalToGnatt[[#This Row],[Start Date]],CS$27&lt;ProposalToGnatt[[#This Row],[Start Date]]+ProposalToGnatt[[#This Row],[Days]]),$G$5,"")),"")</f>
        <v/>
      </c>
      <c r="CT47" s="36" t="str">
        <f ca="1">IFERROR(+IF(CT$27=ProposalToGnatt[[#This Row],[Start Date]],Milestone_Marker,IF(AND(CT$27&gt;ProposalToGnatt[[#This Row],[Start Date]],CT$27&lt;ProposalToGnatt[[#This Row],[Start Date]]+ProposalToGnatt[[#This Row],[Days]]),$G$5,"")),"")</f>
        <v/>
      </c>
      <c r="CU47" s="36" t="str">
        <f ca="1">IFERROR(+IF(CU$27=ProposalToGnatt[[#This Row],[Start Date]],Milestone_Marker,IF(AND(CU$27&gt;ProposalToGnatt[[#This Row],[Start Date]],CU$27&lt;ProposalToGnatt[[#This Row],[Start Date]]+ProposalToGnatt[[#This Row],[Days]]),$G$5,"")),"")</f>
        <v/>
      </c>
      <c r="CV47" s="36"/>
      <c r="CW47" s="36"/>
      <c r="CX47" s="36"/>
      <c r="CY47" s="36"/>
      <c r="CZ47" s="36"/>
      <c r="DA47" s="36"/>
      <c r="DB47" s="36"/>
      <c r="DC47" s="36"/>
      <c r="DD47" s="36"/>
      <c r="DE47" s="36"/>
      <c r="DF47" s="36"/>
      <c r="DG47" s="36"/>
      <c r="DH47" s="36"/>
      <c r="DI47" s="36"/>
      <c r="DJ47" s="36"/>
      <c r="DK47" s="36"/>
      <c r="DL47" s="36"/>
      <c r="DM47" s="36"/>
      <c r="DN47" s="36"/>
      <c r="DO47" s="36"/>
      <c r="DP47" s="36"/>
      <c r="DQ47" s="36"/>
      <c r="DR47" s="36"/>
      <c r="DS47" s="36"/>
      <c r="DT47" s="36"/>
      <c r="DU47" s="36"/>
    </row>
    <row r="48" spans="1:125" s="41" customFormat="1" ht="15" x14ac:dyDescent="0.25">
      <c r="A48" t="s">
        <v>267</v>
      </c>
      <c r="B48">
        <v>30</v>
      </c>
      <c r="C48"/>
      <c r="D48" t="s">
        <v>910</v>
      </c>
      <c r="E48" s="568" t="s">
        <v>911</v>
      </c>
      <c r="F48">
        <v>5</v>
      </c>
      <c r="G48" s="14">
        <v>8</v>
      </c>
      <c r="H48" s="14">
        <v>40</v>
      </c>
      <c r="I48" t="s">
        <v>3</v>
      </c>
      <c r="J48">
        <v>1</v>
      </c>
      <c r="K48" s="249"/>
      <c r="L48"/>
      <c r="M48" s="14"/>
      <c r="N48" s="300">
        <v>40</v>
      </c>
      <c r="O48" s="554"/>
      <c r="P48" s="36" t="str">
        <f ca="1">IFERROR(+IF(P$27=ProposalToGnatt[[#This Row],[Start Date]],Milestone_Marker,IF(AND(P$27&gt;ProposalToGnatt[[#This Row],[Start Date]],P$27&lt;ProposalToGnatt[[#This Row],[Start Date]]+ProposalToGnatt[[#This Row],[Days]]),$G$5,"")),"")</f>
        <v/>
      </c>
      <c r="Q48" s="36" t="str">
        <f ca="1">IFERROR(+IF(Q$27=ProposalToGnatt[[#This Row],[Start Date]],Milestone_Marker,IF(AND(Q$27&gt;ProposalToGnatt[[#This Row],[Start Date]],Q$27&lt;ProposalToGnatt[[#This Row],[Start Date]]+ProposalToGnatt[[#This Row],[Days]]),$G$5,"")),"")</f>
        <v/>
      </c>
      <c r="R48" s="36" t="str">
        <f ca="1">IFERROR(+IF(R$27=ProposalToGnatt[[#This Row],[Start Date]],Milestone_Marker,IF(AND(R$27&gt;ProposalToGnatt[[#This Row],[Start Date]],R$27&lt;ProposalToGnatt[[#This Row],[Start Date]]+ProposalToGnatt[[#This Row],[Days]]),$G$5,"")),"")</f>
        <v/>
      </c>
      <c r="S48" s="36" t="str">
        <f ca="1">IFERROR(+IF(S$27=ProposalToGnatt[[#This Row],[Start Date]],Milestone_Marker,IF(AND(S$27&gt;ProposalToGnatt[[#This Row],[Start Date]],S$27&lt;ProposalToGnatt[[#This Row],[Start Date]]+ProposalToGnatt[[#This Row],[Days]]),$G$5,"")),"")</f>
        <v/>
      </c>
      <c r="T48" s="36" t="str">
        <f ca="1">IFERROR(+IF(T$27=ProposalToGnatt[[#This Row],[Start Date]],Milestone_Marker,IF(AND(T$27&gt;ProposalToGnatt[[#This Row],[Start Date]],T$27&lt;ProposalToGnatt[[#This Row],[Start Date]]+ProposalToGnatt[[#This Row],[Days]]),$G$5,"")),"")</f>
        <v/>
      </c>
      <c r="U48" s="36" t="str">
        <f ca="1">IFERROR(+IF(U$27=ProposalToGnatt[[#This Row],[Start Date]],Milestone_Marker,IF(AND(U$27&gt;ProposalToGnatt[[#This Row],[Start Date]],U$27&lt;ProposalToGnatt[[#This Row],[Start Date]]+ProposalToGnatt[[#This Row],[Days]]),$G$5,"")),"")</f>
        <v/>
      </c>
      <c r="V48" s="36" t="str">
        <f ca="1">IFERROR(+IF(V$27=ProposalToGnatt[[#This Row],[Start Date]],Milestone_Marker,IF(AND(V$27&gt;ProposalToGnatt[[#This Row],[Start Date]],V$27&lt;ProposalToGnatt[[#This Row],[Start Date]]+ProposalToGnatt[[#This Row],[Days]]),$G$5,"")),"")</f>
        <v/>
      </c>
      <c r="W48" s="36" t="str">
        <f ca="1">IFERROR(+IF(W$27=ProposalToGnatt[[#This Row],[Start Date]],Milestone_Marker,IF(AND(W$27&gt;ProposalToGnatt[[#This Row],[Start Date]],W$27&lt;ProposalToGnatt[[#This Row],[Start Date]]+ProposalToGnatt[[#This Row],[Days]]),$G$5,"")),"")</f>
        <v/>
      </c>
      <c r="X48" s="36" t="str">
        <f ca="1">IFERROR(+IF(X$27=ProposalToGnatt[[#This Row],[Start Date]],Milestone_Marker,IF(AND(X$27&gt;ProposalToGnatt[[#This Row],[Start Date]],X$27&lt;ProposalToGnatt[[#This Row],[Start Date]]+ProposalToGnatt[[#This Row],[Days]]),$G$5,"")),"")</f>
        <v/>
      </c>
      <c r="Y48" s="36" t="str">
        <f ca="1">IFERROR(+IF(Y$27=ProposalToGnatt[[#This Row],[Start Date]],Milestone_Marker,IF(AND(Y$27&gt;ProposalToGnatt[[#This Row],[Start Date]],Y$27&lt;ProposalToGnatt[[#This Row],[Start Date]]+ProposalToGnatt[[#This Row],[Days]]),$G$5,"")),"")</f>
        <v/>
      </c>
      <c r="Z48" s="36" t="str">
        <f ca="1">IFERROR(+IF(Z$27=ProposalToGnatt[[#This Row],[Start Date]],Milestone_Marker,IF(AND(Z$27&gt;ProposalToGnatt[[#This Row],[Start Date]],Z$27&lt;ProposalToGnatt[[#This Row],[Start Date]]+ProposalToGnatt[[#This Row],[Days]]),$G$5,"")),"")</f>
        <v/>
      </c>
      <c r="AA48" s="36" t="str">
        <f ca="1">IFERROR(+IF(AA$27=ProposalToGnatt[[#This Row],[Start Date]],Milestone_Marker,IF(AND(AA$27&gt;ProposalToGnatt[[#This Row],[Start Date]],AA$27&lt;ProposalToGnatt[[#This Row],[Start Date]]+ProposalToGnatt[[#This Row],[Days]]),$G$5,"")),"")</f>
        <v/>
      </c>
      <c r="AB48" s="36" t="str">
        <f ca="1">IFERROR(+IF(AB$27=ProposalToGnatt[[#This Row],[Start Date]],Milestone_Marker,IF(AND(AB$27&gt;ProposalToGnatt[[#This Row],[Start Date]],AB$27&lt;ProposalToGnatt[[#This Row],[Start Date]]+ProposalToGnatt[[#This Row],[Days]]),$G$5,"")),"")</f>
        <v/>
      </c>
      <c r="AC48" s="36" t="str">
        <f ca="1">IFERROR(+IF(AC$27=ProposalToGnatt[[#This Row],[Start Date]],Milestone_Marker,IF(AND(AC$27&gt;ProposalToGnatt[[#This Row],[Start Date]],AC$27&lt;ProposalToGnatt[[#This Row],[Start Date]]+ProposalToGnatt[[#This Row],[Days]]),$G$5,"")),"")</f>
        <v/>
      </c>
      <c r="AD48" s="36" t="str">
        <f ca="1">IFERROR(+IF(AD$27=ProposalToGnatt[[#This Row],[Start Date]],Milestone_Marker,IF(AND(AD$27&gt;ProposalToGnatt[[#This Row],[Start Date]],AD$27&lt;ProposalToGnatt[[#This Row],[Start Date]]+ProposalToGnatt[[#This Row],[Days]]),$G$5,"")),"")</f>
        <v/>
      </c>
      <c r="AE48" s="36" t="str">
        <f ca="1">IFERROR(+IF(AE$27=ProposalToGnatt[[#This Row],[Start Date]],Milestone_Marker,IF(AND(AE$27&gt;ProposalToGnatt[[#This Row],[Start Date]],AE$27&lt;ProposalToGnatt[[#This Row],[Start Date]]+ProposalToGnatt[[#This Row],[Days]]),$G$5,"")),"")</f>
        <v/>
      </c>
      <c r="AF48" s="36" t="str">
        <f ca="1">IFERROR(+IF(AF$27=ProposalToGnatt[[#This Row],[Start Date]],Milestone_Marker,IF(AND(AF$27&gt;ProposalToGnatt[[#This Row],[Start Date]],AF$27&lt;ProposalToGnatt[[#This Row],[Start Date]]+ProposalToGnatt[[#This Row],[Days]]),$G$5,"")),"")</f>
        <v/>
      </c>
      <c r="AG48" s="36" t="str">
        <f ca="1">IFERROR(+IF(AG$27=ProposalToGnatt[[#This Row],[Start Date]],Milestone_Marker,IF(AND(AG$27&gt;ProposalToGnatt[[#This Row],[Start Date]],AG$27&lt;ProposalToGnatt[[#This Row],[Start Date]]+ProposalToGnatt[[#This Row],[Days]]),$G$5,"")),"")</f>
        <v/>
      </c>
      <c r="AH48" s="36" t="str">
        <f ca="1">IFERROR(+IF(AH$27=ProposalToGnatt[[#This Row],[Start Date]],Milestone_Marker,IF(AND(AH$27&gt;ProposalToGnatt[[#This Row],[Start Date]],AH$27&lt;ProposalToGnatt[[#This Row],[Start Date]]+ProposalToGnatt[[#This Row],[Days]]),$G$5,"")),"")</f>
        <v/>
      </c>
      <c r="AI48" s="36" t="str">
        <f ca="1">IFERROR(+IF(AI$27=ProposalToGnatt[[#This Row],[Start Date]],Milestone_Marker,IF(AND(AI$27&gt;ProposalToGnatt[[#This Row],[Start Date]],AI$27&lt;ProposalToGnatt[[#This Row],[Start Date]]+ProposalToGnatt[[#This Row],[Days]]),$G$5,"")),"")</f>
        <v/>
      </c>
      <c r="AJ48" s="36" t="str">
        <f ca="1">IFERROR(+IF(AJ$27=ProposalToGnatt[[#This Row],[Start Date]],Milestone_Marker,IF(AND(AJ$27&gt;ProposalToGnatt[[#This Row],[Start Date]],AJ$27&lt;ProposalToGnatt[[#This Row],[Start Date]]+ProposalToGnatt[[#This Row],[Days]]),$G$5,"")),"")</f>
        <v/>
      </c>
      <c r="AK48" s="36" t="str">
        <f ca="1">IFERROR(+IF(AK$27=ProposalToGnatt[[#This Row],[Start Date]],Milestone_Marker,IF(AND(AK$27&gt;ProposalToGnatt[[#This Row],[Start Date]],AK$27&lt;ProposalToGnatt[[#This Row],[Start Date]]+ProposalToGnatt[[#This Row],[Days]]),$G$5,"")),"")</f>
        <v/>
      </c>
      <c r="AL48" s="36" t="str">
        <f ca="1">IFERROR(+IF(AL$27=ProposalToGnatt[[#This Row],[Start Date]],Milestone_Marker,IF(AND(AL$27&gt;ProposalToGnatt[[#This Row],[Start Date]],AL$27&lt;ProposalToGnatt[[#This Row],[Start Date]]+ProposalToGnatt[[#This Row],[Days]]),$G$5,"")),"")</f>
        <v/>
      </c>
      <c r="AM48" s="36" t="str">
        <f ca="1">IFERROR(+IF(AM$27=ProposalToGnatt[[#This Row],[Start Date]],Milestone_Marker,IF(AND(AM$27&gt;ProposalToGnatt[[#This Row],[Start Date]],AM$27&lt;ProposalToGnatt[[#This Row],[Start Date]]+ProposalToGnatt[[#This Row],[Days]]),$G$5,"")),"")</f>
        <v/>
      </c>
      <c r="AN48" s="36" t="str">
        <f ca="1">IFERROR(+IF(AN$27=ProposalToGnatt[[#This Row],[Start Date]],Milestone_Marker,IF(AND(AN$27&gt;ProposalToGnatt[[#This Row],[Start Date]],AN$27&lt;ProposalToGnatt[[#This Row],[Start Date]]+ProposalToGnatt[[#This Row],[Days]]),$G$5,"")),"")</f>
        <v/>
      </c>
      <c r="AO48" s="36" t="str">
        <f ca="1">IFERROR(+IF(AO$27=ProposalToGnatt[[#This Row],[Start Date]],Milestone_Marker,IF(AND(AO$27&gt;ProposalToGnatt[[#This Row],[Start Date]],AO$27&lt;ProposalToGnatt[[#This Row],[Start Date]]+ProposalToGnatt[[#This Row],[Days]]),$G$5,"")),"")</f>
        <v/>
      </c>
      <c r="AP48" s="36" t="str">
        <f ca="1">IFERROR(+IF(AP$27=ProposalToGnatt[[#This Row],[Start Date]],Milestone_Marker,IF(AND(AP$27&gt;ProposalToGnatt[[#This Row],[Start Date]],AP$27&lt;ProposalToGnatt[[#This Row],[Start Date]]+ProposalToGnatt[[#This Row],[Days]]),$G$5,"")),"")</f>
        <v/>
      </c>
      <c r="AQ48" s="36" t="str">
        <f ca="1">IFERROR(+IF(AQ$27=ProposalToGnatt[[#This Row],[Start Date]],Milestone_Marker,IF(AND(AQ$27&gt;ProposalToGnatt[[#This Row],[Start Date]],AQ$27&lt;ProposalToGnatt[[#This Row],[Start Date]]+ProposalToGnatt[[#This Row],[Days]]),$G$5,"")),"")</f>
        <v/>
      </c>
      <c r="AR48" s="36" t="str">
        <f ca="1">IFERROR(+IF(AR$27=ProposalToGnatt[[#This Row],[Start Date]],Milestone_Marker,IF(AND(AR$27&gt;ProposalToGnatt[[#This Row],[Start Date]],AR$27&lt;ProposalToGnatt[[#This Row],[Start Date]]+ProposalToGnatt[[#This Row],[Days]]),$G$5,"")),"")</f>
        <v/>
      </c>
      <c r="AS48" s="36" t="str">
        <f ca="1">IFERROR(+IF(AS$27=ProposalToGnatt[[#This Row],[Start Date]],Milestone_Marker,IF(AND(AS$27&gt;ProposalToGnatt[[#This Row],[Start Date]],AS$27&lt;ProposalToGnatt[[#This Row],[Start Date]]+ProposalToGnatt[[#This Row],[Days]]),$G$5,"")),"")</f>
        <v/>
      </c>
      <c r="AT48" s="36" t="str">
        <f ca="1">IFERROR(+IF(AT$27=ProposalToGnatt[[#This Row],[Start Date]],Milestone_Marker,IF(AND(AT$27&gt;ProposalToGnatt[[#This Row],[Start Date]],AT$27&lt;ProposalToGnatt[[#This Row],[Start Date]]+ProposalToGnatt[[#This Row],[Days]]),$G$5,"")),"")</f>
        <v/>
      </c>
      <c r="AU48" s="36" t="str">
        <f ca="1">IFERROR(+IF(AU$27=ProposalToGnatt[[#This Row],[Start Date]],Milestone_Marker,IF(AND(AU$27&gt;ProposalToGnatt[[#This Row],[Start Date]],AU$27&lt;ProposalToGnatt[[#This Row],[Start Date]]+ProposalToGnatt[[#This Row],[Days]]),$G$5,"")),"")</f>
        <v/>
      </c>
      <c r="AV48" s="36" t="str">
        <f ca="1">IFERROR(+IF(AV$27=ProposalToGnatt[[#This Row],[Start Date]],Milestone_Marker,IF(AND(AV$27&gt;ProposalToGnatt[[#This Row],[Start Date]],AV$27&lt;ProposalToGnatt[[#This Row],[Start Date]]+ProposalToGnatt[[#This Row],[Days]]),$G$5,"")),"")</f>
        <v/>
      </c>
      <c r="AW48" s="36" t="str">
        <f ca="1">IFERROR(+IF(AW$27=ProposalToGnatt[[#This Row],[Start Date]],Milestone_Marker,IF(AND(AW$27&gt;ProposalToGnatt[[#This Row],[Start Date]],AW$27&lt;ProposalToGnatt[[#This Row],[Start Date]]+ProposalToGnatt[[#This Row],[Days]]),$G$5,"")),"")</f>
        <v/>
      </c>
      <c r="AX48" s="36" t="str">
        <f ca="1">IFERROR(+IF(AX$27=ProposalToGnatt[[#This Row],[Start Date]],Milestone_Marker,IF(AND(AX$27&gt;ProposalToGnatt[[#This Row],[Start Date]],AX$27&lt;ProposalToGnatt[[#This Row],[Start Date]]+ProposalToGnatt[[#This Row],[Days]]),$G$5,"")),"")</f>
        <v/>
      </c>
      <c r="AY48" s="36" t="str">
        <f ca="1">IFERROR(+IF(AY$27=ProposalToGnatt[[#This Row],[Start Date]],Milestone_Marker,IF(AND(AY$27&gt;ProposalToGnatt[[#This Row],[Start Date]],AY$27&lt;ProposalToGnatt[[#This Row],[Start Date]]+ProposalToGnatt[[#This Row],[Days]]),$G$5,"")),"")</f>
        <v/>
      </c>
      <c r="AZ48" s="36" t="str">
        <f ca="1">IFERROR(+IF(AZ$27=ProposalToGnatt[[#This Row],[Start Date]],Milestone_Marker,IF(AND(AZ$27&gt;ProposalToGnatt[[#This Row],[Start Date]],AZ$27&lt;ProposalToGnatt[[#This Row],[Start Date]]+ProposalToGnatt[[#This Row],[Days]]),$G$5,"")),"")</f>
        <v/>
      </c>
      <c r="BA48" s="36" t="str">
        <f ca="1">IFERROR(+IF(BA$27=ProposalToGnatt[[#This Row],[Start Date]],Milestone_Marker,IF(AND(BA$27&gt;ProposalToGnatt[[#This Row],[Start Date]],BA$27&lt;ProposalToGnatt[[#This Row],[Start Date]]+ProposalToGnatt[[#This Row],[Days]]),$G$5,"")),"")</f>
        <v/>
      </c>
      <c r="BB48" s="36" t="str">
        <f ca="1">IFERROR(+IF(BB$27=ProposalToGnatt[[#This Row],[Start Date]],Milestone_Marker,IF(AND(BB$27&gt;ProposalToGnatt[[#This Row],[Start Date]],BB$27&lt;ProposalToGnatt[[#This Row],[Start Date]]+ProposalToGnatt[[#This Row],[Days]]),$G$5,"")),"")</f>
        <v/>
      </c>
      <c r="BC48" s="36" t="str">
        <f ca="1">IFERROR(+IF(BC$27=ProposalToGnatt[[#This Row],[Start Date]],Milestone_Marker,IF(AND(BC$27&gt;ProposalToGnatt[[#This Row],[Start Date]],BC$27&lt;ProposalToGnatt[[#This Row],[Start Date]]+ProposalToGnatt[[#This Row],[Days]]),$G$5,"")),"")</f>
        <v/>
      </c>
      <c r="BD48" s="36" t="str">
        <f ca="1">IFERROR(+IF(BD$27=ProposalToGnatt[[#This Row],[Start Date]],Milestone_Marker,IF(AND(BD$27&gt;ProposalToGnatt[[#This Row],[Start Date]],BD$27&lt;ProposalToGnatt[[#This Row],[Start Date]]+ProposalToGnatt[[#This Row],[Days]]),$G$5,"")),"")</f>
        <v/>
      </c>
      <c r="BE48" s="36" t="str">
        <f ca="1">IFERROR(+IF(BE$27=ProposalToGnatt[[#This Row],[Start Date]],Milestone_Marker,IF(AND(BE$27&gt;ProposalToGnatt[[#This Row],[Start Date]],BE$27&lt;ProposalToGnatt[[#This Row],[Start Date]]+ProposalToGnatt[[#This Row],[Days]]),$G$5,"")),"")</f>
        <v/>
      </c>
      <c r="BF48" s="36" t="str">
        <f ca="1">IFERROR(+IF(BF$27=ProposalToGnatt[[#This Row],[Start Date]],Milestone_Marker,IF(AND(BF$27&gt;ProposalToGnatt[[#This Row],[Start Date]],BF$27&lt;ProposalToGnatt[[#This Row],[Start Date]]+ProposalToGnatt[[#This Row],[Days]]),$G$5,"")),"")</f>
        <v/>
      </c>
      <c r="BG48" s="36" t="str">
        <f ca="1">IFERROR(+IF(BG$27=ProposalToGnatt[[#This Row],[Start Date]],Milestone_Marker,IF(AND(BG$27&gt;ProposalToGnatt[[#This Row],[Start Date]],BG$27&lt;ProposalToGnatt[[#This Row],[Start Date]]+ProposalToGnatt[[#This Row],[Days]]),$G$5,"")),"")</f>
        <v/>
      </c>
      <c r="BH48" s="36" t="str">
        <f ca="1">IFERROR(+IF(BH$27=ProposalToGnatt[[#This Row],[Start Date]],Milestone_Marker,IF(AND(BH$27&gt;ProposalToGnatt[[#This Row],[Start Date]],BH$27&lt;ProposalToGnatt[[#This Row],[Start Date]]+ProposalToGnatt[[#This Row],[Days]]),$G$5,"")),"")</f>
        <v/>
      </c>
      <c r="BI48" s="36" t="str">
        <f ca="1">IFERROR(+IF(BI$27=ProposalToGnatt[[#This Row],[Start Date]],Milestone_Marker,IF(AND(BI$27&gt;ProposalToGnatt[[#This Row],[Start Date]],BI$27&lt;ProposalToGnatt[[#This Row],[Start Date]]+ProposalToGnatt[[#This Row],[Days]]),$G$5,"")),"")</f>
        <v/>
      </c>
      <c r="BJ48" s="36" t="str">
        <f ca="1">IFERROR(+IF(BJ$27=ProposalToGnatt[[#This Row],[Start Date]],Milestone_Marker,IF(AND(BJ$27&gt;ProposalToGnatt[[#This Row],[Start Date]],BJ$27&lt;ProposalToGnatt[[#This Row],[Start Date]]+ProposalToGnatt[[#This Row],[Days]]),$G$5,"")),"")</f>
        <v/>
      </c>
      <c r="BK48" s="36" t="str">
        <f ca="1">IFERROR(+IF(BK$27=ProposalToGnatt[[#This Row],[Start Date]],Milestone_Marker,IF(AND(BK$27&gt;ProposalToGnatt[[#This Row],[Start Date]],BK$27&lt;ProposalToGnatt[[#This Row],[Start Date]]+ProposalToGnatt[[#This Row],[Days]]),$G$5,"")),"")</f>
        <v/>
      </c>
      <c r="BL48" s="36" t="str">
        <f ca="1">IFERROR(+IF(BL$27=ProposalToGnatt[[#This Row],[Start Date]],Milestone_Marker,IF(AND(BL$27&gt;ProposalToGnatt[[#This Row],[Start Date]],BL$27&lt;ProposalToGnatt[[#This Row],[Start Date]]+ProposalToGnatt[[#This Row],[Days]]),$G$5,"")),"")</f>
        <v/>
      </c>
      <c r="BM48" s="36" t="str">
        <f ca="1">IFERROR(+IF(BM$27=ProposalToGnatt[[#This Row],[Start Date]],Milestone_Marker,IF(AND(BM$27&gt;ProposalToGnatt[[#This Row],[Start Date]],BM$27&lt;ProposalToGnatt[[#This Row],[Start Date]]+ProposalToGnatt[[#This Row],[Days]]),$G$5,"")),"")</f>
        <v/>
      </c>
      <c r="BN48" s="36" t="str">
        <f ca="1">IFERROR(+IF(BN$27=ProposalToGnatt[[#This Row],[Start Date]],Milestone_Marker,IF(AND(BN$27&gt;ProposalToGnatt[[#This Row],[Start Date]],BN$27&lt;ProposalToGnatt[[#This Row],[Start Date]]+ProposalToGnatt[[#This Row],[Days]]),$G$5,"")),"")</f>
        <v/>
      </c>
      <c r="BO48" s="36" t="str">
        <f ca="1">IFERROR(+IF(BO$27=ProposalToGnatt[[#This Row],[Start Date]],Milestone_Marker,IF(AND(BO$27&gt;ProposalToGnatt[[#This Row],[Start Date]],BO$27&lt;ProposalToGnatt[[#This Row],[Start Date]]+ProposalToGnatt[[#This Row],[Days]]),$G$5,"")),"")</f>
        <v/>
      </c>
      <c r="BP48" s="36" t="str">
        <f ca="1">IFERROR(+IF(BP$27=ProposalToGnatt[[#This Row],[Start Date]],Milestone_Marker,IF(AND(BP$27&gt;ProposalToGnatt[[#This Row],[Start Date]],BP$27&lt;ProposalToGnatt[[#This Row],[Start Date]]+ProposalToGnatt[[#This Row],[Days]]),$G$5,"")),"")</f>
        <v/>
      </c>
      <c r="BQ48" s="36" t="str">
        <f ca="1">IFERROR(+IF(BQ$27=ProposalToGnatt[[#This Row],[Start Date]],Milestone_Marker,IF(AND(BQ$27&gt;ProposalToGnatt[[#This Row],[Start Date]],BQ$27&lt;ProposalToGnatt[[#This Row],[Start Date]]+ProposalToGnatt[[#This Row],[Days]]),$G$5,"")),"")</f>
        <v/>
      </c>
      <c r="BR48" s="36" t="str">
        <f ca="1">IFERROR(+IF(BR$27=ProposalToGnatt[[#This Row],[Start Date]],Milestone_Marker,IF(AND(BR$27&gt;ProposalToGnatt[[#This Row],[Start Date]],BR$27&lt;ProposalToGnatt[[#This Row],[Start Date]]+ProposalToGnatt[[#This Row],[Days]]),$G$5,"")),"")</f>
        <v/>
      </c>
      <c r="BS48" s="36" t="str">
        <f ca="1">IFERROR(+IF(BS$27=ProposalToGnatt[[#This Row],[Start Date]],Milestone_Marker,IF(AND(BS$27&gt;ProposalToGnatt[[#This Row],[Start Date]],BS$27&lt;ProposalToGnatt[[#This Row],[Start Date]]+ProposalToGnatt[[#This Row],[Days]]),$G$5,"")),"")</f>
        <v/>
      </c>
      <c r="BT48" s="36" t="str">
        <f ca="1">IFERROR(+IF(BT$27=ProposalToGnatt[[#This Row],[Start Date]],Milestone_Marker,IF(AND(BT$27&gt;ProposalToGnatt[[#This Row],[Start Date]],BT$27&lt;ProposalToGnatt[[#This Row],[Start Date]]+ProposalToGnatt[[#This Row],[Days]]),$G$5,"")),"")</f>
        <v/>
      </c>
      <c r="BU48" s="36" t="str">
        <f ca="1">IFERROR(+IF(BU$27=ProposalToGnatt[[#This Row],[Start Date]],Milestone_Marker,IF(AND(BU$27&gt;ProposalToGnatt[[#This Row],[Start Date]],BU$27&lt;ProposalToGnatt[[#This Row],[Start Date]]+ProposalToGnatt[[#This Row],[Days]]),$G$5,"")),"")</f>
        <v/>
      </c>
      <c r="BV48" s="36" t="str">
        <f ca="1">IFERROR(+IF(BV$27=ProposalToGnatt[[#This Row],[Start Date]],Milestone_Marker,IF(AND(BV$27&gt;ProposalToGnatt[[#This Row],[Start Date]],BV$27&lt;ProposalToGnatt[[#This Row],[Start Date]]+ProposalToGnatt[[#This Row],[Days]]),$G$5,"")),"")</f>
        <v/>
      </c>
      <c r="BW48" s="36" t="str">
        <f ca="1">IFERROR(+IF(BW$27=ProposalToGnatt[[#This Row],[Start Date]],Milestone_Marker,IF(AND(BW$27&gt;ProposalToGnatt[[#This Row],[Start Date]],BW$27&lt;ProposalToGnatt[[#This Row],[Start Date]]+ProposalToGnatt[[#This Row],[Days]]),$G$5,"")),"")</f>
        <v/>
      </c>
      <c r="BX48" s="36" t="str">
        <f ca="1">IFERROR(+IF(BX$27=ProposalToGnatt[[#This Row],[Start Date]],Milestone_Marker,IF(AND(BX$27&gt;ProposalToGnatt[[#This Row],[Start Date]],BX$27&lt;ProposalToGnatt[[#This Row],[Start Date]]+ProposalToGnatt[[#This Row],[Days]]),$G$5,"")),"")</f>
        <v/>
      </c>
      <c r="BY48" s="36" t="str">
        <f ca="1">IFERROR(+IF(BY$27=ProposalToGnatt[[#This Row],[Start Date]],Milestone_Marker,IF(AND(BY$27&gt;ProposalToGnatt[[#This Row],[Start Date]],BY$27&lt;ProposalToGnatt[[#This Row],[Start Date]]+ProposalToGnatt[[#This Row],[Days]]),$G$5,"")),"")</f>
        <v/>
      </c>
      <c r="BZ48" s="36" t="str">
        <f ca="1">IFERROR(+IF(BZ$27=ProposalToGnatt[[#This Row],[Start Date]],Milestone_Marker,IF(AND(BZ$27&gt;ProposalToGnatt[[#This Row],[Start Date]],BZ$27&lt;ProposalToGnatt[[#This Row],[Start Date]]+ProposalToGnatt[[#This Row],[Days]]),$G$5,"")),"")</f>
        <v/>
      </c>
      <c r="CA48" s="36" t="str">
        <f ca="1">IFERROR(+IF(CA$27=ProposalToGnatt[[#This Row],[Start Date]],Milestone_Marker,IF(AND(CA$27&gt;ProposalToGnatt[[#This Row],[Start Date]],CA$27&lt;ProposalToGnatt[[#This Row],[Start Date]]+ProposalToGnatt[[#This Row],[Days]]),$G$5,"")),"")</f>
        <v/>
      </c>
      <c r="CB48" s="36" t="str">
        <f ca="1">IFERROR(+IF(CB$27=ProposalToGnatt[[#This Row],[Start Date]],Milestone_Marker,IF(AND(CB$27&gt;ProposalToGnatt[[#This Row],[Start Date]],CB$27&lt;ProposalToGnatt[[#This Row],[Start Date]]+ProposalToGnatt[[#This Row],[Days]]),$G$5,"")),"")</f>
        <v/>
      </c>
      <c r="CC48" s="36" t="str">
        <f ca="1">IFERROR(+IF(CC$27=ProposalToGnatt[[#This Row],[Start Date]],Milestone_Marker,IF(AND(CC$27&gt;ProposalToGnatt[[#This Row],[Start Date]],CC$27&lt;ProposalToGnatt[[#This Row],[Start Date]]+ProposalToGnatt[[#This Row],[Days]]),$G$5,"")),"")</f>
        <v/>
      </c>
      <c r="CD48" s="36" t="str">
        <f ca="1">IFERROR(+IF(CD$27=ProposalToGnatt[[#This Row],[Start Date]],Milestone_Marker,IF(AND(CD$27&gt;ProposalToGnatt[[#This Row],[Start Date]],CD$27&lt;ProposalToGnatt[[#This Row],[Start Date]]+ProposalToGnatt[[#This Row],[Days]]),$G$5,"")),"")</f>
        <v/>
      </c>
      <c r="CE48" s="36" t="str">
        <f ca="1">IFERROR(+IF(CE$27=ProposalToGnatt[[#This Row],[Start Date]],Milestone_Marker,IF(AND(CE$27&gt;ProposalToGnatt[[#This Row],[Start Date]],CE$27&lt;ProposalToGnatt[[#This Row],[Start Date]]+ProposalToGnatt[[#This Row],[Days]]),$G$5,"")),"")</f>
        <v/>
      </c>
      <c r="CF48" s="36" t="str">
        <f ca="1">IFERROR(+IF(CF$27=ProposalToGnatt[[#This Row],[Start Date]],Milestone_Marker,IF(AND(CF$27&gt;ProposalToGnatt[[#This Row],[Start Date]],CF$27&lt;ProposalToGnatt[[#This Row],[Start Date]]+ProposalToGnatt[[#This Row],[Days]]),$G$5,"")),"")</f>
        <v/>
      </c>
      <c r="CG48" s="36" t="str">
        <f ca="1">IFERROR(+IF(CG$27=ProposalToGnatt[[#This Row],[Start Date]],Milestone_Marker,IF(AND(CG$27&gt;ProposalToGnatt[[#This Row],[Start Date]],CG$27&lt;ProposalToGnatt[[#This Row],[Start Date]]+ProposalToGnatt[[#This Row],[Days]]),$G$5,"")),"")</f>
        <v/>
      </c>
      <c r="CH48" s="36" t="str">
        <f ca="1">IFERROR(+IF(CH$27=ProposalToGnatt[[#This Row],[Start Date]],Milestone_Marker,IF(AND(CH$27&gt;ProposalToGnatt[[#This Row],[Start Date]],CH$27&lt;ProposalToGnatt[[#This Row],[Start Date]]+ProposalToGnatt[[#This Row],[Days]]),$G$5,"")),"")</f>
        <v/>
      </c>
      <c r="CI48" s="36" t="str">
        <f ca="1">IFERROR(+IF(CI$27=ProposalToGnatt[[#This Row],[Start Date]],Milestone_Marker,IF(AND(CI$27&gt;ProposalToGnatt[[#This Row],[Start Date]],CI$27&lt;ProposalToGnatt[[#This Row],[Start Date]]+ProposalToGnatt[[#This Row],[Days]]),$G$5,"")),"")</f>
        <v/>
      </c>
      <c r="CJ48" s="36" t="str">
        <f ca="1">IFERROR(+IF(CJ$27=ProposalToGnatt[[#This Row],[Start Date]],Milestone_Marker,IF(AND(CJ$27&gt;ProposalToGnatt[[#This Row],[Start Date]],CJ$27&lt;ProposalToGnatt[[#This Row],[Start Date]]+ProposalToGnatt[[#This Row],[Days]]),$G$5,"")),"")</f>
        <v/>
      </c>
      <c r="CK48" s="36" t="str">
        <f ca="1">IFERROR(+IF(CK$27=ProposalToGnatt[[#This Row],[Start Date]],Milestone_Marker,IF(AND(CK$27&gt;ProposalToGnatt[[#This Row],[Start Date]],CK$27&lt;ProposalToGnatt[[#This Row],[Start Date]]+ProposalToGnatt[[#This Row],[Days]]),$G$5,"")),"")</f>
        <v/>
      </c>
      <c r="CL48" s="36" t="str">
        <f ca="1">IFERROR(+IF(CL$27=ProposalToGnatt[[#This Row],[Start Date]],Milestone_Marker,IF(AND(CL$27&gt;ProposalToGnatt[[#This Row],[Start Date]],CL$27&lt;ProposalToGnatt[[#This Row],[Start Date]]+ProposalToGnatt[[#This Row],[Days]]),$G$5,"")),"")</f>
        <v/>
      </c>
      <c r="CM48" s="36" t="str">
        <f ca="1">IFERROR(+IF(CM$27=ProposalToGnatt[[#This Row],[Start Date]],Milestone_Marker,IF(AND(CM$27&gt;ProposalToGnatt[[#This Row],[Start Date]],CM$27&lt;ProposalToGnatt[[#This Row],[Start Date]]+ProposalToGnatt[[#This Row],[Days]]),$G$5,"")),"")</f>
        <v/>
      </c>
      <c r="CN48" s="36" t="str">
        <f ca="1">IFERROR(+IF(CN$27=ProposalToGnatt[[#This Row],[Start Date]],Milestone_Marker,IF(AND(CN$27&gt;ProposalToGnatt[[#This Row],[Start Date]],CN$27&lt;ProposalToGnatt[[#This Row],[Start Date]]+ProposalToGnatt[[#This Row],[Days]]),$G$5,"")),"")</f>
        <v/>
      </c>
      <c r="CO48" s="36" t="str">
        <f ca="1">IFERROR(+IF(CO$27=ProposalToGnatt[[#This Row],[Start Date]],Milestone_Marker,IF(AND(CO$27&gt;ProposalToGnatt[[#This Row],[Start Date]],CO$27&lt;ProposalToGnatt[[#This Row],[Start Date]]+ProposalToGnatt[[#This Row],[Days]]),$G$5,"")),"")</f>
        <v/>
      </c>
      <c r="CP48" s="36" t="str">
        <f ca="1">IFERROR(+IF(CP$27=ProposalToGnatt[[#This Row],[Start Date]],Milestone_Marker,IF(AND(CP$27&gt;ProposalToGnatt[[#This Row],[Start Date]],CP$27&lt;ProposalToGnatt[[#This Row],[Start Date]]+ProposalToGnatt[[#This Row],[Days]]),$G$5,"")),"")</f>
        <v/>
      </c>
      <c r="CQ48" s="36" t="str">
        <f ca="1">IFERROR(+IF(CQ$27=ProposalToGnatt[[#This Row],[Start Date]],Milestone_Marker,IF(AND(CQ$27&gt;ProposalToGnatt[[#This Row],[Start Date]],CQ$27&lt;ProposalToGnatt[[#This Row],[Start Date]]+ProposalToGnatt[[#This Row],[Days]]),$G$5,"")),"")</f>
        <v/>
      </c>
      <c r="CR48" s="36" t="str">
        <f ca="1">IFERROR(+IF(CR$27=ProposalToGnatt[[#This Row],[Start Date]],Milestone_Marker,IF(AND(CR$27&gt;ProposalToGnatt[[#This Row],[Start Date]],CR$27&lt;ProposalToGnatt[[#This Row],[Start Date]]+ProposalToGnatt[[#This Row],[Days]]),$G$5,"")),"")</f>
        <v/>
      </c>
      <c r="CS48" s="36" t="str">
        <f ca="1">IFERROR(+IF(CS$27=ProposalToGnatt[[#This Row],[Start Date]],Milestone_Marker,IF(AND(CS$27&gt;ProposalToGnatt[[#This Row],[Start Date]],CS$27&lt;ProposalToGnatt[[#This Row],[Start Date]]+ProposalToGnatt[[#This Row],[Days]]),$G$5,"")),"")</f>
        <v/>
      </c>
      <c r="CT48" s="36" t="str">
        <f ca="1">IFERROR(+IF(CT$27=ProposalToGnatt[[#This Row],[Start Date]],Milestone_Marker,IF(AND(CT$27&gt;ProposalToGnatt[[#This Row],[Start Date]],CT$27&lt;ProposalToGnatt[[#This Row],[Start Date]]+ProposalToGnatt[[#This Row],[Days]]),$G$5,"")),"")</f>
        <v/>
      </c>
      <c r="CU48" s="36" t="str">
        <f ca="1">IFERROR(+IF(CU$27=ProposalToGnatt[[#This Row],[Start Date]],Milestone_Marker,IF(AND(CU$27&gt;ProposalToGnatt[[#This Row],[Start Date]],CU$27&lt;ProposalToGnatt[[#This Row],[Start Date]]+ProposalToGnatt[[#This Row],[Days]]),$G$5,"")),"")</f>
        <v/>
      </c>
      <c r="CV48" s="36"/>
      <c r="CW48" s="36"/>
      <c r="CX48" s="36"/>
      <c r="CY48" s="36"/>
      <c r="CZ48" s="36"/>
      <c r="DA48" s="36"/>
      <c r="DB48" s="36"/>
      <c r="DC48" s="36"/>
      <c r="DD48" s="36"/>
      <c r="DE48" s="36"/>
      <c r="DF48" s="36"/>
      <c r="DG48" s="36"/>
      <c r="DH48" s="36"/>
      <c r="DI48" s="36"/>
      <c r="DJ48" s="36"/>
      <c r="DK48" s="36"/>
      <c r="DL48" s="36"/>
      <c r="DM48" s="36"/>
      <c r="DN48" s="36"/>
      <c r="DO48" s="36"/>
      <c r="DP48" s="36"/>
      <c r="DQ48" s="36"/>
      <c r="DR48" s="36"/>
      <c r="DS48" s="36"/>
      <c r="DT48" s="36"/>
      <c r="DU48" s="36"/>
    </row>
    <row r="49" spans="1:125" s="41" customFormat="1" ht="15" x14ac:dyDescent="0.25">
      <c r="A49" t="s">
        <v>267</v>
      </c>
      <c r="B49">
        <v>31</v>
      </c>
      <c r="C49"/>
      <c r="D49" t="s">
        <v>912</v>
      </c>
      <c r="E49" s="568" t="s">
        <v>944</v>
      </c>
      <c r="F49">
        <v>4</v>
      </c>
      <c r="G49" s="14">
        <v>20</v>
      </c>
      <c r="H49" s="14">
        <v>80</v>
      </c>
      <c r="I49" t="s">
        <v>3</v>
      </c>
      <c r="J49">
        <v>1</v>
      </c>
      <c r="K49" s="249"/>
      <c r="L49"/>
      <c r="M49" s="14"/>
      <c r="N49" s="300">
        <v>80</v>
      </c>
      <c r="O49" s="554"/>
      <c r="P49" s="36" t="str">
        <f ca="1">IFERROR(+IF(P$27=ProposalToGnatt[[#This Row],[Start Date]],Milestone_Marker,IF(AND(P$27&gt;ProposalToGnatt[[#This Row],[Start Date]],P$27&lt;ProposalToGnatt[[#This Row],[Start Date]]+ProposalToGnatt[[#This Row],[Days]]),$G$5,"")),"")</f>
        <v/>
      </c>
      <c r="Q49" s="36" t="str">
        <f ca="1">IFERROR(+IF(Q$27=ProposalToGnatt[[#This Row],[Start Date]],Milestone_Marker,IF(AND(Q$27&gt;ProposalToGnatt[[#This Row],[Start Date]],Q$27&lt;ProposalToGnatt[[#This Row],[Start Date]]+ProposalToGnatt[[#This Row],[Days]]),$G$5,"")),"")</f>
        <v/>
      </c>
      <c r="R49" s="36" t="str">
        <f ca="1">IFERROR(+IF(R$27=ProposalToGnatt[[#This Row],[Start Date]],Milestone_Marker,IF(AND(R$27&gt;ProposalToGnatt[[#This Row],[Start Date]],R$27&lt;ProposalToGnatt[[#This Row],[Start Date]]+ProposalToGnatt[[#This Row],[Days]]),$G$5,"")),"")</f>
        <v/>
      </c>
      <c r="S49" s="36" t="str">
        <f ca="1">IFERROR(+IF(S$27=ProposalToGnatt[[#This Row],[Start Date]],Milestone_Marker,IF(AND(S$27&gt;ProposalToGnatt[[#This Row],[Start Date]],S$27&lt;ProposalToGnatt[[#This Row],[Start Date]]+ProposalToGnatt[[#This Row],[Days]]),$G$5,"")),"")</f>
        <v/>
      </c>
      <c r="T49" s="36" t="str">
        <f ca="1">IFERROR(+IF(T$27=ProposalToGnatt[[#This Row],[Start Date]],Milestone_Marker,IF(AND(T$27&gt;ProposalToGnatt[[#This Row],[Start Date]],T$27&lt;ProposalToGnatt[[#This Row],[Start Date]]+ProposalToGnatt[[#This Row],[Days]]),$G$5,"")),"")</f>
        <v/>
      </c>
      <c r="U49" s="36" t="str">
        <f ca="1">IFERROR(+IF(U$27=ProposalToGnatt[[#This Row],[Start Date]],Milestone_Marker,IF(AND(U$27&gt;ProposalToGnatt[[#This Row],[Start Date]],U$27&lt;ProposalToGnatt[[#This Row],[Start Date]]+ProposalToGnatt[[#This Row],[Days]]),$G$5,"")),"")</f>
        <v/>
      </c>
      <c r="V49" s="36" t="str">
        <f ca="1">IFERROR(+IF(V$27=ProposalToGnatt[[#This Row],[Start Date]],Milestone_Marker,IF(AND(V$27&gt;ProposalToGnatt[[#This Row],[Start Date]],V$27&lt;ProposalToGnatt[[#This Row],[Start Date]]+ProposalToGnatt[[#This Row],[Days]]),$G$5,"")),"")</f>
        <v/>
      </c>
      <c r="W49" s="36" t="str">
        <f ca="1">IFERROR(+IF(W$27=ProposalToGnatt[[#This Row],[Start Date]],Milestone_Marker,IF(AND(W$27&gt;ProposalToGnatt[[#This Row],[Start Date]],W$27&lt;ProposalToGnatt[[#This Row],[Start Date]]+ProposalToGnatt[[#This Row],[Days]]),$G$5,"")),"")</f>
        <v/>
      </c>
      <c r="X49" s="36" t="str">
        <f ca="1">IFERROR(+IF(X$27=ProposalToGnatt[[#This Row],[Start Date]],Milestone_Marker,IF(AND(X$27&gt;ProposalToGnatt[[#This Row],[Start Date]],X$27&lt;ProposalToGnatt[[#This Row],[Start Date]]+ProposalToGnatt[[#This Row],[Days]]),$G$5,"")),"")</f>
        <v/>
      </c>
      <c r="Y49" s="36" t="str">
        <f ca="1">IFERROR(+IF(Y$27=ProposalToGnatt[[#This Row],[Start Date]],Milestone_Marker,IF(AND(Y$27&gt;ProposalToGnatt[[#This Row],[Start Date]],Y$27&lt;ProposalToGnatt[[#This Row],[Start Date]]+ProposalToGnatt[[#This Row],[Days]]),$G$5,"")),"")</f>
        <v/>
      </c>
      <c r="Z49" s="36" t="str">
        <f ca="1">IFERROR(+IF(Z$27=ProposalToGnatt[[#This Row],[Start Date]],Milestone_Marker,IF(AND(Z$27&gt;ProposalToGnatt[[#This Row],[Start Date]],Z$27&lt;ProposalToGnatt[[#This Row],[Start Date]]+ProposalToGnatt[[#This Row],[Days]]),$G$5,"")),"")</f>
        <v/>
      </c>
      <c r="AA49" s="36" t="str">
        <f ca="1">IFERROR(+IF(AA$27=ProposalToGnatt[[#This Row],[Start Date]],Milestone_Marker,IF(AND(AA$27&gt;ProposalToGnatt[[#This Row],[Start Date]],AA$27&lt;ProposalToGnatt[[#This Row],[Start Date]]+ProposalToGnatt[[#This Row],[Days]]),$G$5,"")),"")</f>
        <v/>
      </c>
      <c r="AB49" s="36" t="str">
        <f ca="1">IFERROR(+IF(AB$27=ProposalToGnatt[[#This Row],[Start Date]],Milestone_Marker,IF(AND(AB$27&gt;ProposalToGnatt[[#This Row],[Start Date]],AB$27&lt;ProposalToGnatt[[#This Row],[Start Date]]+ProposalToGnatt[[#This Row],[Days]]),$G$5,"")),"")</f>
        <v/>
      </c>
      <c r="AC49" s="36" t="str">
        <f ca="1">IFERROR(+IF(AC$27=ProposalToGnatt[[#This Row],[Start Date]],Milestone_Marker,IF(AND(AC$27&gt;ProposalToGnatt[[#This Row],[Start Date]],AC$27&lt;ProposalToGnatt[[#This Row],[Start Date]]+ProposalToGnatt[[#This Row],[Days]]),$G$5,"")),"")</f>
        <v/>
      </c>
      <c r="AD49" s="36" t="str">
        <f ca="1">IFERROR(+IF(AD$27=ProposalToGnatt[[#This Row],[Start Date]],Milestone_Marker,IF(AND(AD$27&gt;ProposalToGnatt[[#This Row],[Start Date]],AD$27&lt;ProposalToGnatt[[#This Row],[Start Date]]+ProposalToGnatt[[#This Row],[Days]]),$G$5,"")),"")</f>
        <v/>
      </c>
      <c r="AE49" s="36" t="str">
        <f ca="1">IFERROR(+IF(AE$27=ProposalToGnatt[[#This Row],[Start Date]],Milestone_Marker,IF(AND(AE$27&gt;ProposalToGnatt[[#This Row],[Start Date]],AE$27&lt;ProposalToGnatt[[#This Row],[Start Date]]+ProposalToGnatt[[#This Row],[Days]]),$G$5,"")),"")</f>
        <v/>
      </c>
      <c r="AF49" s="36" t="str">
        <f ca="1">IFERROR(+IF(AF$27=ProposalToGnatt[[#This Row],[Start Date]],Milestone_Marker,IF(AND(AF$27&gt;ProposalToGnatt[[#This Row],[Start Date]],AF$27&lt;ProposalToGnatt[[#This Row],[Start Date]]+ProposalToGnatt[[#This Row],[Days]]),$G$5,"")),"")</f>
        <v/>
      </c>
      <c r="AG49" s="36" t="str">
        <f ca="1">IFERROR(+IF(AG$27=ProposalToGnatt[[#This Row],[Start Date]],Milestone_Marker,IF(AND(AG$27&gt;ProposalToGnatt[[#This Row],[Start Date]],AG$27&lt;ProposalToGnatt[[#This Row],[Start Date]]+ProposalToGnatt[[#This Row],[Days]]),$G$5,"")),"")</f>
        <v/>
      </c>
      <c r="AH49" s="36" t="str">
        <f ca="1">IFERROR(+IF(AH$27=ProposalToGnatt[[#This Row],[Start Date]],Milestone_Marker,IF(AND(AH$27&gt;ProposalToGnatt[[#This Row],[Start Date]],AH$27&lt;ProposalToGnatt[[#This Row],[Start Date]]+ProposalToGnatt[[#This Row],[Days]]),$G$5,"")),"")</f>
        <v/>
      </c>
      <c r="AI49" s="36" t="str">
        <f ca="1">IFERROR(+IF(AI$27=ProposalToGnatt[[#This Row],[Start Date]],Milestone_Marker,IF(AND(AI$27&gt;ProposalToGnatt[[#This Row],[Start Date]],AI$27&lt;ProposalToGnatt[[#This Row],[Start Date]]+ProposalToGnatt[[#This Row],[Days]]),$G$5,"")),"")</f>
        <v/>
      </c>
      <c r="AJ49" s="36" t="str">
        <f ca="1">IFERROR(+IF(AJ$27=ProposalToGnatt[[#This Row],[Start Date]],Milestone_Marker,IF(AND(AJ$27&gt;ProposalToGnatt[[#This Row],[Start Date]],AJ$27&lt;ProposalToGnatt[[#This Row],[Start Date]]+ProposalToGnatt[[#This Row],[Days]]),$G$5,"")),"")</f>
        <v/>
      </c>
      <c r="AK49" s="36" t="str">
        <f ca="1">IFERROR(+IF(AK$27=ProposalToGnatt[[#This Row],[Start Date]],Milestone_Marker,IF(AND(AK$27&gt;ProposalToGnatt[[#This Row],[Start Date]],AK$27&lt;ProposalToGnatt[[#This Row],[Start Date]]+ProposalToGnatt[[#This Row],[Days]]),$G$5,"")),"")</f>
        <v/>
      </c>
      <c r="AL49" s="36" t="str">
        <f ca="1">IFERROR(+IF(AL$27=ProposalToGnatt[[#This Row],[Start Date]],Milestone_Marker,IF(AND(AL$27&gt;ProposalToGnatt[[#This Row],[Start Date]],AL$27&lt;ProposalToGnatt[[#This Row],[Start Date]]+ProposalToGnatt[[#This Row],[Days]]),$G$5,"")),"")</f>
        <v/>
      </c>
      <c r="AM49" s="36" t="str">
        <f ca="1">IFERROR(+IF(AM$27=ProposalToGnatt[[#This Row],[Start Date]],Milestone_Marker,IF(AND(AM$27&gt;ProposalToGnatt[[#This Row],[Start Date]],AM$27&lt;ProposalToGnatt[[#This Row],[Start Date]]+ProposalToGnatt[[#This Row],[Days]]),$G$5,"")),"")</f>
        <v/>
      </c>
      <c r="AN49" s="36" t="str">
        <f ca="1">IFERROR(+IF(AN$27=ProposalToGnatt[[#This Row],[Start Date]],Milestone_Marker,IF(AND(AN$27&gt;ProposalToGnatt[[#This Row],[Start Date]],AN$27&lt;ProposalToGnatt[[#This Row],[Start Date]]+ProposalToGnatt[[#This Row],[Days]]),$G$5,"")),"")</f>
        <v/>
      </c>
      <c r="AO49" s="36" t="str">
        <f ca="1">IFERROR(+IF(AO$27=ProposalToGnatt[[#This Row],[Start Date]],Milestone_Marker,IF(AND(AO$27&gt;ProposalToGnatt[[#This Row],[Start Date]],AO$27&lt;ProposalToGnatt[[#This Row],[Start Date]]+ProposalToGnatt[[#This Row],[Days]]),$G$5,"")),"")</f>
        <v/>
      </c>
      <c r="AP49" s="36" t="str">
        <f ca="1">IFERROR(+IF(AP$27=ProposalToGnatt[[#This Row],[Start Date]],Milestone_Marker,IF(AND(AP$27&gt;ProposalToGnatt[[#This Row],[Start Date]],AP$27&lt;ProposalToGnatt[[#This Row],[Start Date]]+ProposalToGnatt[[#This Row],[Days]]),$G$5,"")),"")</f>
        <v/>
      </c>
      <c r="AQ49" s="36" t="str">
        <f ca="1">IFERROR(+IF(AQ$27=ProposalToGnatt[[#This Row],[Start Date]],Milestone_Marker,IF(AND(AQ$27&gt;ProposalToGnatt[[#This Row],[Start Date]],AQ$27&lt;ProposalToGnatt[[#This Row],[Start Date]]+ProposalToGnatt[[#This Row],[Days]]),$G$5,"")),"")</f>
        <v/>
      </c>
      <c r="AR49" s="36" t="str">
        <f ca="1">IFERROR(+IF(AR$27=ProposalToGnatt[[#This Row],[Start Date]],Milestone_Marker,IF(AND(AR$27&gt;ProposalToGnatt[[#This Row],[Start Date]],AR$27&lt;ProposalToGnatt[[#This Row],[Start Date]]+ProposalToGnatt[[#This Row],[Days]]),$G$5,"")),"")</f>
        <v/>
      </c>
      <c r="AS49" s="36" t="str">
        <f ca="1">IFERROR(+IF(AS$27=ProposalToGnatt[[#This Row],[Start Date]],Milestone_Marker,IF(AND(AS$27&gt;ProposalToGnatt[[#This Row],[Start Date]],AS$27&lt;ProposalToGnatt[[#This Row],[Start Date]]+ProposalToGnatt[[#This Row],[Days]]),$G$5,"")),"")</f>
        <v/>
      </c>
      <c r="AT49" s="36" t="str">
        <f ca="1">IFERROR(+IF(AT$27=ProposalToGnatt[[#This Row],[Start Date]],Milestone_Marker,IF(AND(AT$27&gt;ProposalToGnatt[[#This Row],[Start Date]],AT$27&lt;ProposalToGnatt[[#This Row],[Start Date]]+ProposalToGnatt[[#This Row],[Days]]),$G$5,"")),"")</f>
        <v/>
      </c>
      <c r="AU49" s="36" t="str">
        <f ca="1">IFERROR(+IF(AU$27=ProposalToGnatt[[#This Row],[Start Date]],Milestone_Marker,IF(AND(AU$27&gt;ProposalToGnatt[[#This Row],[Start Date]],AU$27&lt;ProposalToGnatt[[#This Row],[Start Date]]+ProposalToGnatt[[#This Row],[Days]]),$G$5,"")),"")</f>
        <v/>
      </c>
      <c r="AV49" s="36" t="str">
        <f ca="1">IFERROR(+IF(AV$27=ProposalToGnatt[[#This Row],[Start Date]],Milestone_Marker,IF(AND(AV$27&gt;ProposalToGnatt[[#This Row],[Start Date]],AV$27&lt;ProposalToGnatt[[#This Row],[Start Date]]+ProposalToGnatt[[#This Row],[Days]]),$G$5,"")),"")</f>
        <v/>
      </c>
      <c r="AW49" s="36" t="str">
        <f ca="1">IFERROR(+IF(AW$27=ProposalToGnatt[[#This Row],[Start Date]],Milestone_Marker,IF(AND(AW$27&gt;ProposalToGnatt[[#This Row],[Start Date]],AW$27&lt;ProposalToGnatt[[#This Row],[Start Date]]+ProposalToGnatt[[#This Row],[Days]]),$G$5,"")),"")</f>
        <v/>
      </c>
      <c r="AX49" s="36" t="str">
        <f ca="1">IFERROR(+IF(AX$27=ProposalToGnatt[[#This Row],[Start Date]],Milestone_Marker,IF(AND(AX$27&gt;ProposalToGnatt[[#This Row],[Start Date]],AX$27&lt;ProposalToGnatt[[#This Row],[Start Date]]+ProposalToGnatt[[#This Row],[Days]]),$G$5,"")),"")</f>
        <v/>
      </c>
      <c r="AY49" s="36" t="str">
        <f ca="1">IFERROR(+IF(AY$27=ProposalToGnatt[[#This Row],[Start Date]],Milestone_Marker,IF(AND(AY$27&gt;ProposalToGnatt[[#This Row],[Start Date]],AY$27&lt;ProposalToGnatt[[#This Row],[Start Date]]+ProposalToGnatt[[#This Row],[Days]]),$G$5,"")),"")</f>
        <v/>
      </c>
      <c r="AZ49" s="36" t="str">
        <f ca="1">IFERROR(+IF(AZ$27=ProposalToGnatt[[#This Row],[Start Date]],Milestone_Marker,IF(AND(AZ$27&gt;ProposalToGnatt[[#This Row],[Start Date]],AZ$27&lt;ProposalToGnatt[[#This Row],[Start Date]]+ProposalToGnatt[[#This Row],[Days]]),$G$5,"")),"")</f>
        <v/>
      </c>
      <c r="BA49" s="36" t="str">
        <f ca="1">IFERROR(+IF(BA$27=ProposalToGnatt[[#This Row],[Start Date]],Milestone_Marker,IF(AND(BA$27&gt;ProposalToGnatt[[#This Row],[Start Date]],BA$27&lt;ProposalToGnatt[[#This Row],[Start Date]]+ProposalToGnatt[[#This Row],[Days]]),$G$5,"")),"")</f>
        <v/>
      </c>
      <c r="BB49" s="36" t="str">
        <f ca="1">IFERROR(+IF(BB$27=ProposalToGnatt[[#This Row],[Start Date]],Milestone_Marker,IF(AND(BB$27&gt;ProposalToGnatt[[#This Row],[Start Date]],BB$27&lt;ProposalToGnatt[[#This Row],[Start Date]]+ProposalToGnatt[[#This Row],[Days]]),$G$5,"")),"")</f>
        <v/>
      </c>
      <c r="BC49" s="36" t="str">
        <f ca="1">IFERROR(+IF(BC$27=ProposalToGnatt[[#This Row],[Start Date]],Milestone_Marker,IF(AND(BC$27&gt;ProposalToGnatt[[#This Row],[Start Date]],BC$27&lt;ProposalToGnatt[[#This Row],[Start Date]]+ProposalToGnatt[[#This Row],[Days]]),$G$5,"")),"")</f>
        <v/>
      </c>
      <c r="BD49" s="36" t="str">
        <f ca="1">IFERROR(+IF(BD$27=ProposalToGnatt[[#This Row],[Start Date]],Milestone_Marker,IF(AND(BD$27&gt;ProposalToGnatt[[#This Row],[Start Date]],BD$27&lt;ProposalToGnatt[[#This Row],[Start Date]]+ProposalToGnatt[[#This Row],[Days]]),$G$5,"")),"")</f>
        <v/>
      </c>
      <c r="BE49" s="36" t="str">
        <f ca="1">IFERROR(+IF(BE$27=ProposalToGnatt[[#This Row],[Start Date]],Milestone_Marker,IF(AND(BE$27&gt;ProposalToGnatt[[#This Row],[Start Date]],BE$27&lt;ProposalToGnatt[[#This Row],[Start Date]]+ProposalToGnatt[[#This Row],[Days]]),$G$5,"")),"")</f>
        <v/>
      </c>
      <c r="BF49" s="36" t="str">
        <f ca="1">IFERROR(+IF(BF$27=ProposalToGnatt[[#This Row],[Start Date]],Milestone_Marker,IF(AND(BF$27&gt;ProposalToGnatt[[#This Row],[Start Date]],BF$27&lt;ProposalToGnatt[[#This Row],[Start Date]]+ProposalToGnatt[[#This Row],[Days]]),$G$5,"")),"")</f>
        <v/>
      </c>
      <c r="BG49" s="36" t="str">
        <f ca="1">IFERROR(+IF(BG$27=ProposalToGnatt[[#This Row],[Start Date]],Milestone_Marker,IF(AND(BG$27&gt;ProposalToGnatt[[#This Row],[Start Date]],BG$27&lt;ProposalToGnatt[[#This Row],[Start Date]]+ProposalToGnatt[[#This Row],[Days]]),$G$5,"")),"")</f>
        <v/>
      </c>
      <c r="BH49" s="36" t="str">
        <f ca="1">IFERROR(+IF(BH$27=ProposalToGnatt[[#This Row],[Start Date]],Milestone_Marker,IF(AND(BH$27&gt;ProposalToGnatt[[#This Row],[Start Date]],BH$27&lt;ProposalToGnatt[[#This Row],[Start Date]]+ProposalToGnatt[[#This Row],[Days]]),$G$5,"")),"")</f>
        <v/>
      </c>
      <c r="BI49" s="36" t="str">
        <f ca="1">IFERROR(+IF(BI$27=ProposalToGnatt[[#This Row],[Start Date]],Milestone_Marker,IF(AND(BI$27&gt;ProposalToGnatt[[#This Row],[Start Date]],BI$27&lt;ProposalToGnatt[[#This Row],[Start Date]]+ProposalToGnatt[[#This Row],[Days]]),$G$5,"")),"")</f>
        <v/>
      </c>
      <c r="BJ49" s="36" t="str">
        <f ca="1">IFERROR(+IF(BJ$27=ProposalToGnatt[[#This Row],[Start Date]],Milestone_Marker,IF(AND(BJ$27&gt;ProposalToGnatt[[#This Row],[Start Date]],BJ$27&lt;ProposalToGnatt[[#This Row],[Start Date]]+ProposalToGnatt[[#This Row],[Days]]),$G$5,"")),"")</f>
        <v/>
      </c>
      <c r="BK49" s="36" t="str">
        <f ca="1">IFERROR(+IF(BK$27=ProposalToGnatt[[#This Row],[Start Date]],Milestone_Marker,IF(AND(BK$27&gt;ProposalToGnatt[[#This Row],[Start Date]],BK$27&lt;ProposalToGnatt[[#This Row],[Start Date]]+ProposalToGnatt[[#This Row],[Days]]),$G$5,"")),"")</f>
        <v/>
      </c>
      <c r="BL49" s="36" t="str">
        <f ca="1">IFERROR(+IF(BL$27=ProposalToGnatt[[#This Row],[Start Date]],Milestone_Marker,IF(AND(BL$27&gt;ProposalToGnatt[[#This Row],[Start Date]],BL$27&lt;ProposalToGnatt[[#This Row],[Start Date]]+ProposalToGnatt[[#This Row],[Days]]),$G$5,"")),"")</f>
        <v/>
      </c>
      <c r="BM49" s="36" t="str">
        <f ca="1">IFERROR(+IF(BM$27=ProposalToGnatt[[#This Row],[Start Date]],Milestone_Marker,IF(AND(BM$27&gt;ProposalToGnatt[[#This Row],[Start Date]],BM$27&lt;ProposalToGnatt[[#This Row],[Start Date]]+ProposalToGnatt[[#This Row],[Days]]),$G$5,"")),"")</f>
        <v/>
      </c>
      <c r="BN49" s="36" t="str">
        <f ca="1">IFERROR(+IF(BN$27=ProposalToGnatt[[#This Row],[Start Date]],Milestone_Marker,IF(AND(BN$27&gt;ProposalToGnatt[[#This Row],[Start Date]],BN$27&lt;ProposalToGnatt[[#This Row],[Start Date]]+ProposalToGnatt[[#This Row],[Days]]),$G$5,"")),"")</f>
        <v/>
      </c>
      <c r="BO49" s="36" t="str">
        <f ca="1">IFERROR(+IF(BO$27=ProposalToGnatt[[#This Row],[Start Date]],Milestone_Marker,IF(AND(BO$27&gt;ProposalToGnatt[[#This Row],[Start Date]],BO$27&lt;ProposalToGnatt[[#This Row],[Start Date]]+ProposalToGnatt[[#This Row],[Days]]),$G$5,"")),"")</f>
        <v/>
      </c>
      <c r="BP49" s="36" t="str">
        <f ca="1">IFERROR(+IF(BP$27=ProposalToGnatt[[#This Row],[Start Date]],Milestone_Marker,IF(AND(BP$27&gt;ProposalToGnatt[[#This Row],[Start Date]],BP$27&lt;ProposalToGnatt[[#This Row],[Start Date]]+ProposalToGnatt[[#This Row],[Days]]),$G$5,"")),"")</f>
        <v/>
      </c>
      <c r="BQ49" s="36" t="str">
        <f ca="1">IFERROR(+IF(BQ$27=ProposalToGnatt[[#This Row],[Start Date]],Milestone_Marker,IF(AND(BQ$27&gt;ProposalToGnatt[[#This Row],[Start Date]],BQ$27&lt;ProposalToGnatt[[#This Row],[Start Date]]+ProposalToGnatt[[#This Row],[Days]]),$G$5,"")),"")</f>
        <v/>
      </c>
      <c r="BR49" s="36" t="str">
        <f ca="1">IFERROR(+IF(BR$27=ProposalToGnatt[[#This Row],[Start Date]],Milestone_Marker,IF(AND(BR$27&gt;ProposalToGnatt[[#This Row],[Start Date]],BR$27&lt;ProposalToGnatt[[#This Row],[Start Date]]+ProposalToGnatt[[#This Row],[Days]]),$G$5,"")),"")</f>
        <v/>
      </c>
      <c r="BS49" s="36" t="str">
        <f ca="1">IFERROR(+IF(BS$27=ProposalToGnatt[[#This Row],[Start Date]],Milestone_Marker,IF(AND(BS$27&gt;ProposalToGnatt[[#This Row],[Start Date]],BS$27&lt;ProposalToGnatt[[#This Row],[Start Date]]+ProposalToGnatt[[#This Row],[Days]]),$G$5,"")),"")</f>
        <v/>
      </c>
      <c r="BT49" s="36" t="str">
        <f ca="1">IFERROR(+IF(BT$27=ProposalToGnatt[[#This Row],[Start Date]],Milestone_Marker,IF(AND(BT$27&gt;ProposalToGnatt[[#This Row],[Start Date]],BT$27&lt;ProposalToGnatt[[#This Row],[Start Date]]+ProposalToGnatt[[#This Row],[Days]]),$G$5,"")),"")</f>
        <v/>
      </c>
      <c r="BU49" s="36" t="str">
        <f ca="1">IFERROR(+IF(BU$27=ProposalToGnatt[[#This Row],[Start Date]],Milestone_Marker,IF(AND(BU$27&gt;ProposalToGnatt[[#This Row],[Start Date]],BU$27&lt;ProposalToGnatt[[#This Row],[Start Date]]+ProposalToGnatt[[#This Row],[Days]]),$G$5,"")),"")</f>
        <v/>
      </c>
      <c r="BV49" s="36" t="str">
        <f ca="1">IFERROR(+IF(BV$27=ProposalToGnatt[[#This Row],[Start Date]],Milestone_Marker,IF(AND(BV$27&gt;ProposalToGnatt[[#This Row],[Start Date]],BV$27&lt;ProposalToGnatt[[#This Row],[Start Date]]+ProposalToGnatt[[#This Row],[Days]]),$G$5,"")),"")</f>
        <v/>
      </c>
      <c r="BW49" s="36" t="str">
        <f ca="1">IFERROR(+IF(BW$27=ProposalToGnatt[[#This Row],[Start Date]],Milestone_Marker,IF(AND(BW$27&gt;ProposalToGnatt[[#This Row],[Start Date]],BW$27&lt;ProposalToGnatt[[#This Row],[Start Date]]+ProposalToGnatt[[#This Row],[Days]]),$G$5,"")),"")</f>
        <v/>
      </c>
      <c r="BX49" s="36" t="str">
        <f ca="1">IFERROR(+IF(BX$27=ProposalToGnatt[[#This Row],[Start Date]],Milestone_Marker,IF(AND(BX$27&gt;ProposalToGnatt[[#This Row],[Start Date]],BX$27&lt;ProposalToGnatt[[#This Row],[Start Date]]+ProposalToGnatt[[#This Row],[Days]]),$G$5,"")),"")</f>
        <v/>
      </c>
      <c r="BY49" s="36" t="str">
        <f ca="1">IFERROR(+IF(BY$27=ProposalToGnatt[[#This Row],[Start Date]],Milestone_Marker,IF(AND(BY$27&gt;ProposalToGnatt[[#This Row],[Start Date]],BY$27&lt;ProposalToGnatt[[#This Row],[Start Date]]+ProposalToGnatt[[#This Row],[Days]]),$G$5,"")),"")</f>
        <v/>
      </c>
      <c r="BZ49" s="36" t="str">
        <f ca="1">IFERROR(+IF(BZ$27=ProposalToGnatt[[#This Row],[Start Date]],Milestone_Marker,IF(AND(BZ$27&gt;ProposalToGnatt[[#This Row],[Start Date]],BZ$27&lt;ProposalToGnatt[[#This Row],[Start Date]]+ProposalToGnatt[[#This Row],[Days]]),$G$5,"")),"")</f>
        <v/>
      </c>
      <c r="CA49" s="36" t="str">
        <f ca="1">IFERROR(+IF(CA$27=ProposalToGnatt[[#This Row],[Start Date]],Milestone_Marker,IF(AND(CA$27&gt;ProposalToGnatt[[#This Row],[Start Date]],CA$27&lt;ProposalToGnatt[[#This Row],[Start Date]]+ProposalToGnatt[[#This Row],[Days]]),$G$5,"")),"")</f>
        <v/>
      </c>
      <c r="CB49" s="36" t="str">
        <f ca="1">IFERROR(+IF(CB$27=ProposalToGnatt[[#This Row],[Start Date]],Milestone_Marker,IF(AND(CB$27&gt;ProposalToGnatt[[#This Row],[Start Date]],CB$27&lt;ProposalToGnatt[[#This Row],[Start Date]]+ProposalToGnatt[[#This Row],[Days]]),$G$5,"")),"")</f>
        <v/>
      </c>
      <c r="CC49" s="36" t="str">
        <f ca="1">IFERROR(+IF(CC$27=ProposalToGnatt[[#This Row],[Start Date]],Milestone_Marker,IF(AND(CC$27&gt;ProposalToGnatt[[#This Row],[Start Date]],CC$27&lt;ProposalToGnatt[[#This Row],[Start Date]]+ProposalToGnatt[[#This Row],[Days]]),$G$5,"")),"")</f>
        <v/>
      </c>
      <c r="CD49" s="36" t="str">
        <f ca="1">IFERROR(+IF(CD$27=ProposalToGnatt[[#This Row],[Start Date]],Milestone_Marker,IF(AND(CD$27&gt;ProposalToGnatt[[#This Row],[Start Date]],CD$27&lt;ProposalToGnatt[[#This Row],[Start Date]]+ProposalToGnatt[[#This Row],[Days]]),$G$5,"")),"")</f>
        <v/>
      </c>
      <c r="CE49" s="36" t="str">
        <f ca="1">IFERROR(+IF(CE$27=ProposalToGnatt[[#This Row],[Start Date]],Milestone_Marker,IF(AND(CE$27&gt;ProposalToGnatt[[#This Row],[Start Date]],CE$27&lt;ProposalToGnatt[[#This Row],[Start Date]]+ProposalToGnatt[[#This Row],[Days]]),$G$5,"")),"")</f>
        <v/>
      </c>
      <c r="CF49" s="36" t="str">
        <f ca="1">IFERROR(+IF(CF$27=ProposalToGnatt[[#This Row],[Start Date]],Milestone_Marker,IF(AND(CF$27&gt;ProposalToGnatt[[#This Row],[Start Date]],CF$27&lt;ProposalToGnatt[[#This Row],[Start Date]]+ProposalToGnatt[[#This Row],[Days]]),$G$5,"")),"")</f>
        <v/>
      </c>
      <c r="CG49" s="36" t="str">
        <f ca="1">IFERROR(+IF(CG$27=ProposalToGnatt[[#This Row],[Start Date]],Milestone_Marker,IF(AND(CG$27&gt;ProposalToGnatt[[#This Row],[Start Date]],CG$27&lt;ProposalToGnatt[[#This Row],[Start Date]]+ProposalToGnatt[[#This Row],[Days]]),$G$5,"")),"")</f>
        <v/>
      </c>
      <c r="CH49" s="36" t="str">
        <f ca="1">IFERROR(+IF(CH$27=ProposalToGnatt[[#This Row],[Start Date]],Milestone_Marker,IF(AND(CH$27&gt;ProposalToGnatt[[#This Row],[Start Date]],CH$27&lt;ProposalToGnatt[[#This Row],[Start Date]]+ProposalToGnatt[[#This Row],[Days]]),$G$5,"")),"")</f>
        <v/>
      </c>
      <c r="CI49" s="36" t="str">
        <f ca="1">IFERROR(+IF(CI$27=ProposalToGnatt[[#This Row],[Start Date]],Milestone_Marker,IF(AND(CI$27&gt;ProposalToGnatt[[#This Row],[Start Date]],CI$27&lt;ProposalToGnatt[[#This Row],[Start Date]]+ProposalToGnatt[[#This Row],[Days]]),$G$5,"")),"")</f>
        <v/>
      </c>
      <c r="CJ49" s="36" t="str">
        <f ca="1">IFERROR(+IF(CJ$27=ProposalToGnatt[[#This Row],[Start Date]],Milestone_Marker,IF(AND(CJ$27&gt;ProposalToGnatt[[#This Row],[Start Date]],CJ$27&lt;ProposalToGnatt[[#This Row],[Start Date]]+ProposalToGnatt[[#This Row],[Days]]),$G$5,"")),"")</f>
        <v/>
      </c>
      <c r="CK49" s="36" t="str">
        <f ca="1">IFERROR(+IF(CK$27=ProposalToGnatt[[#This Row],[Start Date]],Milestone_Marker,IF(AND(CK$27&gt;ProposalToGnatt[[#This Row],[Start Date]],CK$27&lt;ProposalToGnatt[[#This Row],[Start Date]]+ProposalToGnatt[[#This Row],[Days]]),$G$5,"")),"")</f>
        <v/>
      </c>
      <c r="CL49" s="36" t="str">
        <f ca="1">IFERROR(+IF(CL$27=ProposalToGnatt[[#This Row],[Start Date]],Milestone_Marker,IF(AND(CL$27&gt;ProposalToGnatt[[#This Row],[Start Date]],CL$27&lt;ProposalToGnatt[[#This Row],[Start Date]]+ProposalToGnatt[[#This Row],[Days]]),$G$5,"")),"")</f>
        <v/>
      </c>
      <c r="CM49" s="36" t="str">
        <f ca="1">IFERROR(+IF(CM$27=ProposalToGnatt[[#This Row],[Start Date]],Milestone_Marker,IF(AND(CM$27&gt;ProposalToGnatt[[#This Row],[Start Date]],CM$27&lt;ProposalToGnatt[[#This Row],[Start Date]]+ProposalToGnatt[[#This Row],[Days]]),$G$5,"")),"")</f>
        <v/>
      </c>
      <c r="CN49" s="36" t="str">
        <f ca="1">IFERROR(+IF(CN$27=ProposalToGnatt[[#This Row],[Start Date]],Milestone_Marker,IF(AND(CN$27&gt;ProposalToGnatt[[#This Row],[Start Date]],CN$27&lt;ProposalToGnatt[[#This Row],[Start Date]]+ProposalToGnatt[[#This Row],[Days]]),$G$5,"")),"")</f>
        <v/>
      </c>
      <c r="CO49" s="36" t="str">
        <f ca="1">IFERROR(+IF(CO$27=ProposalToGnatt[[#This Row],[Start Date]],Milestone_Marker,IF(AND(CO$27&gt;ProposalToGnatt[[#This Row],[Start Date]],CO$27&lt;ProposalToGnatt[[#This Row],[Start Date]]+ProposalToGnatt[[#This Row],[Days]]),$G$5,"")),"")</f>
        <v/>
      </c>
      <c r="CP49" s="36" t="str">
        <f ca="1">IFERROR(+IF(CP$27=ProposalToGnatt[[#This Row],[Start Date]],Milestone_Marker,IF(AND(CP$27&gt;ProposalToGnatt[[#This Row],[Start Date]],CP$27&lt;ProposalToGnatt[[#This Row],[Start Date]]+ProposalToGnatt[[#This Row],[Days]]),$G$5,"")),"")</f>
        <v/>
      </c>
      <c r="CQ49" s="36" t="str">
        <f ca="1">IFERROR(+IF(CQ$27=ProposalToGnatt[[#This Row],[Start Date]],Milestone_Marker,IF(AND(CQ$27&gt;ProposalToGnatt[[#This Row],[Start Date]],CQ$27&lt;ProposalToGnatt[[#This Row],[Start Date]]+ProposalToGnatt[[#This Row],[Days]]),$G$5,"")),"")</f>
        <v/>
      </c>
      <c r="CR49" s="36" t="str">
        <f ca="1">IFERROR(+IF(CR$27=ProposalToGnatt[[#This Row],[Start Date]],Milestone_Marker,IF(AND(CR$27&gt;ProposalToGnatt[[#This Row],[Start Date]],CR$27&lt;ProposalToGnatt[[#This Row],[Start Date]]+ProposalToGnatt[[#This Row],[Days]]),$G$5,"")),"")</f>
        <v/>
      </c>
      <c r="CS49" s="36" t="str">
        <f ca="1">IFERROR(+IF(CS$27=ProposalToGnatt[[#This Row],[Start Date]],Milestone_Marker,IF(AND(CS$27&gt;ProposalToGnatt[[#This Row],[Start Date]],CS$27&lt;ProposalToGnatt[[#This Row],[Start Date]]+ProposalToGnatt[[#This Row],[Days]]),$G$5,"")),"")</f>
        <v/>
      </c>
      <c r="CT49" s="36" t="str">
        <f ca="1">IFERROR(+IF(CT$27=ProposalToGnatt[[#This Row],[Start Date]],Milestone_Marker,IF(AND(CT$27&gt;ProposalToGnatt[[#This Row],[Start Date]],CT$27&lt;ProposalToGnatt[[#This Row],[Start Date]]+ProposalToGnatt[[#This Row],[Days]]),$G$5,"")),"")</f>
        <v/>
      </c>
      <c r="CU49" s="36" t="str">
        <f ca="1">IFERROR(+IF(CU$27=ProposalToGnatt[[#This Row],[Start Date]],Milestone_Marker,IF(AND(CU$27&gt;ProposalToGnatt[[#This Row],[Start Date]],CU$27&lt;ProposalToGnatt[[#This Row],[Start Date]]+ProposalToGnatt[[#This Row],[Days]]),$G$5,"")),"")</f>
        <v/>
      </c>
      <c r="CV49" s="36"/>
      <c r="CW49" s="36"/>
      <c r="CX49" s="36"/>
      <c r="CY49" s="36"/>
      <c r="CZ49" s="36"/>
      <c r="DA49" s="36"/>
      <c r="DB49" s="36"/>
      <c r="DC49" s="36"/>
      <c r="DD49" s="36"/>
      <c r="DE49" s="36"/>
      <c r="DF49" s="36"/>
      <c r="DG49" s="36"/>
      <c r="DH49" s="36"/>
      <c r="DI49" s="36"/>
      <c r="DJ49" s="36"/>
      <c r="DK49" s="36"/>
      <c r="DL49" s="36"/>
      <c r="DM49" s="36"/>
      <c r="DN49" s="36"/>
      <c r="DO49" s="36"/>
      <c r="DP49" s="36"/>
      <c r="DQ49" s="36"/>
      <c r="DR49" s="36"/>
      <c r="DS49" s="36"/>
      <c r="DT49" s="36"/>
      <c r="DU49" s="36"/>
    </row>
    <row r="50" spans="1:125" s="41" customFormat="1" ht="30" customHeight="1" x14ac:dyDescent="0.25">
      <c r="A50" t="s">
        <v>267</v>
      </c>
      <c r="B50">
        <v>32</v>
      </c>
      <c r="C50"/>
      <c r="D50" t="s">
        <v>913</v>
      </c>
      <c r="E50" s="568" t="s">
        <v>914</v>
      </c>
      <c r="F50"/>
      <c r="G50" s="14">
        <v>1</v>
      </c>
      <c r="H50" s="14"/>
      <c r="I50" t="s">
        <v>3</v>
      </c>
      <c r="J50">
        <v>1</v>
      </c>
      <c r="K50" s="249"/>
      <c r="L50"/>
      <c r="M50" s="14"/>
      <c r="N50" s="300"/>
      <c r="O50" s="554"/>
      <c r="P50" s="36" t="str">
        <f ca="1">IFERROR(+IF(P$27=ProposalToGnatt[[#This Row],[Start Date]],Milestone_Marker,IF(AND(P$27&gt;ProposalToGnatt[[#This Row],[Start Date]],P$27&lt;ProposalToGnatt[[#This Row],[Start Date]]+ProposalToGnatt[[#This Row],[Days]]),$G$5,"")),"")</f>
        <v/>
      </c>
      <c r="Q50" s="36" t="str">
        <f ca="1">IFERROR(+IF(Q$27=ProposalToGnatt[[#This Row],[Start Date]],Milestone_Marker,IF(AND(Q$27&gt;ProposalToGnatt[[#This Row],[Start Date]],Q$27&lt;ProposalToGnatt[[#This Row],[Start Date]]+ProposalToGnatt[[#This Row],[Days]]),$G$5,"")),"")</f>
        <v/>
      </c>
      <c r="R50" s="36" t="str">
        <f ca="1">IFERROR(+IF(R$27=ProposalToGnatt[[#This Row],[Start Date]],Milestone_Marker,IF(AND(R$27&gt;ProposalToGnatt[[#This Row],[Start Date]],R$27&lt;ProposalToGnatt[[#This Row],[Start Date]]+ProposalToGnatt[[#This Row],[Days]]),$G$5,"")),"")</f>
        <v/>
      </c>
      <c r="S50" s="36" t="str">
        <f ca="1">IFERROR(+IF(S$27=ProposalToGnatt[[#This Row],[Start Date]],Milestone_Marker,IF(AND(S$27&gt;ProposalToGnatt[[#This Row],[Start Date]],S$27&lt;ProposalToGnatt[[#This Row],[Start Date]]+ProposalToGnatt[[#This Row],[Days]]),$G$5,"")),"")</f>
        <v/>
      </c>
      <c r="T50" s="36" t="str">
        <f ca="1">IFERROR(+IF(T$27=ProposalToGnatt[[#This Row],[Start Date]],Milestone_Marker,IF(AND(T$27&gt;ProposalToGnatt[[#This Row],[Start Date]],T$27&lt;ProposalToGnatt[[#This Row],[Start Date]]+ProposalToGnatt[[#This Row],[Days]]),$G$5,"")),"")</f>
        <v/>
      </c>
      <c r="U50" s="36" t="str">
        <f ca="1">IFERROR(+IF(U$27=ProposalToGnatt[[#This Row],[Start Date]],Milestone_Marker,IF(AND(U$27&gt;ProposalToGnatt[[#This Row],[Start Date]],U$27&lt;ProposalToGnatt[[#This Row],[Start Date]]+ProposalToGnatt[[#This Row],[Days]]),$G$5,"")),"")</f>
        <v/>
      </c>
      <c r="V50" s="36" t="str">
        <f ca="1">IFERROR(+IF(V$27=ProposalToGnatt[[#This Row],[Start Date]],Milestone_Marker,IF(AND(V$27&gt;ProposalToGnatt[[#This Row],[Start Date]],V$27&lt;ProposalToGnatt[[#This Row],[Start Date]]+ProposalToGnatt[[#This Row],[Days]]),$G$5,"")),"")</f>
        <v/>
      </c>
      <c r="W50" s="36" t="str">
        <f ca="1">IFERROR(+IF(W$27=ProposalToGnatt[[#This Row],[Start Date]],Milestone_Marker,IF(AND(W$27&gt;ProposalToGnatt[[#This Row],[Start Date]],W$27&lt;ProposalToGnatt[[#This Row],[Start Date]]+ProposalToGnatt[[#This Row],[Days]]),$G$5,"")),"")</f>
        <v/>
      </c>
      <c r="X50" s="36" t="str">
        <f ca="1">IFERROR(+IF(X$27=ProposalToGnatt[[#This Row],[Start Date]],Milestone_Marker,IF(AND(X$27&gt;ProposalToGnatt[[#This Row],[Start Date]],X$27&lt;ProposalToGnatt[[#This Row],[Start Date]]+ProposalToGnatt[[#This Row],[Days]]),$G$5,"")),"")</f>
        <v/>
      </c>
      <c r="Y50" s="36" t="str">
        <f ca="1">IFERROR(+IF(Y$27=ProposalToGnatt[[#This Row],[Start Date]],Milestone_Marker,IF(AND(Y$27&gt;ProposalToGnatt[[#This Row],[Start Date]],Y$27&lt;ProposalToGnatt[[#This Row],[Start Date]]+ProposalToGnatt[[#This Row],[Days]]),$G$5,"")),"")</f>
        <v/>
      </c>
      <c r="Z50" s="36" t="str">
        <f ca="1">IFERROR(+IF(Z$27=ProposalToGnatt[[#This Row],[Start Date]],Milestone_Marker,IF(AND(Z$27&gt;ProposalToGnatt[[#This Row],[Start Date]],Z$27&lt;ProposalToGnatt[[#This Row],[Start Date]]+ProposalToGnatt[[#This Row],[Days]]),$G$5,"")),"")</f>
        <v/>
      </c>
      <c r="AA50" s="36" t="str">
        <f ca="1">IFERROR(+IF(AA$27=ProposalToGnatt[[#This Row],[Start Date]],Milestone_Marker,IF(AND(AA$27&gt;ProposalToGnatt[[#This Row],[Start Date]],AA$27&lt;ProposalToGnatt[[#This Row],[Start Date]]+ProposalToGnatt[[#This Row],[Days]]),$G$5,"")),"")</f>
        <v/>
      </c>
      <c r="AB50" s="36" t="str">
        <f ca="1">IFERROR(+IF(AB$27=ProposalToGnatt[[#This Row],[Start Date]],Milestone_Marker,IF(AND(AB$27&gt;ProposalToGnatt[[#This Row],[Start Date]],AB$27&lt;ProposalToGnatt[[#This Row],[Start Date]]+ProposalToGnatt[[#This Row],[Days]]),$G$5,"")),"")</f>
        <v/>
      </c>
      <c r="AC50" s="36" t="str">
        <f ca="1">IFERROR(+IF(AC$27=ProposalToGnatt[[#This Row],[Start Date]],Milestone_Marker,IF(AND(AC$27&gt;ProposalToGnatt[[#This Row],[Start Date]],AC$27&lt;ProposalToGnatt[[#This Row],[Start Date]]+ProposalToGnatt[[#This Row],[Days]]),$G$5,"")),"")</f>
        <v/>
      </c>
      <c r="AD50" s="36" t="str">
        <f ca="1">IFERROR(+IF(AD$27=ProposalToGnatt[[#This Row],[Start Date]],Milestone_Marker,IF(AND(AD$27&gt;ProposalToGnatt[[#This Row],[Start Date]],AD$27&lt;ProposalToGnatt[[#This Row],[Start Date]]+ProposalToGnatt[[#This Row],[Days]]),$G$5,"")),"")</f>
        <v/>
      </c>
      <c r="AE50" s="36" t="str">
        <f ca="1">IFERROR(+IF(AE$27=ProposalToGnatt[[#This Row],[Start Date]],Milestone_Marker,IF(AND(AE$27&gt;ProposalToGnatt[[#This Row],[Start Date]],AE$27&lt;ProposalToGnatt[[#This Row],[Start Date]]+ProposalToGnatt[[#This Row],[Days]]),$G$5,"")),"")</f>
        <v/>
      </c>
      <c r="AF50" s="36" t="str">
        <f ca="1">IFERROR(+IF(AF$27=ProposalToGnatt[[#This Row],[Start Date]],Milestone_Marker,IF(AND(AF$27&gt;ProposalToGnatt[[#This Row],[Start Date]],AF$27&lt;ProposalToGnatt[[#This Row],[Start Date]]+ProposalToGnatt[[#This Row],[Days]]),$G$5,"")),"")</f>
        <v/>
      </c>
      <c r="AG50" s="36" t="str">
        <f ca="1">IFERROR(+IF(AG$27=ProposalToGnatt[[#This Row],[Start Date]],Milestone_Marker,IF(AND(AG$27&gt;ProposalToGnatt[[#This Row],[Start Date]],AG$27&lt;ProposalToGnatt[[#This Row],[Start Date]]+ProposalToGnatt[[#This Row],[Days]]),$G$5,"")),"")</f>
        <v/>
      </c>
      <c r="AH50" s="36" t="str">
        <f ca="1">IFERROR(+IF(AH$27=ProposalToGnatt[[#This Row],[Start Date]],Milestone_Marker,IF(AND(AH$27&gt;ProposalToGnatt[[#This Row],[Start Date]],AH$27&lt;ProposalToGnatt[[#This Row],[Start Date]]+ProposalToGnatt[[#This Row],[Days]]),$G$5,"")),"")</f>
        <v/>
      </c>
      <c r="AI50" s="36" t="str">
        <f ca="1">IFERROR(+IF(AI$27=ProposalToGnatt[[#This Row],[Start Date]],Milestone_Marker,IF(AND(AI$27&gt;ProposalToGnatt[[#This Row],[Start Date]],AI$27&lt;ProposalToGnatt[[#This Row],[Start Date]]+ProposalToGnatt[[#This Row],[Days]]),$G$5,"")),"")</f>
        <v/>
      </c>
      <c r="AJ50" s="36" t="str">
        <f ca="1">IFERROR(+IF(AJ$27=ProposalToGnatt[[#This Row],[Start Date]],Milestone_Marker,IF(AND(AJ$27&gt;ProposalToGnatt[[#This Row],[Start Date]],AJ$27&lt;ProposalToGnatt[[#This Row],[Start Date]]+ProposalToGnatt[[#This Row],[Days]]),$G$5,"")),"")</f>
        <v/>
      </c>
      <c r="AK50" s="36" t="str">
        <f ca="1">IFERROR(+IF(AK$27=ProposalToGnatt[[#This Row],[Start Date]],Milestone_Marker,IF(AND(AK$27&gt;ProposalToGnatt[[#This Row],[Start Date]],AK$27&lt;ProposalToGnatt[[#This Row],[Start Date]]+ProposalToGnatt[[#This Row],[Days]]),$G$5,"")),"")</f>
        <v/>
      </c>
      <c r="AL50" s="36" t="str">
        <f ca="1">IFERROR(+IF(AL$27=ProposalToGnatt[[#This Row],[Start Date]],Milestone_Marker,IF(AND(AL$27&gt;ProposalToGnatt[[#This Row],[Start Date]],AL$27&lt;ProposalToGnatt[[#This Row],[Start Date]]+ProposalToGnatt[[#This Row],[Days]]),$G$5,"")),"")</f>
        <v/>
      </c>
      <c r="AM50" s="36" t="str">
        <f ca="1">IFERROR(+IF(AM$27=ProposalToGnatt[[#This Row],[Start Date]],Milestone_Marker,IF(AND(AM$27&gt;ProposalToGnatt[[#This Row],[Start Date]],AM$27&lt;ProposalToGnatt[[#This Row],[Start Date]]+ProposalToGnatt[[#This Row],[Days]]),$G$5,"")),"")</f>
        <v/>
      </c>
      <c r="AN50" s="36" t="str">
        <f ca="1">IFERROR(+IF(AN$27=ProposalToGnatt[[#This Row],[Start Date]],Milestone_Marker,IF(AND(AN$27&gt;ProposalToGnatt[[#This Row],[Start Date]],AN$27&lt;ProposalToGnatt[[#This Row],[Start Date]]+ProposalToGnatt[[#This Row],[Days]]),$G$5,"")),"")</f>
        <v/>
      </c>
      <c r="AO50" s="36" t="str">
        <f ca="1">IFERROR(+IF(AO$27=ProposalToGnatt[[#This Row],[Start Date]],Milestone_Marker,IF(AND(AO$27&gt;ProposalToGnatt[[#This Row],[Start Date]],AO$27&lt;ProposalToGnatt[[#This Row],[Start Date]]+ProposalToGnatt[[#This Row],[Days]]),$G$5,"")),"")</f>
        <v/>
      </c>
      <c r="AP50" s="36" t="str">
        <f ca="1">IFERROR(+IF(AP$27=ProposalToGnatt[[#This Row],[Start Date]],Milestone_Marker,IF(AND(AP$27&gt;ProposalToGnatt[[#This Row],[Start Date]],AP$27&lt;ProposalToGnatt[[#This Row],[Start Date]]+ProposalToGnatt[[#This Row],[Days]]),$G$5,"")),"")</f>
        <v/>
      </c>
      <c r="AQ50" s="36" t="str">
        <f ca="1">IFERROR(+IF(AQ$27=ProposalToGnatt[[#This Row],[Start Date]],Milestone_Marker,IF(AND(AQ$27&gt;ProposalToGnatt[[#This Row],[Start Date]],AQ$27&lt;ProposalToGnatt[[#This Row],[Start Date]]+ProposalToGnatt[[#This Row],[Days]]),$G$5,"")),"")</f>
        <v/>
      </c>
      <c r="AR50" s="36" t="str">
        <f ca="1">IFERROR(+IF(AR$27=ProposalToGnatt[[#This Row],[Start Date]],Milestone_Marker,IF(AND(AR$27&gt;ProposalToGnatt[[#This Row],[Start Date]],AR$27&lt;ProposalToGnatt[[#This Row],[Start Date]]+ProposalToGnatt[[#This Row],[Days]]),$G$5,"")),"")</f>
        <v/>
      </c>
      <c r="AS50" s="36" t="str">
        <f ca="1">IFERROR(+IF(AS$27=ProposalToGnatt[[#This Row],[Start Date]],Milestone_Marker,IF(AND(AS$27&gt;ProposalToGnatt[[#This Row],[Start Date]],AS$27&lt;ProposalToGnatt[[#This Row],[Start Date]]+ProposalToGnatt[[#This Row],[Days]]),$G$5,"")),"")</f>
        <v/>
      </c>
      <c r="AT50" s="36" t="str">
        <f ca="1">IFERROR(+IF(AT$27=ProposalToGnatt[[#This Row],[Start Date]],Milestone_Marker,IF(AND(AT$27&gt;ProposalToGnatt[[#This Row],[Start Date]],AT$27&lt;ProposalToGnatt[[#This Row],[Start Date]]+ProposalToGnatt[[#This Row],[Days]]),$G$5,"")),"")</f>
        <v/>
      </c>
      <c r="AU50" s="36" t="str">
        <f ca="1">IFERROR(+IF(AU$27=ProposalToGnatt[[#This Row],[Start Date]],Milestone_Marker,IF(AND(AU$27&gt;ProposalToGnatt[[#This Row],[Start Date]],AU$27&lt;ProposalToGnatt[[#This Row],[Start Date]]+ProposalToGnatt[[#This Row],[Days]]),$G$5,"")),"")</f>
        <v/>
      </c>
      <c r="AV50" s="36" t="str">
        <f ca="1">IFERROR(+IF(AV$27=ProposalToGnatt[[#This Row],[Start Date]],Milestone_Marker,IF(AND(AV$27&gt;ProposalToGnatt[[#This Row],[Start Date]],AV$27&lt;ProposalToGnatt[[#This Row],[Start Date]]+ProposalToGnatt[[#This Row],[Days]]),$G$5,"")),"")</f>
        <v/>
      </c>
      <c r="AW50" s="36" t="str">
        <f ca="1">IFERROR(+IF(AW$27=ProposalToGnatt[[#This Row],[Start Date]],Milestone_Marker,IF(AND(AW$27&gt;ProposalToGnatt[[#This Row],[Start Date]],AW$27&lt;ProposalToGnatt[[#This Row],[Start Date]]+ProposalToGnatt[[#This Row],[Days]]),$G$5,"")),"")</f>
        <v/>
      </c>
      <c r="AX50" s="36" t="str">
        <f ca="1">IFERROR(+IF(AX$27=ProposalToGnatt[[#This Row],[Start Date]],Milestone_Marker,IF(AND(AX$27&gt;ProposalToGnatt[[#This Row],[Start Date]],AX$27&lt;ProposalToGnatt[[#This Row],[Start Date]]+ProposalToGnatt[[#This Row],[Days]]),$G$5,"")),"")</f>
        <v/>
      </c>
      <c r="AY50" s="36" t="str">
        <f ca="1">IFERROR(+IF(AY$27=ProposalToGnatt[[#This Row],[Start Date]],Milestone_Marker,IF(AND(AY$27&gt;ProposalToGnatt[[#This Row],[Start Date]],AY$27&lt;ProposalToGnatt[[#This Row],[Start Date]]+ProposalToGnatt[[#This Row],[Days]]),$G$5,"")),"")</f>
        <v/>
      </c>
      <c r="AZ50" s="36" t="str">
        <f ca="1">IFERROR(+IF(AZ$27=ProposalToGnatt[[#This Row],[Start Date]],Milestone_Marker,IF(AND(AZ$27&gt;ProposalToGnatt[[#This Row],[Start Date]],AZ$27&lt;ProposalToGnatt[[#This Row],[Start Date]]+ProposalToGnatt[[#This Row],[Days]]),$G$5,"")),"")</f>
        <v/>
      </c>
      <c r="BA50" s="36" t="str">
        <f ca="1">IFERROR(+IF(BA$27=ProposalToGnatt[[#This Row],[Start Date]],Milestone_Marker,IF(AND(BA$27&gt;ProposalToGnatt[[#This Row],[Start Date]],BA$27&lt;ProposalToGnatt[[#This Row],[Start Date]]+ProposalToGnatt[[#This Row],[Days]]),$G$5,"")),"")</f>
        <v/>
      </c>
      <c r="BB50" s="36" t="str">
        <f ca="1">IFERROR(+IF(BB$27=ProposalToGnatt[[#This Row],[Start Date]],Milestone_Marker,IF(AND(BB$27&gt;ProposalToGnatt[[#This Row],[Start Date]],BB$27&lt;ProposalToGnatt[[#This Row],[Start Date]]+ProposalToGnatt[[#This Row],[Days]]),$G$5,"")),"")</f>
        <v/>
      </c>
      <c r="BC50" s="36" t="str">
        <f ca="1">IFERROR(+IF(BC$27=ProposalToGnatt[[#This Row],[Start Date]],Milestone_Marker,IF(AND(BC$27&gt;ProposalToGnatt[[#This Row],[Start Date]],BC$27&lt;ProposalToGnatt[[#This Row],[Start Date]]+ProposalToGnatt[[#This Row],[Days]]),$G$5,"")),"")</f>
        <v/>
      </c>
      <c r="BD50" s="36" t="str">
        <f ca="1">IFERROR(+IF(BD$27=ProposalToGnatt[[#This Row],[Start Date]],Milestone_Marker,IF(AND(BD$27&gt;ProposalToGnatt[[#This Row],[Start Date]],BD$27&lt;ProposalToGnatt[[#This Row],[Start Date]]+ProposalToGnatt[[#This Row],[Days]]),$G$5,"")),"")</f>
        <v/>
      </c>
      <c r="BE50" s="36" t="str">
        <f ca="1">IFERROR(+IF(BE$27=ProposalToGnatt[[#This Row],[Start Date]],Milestone_Marker,IF(AND(BE$27&gt;ProposalToGnatt[[#This Row],[Start Date]],BE$27&lt;ProposalToGnatt[[#This Row],[Start Date]]+ProposalToGnatt[[#This Row],[Days]]),$G$5,"")),"")</f>
        <v/>
      </c>
      <c r="BF50" s="36" t="str">
        <f ca="1">IFERROR(+IF(BF$27=ProposalToGnatt[[#This Row],[Start Date]],Milestone_Marker,IF(AND(BF$27&gt;ProposalToGnatt[[#This Row],[Start Date]],BF$27&lt;ProposalToGnatt[[#This Row],[Start Date]]+ProposalToGnatt[[#This Row],[Days]]),$G$5,"")),"")</f>
        <v/>
      </c>
      <c r="BG50" s="36" t="str">
        <f ca="1">IFERROR(+IF(BG$27=ProposalToGnatt[[#This Row],[Start Date]],Milestone_Marker,IF(AND(BG$27&gt;ProposalToGnatt[[#This Row],[Start Date]],BG$27&lt;ProposalToGnatt[[#This Row],[Start Date]]+ProposalToGnatt[[#This Row],[Days]]),$G$5,"")),"")</f>
        <v/>
      </c>
      <c r="BH50" s="36" t="str">
        <f ca="1">IFERROR(+IF(BH$27=ProposalToGnatt[[#This Row],[Start Date]],Milestone_Marker,IF(AND(BH$27&gt;ProposalToGnatt[[#This Row],[Start Date]],BH$27&lt;ProposalToGnatt[[#This Row],[Start Date]]+ProposalToGnatt[[#This Row],[Days]]),$G$5,"")),"")</f>
        <v/>
      </c>
      <c r="BI50" s="36" t="str">
        <f ca="1">IFERROR(+IF(BI$27=ProposalToGnatt[[#This Row],[Start Date]],Milestone_Marker,IF(AND(BI$27&gt;ProposalToGnatt[[#This Row],[Start Date]],BI$27&lt;ProposalToGnatt[[#This Row],[Start Date]]+ProposalToGnatt[[#This Row],[Days]]),$G$5,"")),"")</f>
        <v/>
      </c>
      <c r="BJ50" s="36" t="str">
        <f ca="1">IFERROR(+IF(BJ$27=ProposalToGnatt[[#This Row],[Start Date]],Milestone_Marker,IF(AND(BJ$27&gt;ProposalToGnatt[[#This Row],[Start Date]],BJ$27&lt;ProposalToGnatt[[#This Row],[Start Date]]+ProposalToGnatt[[#This Row],[Days]]),$G$5,"")),"")</f>
        <v/>
      </c>
      <c r="BK50" s="36" t="str">
        <f ca="1">IFERROR(+IF(BK$27=ProposalToGnatt[[#This Row],[Start Date]],Milestone_Marker,IF(AND(BK$27&gt;ProposalToGnatt[[#This Row],[Start Date]],BK$27&lt;ProposalToGnatt[[#This Row],[Start Date]]+ProposalToGnatt[[#This Row],[Days]]),$G$5,"")),"")</f>
        <v/>
      </c>
      <c r="BL50" s="36" t="str">
        <f ca="1">IFERROR(+IF(BL$27=ProposalToGnatt[[#This Row],[Start Date]],Milestone_Marker,IF(AND(BL$27&gt;ProposalToGnatt[[#This Row],[Start Date]],BL$27&lt;ProposalToGnatt[[#This Row],[Start Date]]+ProposalToGnatt[[#This Row],[Days]]),$G$5,"")),"")</f>
        <v/>
      </c>
      <c r="BM50" s="36" t="str">
        <f ca="1">IFERROR(+IF(BM$27=ProposalToGnatt[[#This Row],[Start Date]],Milestone_Marker,IF(AND(BM$27&gt;ProposalToGnatt[[#This Row],[Start Date]],BM$27&lt;ProposalToGnatt[[#This Row],[Start Date]]+ProposalToGnatt[[#This Row],[Days]]),$G$5,"")),"")</f>
        <v/>
      </c>
      <c r="BN50" s="36" t="str">
        <f ca="1">IFERROR(+IF(BN$27=ProposalToGnatt[[#This Row],[Start Date]],Milestone_Marker,IF(AND(BN$27&gt;ProposalToGnatt[[#This Row],[Start Date]],BN$27&lt;ProposalToGnatt[[#This Row],[Start Date]]+ProposalToGnatt[[#This Row],[Days]]),$G$5,"")),"")</f>
        <v/>
      </c>
      <c r="BO50" s="36" t="str">
        <f ca="1">IFERROR(+IF(BO$27=ProposalToGnatt[[#This Row],[Start Date]],Milestone_Marker,IF(AND(BO$27&gt;ProposalToGnatt[[#This Row],[Start Date]],BO$27&lt;ProposalToGnatt[[#This Row],[Start Date]]+ProposalToGnatt[[#This Row],[Days]]),$G$5,"")),"")</f>
        <v/>
      </c>
      <c r="BP50" s="36" t="str">
        <f ca="1">IFERROR(+IF(BP$27=ProposalToGnatt[[#This Row],[Start Date]],Milestone_Marker,IF(AND(BP$27&gt;ProposalToGnatt[[#This Row],[Start Date]],BP$27&lt;ProposalToGnatt[[#This Row],[Start Date]]+ProposalToGnatt[[#This Row],[Days]]),$G$5,"")),"")</f>
        <v/>
      </c>
      <c r="BQ50" s="36" t="str">
        <f ca="1">IFERROR(+IF(BQ$27=ProposalToGnatt[[#This Row],[Start Date]],Milestone_Marker,IF(AND(BQ$27&gt;ProposalToGnatt[[#This Row],[Start Date]],BQ$27&lt;ProposalToGnatt[[#This Row],[Start Date]]+ProposalToGnatt[[#This Row],[Days]]),$G$5,"")),"")</f>
        <v/>
      </c>
      <c r="BR50" s="36" t="str">
        <f ca="1">IFERROR(+IF(BR$27=ProposalToGnatt[[#This Row],[Start Date]],Milestone_Marker,IF(AND(BR$27&gt;ProposalToGnatt[[#This Row],[Start Date]],BR$27&lt;ProposalToGnatt[[#This Row],[Start Date]]+ProposalToGnatt[[#This Row],[Days]]),$G$5,"")),"")</f>
        <v/>
      </c>
      <c r="BS50" s="36" t="str">
        <f ca="1">IFERROR(+IF(BS$27=ProposalToGnatt[[#This Row],[Start Date]],Milestone_Marker,IF(AND(BS$27&gt;ProposalToGnatt[[#This Row],[Start Date]],BS$27&lt;ProposalToGnatt[[#This Row],[Start Date]]+ProposalToGnatt[[#This Row],[Days]]),$G$5,"")),"")</f>
        <v/>
      </c>
      <c r="BT50" s="36" t="str">
        <f ca="1">IFERROR(+IF(BT$27=ProposalToGnatt[[#This Row],[Start Date]],Milestone_Marker,IF(AND(BT$27&gt;ProposalToGnatt[[#This Row],[Start Date]],BT$27&lt;ProposalToGnatt[[#This Row],[Start Date]]+ProposalToGnatt[[#This Row],[Days]]),$G$5,"")),"")</f>
        <v/>
      </c>
      <c r="BU50" s="36" t="str">
        <f ca="1">IFERROR(+IF(BU$27=ProposalToGnatt[[#This Row],[Start Date]],Milestone_Marker,IF(AND(BU$27&gt;ProposalToGnatt[[#This Row],[Start Date]],BU$27&lt;ProposalToGnatt[[#This Row],[Start Date]]+ProposalToGnatt[[#This Row],[Days]]),$G$5,"")),"")</f>
        <v/>
      </c>
      <c r="BV50" s="36" t="str">
        <f ca="1">IFERROR(+IF(BV$27=ProposalToGnatt[[#This Row],[Start Date]],Milestone_Marker,IF(AND(BV$27&gt;ProposalToGnatt[[#This Row],[Start Date]],BV$27&lt;ProposalToGnatt[[#This Row],[Start Date]]+ProposalToGnatt[[#This Row],[Days]]),$G$5,"")),"")</f>
        <v/>
      </c>
      <c r="BW50" s="36" t="str">
        <f ca="1">IFERROR(+IF(BW$27=ProposalToGnatt[[#This Row],[Start Date]],Milestone_Marker,IF(AND(BW$27&gt;ProposalToGnatt[[#This Row],[Start Date]],BW$27&lt;ProposalToGnatt[[#This Row],[Start Date]]+ProposalToGnatt[[#This Row],[Days]]),$G$5,"")),"")</f>
        <v/>
      </c>
      <c r="BX50" s="36" t="str">
        <f ca="1">IFERROR(+IF(BX$27=ProposalToGnatt[[#This Row],[Start Date]],Milestone_Marker,IF(AND(BX$27&gt;ProposalToGnatt[[#This Row],[Start Date]],BX$27&lt;ProposalToGnatt[[#This Row],[Start Date]]+ProposalToGnatt[[#This Row],[Days]]),$G$5,"")),"")</f>
        <v/>
      </c>
      <c r="BY50" s="36" t="str">
        <f ca="1">IFERROR(+IF(BY$27=ProposalToGnatt[[#This Row],[Start Date]],Milestone_Marker,IF(AND(BY$27&gt;ProposalToGnatt[[#This Row],[Start Date]],BY$27&lt;ProposalToGnatt[[#This Row],[Start Date]]+ProposalToGnatt[[#This Row],[Days]]),$G$5,"")),"")</f>
        <v/>
      </c>
      <c r="BZ50" s="36" t="str">
        <f ca="1">IFERROR(+IF(BZ$27=ProposalToGnatt[[#This Row],[Start Date]],Milestone_Marker,IF(AND(BZ$27&gt;ProposalToGnatt[[#This Row],[Start Date]],BZ$27&lt;ProposalToGnatt[[#This Row],[Start Date]]+ProposalToGnatt[[#This Row],[Days]]),$G$5,"")),"")</f>
        <v/>
      </c>
      <c r="CA50" s="36" t="str">
        <f ca="1">IFERROR(+IF(CA$27=ProposalToGnatt[[#This Row],[Start Date]],Milestone_Marker,IF(AND(CA$27&gt;ProposalToGnatt[[#This Row],[Start Date]],CA$27&lt;ProposalToGnatt[[#This Row],[Start Date]]+ProposalToGnatt[[#This Row],[Days]]),$G$5,"")),"")</f>
        <v/>
      </c>
      <c r="CB50" s="36" t="str">
        <f ca="1">IFERROR(+IF(CB$27=ProposalToGnatt[[#This Row],[Start Date]],Milestone_Marker,IF(AND(CB$27&gt;ProposalToGnatt[[#This Row],[Start Date]],CB$27&lt;ProposalToGnatt[[#This Row],[Start Date]]+ProposalToGnatt[[#This Row],[Days]]),$G$5,"")),"")</f>
        <v/>
      </c>
      <c r="CC50" s="36" t="str">
        <f ca="1">IFERROR(+IF(CC$27=ProposalToGnatt[[#This Row],[Start Date]],Milestone_Marker,IF(AND(CC$27&gt;ProposalToGnatt[[#This Row],[Start Date]],CC$27&lt;ProposalToGnatt[[#This Row],[Start Date]]+ProposalToGnatt[[#This Row],[Days]]),$G$5,"")),"")</f>
        <v/>
      </c>
      <c r="CD50" s="36" t="str">
        <f ca="1">IFERROR(+IF(CD$27=ProposalToGnatt[[#This Row],[Start Date]],Milestone_Marker,IF(AND(CD$27&gt;ProposalToGnatt[[#This Row],[Start Date]],CD$27&lt;ProposalToGnatt[[#This Row],[Start Date]]+ProposalToGnatt[[#This Row],[Days]]),$G$5,"")),"")</f>
        <v/>
      </c>
      <c r="CE50" s="36" t="str">
        <f ca="1">IFERROR(+IF(CE$27=ProposalToGnatt[[#This Row],[Start Date]],Milestone_Marker,IF(AND(CE$27&gt;ProposalToGnatt[[#This Row],[Start Date]],CE$27&lt;ProposalToGnatt[[#This Row],[Start Date]]+ProposalToGnatt[[#This Row],[Days]]),$G$5,"")),"")</f>
        <v/>
      </c>
      <c r="CF50" s="36" t="str">
        <f ca="1">IFERROR(+IF(CF$27=ProposalToGnatt[[#This Row],[Start Date]],Milestone_Marker,IF(AND(CF$27&gt;ProposalToGnatt[[#This Row],[Start Date]],CF$27&lt;ProposalToGnatt[[#This Row],[Start Date]]+ProposalToGnatt[[#This Row],[Days]]),$G$5,"")),"")</f>
        <v/>
      </c>
      <c r="CG50" s="36" t="str">
        <f ca="1">IFERROR(+IF(CG$27=ProposalToGnatt[[#This Row],[Start Date]],Milestone_Marker,IF(AND(CG$27&gt;ProposalToGnatt[[#This Row],[Start Date]],CG$27&lt;ProposalToGnatt[[#This Row],[Start Date]]+ProposalToGnatt[[#This Row],[Days]]),$G$5,"")),"")</f>
        <v/>
      </c>
      <c r="CH50" s="36" t="str">
        <f ca="1">IFERROR(+IF(CH$27=ProposalToGnatt[[#This Row],[Start Date]],Milestone_Marker,IF(AND(CH$27&gt;ProposalToGnatt[[#This Row],[Start Date]],CH$27&lt;ProposalToGnatt[[#This Row],[Start Date]]+ProposalToGnatt[[#This Row],[Days]]),$G$5,"")),"")</f>
        <v/>
      </c>
      <c r="CI50" s="36" t="str">
        <f ca="1">IFERROR(+IF(CI$27=ProposalToGnatt[[#This Row],[Start Date]],Milestone_Marker,IF(AND(CI$27&gt;ProposalToGnatt[[#This Row],[Start Date]],CI$27&lt;ProposalToGnatt[[#This Row],[Start Date]]+ProposalToGnatt[[#This Row],[Days]]),$G$5,"")),"")</f>
        <v/>
      </c>
      <c r="CJ50" s="36" t="str">
        <f ca="1">IFERROR(+IF(CJ$27=ProposalToGnatt[[#This Row],[Start Date]],Milestone_Marker,IF(AND(CJ$27&gt;ProposalToGnatt[[#This Row],[Start Date]],CJ$27&lt;ProposalToGnatt[[#This Row],[Start Date]]+ProposalToGnatt[[#This Row],[Days]]),$G$5,"")),"")</f>
        <v/>
      </c>
      <c r="CK50" s="36" t="str">
        <f ca="1">IFERROR(+IF(CK$27=ProposalToGnatt[[#This Row],[Start Date]],Milestone_Marker,IF(AND(CK$27&gt;ProposalToGnatt[[#This Row],[Start Date]],CK$27&lt;ProposalToGnatt[[#This Row],[Start Date]]+ProposalToGnatt[[#This Row],[Days]]),$G$5,"")),"")</f>
        <v/>
      </c>
      <c r="CL50" s="36" t="str">
        <f ca="1">IFERROR(+IF(CL$27=ProposalToGnatt[[#This Row],[Start Date]],Milestone_Marker,IF(AND(CL$27&gt;ProposalToGnatt[[#This Row],[Start Date]],CL$27&lt;ProposalToGnatt[[#This Row],[Start Date]]+ProposalToGnatt[[#This Row],[Days]]),$G$5,"")),"")</f>
        <v/>
      </c>
      <c r="CM50" s="36" t="str">
        <f ca="1">IFERROR(+IF(CM$27=ProposalToGnatt[[#This Row],[Start Date]],Milestone_Marker,IF(AND(CM$27&gt;ProposalToGnatt[[#This Row],[Start Date]],CM$27&lt;ProposalToGnatt[[#This Row],[Start Date]]+ProposalToGnatt[[#This Row],[Days]]),$G$5,"")),"")</f>
        <v/>
      </c>
      <c r="CN50" s="36" t="str">
        <f ca="1">IFERROR(+IF(CN$27=ProposalToGnatt[[#This Row],[Start Date]],Milestone_Marker,IF(AND(CN$27&gt;ProposalToGnatt[[#This Row],[Start Date]],CN$27&lt;ProposalToGnatt[[#This Row],[Start Date]]+ProposalToGnatt[[#This Row],[Days]]),$G$5,"")),"")</f>
        <v/>
      </c>
      <c r="CO50" s="36" t="str">
        <f ca="1">IFERROR(+IF(CO$27=ProposalToGnatt[[#This Row],[Start Date]],Milestone_Marker,IF(AND(CO$27&gt;ProposalToGnatt[[#This Row],[Start Date]],CO$27&lt;ProposalToGnatt[[#This Row],[Start Date]]+ProposalToGnatt[[#This Row],[Days]]),$G$5,"")),"")</f>
        <v/>
      </c>
      <c r="CP50" s="36" t="str">
        <f ca="1">IFERROR(+IF(CP$27=ProposalToGnatt[[#This Row],[Start Date]],Milestone_Marker,IF(AND(CP$27&gt;ProposalToGnatt[[#This Row],[Start Date]],CP$27&lt;ProposalToGnatt[[#This Row],[Start Date]]+ProposalToGnatt[[#This Row],[Days]]),$G$5,"")),"")</f>
        <v/>
      </c>
      <c r="CQ50" s="36" t="str">
        <f ca="1">IFERROR(+IF(CQ$27=ProposalToGnatt[[#This Row],[Start Date]],Milestone_Marker,IF(AND(CQ$27&gt;ProposalToGnatt[[#This Row],[Start Date]],CQ$27&lt;ProposalToGnatt[[#This Row],[Start Date]]+ProposalToGnatt[[#This Row],[Days]]),$G$5,"")),"")</f>
        <v/>
      </c>
      <c r="CR50" s="36" t="str">
        <f ca="1">IFERROR(+IF(CR$27=ProposalToGnatt[[#This Row],[Start Date]],Milestone_Marker,IF(AND(CR$27&gt;ProposalToGnatt[[#This Row],[Start Date]],CR$27&lt;ProposalToGnatt[[#This Row],[Start Date]]+ProposalToGnatt[[#This Row],[Days]]),$G$5,"")),"")</f>
        <v/>
      </c>
      <c r="CS50" s="36" t="str">
        <f ca="1">IFERROR(+IF(CS$27=ProposalToGnatt[[#This Row],[Start Date]],Milestone_Marker,IF(AND(CS$27&gt;ProposalToGnatt[[#This Row],[Start Date]],CS$27&lt;ProposalToGnatt[[#This Row],[Start Date]]+ProposalToGnatt[[#This Row],[Days]]),$G$5,"")),"")</f>
        <v/>
      </c>
      <c r="CT50" s="36" t="str">
        <f ca="1">IFERROR(+IF(CT$27=ProposalToGnatt[[#This Row],[Start Date]],Milestone_Marker,IF(AND(CT$27&gt;ProposalToGnatt[[#This Row],[Start Date]],CT$27&lt;ProposalToGnatt[[#This Row],[Start Date]]+ProposalToGnatt[[#This Row],[Days]]),$G$5,"")),"")</f>
        <v/>
      </c>
      <c r="CU50" s="36" t="str">
        <f ca="1">IFERROR(+IF(CU$27=ProposalToGnatt[[#This Row],[Start Date]],Milestone_Marker,IF(AND(CU$27&gt;ProposalToGnatt[[#This Row],[Start Date]],CU$27&lt;ProposalToGnatt[[#This Row],[Start Date]]+ProposalToGnatt[[#This Row],[Days]]),$G$5,"")),"")</f>
        <v/>
      </c>
      <c r="CV50" s="36"/>
      <c r="CW50" s="36"/>
      <c r="CX50" s="36"/>
      <c r="CY50" s="36"/>
      <c r="CZ50" s="36"/>
      <c r="DA50" s="36"/>
      <c r="DB50" s="36"/>
      <c r="DC50" s="36"/>
      <c r="DD50" s="36"/>
      <c r="DE50" s="36"/>
      <c r="DF50" s="36"/>
      <c r="DG50" s="36"/>
      <c r="DH50" s="36"/>
      <c r="DI50" s="36"/>
      <c r="DJ50" s="36"/>
      <c r="DK50" s="36"/>
      <c r="DL50" s="36"/>
      <c r="DM50" s="36"/>
      <c r="DN50" s="36"/>
      <c r="DO50" s="36"/>
      <c r="DP50" s="36"/>
      <c r="DQ50" s="36"/>
      <c r="DR50" s="36"/>
      <c r="DS50" s="36"/>
      <c r="DT50" s="36"/>
      <c r="DU50" s="36"/>
    </row>
    <row r="51" spans="1:125" s="41" customFormat="1" ht="15" x14ac:dyDescent="0.25">
      <c r="A51" t="s">
        <v>267</v>
      </c>
      <c r="B51">
        <v>33</v>
      </c>
      <c r="C51"/>
      <c r="D51" t="s">
        <v>908</v>
      </c>
      <c r="E51" s="568" t="s">
        <v>942</v>
      </c>
      <c r="F51">
        <v>1</v>
      </c>
      <c r="G51" s="14">
        <v>95</v>
      </c>
      <c r="H51" s="14">
        <v>95</v>
      </c>
      <c r="I51" t="s">
        <v>3</v>
      </c>
      <c r="J51">
        <v>1</v>
      </c>
      <c r="K51" s="249"/>
      <c r="L51"/>
      <c r="M51" s="14"/>
      <c r="N51" s="300">
        <v>95</v>
      </c>
      <c r="O51" s="554"/>
      <c r="P51" s="36" t="str">
        <f ca="1">IFERROR(+IF(P$27=ProposalToGnatt[[#This Row],[Start Date]],Milestone_Marker,IF(AND(P$27&gt;ProposalToGnatt[[#This Row],[Start Date]],P$27&lt;ProposalToGnatt[[#This Row],[Start Date]]+ProposalToGnatt[[#This Row],[Days]]),$G$5,"")),"")</f>
        <v/>
      </c>
      <c r="Q51" s="36" t="str">
        <f ca="1">IFERROR(+IF(Q$27=ProposalToGnatt[[#This Row],[Start Date]],Milestone_Marker,IF(AND(Q$27&gt;ProposalToGnatt[[#This Row],[Start Date]],Q$27&lt;ProposalToGnatt[[#This Row],[Start Date]]+ProposalToGnatt[[#This Row],[Days]]),$G$5,"")),"")</f>
        <v/>
      </c>
      <c r="R51" s="36" t="str">
        <f ca="1">IFERROR(+IF(R$27=ProposalToGnatt[[#This Row],[Start Date]],Milestone_Marker,IF(AND(R$27&gt;ProposalToGnatt[[#This Row],[Start Date]],R$27&lt;ProposalToGnatt[[#This Row],[Start Date]]+ProposalToGnatt[[#This Row],[Days]]),$G$5,"")),"")</f>
        <v/>
      </c>
      <c r="S51" s="36" t="str">
        <f ca="1">IFERROR(+IF(S$27=ProposalToGnatt[[#This Row],[Start Date]],Milestone_Marker,IF(AND(S$27&gt;ProposalToGnatt[[#This Row],[Start Date]],S$27&lt;ProposalToGnatt[[#This Row],[Start Date]]+ProposalToGnatt[[#This Row],[Days]]),$G$5,"")),"")</f>
        <v/>
      </c>
      <c r="T51" s="36" t="str">
        <f ca="1">IFERROR(+IF(T$27=ProposalToGnatt[[#This Row],[Start Date]],Milestone_Marker,IF(AND(T$27&gt;ProposalToGnatt[[#This Row],[Start Date]],T$27&lt;ProposalToGnatt[[#This Row],[Start Date]]+ProposalToGnatt[[#This Row],[Days]]),$G$5,"")),"")</f>
        <v/>
      </c>
      <c r="U51" s="36" t="str">
        <f ca="1">IFERROR(+IF(U$27=ProposalToGnatt[[#This Row],[Start Date]],Milestone_Marker,IF(AND(U$27&gt;ProposalToGnatt[[#This Row],[Start Date]],U$27&lt;ProposalToGnatt[[#This Row],[Start Date]]+ProposalToGnatt[[#This Row],[Days]]),$G$5,"")),"")</f>
        <v/>
      </c>
      <c r="V51" s="36" t="str">
        <f ca="1">IFERROR(+IF(V$27=ProposalToGnatt[[#This Row],[Start Date]],Milestone_Marker,IF(AND(V$27&gt;ProposalToGnatt[[#This Row],[Start Date]],V$27&lt;ProposalToGnatt[[#This Row],[Start Date]]+ProposalToGnatt[[#This Row],[Days]]),$G$5,"")),"")</f>
        <v/>
      </c>
      <c r="W51" s="36" t="str">
        <f ca="1">IFERROR(+IF(W$27=ProposalToGnatt[[#This Row],[Start Date]],Milestone_Marker,IF(AND(W$27&gt;ProposalToGnatt[[#This Row],[Start Date]],W$27&lt;ProposalToGnatt[[#This Row],[Start Date]]+ProposalToGnatt[[#This Row],[Days]]),$G$5,"")),"")</f>
        <v/>
      </c>
      <c r="X51" s="36" t="str">
        <f ca="1">IFERROR(+IF(X$27=ProposalToGnatt[[#This Row],[Start Date]],Milestone_Marker,IF(AND(X$27&gt;ProposalToGnatt[[#This Row],[Start Date]],X$27&lt;ProposalToGnatt[[#This Row],[Start Date]]+ProposalToGnatt[[#This Row],[Days]]),$G$5,"")),"")</f>
        <v/>
      </c>
      <c r="Y51" s="36" t="str">
        <f ca="1">IFERROR(+IF(Y$27=ProposalToGnatt[[#This Row],[Start Date]],Milestone_Marker,IF(AND(Y$27&gt;ProposalToGnatt[[#This Row],[Start Date]],Y$27&lt;ProposalToGnatt[[#This Row],[Start Date]]+ProposalToGnatt[[#This Row],[Days]]),$G$5,"")),"")</f>
        <v/>
      </c>
      <c r="Z51" s="36" t="str">
        <f ca="1">IFERROR(+IF(Z$27=ProposalToGnatt[[#This Row],[Start Date]],Milestone_Marker,IF(AND(Z$27&gt;ProposalToGnatt[[#This Row],[Start Date]],Z$27&lt;ProposalToGnatt[[#This Row],[Start Date]]+ProposalToGnatt[[#This Row],[Days]]),$G$5,"")),"")</f>
        <v/>
      </c>
      <c r="AA51" s="36" t="str">
        <f ca="1">IFERROR(+IF(AA$27=ProposalToGnatt[[#This Row],[Start Date]],Milestone_Marker,IF(AND(AA$27&gt;ProposalToGnatt[[#This Row],[Start Date]],AA$27&lt;ProposalToGnatt[[#This Row],[Start Date]]+ProposalToGnatt[[#This Row],[Days]]),$G$5,"")),"")</f>
        <v/>
      </c>
      <c r="AB51" s="36" t="str">
        <f ca="1">IFERROR(+IF(AB$27=ProposalToGnatt[[#This Row],[Start Date]],Milestone_Marker,IF(AND(AB$27&gt;ProposalToGnatt[[#This Row],[Start Date]],AB$27&lt;ProposalToGnatt[[#This Row],[Start Date]]+ProposalToGnatt[[#This Row],[Days]]),$G$5,"")),"")</f>
        <v/>
      </c>
      <c r="AC51" s="36" t="str">
        <f ca="1">IFERROR(+IF(AC$27=ProposalToGnatt[[#This Row],[Start Date]],Milestone_Marker,IF(AND(AC$27&gt;ProposalToGnatt[[#This Row],[Start Date]],AC$27&lt;ProposalToGnatt[[#This Row],[Start Date]]+ProposalToGnatt[[#This Row],[Days]]),$G$5,"")),"")</f>
        <v/>
      </c>
      <c r="AD51" s="36" t="str">
        <f ca="1">IFERROR(+IF(AD$27=ProposalToGnatt[[#This Row],[Start Date]],Milestone_Marker,IF(AND(AD$27&gt;ProposalToGnatt[[#This Row],[Start Date]],AD$27&lt;ProposalToGnatt[[#This Row],[Start Date]]+ProposalToGnatt[[#This Row],[Days]]),$G$5,"")),"")</f>
        <v/>
      </c>
      <c r="AE51" s="36" t="str">
        <f ca="1">IFERROR(+IF(AE$27=ProposalToGnatt[[#This Row],[Start Date]],Milestone_Marker,IF(AND(AE$27&gt;ProposalToGnatt[[#This Row],[Start Date]],AE$27&lt;ProposalToGnatt[[#This Row],[Start Date]]+ProposalToGnatt[[#This Row],[Days]]),$G$5,"")),"")</f>
        <v/>
      </c>
      <c r="AF51" s="36" t="str">
        <f ca="1">IFERROR(+IF(AF$27=ProposalToGnatt[[#This Row],[Start Date]],Milestone_Marker,IF(AND(AF$27&gt;ProposalToGnatt[[#This Row],[Start Date]],AF$27&lt;ProposalToGnatt[[#This Row],[Start Date]]+ProposalToGnatt[[#This Row],[Days]]),$G$5,"")),"")</f>
        <v/>
      </c>
      <c r="AG51" s="36" t="str">
        <f ca="1">IFERROR(+IF(AG$27=ProposalToGnatt[[#This Row],[Start Date]],Milestone_Marker,IF(AND(AG$27&gt;ProposalToGnatt[[#This Row],[Start Date]],AG$27&lt;ProposalToGnatt[[#This Row],[Start Date]]+ProposalToGnatt[[#This Row],[Days]]),$G$5,"")),"")</f>
        <v/>
      </c>
      <c r="AH51" s="36" t="str">
        <f ca="1">IFERROR(+IF(AH$27=ProposalToGnatt[[#This Row],[Start Date]],Milestone_Marker,IF(AND(AH$27&gt;ProposalToGnatt[[#This Row],[Start Date]],AH$27&lt;ProposalToGnatt[[#This Row],[Start Date]]+ProposalToGnatt[[#This Row],[Days]]),$G$5,"")),"")</f>
        <v/>
      </c>
      <c r="AI51" s="36" t="str">
        <f ca="1">IFERROR(+IF(AI$27=ProposalToGnatt[[#This Row],[Start Date]],Milestone_Marker,IF(AND(AI$27&gt;ProposalToGnatt[[#This Row],[Start Date]],AI$27&lt;ProposalToGnatt[[#This Row],[Start Date]]+ProposalToGnatt[[#This Row],[Days]]),$G$5,"")),"")</f>
        <v/>
      </c>
      <c r="AJ51" s="36" t="str">
        <f ca="1">IFERROR(+IF(AJ$27=ProposalToGnatt[[#This Row],[Start Date]],Milestone_Marker,IF(AND(AJ$27&gt;ProposalToGnatt[[#This Row],[Start Date]],AJ$27&lt;ProposalToGnatt[[#This Row],[Start Date]]+ProposalToGnatt[[#This Row],[Days]]),$G$5,"")),"")</f>
        <v/>
      </c>
      <c r="AK51" s="36" t="str">
        <f ca="1">IFERROR(+IF(AK$27=ProposalToGnatt[[#This Row],[Start Date]],Milestone_Marker,IF(AND(AK$27&gt;ProposalToGnatt[[#This Row],[Start Date]],AK$27&lt;ProposalToGnatt[[#This Row],[Start Date]]+ProposalToGnatt[[#This Row],[Days]]),$G$5,"")),"")</f>
        <v/>
      </c>
      <c r="AL51" s="36" t="str">
        <f ca="1">IFERROR(+IF(AL$27=ProposalToGnatt[[#This Row],[Start Date]],Milestone_Marker,IF(AND(AL$27&gt;ProposalToGnatt[[#This Row],[Start Date]],AL$27&lt;ProposalToGnatt[[#This Row],[Start Date]]+ProposalToGnatt[[#This Row],[Days]]),$G$5,"")),"")</f>
        <v/>
      </c>
      <c r="AM51" s="36" t="str">
        <f ca="1">IFERROR(+IF(AM$27=ProposalToGnatt[[#This Row],[Start Date]],Milestone_Marker,IF(AND(AM$27&gt;ProposalToGnatt[[#This Row],[Start Date]],AM$27&lt;ProposalToGnatt[[#This Row],[Start Date]]+ProposalToGnatt[[#This Row],[Days]]),$G$5,"")),"")</f>
        <v/>
      </c>
      <c r="AN51" s="36" t="str">
        <f ca="1">IFERROR(+IF(AN$27=ProposalToGnatt[[#This Row],[Start Date]],Milestone_Marker,IF(AND(AN$27&gt;ProposalToGnatt[[#This Row],[Start Date]],AN$27&lt;ProposalToGnatt[[#This Row],[Start Date]]+ProposalToGnatt[[#This Row],[Days]]),$G$5,"")),"")</f>
        <v/>
      </c>
      <c r="AO51" s="36" t="str">
        <f ca="1">IFERROR(+IF(AO$27=ProposalToGnatt[[#This Row],[Start Date]],Milestone_Marker,IF(AND(AO$27&gt;ProposalToGnatt[[#This Row],[Start Date]],AO$27&lt;ProposalToGnatt[[#This Row],[Start Date]]+ProposalToGnatt[[#This Row],[Days]]),$G$5,"")),"")</f>
        <v/>
      </c>
      <c r="AP51" s="36" t="str">
        <f ca="1">IFERROR(+IF(AP$27=ProposalToGnatt[[#This Row],[Start Date]],Milestone_Marker,IF(AND(AP$27&gt;ProposalToGnatt[[#This Row],[Start Date]],AP$27&lt;ProposalToGnatt[[#This Row],[Start Date]]+ProposalToGnatt[[#This Row],[Days]]),$G$5,"")),"")</f>
        <v/>
      </c>
      <c r="AQ51" s="36" t="str">
        <f ca="1">IFERROR(+IF(AQ$27=ProposalToGnatt[[#This Row],[Start Date]],Milestone_Marker,IF(AND(AQ$27&gt;ProposalToGnatt[[#This Row],[Start Date]],AQ$27&lt;ProposalToGnatt[[#This Row],[Start Date]]+ProposalToGnatt[[#This Row],[Days]]),$G$5,"")),"")</f>
        <v/>
      </c>
      <c r="AR51" s="36" t="str">
        <f ca="1">IFERROR(+IF(AR$27=ProposalToGnatt[[#This Row],[Start Date]],Milestone_Marker,IF(AND(AR$27&gt;ProposalToGnatt[[#This Row],[Start Date]],AR$27&lt;ProposalToGnatt[[#This Row],[Start Date]]+ProposalToGnatt[[#This Row],[Days]]),$G$5,"")),"")</f>
        <v/>
      </c>
      <c r="AS51" s="36" t="str">
        <f ca="1">IFERROR(+IF(AS$27=ProposalToGnatt[[#This Row],[Start Date]],Milestone_Marker,IF(AND(AS$27&gt;ProposalToGnatt[[#This Row],[Start Date]],AS$27&lt;ProposalToGnatt[[#This Row],[Start Date]]+ProposalToGnatt[[#This Row],[Days]]),$G$5,"")),"")</f>
        <v/>
      </c>
      <c r="AT51" s="36" t="str">
        <f ca="1">IFERROR(+IF(AT$27=ProposalToGnatt[[#This Row],[Start Date]],Milestone_Marker,IF(AND(AT$27&gt;ProposalToGnatt[[#This Row],[Start Date]],AT$27&lt;ProposalToGnatt[[#This Row],[Start Date]]+ProposalToGnatt[[#This Row],[Days]]),$G$5,"")),"")</f>
        <v/>
      </c>
      <c r="AU51" s="36" t="str">
        <f ca="1">IFERROR(+IF(AU$27=ProposalToGnatt[[#This Row],[Start Date]],Milestone_Marker,IF(AND(AU$27&gt;ProposalToGnatt[[#This Row],[Start Date]],AU$27&lt;ProposalToGnatt[[#This Row],[Start Date]]+ProposalToGnatt[[#This Row],[Days]]),$G$5,"")),"")</f>
        <v/>
      </c>
      <c r="AV51" s="36" t="str">
        <f ca="1">IFERROR(+IF(AV$27=ProposalToGnatt[[#This Row],[Start Date]],Milestone_Marker,IF(AND(AV$27&gt;ProposalToGnatt[[#This Row],[Start Date]],AV$27&lt;ProposalToGnatt[[#This Row],[Start Date]]+ProposalToGnatt[[#This Row],[Days]]),$G$5,"")),"")</f>
        <v/>
      </c>
      <c r="AW51" s="36" t="str">
        <f ca="1">IFERROR(+IF(AW$27=ProposalToGnatt[[#This Row],[Start Date]],Milestone_Marker,IF(AND(AW$27&gt;ProposalToGnatt[[#This Row],[Start Date]],AW$27&lt;ProposalToGnatt[[#This Row],[Start Date]]+ProposalToGnatt[[#This Row],[Days]]),$G$5,"")),"")</f>
        <v/>
      </c>
      <c r="AX51" s="36" t="str">
        <f ca="1">IFERROR(+IF(AX$27=ProposalToGnatt[[#This Row],[Start Date]],Milestone_Marker,IF(AND(AX$27&gt;ProposalToGnatt[[#This Row],[Start Date]],AX$27&lt;ProposalToGnatt[[#This Row],[Start Date]]+ProposalToGnatt[[#This Row],[Days]]),$G$5,"")),"")</f>
        <v/>
      </c>
      <c r="AY51" s="36" t="str">
        <f ca="1">IFERROR(+IF(AY$27=ProposalToGnatt[[#This Row],[Start Date]],Milestone_Marker,IF(AND(AY$27&gt;ProposalToGnatt[[#This Row],[Start Date]],AY$27&lt;ProposalToGnatt[[#This Row],[Start Date]]+ProposalToGnatt[[#This Row],[Days]]),$G$5,"")),"")</f>
        <v/>
      </c>
      <c r="AZ51" s="36" t="str">
        <f ca="1">IFERROR(+IF(AZ$27=ProposalToGnatt[[#This Row],[Start Date]],Milestone_Marker,IF(AND(AZ$27&gt;ProposalToGnatt[[#This Row],[Start Date]],AZ$27&lt;ProposalToGnatt[[#This Row],[Start Date]]+ProposalToGnatt[[#This Row],[Days]]),$G$5,"")),"")</f>
        <v/>
      </c>
      <c r="BA51" s="36" t="str">
        <f ca="1">IFERROR(+IF(BA$27=ProposalToGnatt[[#This Row],[Start Date]],Milestone_Marker,IF(AND(BA$27&gt;ProposalToGnatt[[#This Row],[Start Date]],BA$27&lt;ProposalToGnatt[[#This Row],[Start Date]]+ProposalToGnatt[[#This Row],[Days]]),$G$5,"")),"")</f>
        <v/>
      </c>
      <c r="BB51" s="36" t="str">
        <f ca="1">IFERROR(+IF(BB$27=ProposalToGnatt[[#This Row],[Start Date]],Milestone_Marker,IF(AND(BB$27&gt;ProposalToGnatt[[#This Row],[Start Date]],BB$27&lt;ProposalToGnatt[[#This Row],[Start Date]]+ProposalToGnatt[[#This Row],[Days]]),$G$5,"")),"")</f>
        <v/>
      </c>
      <c r="BC51" s="36" t="str">
        <f ca="1">IFERROR(+IF(BC$27=ProposalToGnatt[[#This Row],[Start Date]],Milestone_Marker,IF(AND(BC$27&gt;ProposalToGnatt[[#This Row],[Start Date]],BC$27&lt;ProposalToGnatt[[#This Row],[Start Date]]+ProposalToGnatt[[#This Row],[Days]]),$G$5,"")),"")</f>
        <v/>
      </c>
      <c r="BD51" s="36" t="str">
        <f ca="1">IFERROR(+IF(BD$27=ProposalToGnatt[[#This Row],[Start Date]],Milestone_Marker,IF(AND(BD$27&gt;ProposalToGnatt[[#This Row],[Start Date]],BD$27&lt;ProposalToGnatt[[#This Row],[Start Date]]+ProposalToGnatt[[#This Row],[Days]]),$G$5,"")),"")</f>
        <v/>
      </c>
      <c r="BE51" s="36" t="str">
        <f ca="1">IFERROR(+IF(BE$27=ProposalToGnatt[[#This Row],[Start Date]],Milestone_Marker,IF(AND(BE$27&gt;ProposalToGnatt[[#This Row],[Start Date]],BE$27&lt;ProposalToGnatt[[#This Row],[Start Date]]+ProposalToGnatt[[#This Row],[Days]]),$G$5,"")),"")</f>
        <v/>
      </c>
      <c r="BF51" s="36" t="str">
        <f ca="1">IFERROR(+IF(BF$27=ProposalToGnatt[[#This Row],[Start Date]],Milestone_Marker,IF(AND(BF$27&gt;ProposalToGnatt[[#This Row],[Start Date]],BF$27&lt;ProposalToGnatt[[#This Row],[Start Date]]+ProposalToGnatt[[#This Row],[Days]]),$G$5,"")),"")</f>
        <v/>
      </c>
      <c r="BG51" s="36" t="str">
        <f ca="1">IFERROR(+IF(BG$27=ProposalToGnatt[[#This Row],[Start Date]],Milestone_Marker,IF(AND(BG$27&gt;ProposalToGnatt[[#This Row],[Start Date]],BG$27&lt;ProposalToGnatt[[#This Row],[Start Date]]+ProposalToGnatt[[#This Row],[Days]]),$G$5,"")),"")</f>
        <v/>
      </c>
      <c r="BH51" s="36" t="str">
        <f ca="1">IFERROR(+IF(BH$27=ProposalToGnatt[[#This Row],[Start Date]],Milestone_Marker,IF(AND(BH$27&gt;ProposalToGnatt[[#This Row],[Start Date]],BH$27&lt;ProposalToGnatt[[#This Row],[Start Date]]+ProposalToGnatt[[#This Row],[Days]]),$G$5,"")),"")</f>
        <v/>
      </c>
      <c r="BI51" s="36" t="str">
        <f ca="1">IFERROR(+IF(BI$27=ProposalToGnatt[[#This Row],[Start Date]],Milestone_Marker,IF(AND(BI$27&gt;ProposalToGnatt[[#This Row],[Start Date]],BI$27&lt;ProposalToGnatt[[#This Row],[Start Date]]+ProposalToGnatt[[#This Row],[Days]]),$G$5,"")),"")</f>
        <v/>
      </c>
      <c r="BJ51" s="36" t="str">
        <f ca="1">IFERROR(+IF(BJ$27=ProposalToGnatt[[#This Row],[Start Date]],Milestone_Marker,IF(AND(BJ$27&gt;ProposalToGnatt[[#This Row],[Start Date]],BJ$27&lt;ProposalToGnatt[[#This Row],[Start Date]]+ProposalToGnatt[[#This Row],[Days]]),$G$5,"")),"")</f>
        <v/>
      </c>
      <c r="BK51" s="36" t="str">
        <f ca="1">IFERROR(+IF(BK$27=ProposalToGnatt[[#This Row],[Start Date]],Milestone_Marker,IF(AND(BK$27&gt;ProposalToGnatt[[#This Row],[Start Date]],BK$27&lt;ProposalToGnatt[[#This Row],[Start Date]]+ProposalToGnatt[[#This Row],[Days]]),$G$5,"")),"")</f>
        <v/>
      </c>
      <c r="BL51" s="36" t="str">
        <f ca="1">IFERROR(+IF(BL$27=ProposalToGnatt[[#This Row],[Start Date]],Milestone_Marker,IF(AND(BL$27&gt;ProposalToGnatt[[#This Row],[Start Date]],BL$27&lt;ProposalToGnatt[[#This Row],[Start Date]]+ProposalToGnatt[[#This Row],[Days]]),$G$5,"")),"")</f>
        <v/>
      </c>
      <c r="BM51" s="36" t="str">
        <f ca="1">IFERROR(+IF(BM$27=ProposalToGnatt[[#This Row],[Start Date]],Milestone_Marker,IF(AND(BM$27&gt;ProposalToGnatt[[#This Row],[Start Date]],BM$27&lt;ProposalToGnatt[[#This Row],[Start Date]]+ProposalToGnatt[[#This Row],[Days]]),$G$5,"")),"")</f>
        <v/>
      </c>
      <c r="BN51" s="36" t="str">
        <f ca="1">IFERROR(+IF(BN$27=ProposalToGnatt[[#This Row],[Start Date]],Milestone_Marker,IF(AND(BN$27&gt;ProposalToGnatt[[#This Row],[Start Date]],BN$27&lt;ProposalToGnatt[[#This Row],[Start Date]]+ProposalToGnatt[[#This Row],[Days]]),$G$5,"")),"")</f>
        <v/>
      </c>
      <c r="BO51" s="36" t="str">
        <f ca="1">IFERROR(+IF(BO$27=ProposalToGnatt[[#This Row],[Start Date]],Milestone_Marker,IF(AND(BO$27&gt;ProposalToGnatt[[#This Row],[Start Date]],BO$27&lt;ProposalToGnatt[[#This Row],[Start Date]]+ProposalToGnatt[[#This Row],[Days]]),$G$5,"")),"")</f>
        <v/>
      </c>
      <c r="BP51" s="36" t="str">
        <f ca="1">IFERROR(+IF(BP$27=ProposalToGnatt[[#This Row],[Start Date]],Milestone_Marker,IF(AND(BP$27&gt;ProposalToGnatt[[#This Row],[Start Date]],BP$27&lt;ProposalToGnatt[[#This Row],[Start Date]]+ProposalToGnatt[[#This Row],[Days]]),$G$5,"")),"")</f>
        <v/>
      </c>
      <c r="BQ51" s="36" t="str">
        <f ca="1">IFERROR(+IF(BQ$27=ProposalToGnatt[[#This Row],[Start Date]],Milestone_Marker,IF(AND(BQ$27&gt;ProposalToGnatt[[#This Row],[Start Date]],BQ$27&lt;ProposalToGnatt[[#This Row],[Start Date]]+ProposalToGnatt[[#This Row],[Days]]),$G$5,"")),"")</f>
        <v/>
      </c>
      <c r="BR51" s="36" t="str">
        <f ca="1">IFERROR(+IF(BR$27=ProposalToGnatt[[#This Row],[Start Date]],Milestone_Marker,IF(AND(BR$27&gt;ProposalToGnatt[[#This Row],[Start Date]],BR$27&lt;ProposalToGnatt[[#This Row],[Start Date]]+ProposalToGnatt[[#This Row],[Days]]),$G$5,"")),"")</f>
        <v/>
      </c>
      <c r="BS51" s="36" t="str">
        <f ca="1">IFERROR(+IF(BS$27=ProposalToGnatt[[#This Row],[Start Date]],Milestone_Marker,IF(AND(BS$27&gt;ProposalToGnatt[[#This Row],[Start Date]],BS$27&lt;ProposalToGnatt[[#This Row],[Start Date]]+ProposalToGnatt[[#This Row],[Days]]),$G$5,"")),"")</f>
        <v/>
      </c>
      <c r="BT51" s="36" t="str">
        <f ca="1">IFERROR(+IF(BT$27=ProposalToGnatt[[#This Row],[Start Date]],Milestone_Marker,IF(AND(BT$27&gt;ProposalToGnatt[[#This Row],[Start Date]],BT$27&lt;ProposalToGnatt[[#This Row],[Start Date]]+ProposalToGnatt[[#This Row],[Days]]),$G$5,"")),"")</f>
        <v/>
      </c>
      <c r="BU51" s="36" t="str">
        <f ca="1">IFERROR(+IF(BU$27=ProposalToGnatt[[#This Row],[Start Date]],Milestone_Marker,IF(AND(BU$27&gt;ProposalToGnatt[[#This Row],[Start Date]],BU$27&lt;ProposalToGnatt[[#This Row],[Start Date]]+ProposalToGnatt[[#This Row],[Days]]),$G$5,"")),"")</f>
        <v/>
      </c>
      <c r="BV51" s="36" t="str">
        <f ca="1">IFERROR(+IF(BV$27=ProposalToGnatt[[#This Row],[Start Date]],Milestone_Marker,IF(AND(BV$27&gt;ProposalToGnatt[[#This Row],[Start Date]],BV$27&lt;ProposalToGnatt[[#This Row],[Start Date]]+ProposalToGnatt[[#This Row],[Days]]),$G$5,"")),"")</f>
        <v/>
      </c>
      <c r="BW51" s="36" t="str">
        <f ca="1">IFERROR(+IF(BW$27=ProposalToGnatt[[#This Row],[Start Date]],Milestone_Marker,IF(AND(BW$27&gt;ProposalToGnatt[[#This Row],[Start Date]],BW$27&lt;ProposalToGnatt[[#This Row],[Start Date]]+ProposalToGnatt[[#This Row],[Days]]),$G$5,"")),"")</f>
        <v/>
      </c>
      <c r="BX51" s="36" t="str">
        <f ca="1">IFERROR(+IF(BX$27=ProposalToGnatt[[#This Row],[Start Date]],Milestone_Marker,IF(AND(BX$27&gt;ProposalToGnatt[[#This Row],[Start Date]],BX$27&lt;ProposalToGnatt[[#This Row],[Start Date]]+ProposalToGnatt[[#This Row],[Days]]),$G$5,"")),"")</f>
        <v/>
      </c>
      <c r="BY51" s="36" t="str">
        <f ca="1">IFERROR(+IF(BY$27=ProposalToGnatt[[#This Row],[Start Date]],Milestone_Marker,IF(AND(BY$27&gt;ProposalToGnatt[[#This Row],[Start Date]],BY$27&lt;ProposalToGnatt[[#This Row],[Start Date]]+ProposalToGnatt[[#This Row],[Days]]),$G$5,"")),"")</f>
        <v/>
      </c>
      <c r="BZ51" s="36" t="str">
        <f ca="1">IFERROR(+IF(BZ$27=ProposalToGnatt[[#This Row],[Start Date]],Milestone_Marker,IF(AND(BZ$27&gt;ProposalToGnatt[[#This Row],[Start Date]],BZ$27&lt;ProposalToGnatt[[#This Row],[Start Date]]+ProposalToGnatt[[#This Row],[Days]]),$G$5,"")),"")</f>
        <v/>
      </c>
      <c r="CA51" s="36" t="str">
        <f ca="1">IFERROR(+IF(CA$27=ProposalToGnatt[[#This Row],[Start Date]],Milestone_Marker,IF(AND(CA$27&gt;ProposalToGnatt[[#This Row],[Start Date]],CA$27&lt;ProposalToGnatt[[#This Row],[Start Date]]+ProposalToGnatt[[#This Row],[Days]]),$G$5,"")),"")</f>
        <v/>
      </c>
      <c r="CB51" s="36" t="str">
        <f ca="1">IFERROR(+IF(CB$27=ProposalToGnatt[[#This Row],[Start Date]],Milestone_Marker,IF(AND(CB$27&gt;ProposalToGnatt[[#This Row],[Start Date]],CB$27&lt;ProposalToGnatt[[#This Row],[Start Date]]+ProposalToGnatt[[#This Row],[Days]]),$G$5,"")),"")</f>
        <v/>
      </c>
      <c r="CC51" s="36" t="str">
        <f ca="1">IFERROR(+IF(CC$27=ProposalToGnatt[[#This Row],[Start Date]],Milestone_Marker,IF(AND(CC$27&gt;ProposalToGnatt[[#This Row],[Start Date]],CC$27&lt;ProposalToGnatt[[#This Row],[Start Date]]+ProposalToGnatt[[#This Row],[Days]]),$G$5,"")),"")</f>
        <v/>
      </c>
      <c r="CD51" s="36" t="str">
        <f ca="1">IFERROR(+IF(CD$27=ProposalToGnatt[[#This Row],[Start Date]],Milestone_Marker,IF(AND(CD$27&gt;ProposalToGnatt[[#This Row],[Start Date]],CD$27&lt;ProposalToGnatt[[#This Row],[Start Date]]+ProposalToGnatt[[#This Row],[Days]]),$G$5,"")),"")</f>
        <v/>
      </c>
      <c r="CE51" s="36" t="str">
        <f ca="1">IFERROR(+IF(CE$27=ProposalToGnatt[[#This Row],[Start Date]],Milestone_Marker,IF(AND(CE$27&gt;ProposalToGnatt[[#This Row],[Start Date]],CE$27&lt;ProposalToGnatt[[#This Row],[Start Date]]+ProposalToGnatt[[#This Row],[Days]]),$G$5,"")),"")</f>
        <v/>
      </c>
      <c r="CF51" s="36" t="str">
        <f ca="1">IFERROR(+IF(CF$27=ProposalToGnatt[[#This Row],[Start Date]],Milestone_Marker,IF(AND(CF$27&gt;ProposalToGnatt[[#This Row],[Start Date]],CF$27&lt;ProposalToGnatt[[#This Row],[Start Date]]+ProposalToGnatt[[#This Row],[Days]]),$G$5,"")),"")</f>
        <v/>
      </c>
      <c r="CG51" s="36" t="str">
        <f ca="1">IFERROR(+IF(CG$27=ProposalToGnatt[[#This Row],[Start Date]],Milestone_Marker,IF(AND(CG$27&gt;ProposalToGnatt[[#This Row],[Start Date]],CG$27&lt;ProposalToGnatt[[#This Row],[Start Date]]+ProposalToGnatt[[#This Row],[Days]]),$G$5,"")),"")</f>
        <v/>
      </c>
      <c r="CH51" s="36" t="str">
        <f ca="1">IFERROR(+IF(CH$27=ProposalToGnatt[[#This Row],[Start Date]],Milestone_Marker,IF(AND(CH$27&gt;ProposalToGnatt[[#This Row],[Start Date]],CH$27&lt;ProposalToGnatt[[#This Row],[Start Date]]+ProposalToGnatt[[#This Row],[Days]]),$G$5,"")),"")</f>
        <v/>
      </c>
      <c r="CI51" s="36" t="str">
        <f ca="1">IFERROR(+IF(CI$27=ProposalToGnatt[[#This Row],[Start Date]],Milestone_Marker,IF(AND(CI$27&gt;ProposalToGnatt[[#This Row],[Start Date]],CI$27&lt;ProposalToGnatt[[#This Row],[Start Date]]+ProposalToGnatt[[#This Row],[Days]]),$G$5,"")),"")</f>
        <v/>
      </c>
      <c r="CJ51" s="36" t="str">
        <f ca="1">IFERROR(+IF(CJ$27=ProposalToGnatt[[#This Row],[Start Date]],Milestone_Marker,IF(AND(CJ$27&gt;ProposalToGnatt[[#This Row],[Start Date]],CJ$27&lt;ProposalToGnatt[[#This Row],[Start Date]]+ProposalToGnatt[[#This Row],[Days]]),$G$5,"")),"")</f>
        <v/>
      </c>
      <c r="CK51" s="36" t="str">
        <f ca="1">IFERROR(+IF(CK$27=ProposalToGnatt[[#This Row],[Start Date]],Milestone_Marker,IF(AND(CK$27&gt;ProposalToGnatt[[#This Row],[Start Date]],CK$27&lt;ProposalToGnatt[[#This Row],[Start Date]]+ProposalToGnatt[[#This Row],[Days]]),$G$5,"")),"")</f>
        <v/>
      </c>
      <c r="CL51" s="36" t="str">
        <f ca="1">IFERROR(+IF(CL$27=ProposalToGnatt[[#This Row],[Start Date]],Milestone_Marker,IF(AND(CL$27&gt;ProposalToGnatt[[#This Row],[Start Date]],CL$27&lt;ProposalToGnatt[[#This Row],[Start Date]]+ProposalToGnatt[[#This Row],[Days]]),$G$5,"")),"")</f>
        <v/>
      </c>
      <c r="CM51" s="36" t="str">
        <f ca="1">IFERROR(+IF(CM$27=ProposalToGnatt[[#This Row],[Start Date]],Milestone_Marker,IF(AND(CM$27&gt;ProposalToGnatt[[#This Row],[Start Date]],CM$27&lt;ProposalToGnatt[[#This Row],[Start Date]]+ProposalToGnatt[[#This Row],[Days]]),$G$5,"")),"")</f>
        <v/>
      </c>
      <c r="CN51" s="36" t="str">
        <f ca="1">IFERROR(+IF(CN$27=ProposalToGnatt[[#This Row],[Start Date]],Milestone_Marker,IF(AND(CN$27&gt;ProposalToGnatt[[#This Row],[Start Date]],CN$27&lt;ProposalToGnatt[[#This Row],[Start Date]]+ProposalToGnatt[[#This Row],[Days]]),$G$5,"")),"")</f>
        <v/>
      </c>
      <c r="CO51" s="36" t="str">
        <f ca="1">IFERROR(+IF(CO$27=ProposalToGnatt[[#This Row],[Start Date]],Milestone_Marker,IF(AND(CO$27&gt;ProposalToGnatt[[#This Row],[Start Date]],CO$27&lt;ProposalToGnatt[[#This Row],[Start Date]]+ProposalToGnatt[[#This Row],[Days]]),$G$5,"")),"")</f>
        <v/>
      </c>
      <c r="CP51" s="36" t="str">
        <f ca="1">IFERROR(+IF(CP$27=ProposalToGnatt[[#This Row],[Start Date]],Milestone_Marker,IF(AND(CP$27&gt;ProposalToGnatt[[#This Row],[Start Date]],CP$27&lt;ProposalToGnatt[[#This Row],[Start Date]]+ProposalToGnatt[[#This Row],[Days]]),$G$5,"")),"")</f>
        <v/>
      </c>
      <c r="CQ51" s="36" t="str">
        <f ca="1">IFERROR(+IF(CQ$27=ProposalToGnatt[[#This Row],[Start Date]],Milestone_Marker,IF(AND(CQ$27&gt;ProposalToGnatt[[#This Row],[Start Date]],CQ$27&lt;ProposalToGnatt[[#This Row],[Start Date]]+ProposalToGnatt[[#This Row],[Days]]),$G$5,"")),"")</f>
        <v/>
      </c>
      <c r="CR51" s="36" t="str">
        <f ca="1">IFERROR(+IF(CR$27=ProposalToGnatt[[#This Row],[Start Date]],Milestone_Marker,IF(AND(CR$27&gt;ProposalToGnatt[[#This Row],[Start Date]],CR$27&lt;ProposalToGnatt[[#This Row],[Start Date]]+ProposalToGnatt[[#This Row],[Days]]),$G$5,"")),"")</f>
        <v/>
      </c>
      <c r="CS51" s="36" t="str">
        <f ca="1">IFERROR(+IF(CS$27=ProposalToGnatt[[#This Row],[Start Date]],Milestone_Marker,IF(AND(CS$27&gt;ProposalToGnatt[[#This Row],[Start Date]],CS$27&lt;ProposalToGnatt[[#This Row],[Start Date]]+ProposalToGnatt[[#This Row],[Days]]),$G$5,"")),"")</f>
        <v/>
      </c>
      <c r="CT51" s="36" t="str">
        <f ca="1">IFERROR(+IF(CT$27=ProposalToGnatt[[#This Row],[Start Date]],Milestone_Marker,IF(AND(CT$27&gt;ProposalToGnatt[[#This Row],[Start Date]],CT$27&lt;ProposalToGnatt[[#This Row],[Start Date]]+ProposalToGnatt[[#This Row],[Days]]),$G$5,"")),"")</f>
        <v/>
      </c>
      <c r="CU51" s="36" t="str">
        <f ca="1">IFERROR(+IF(CU$27=ProposalToGnatt[[#This Row],[Start Date]],Milestone_Marker,IF(AND(CU$27&gt;ProposalToGnatt[[#This Row],[Start Date]],CU$27&lt;ProposalToGnatt[[#This Row],[Start Date]]+ProposalToGnatt[[#This Row],[Days]]),$G$5,"")),"")</f>
        <v/>
      </c>
      <c r="CV51" s="36"/>
      <c r="CW51" s="36"/>
      <c r="CX51" s="36"/>
      <c r="CY51" s="36"/>
      <c r="CZ51" s="36"/>
      <c r="DA51" s="36"/>
      <c r="DB51" s="36"/>
      <c r="DC51" s="36"/>
      <c r="DD51" s="36"/>
      <c r="DE51" s="36"/>
      <c r="DF51" s="36"/>
      <c r="DG51" s="36"/>
      <c r="DH51" s="36"/>
      <c r="DI51" s="36"/>
      <c r="DJ51" s="36"/>
      <c r="DK51" s="36"/>
      <c r="DL51" s="36"/>
      <c r="DM51" s="36"/>
      <c r="DN51" s="36"/>
      <c r="DO51" s="36"/>
      <c r="DP51" s="36"/>
      <c r="DQ51" s="36"/>
      <c r="DR51" s="36"/>
      <c r="DS51" s="36"/>
      <c r="DT51" s="36"/>
      <c r="DU51" s="36"/>
    </row>
    <row r="52" spans="1:125" s="41" customFormat="1" ht="15" x14ac:dyDescent="0.25">
      <c r="A52" t="s">
        <v>267</v>
      </c>
      <c r="B52">
        <v>34</v>
      </c>
      <c r="C52"/>
      <c r="D52" t="s">
        <v>946</v>
      </c>
      <c r="E52" s="568" t="s">
        <v>943</v>
      </c>
      <c r="F52">
        <v>1</v>
      </c>
      <c r="G52" s="14">
        <v>65</v>
      </c>
      <c r="H52" s="14">
        <v>65</v>
      </c>
      <c r="I52" t="s">
        <v>3</v>
      </c>
      <c r="J52">
        <v>1</v>
      </c>
      <c r="K52" s="249"/>
      <c r="L52"/>
      <c r="M52" s="14"/>
      <c r="N52" s="300">
        <v>65</v>
      </c>
      <c r="O52" s="554"/>
      <c r="P52" s="36" t="str">
        <f ca="1">IFERROR(+IF(P$27=ProposalToGnatt[[#This Row],[Start Date]],Milestone_Marker,IF(AND(P$27&gt;ProposalToGnatt[[#This Row],[Start Date]],P$27&lt;ProposalToGnatt[[#This Row],[Start Date]]+ProposalToGnatt[[#This Row],[Days]]),$G$5,"")),"")</f>
        <v/>
      </c>
      <c r="Q52" s="36" t="str">
        <f ca="1">IFERROR(+IF(Q$27=ProposalToGnatt[[#This Row],[Start Date]],Milestone_Marker,IF(AND(Q$27&gt;ProposalToGnatt[[#This Row],[Start Date]],Q$27&lt;ProposalToGnatt[[#This Row],[Start Date]]+ProposalToGnatt[[#This Row],[Days]]),$G$5,"")),"")</f>
        <v/>
      </c>
      <c r="R52" s="36" t="str">
        <f ca="1">IFERROR(+IF(R$27=ProposalToGnatt[[#This Row],[Start Date]],Milestone_Marker,IF(AND(R$27&gt;ProposalToGnatt[[#This Row],[Start Date]],R$27&lt;ProposalToGnatt[[#This Row],[Start Date]]+ProposalToGnatt[[#This Row],[Days]]),$G$5,"")),"")</f>
        <v/>
      </c>
      <c r="S52" s="36" t="str">
        <f ca="1">IFERROR(+IF(S$27=ProposalToGnatt[[#This Row],[Start Date]],Milestone_Marker,IF(AND(S$27&gt;ProposalToGnatt[[#This Row],[Start Date]],S$27&lt;ProposalToGnatt[[#This Row],[Start Date]]+ProposalToGnatt[[#This Row],[Days]]),$G$5,"")),"")</f>
        <v/>
      </c>
      <c r="T52" s="36" t="str">
        <f ca="1">IFERROR(+IF(T$27=ProposalToGnatt[[#This Row],[Start Date]],Milestone_Marker,IF(AND(T$27&gt;ProposalToGnatt[[#This Row],[Start Date]],T$27&lt;ProposalToGnatt[[#This Row],[Start Date]]+ProposalToGnatt[[#This Row],[Days]]),$G$5,"")),"")</f>
        <v/>
      </c>
      <c r="U52" s="36" t="str">
        <f ca="1">IFERROR(+IF(U$27=ProposalToGnatt[[#This Row],[Start Date]],Milestone_Marker,IF(AND(U$27&gt;ProposalToGnatt[[#This Row],[Start Date]],U$27&lt;ProposalToGnatt[[#This Row],[Start Date]]+ProposalToGnatt[[#This Row],[Days]]),$G$5,"")),"")</f>
        <v/>
      </c>
      <c r="V52" s="36" t="str">
        <f ca="1">IFERROR(+IF(V$27=ProposalToGnatt[[#This Row],[Start Date]],Milestone_Marker,IF(AND(V$27&gt;ProposalToGnatt[[#This Row],[Start Date]],V$27&lt;ProposalToGnatt[[#This Row],[Start Date]]+ProposalToGnatt[[#This Row],[Days]]),$G$5,"")),"")</f>
        <v/>
      </c>
      <c r="W52" s="36" t="str">
        <f ca="1">IFERROR(+IF(W$27=ProposalToGnatt[[#This Row],[Start Date]],Milestone_Marker,IF(AND(W$27&gt;ProposalToGnatt[[#This Row],[Start Date]],W$27&lt;ProposalToGnatt[[#This Row],[Start Date]]+ProposalToGnatt[[#This Row],[Days]]),$G$5,"")),"")</f>
        <v/>
      </c>
      <c r="X52" s="36" t="str">
        <f ca="1">IFERROR(+IF(X$27=ProposalToGnatt[[#This Row],[Start Date]],Milestone_Marker,IF(AND(X$27&gt;ProposalToGnatt[[#This Row],[Start Date]],X$27&lt;ProposalToGnatt[[#This Row],[Start Date]]+ProposalToGnatt[[#This Row],[Days]]),$G$5,"")),"")</f>
        <v/>
      </c>
      <c r="Y52" s="36" t="str">
        <f ca="1">IFERROR(+IF(Y$27=ProposalToGnatt[[#This Row],[Start Date]],Milestone_Marker,IF(AND(Y$27&gt;ProposalToGnatt[[#This Row],[Start Date]],Y$27&lt;ProposalToGnatt[[#This Row],[Start Date]]+ProposalToGnatt[[#This Row],[Days]]),$G$5,"")),"")</f>
        <v/>
      </c>
      <c r="Z52" s="36" t="str">
        <f ca="1">IFERROR(+IF(Z$27=ProposalToGnatt[[#This Row],[Start Date]],Milestone_Marker,IF(AND(Z$27&gt;ProposalToGnatt[[#This Row],[Start Date]],Z$27&lt;ProposalToGnatt[[#This Row],[Start Date]]+ProposalToGnatt[[#This Row],[Days]]),$G$5,"")),"")</f>
        <v/>
      </c>
      <c r="AA52" s="36" t="str">
        <f ca="1">IFERROR(+IF(AA$27=ProposalToGnatt[[#This Row],[Start Date]],Milestone_Marker,IF(AND(AA$27&gt;ProposalToGnatt[[#This Row],[Start Date]],AA$27&lt;ProposalToGnatt[[#This Row],[Start Date]]+ProposalToGnatt[[#This Row],[Days]]),$G$5,"")),"")</f>
        <v/>
      </c>
      <c r="AB52" s="36" t="str">
        <f ca="1">IFERROR(+IF(AB$27=ProposalToGnatt[[#This Row],[Start Date]],Milestone_Marker,IF(AND(AB$27&gt;ProposalToGnatt[[#This Row],[Start Date]],AB$27&lt;ProposalToGnatt[[#This Row],[Start Date]]+ProposalToGnatt[[#This Row],[Days]]),$G$5,"")),"")</f>
        <v/>
      </c>
      <c r="AC52" s="36" t="str">
        <f ca="1">IFERROR(+IF(AC$27=ProposalToGnatt[[#This Row],[Start Date]],Milestone_Marker,IF(AND(AC$27&gt;ProposalToGnatt[[#This Row],[Start Date]],AC$27&lt;ProposalToGnatt[[#This Row],[Start Date]]+ProposalToGnatt[[#This Row],[Days]]),$G$5,"")),"")</f>
        <v/>
      </c>
      <c r="AD52" s="36" t="str">
        <f ca="1">IFERROR(+IF(AD$27=ProposalToGnatt[[#This Row],[Start Date]],Milestone_Marker,IF(AND(AD$27&gt;ProposalToGnatt[[#This Row],[Start Date]],AD$27&lt;ProposalToGnatt[[#This Row],[Start Date]]+ProposalToGnatt[[#This Row],[Days]]),$G$5,"")),"")</f>
        <v/>
      </c>
      <c r="AE52" s="36" t="str">
        <f ca="1">IFERROR(+IF(AE$27=ProposalToGnatt[[#This Row],[Start Date]],Milestone_Marker,IF(AND(AE$27&gt;ProposalToGnatt[[#This Row],[Start Date]],AE$27&lt;ProposalToGnatt[[#This Row],[Start Date]]+ProposalToGnatt[[#This Row],[Days]]),$G$5,"")),"")</f>
        <v/>
      </c>
      <c r="AF52" s="36" t="str">
        <f ca="1">IFERROR(+IF(AF$27=ProposalToGnatt[[#This Row],[Start Date]],Milestone_Marker,IF(AND(AF$27&gt;ProposalToGnatt[[#This Row],[Start Date]],AF$27&lt;ProposalToGnatt[[#This Row],[Start Date]]+ProposalToGnatt[[#This Row],[Days]]),$G$5,"")),"")</f>
        <v/>
      </c>
      <c r="AG52" s="36" t="str">
        <f ca="1">IFERROR(+IF(AG$27=ProposalToGnatt[[#This Row],[Start Date]],Milestone_Marker,IF(AND(AG$27&gt;ProposalToGnatt[[#This Row],[Start Date]],AG$27&lt;ProposalToGnatt[[#This Row],[Start Date]]+ProposalToGnatt[[#This Row],[Days]]),$G$5,"")),"")</f>
        <v/>
      </c>
      <c r="AH52" s="36" t="str">
        <f ca="1">IFERROR(+IF(AH$27=ProposalToGnatt[[#This Row],[Start Date]],Milestone_Marker,IF(AND(AH$27&gt;ProposalToGnatt[[#This Row],[Start Date]],AH$27&lt;ProposalToGnatt[[#This Row],[Start Date]]+ProposalToGnatt[[#This Row],[Days]]),$G$5,"")),"")</f>
        <v/>
      </c>
      <c r="AI52" s="36" t="str">
        <f ca="1">IFERROR(+IF(AI$27=ProposalToGnatt[[#This Row],[Start Date]],Milestone_Marker,IF(AND(AI$27&gt;ProposalToGnatt[[#This Row],[Start Date]],AI$27&lt;ProposalToGnatt[[#This Row],[Start Date]]+ProposalToGnatt[[#This Row],[Days]]),$G$5,"")),"")</f>
        <v/>
      </c>
      <c r="AJ52" s="36" t="str">
        <f ca="1">IFERROR(+IF(AJ$27=ProposalToGnatt[[#This Row],[Start Date]],Milestone_Marker,IF(AND(AJ$27&gt;ProposalToGnatt[[#This Row],[Start Date]],AJ$27&lt;ProposalToGnatt[[#This Row],[Start Date]]+ProposalToGnatt[[#This Row],[Days]]),$G$5,"")),"")</f>
        <v/>
      </c>
      <c r="AK52" s="36" t="str">
        <f ca="1">IFERROR(+IF(AK$27=ProposalToGnatt[[#This Row],[Start Date]],Milestone_Marker,IF(AND(AK$27&gt;ProposalToGnatt[[#This Row],[Start Date]],AK$27&lt;ProposalToGnatt[[#This Row],[Start Date]]+ProposalToGnatt[[#This Row],[Days]]),$G$5,"")),"")</f>
        <v/>
      </c>
      <c r="AL52" s="36" t="str">
        <f ca="1">IFERROR(+IF(AL$27=ProposalToGnatt[[#This Row],[Start Date]],Milestone_Marker,IF(AND(AL$27&gt;ProposalToGnatt[[#This Row],[Start Date]],AL$27&lt;ProposalToGnatt[[#This Row],[Start Date]]+ProposalToGnatt[[#This Row],[Days]]),$G$5,"")),"")</f>
        <v/>
      </c>
      <c r="AM52" s="36" t="str">
        <f ca="1">IFERROR(+IF(AM$27=ProposalToGnatt[[#This Row],[Start Date]],Milestone_Marker,IF(AND(AM$27&gt;ProposalToGnatt[[#This Row],[Start Date]],AM$27&lt;ProposalToGnatt[[#This Row],[Start Date]]+ProposalToGnatt[[#This Row],[Days]]),$G$5,"")),"")</f>
        <v/>
      </c>
      <c r="AN52" s="36" t="str">
        <f ca="1">IFERROR(+IF(AN$27=ProposalToGnatt[[#This Row],[Start Date]],Milestone_Marker,IF(AND(AN$27&gt;ProposalToGnatt[[#This Row],[Start Date]],AN$27&lt;ProposalToGnatt[[#This Row],[Start Date]]+ProposalToGnatt[[#This Row],[Days]]),$G$5,"")),"")</f>
        <v/>
      </c>
      <c r="AO52" s="36" t="str">
        <f ca="1">IFERROR(+IF(AO$27=ProposalToGnatt[[#This Row],[Start Date]],Milestone_Marker,IF(AND(AO$27&gt;ProposalToGnatt[[#This Row],[Start Date]],AO$27&lt;ProposalToGnatt[[#This Row],[Start Date]]+ProposalToGnatt[[#This Row],[Days]]),$G$5,"")),"")</f>
        <v/>
      </c>
      <c r="AP52" s="36" t="str">
        <f ca="1">IFERROR(+IF(AP$27=ProposalToGnatt[[#This Row],[Start Date]],Milestone_Marker,IF(AND(AP$27&gt;ProposalToGnatt[[#This Row],[Start Date]],AP$27&lt;ProposalToGnatt[[#This Row],[Start Date]]+ProposalToGnatt[[#This Row],[Days]]),$G$5,"")),"")</f>
        <v/>
      </c>
      <c r="AQ52" s="36" t="str">
        <f ca="1">IFERROR(+IF(AQ$27=ProposalToGnatt[[#This Row],[Start Date]],Milestone_Marker,IF(AND(AQ$27&gt;ProposalToGnatt[[#This Row],[Start Date]],AQ$27&lt;ProposalToGnatt[[#This Row],[Start Date]]+ProposalToGnatt[[#This Row],[Days]]),$G$5,"")),"")</f>
        <v/>
      </c>
      <c r="AR52" s="36" t="str">
        <f ca="1">IFERROR(+IF(AR$27=ProposalToGnatt[[#This Row],[Start Date]],Milestone_Marker,IF(AND(AR$27&gt;ProposalToGnatt[[#This Row],[Start Date]],AR$27&lt;ProposalToGnatt[[#This Row],[Start Date]]+ProposalToGnatt[[#This Row],[Days]]),$G$5,"")),"")</f>
        <v/>
      </c>
      <c r="AS52" s="36" t="str">
        <f ca="1">IFERROR(+IF(AS$27=ProposalToGnatt[[#This Row],[Start Date]],Milestone_Marker,IF(AND(AS$27&gt;ProposalToGnatt[[#This Row],[Start Date]],AS$27&lt;ProposalToGnatt[[#This Row],[Start Date]]+ProposalToGnatt[[#This Row],[Days]]),$G$5,"")),"")</f>
        <v/>
      </c>
      <c r="AT52" s="36" t="str">
        <f ca="1">IFERROR(+IF(AT$27=ProposalToGnatt[[#This Row],[Start Date]],Milestone_Marker,IF(AND(AT$27&gt;ProposalToGnatt[[#This Row],[Start Date]],AT$27&lt;ProposalToGnatt[[#This Row],[Start Date]]+ProposalToGnatt[[#This Row],[Days]]),$G$5,"")),"")</f>
        <v/>
      </c>
      <c r="AU52" s="36" t="str">
        <f ca="1">IFERROR(+IF(AU$27=ProposalToGnatt[[#This Row],[Start Date]],Milestone_Marker,IF(AND(AU$27&gt;ProposalToGnatt[[#This Row],[Start Date]],AU$27&lt;ProposalToGnatt[[#This Row],[Start Date]]+ProposalToGnatt[[#This Row],[Days]]),$G$5,"")),"")</f>
        <v/>
      </c>
      <c r="AV52" s="36" t="str">
        <f ca="1">IFERROR(+IF(AV$27=ProposalToGnatt[[#This Row],[Start Date]],Milestone_Marker,IF(AND(AV$27&gt;ProposalToGnatt[[#This Row],[Start Date]],AV$27&lt;ProposalToGnatt[[#This Row],[Start Date]]+ProposalToGnatt[[#This Row],[Days]]),$G$5,"")),"")</f>
        <v/>
      </c>
      <c r="AW52" s="36" t="str">
        <f ca="1">IFERROR(+IF(AW$27=ProposalToGnatt[[#This Row],[Start Date]],Milestone_Marker,IF(AND(AW$27&gt;ProposalToGnatt[[#This Row],[Start Date]],AW$27&lt;ProposalToGnatt[[#This Row],[Start Date]]+ProposalToGnatt[[#This Row],[Days]]),$G$5,"")),"")</f>
        <v/>
      </c>
      <c r="AX52" s="36" t="str">
        <f ca="1">IFERROR(+IF(AX$27=ProposalToGnatt[[#This Row],[Start Date]],Milestone_Marker,IF(AND(AX$27&gt;ProposalToGnatt[[#This Row],[Start Date]],AX$27&lt;ProposalToGnatt[[#This Row],[Start Date]]+ProposalToGnatt[[#This Row],[Days]]),$G$5,"")),"")</f>
        <v/>
      </c>
      <c r="AY52" s="36" t="str">
        <f ca="1">IFERROR(+IF(AY$27=ProposalToGnatt[[#This Row],[Start Date]],Milestone_Marker,IF(AND(AY$27&gt;ProposalToGnatt[[#This Row],[Start Date]],AY$27&lt;ProposalToGnatt[[#This Row],[Start Date]]+ProposalToGnatt[[#This Row],[Days]]),$G$5,"")),"")</f>
        <v/>
      </c>
      <c r="AZ52" s="36" t="str">
        <f ca="1">IFERROR(+IF(AZ$27=ProposalToGnatt[[#This Row],[Start Date]],Milestone_Marker,IF(AND(AZ$27&gt;ProposalToGnatt[[#This Row],[Start Date]],AZ$27&lt;ProposalToGnatt[[#This Row],[Start Date]]+ProposalToGnatt[[#This Row],[Days]]),$G$5,"")),"")</f>
        <v/>
      </c>
      <c r="BA52" s="36" t="str">
        <f ca="1">IFERROR(+IF(BA$27=ProposalToGnatt[[#This Row],[Start Date]],Milestone_Marker,IF(AND(BA$27&gt;ProposalToGnatt[[#This Row],[Start Date]],BA$27&lt;ProposalToGnatt[[#This Row],[Start Date]]+ProposalToGnatt[[#This Row],[Days]]),$G$5,"")),"")</f>
        <v/>
      </c>
      <c r="BB52" s="36" t="str">
        <f ca="1">IFERROR(+IF(BB$27=ProposalToGnatt[[#This Row],[Start Date]],Milestone_Marker,IF(AND(BB$27&gt;ProposalToGnatt[[#This Row],[Start Date]],BB$27&lt;ProposalToGnatt[[#This Row],[Start Date]]+ProposalToGnatt[[#This Row],[Days]]),$G$5,"")),"")</f>
        <v/>
      </c>
      <c r="BC52" s="36" t="str">
        <f ca="1">IFERROR(+IF(BC$27=ProposalToGnatt[[#This Row],[Start Date]],Milestone_Marker,IF(AND(BC$27&gt;ProposalToGnatt[[#This Row],[Start Date]],BC$27&lt;ProposalToGnatt[[#This Row],[Start Date]]+ProposalToGnatt[[#This Row],[Days]]),$G$5,"")),"")</f>
        <v/>
      </c>
      <c r="BD52" s="36" t="str">
        <f ca="1">IFERROR(+IF(BD$27=ProposalToGnatt[[#This Row],[Start Date]],Milestone_Marker,IF(AND(BD$27&gt;ProposalToGnatt[[#This Row],[Start Date]],BD$27&lt;ProposalToGnatt[[#This Row],[Start Date]]+ProposalToGnatt[[#This Row],[Days]]),$G$5,"")),"")</f>
        <v/>
      </c>
      <c r="BE52" s="36" t="str">
        <f ca="1">IFERROR(+IF(BE$27=ProposalToGnatt[[#This Row],[Start Date]],Milestone_Marker,IF(AND(BE$27&gt;ProposalToGnatt[[#This Row],[Start Date]],BE$27&lt;ProposalToGnatt[[#This Row],[Start Date]]+ProposalToGnatt[[#This Row],[Days]]),$G$5,"")),"")</f>
        <v/>
      </c>
      <c r="BF52" s="36" t="str">
        <f ca="1">IFERROR(+IF(BF$27=ProposalToGnatt[[#This Row],[Start Date]],Milestone_Marker,IF(AND(BF$27&gt;ProposalToGnatt[[#This Row],[Start Date]],BF$27&lt;ProposalToGnatt[[#This Row],[Start Date]]+ProposalToGnatt[[#This Row],[Days]]),$G$5,"")),"")</f>
        <v/>
      </c>
      <c r="BG52" s="36" t="str">
        <f ca="1">IFERROR(+IF(BG$27=ProposalToGnatt[[#This Row],[Start Date]],Milestone_Marker,IF(AND(BG$27&gt;ProposalToGnatt[[#This Row],[Start Date]],BG$27&lt;ProposalToGnatt[[#This Row],[Start Date]]+ProposalToGnatt[[#This Row],[Days]]),$G$5,"")),"")</f>
        <v/>
      </c>
      <c r="BH52" s="36" t="str">
        <f ca="1">IFERROR(+IF(BH$27=ProposalToGnatt[[#This Row],[Start Date]],Milestone_Marker,IF(AND(BH$27&gt;ProposalToGnatt[[#This Row],[Start Date]],BH$27&lt;ProposalToGnatt[[#This Row],[Start Date]]+ProposalToGnatt[[#This Row],[Days]]),$G$5,"")),"")</f>
        <v/>
      </c>
      <c r="BI52" s="36" t="str">
        <f ca="1">IFERROR(+IF(BI$27=ProposalToGnatt[[#This Row],[Start Date]],Milestone_Marker,IF(AND(BI$27&gt;ProposalToGnatt[[#This Row],[Start Date]],BI$27&lt;ProposalToGnatt[[#This Row],[Start Date]]+ProposalToGnatt[[#This Row],[Days]]),$G$5,"")),"")</f>
        <v/>
      </c>
      <c r="BJ52" s="36" t="str">
        <f ca="1">IFERROR(+IF(BJ$27=ProposalToGnatt[[#This Row],[Start Date]],Milestone_Marker,IF(AND(BJ$27&gt;ProposalToGnatt[[#This Row],[Start Date]],BJ$27&lt;ProposalToGnatt[[#This Row],[Start Date]]+ProposalToGnatt[[#This Row],[Days]]),$G$5,"")),"")</f>
        <v/>
      </c>
      <c r="BK52" s="36" t="str">
        <f ca="1">IFERROR(+IF(BK$27=ProposalToGnatt[[#This Row],[Start Date]],Milestone_Marker,IF(AND(BK$27&gt;ProposalToGnatt[[#This Row],[Start Date]],BK$27&lt;ProposalToGnatt[[#This Row],[Start Date]]+ProposalToGnatt[[#This Row],[Days]]),$G$5,"")),"")</f>
        <v/>
      </c>
      <c r="BL52" s="36" t="str">
        <f ca="1">IFERROR(+IF(BL$27=ProposalToGnatt[[#This Row],[Start Date]],Milestone_Marker,IF(AND(BL$27&gt;ProposalToGnatt[[#This Row],[Start Date]],BL$27&lt;ProposalToGnatt[[#This Row],[Start Date]]+ProposalToGnatt[[#This Row],[Days]]),$G$5,"")),"")</f>
        <v/>
      </c>
      <c r="BM52" s="36" t="str">
        <f ca="1">IFERROR(+IF(BM$27=ProposalToGnatt[[#This Row],[Start Date]],Milestone_Marker,IF(AND(BM$27&gt;ProposalToGnatt[[#This Row],[Start Date]],BM$27&lt;ProposalToGnatt[[#This Row],[Start Date]]+ProposalToGnatt[[#This Row],[Days]]),$G$5,"")),"")</f>
        <v/>
      </c>
      <c r="BN52" s="36" t="str">
        <f ca="1">IFERROR(+IF(BN$27=ProposalToGnatt[[#This Row],[Start Date]],Milestone_Marker,IF(AND(BN$27&gt;ProposalToGnatt[[#This Row],[Start Date]],BN$27&lt;ProposalToGnatt[[#This Row],[Start Date]]+ProposalToGnatt[[#This Row],[Days]]),$G$5,"")),"")</f>
        <v/>
      </c>
      <c r="BO52" s="36" t="str">
        <f ca="1">IFERROR(+IF(BO$27=ProposalToGnatt[[#This Row],[Start Date]],Milestone_Marker,IF(AND(BO$27&gt;ProposalToGnatt[[#This Row],[Start Date]],BO$27&lt;ProposalToGnatt[[#This Row],[Start Date]]+ProposalToGnatt[[#This Row],[Days]]),$G$5,"")),"")</f>
        <v/>
      </c>
      <c r="BP52" s="36" t="str">
        <f ca="1">IFERROR(+IF(BP$27=ProposalToGnatt[[#This Row],[Start Date]],Milestone_Marker,IF(AND(BP$27&gt;ProposalToGnatt[[#This Row],[Start Date]],BP$27&lt;ProposalToGnatt[[#This Row],[Start Date]]+ProposalToGnatt[[#This Row],[Days]]),$G$5,"")),"")</f>
        <v/>
      </c>
      <c r="BQ52" s="36" t="str">
        <f ca="1">IFERROR(+IF(BQ$27=ProposalToGnatt[[#This Row],[Start Date]],Milestone_Marker,IF(AND(BQ$27&gt;ProposalToGnatt[[#This Row],[Start Date]],BQ$27&lt;ProposalToGnatt[[#This Row],[Start Date]]+ProposalToGnatt[[#This Row],[Days]]),$G$5,"")),"")</f>
        <v/>
      </c>
      <c r="BR52" s="36" t="str">
        <f ca="1">IFERROR(+IF(BR$27=ProposalToGnatt[[#This Row],[Start Date]],Milestone_Marker,IF(AND(BR$27&gt;ProposalToGnatt[[#This Row],[Start Date]],BR$27&lt;ProposalToGnatt[[#This Row],[Start Date]]+ProposalToGnatt[[#This Row],[Days]]),$G$5,"")),"")</f>
        <v/>
      </c>
      <c r="BS52" s="36" t="str">
        <f ca="1">IFERROR(+IF(BS$27=ProposalToGnatt[[#This Row],[Start Date]],Milestone_Marker,IF(AND(BS$27&gt;ProposalToGnatt[[#This Row],[Start Date]],BS$27&lt;ProposalToGnatt[[#This Row],[Start Date]]+ProposalToGnatt[[#This Row],[Days]]),$G$5,"")),"")</f>
        <v/>
      </c>
      <c r="BT52" s="36" t="str">
        <f ca="1">IFERROR(+IF(BT$27=ProposalToGnatt[[#This Row],[Start Date]],Milestone_Marker,IF(AND(BT$27&gt;ProposalToGnatt[[#This Row],[Start Date]],BT$27&lt;ProposalToGnatt[[#This Row],[Start Date]]+ProposalToGnatt[[#This Row],[Days]]),$G$5,"")),"")</f>
        <v/>
      </c>
      <c r="BU52" s="36" t="str">
        <f ca="1">IFERROR(+IF(BU$27=ProposalToGnatt[[#This Row],[Start Date]],Milestone_Marker,IF(AND(BU$27&gt;ProposalToGnatt[[#This Row],[Start Date]],BU$27&lt;ProposalToGnatt[[#This Row],[Start Date]]+ProposalToGnatt[[#This Row],[Days]]),$G$5,"")),"")</f>
        <v/>
      </c>
      <c r="BV52" s="36" t="str">
        <f ca="1">IFERROR(+IF(BV$27=ProposalToGnatt[[#This Row],[Start Date]],Milestone_Marker,IF(AND(BV$27&gt;ProposalToGnatt[[#This Row],[Start Date]],BV$27&lt;ProposalToGnatt[[#This Row],[Start Date]]+ProposalToGnatt[[#This Row],[Days]]),$G$5,"")),"")</f>
        <v/>
      </c>
      <c r="BW52" s="36" t="str">
        <f ca="1">IFERROR(+IF(BW$27=ProposalToGnatt[[#This Row],[Start Date]],Milestone_Marker,IF(AND(BW$27&gt;ProposalToGnatt[[#This Row],[Start Date]],BW$27&lt;ProposalToGnatt[[#This Row],[Start Date]]+ProposalToGnatt[[#This Row],[Days]]),$G$5,"")),"")</f>
        <v/>
      </c>
      <c r="BX52" s="36" t="str">
        <f ca="1">IFERROR(+IF(BX$27=ProposalToGnatt[[#This Row],[Start Date]],Milestone_Marker,IF(AND(BX$27&gt;ProposalToGnatt[[#This Row],[Start Date]],BX$27&lt;ProposalToGnatt[[#This Row],[Start Date]]+ProposalToGnatt[[#This Row],[Days]]),$G$5,"")),"")</f>
        <v/>
      </c>
      <c r="BY52" s="36" t="str">
        <f ca="1">IFERROR(+IF(BY$27=ProposalToGnatt[[#This Row],[Start Date]],Milestone_Marker,IF(AND(BY$27&gt;ProposalToGnatt[[#This Row],[Start Date]],BY$27&lt;ProposalToGnatt[[#This Row],[Start Date]]+ProposalToGnatt[[#This Row],[Days]]),$G$5,"")),"")</f>
        <v/>
      </c>
      <c r="BZ52" s="36" t="str">
        <f ca="1">IFERROR(+IF(BZ$27=ProposalToGnatt[[#This Row],[Start Date]],Milestone_Marker,IF(AND(BZ$27&gt;ProposalToGnatt[[#This Row],[Start Date]],BZ$27&lt;ProposalToGnatt[[#This Row],[Start Date]]+ProposalToGnatt[[#This Row],[Days]]),$G$5,"")),"")</f>
        <v/>
      </c>
      <c r="CA52" s="36" t="str">
        <f ca="1">IFERROR(+IF(CA$27=ProposalToGnatt[[#This Row],[Start Date]],Milestone_Marker,IF(AND(CA$27&gt;ProposalToGnatt[[#This Row],[Start Date]],CA$27&lt;ProposalToGnatt[[#This Row],[Start Date]]+ProposalToGnatt[[#This Row],[Days]]),$G$5,"")),"")</f>
        <v/>
      </c>
      <c r="CB52" s="36" t="str">
        <f ca="1">IFERROR(+IF(CB$27=ProposalToGnatt[[#This Row],[Start Date]],Milestone_Marker,IF(AND(CB$27&gt;ProposalToGnatt[[#This Row],[Start Date]],CB$27&lt;ProposalToGnatt[[#This Row],[Start Date]]+ProposalToGnatt[[#This Row],[Days]]),$G$5,"")),"")</f>
        <v/>
      </c>
      <c r="CC52" s="36" t="str">
        <f ca="1">IFERROR(+IF(CC$27=ProposalToGnatt[[#This Row],[Start Date]],Milestone_Marker,IF(AND(CC$27&gt;ProposalToGnatt[[#This Row],[Start Date]],CC$27&lt;ProposalToGnatt[[#This Row],[Start Date]]+ProposalToGnatt[[#This Row],[Days]]),$G$5,"")),"")</f>
        <v/>
      </c>
      <c r="CD52" s="36" t="str">
        <f ca="1">IFERROR(+IF(CD$27=ProposalToGnatt[[#This Row],[Start Date]],Milestone_Marker,IF(AND(CD$27&gt;ProposalToGnatt[[#This Row],[Start Date]],CD$27&lt;ProposalToGnatt[[#This Row],[Start Date]]+ProposalToGnatt[[#This Row],[Days]]),$G$5,"")),"")</f>
        <v/>
      </c>
      <c r="CE52" s="36" t="str">
        <f ca="1">IFERROR(+IF(CE$27=ProposalToGnatt[[#This Row],[Start Date]],Milestone_Marker,IF(AND(CE$27&gt;ProposalToGnatt[[#This Row],[Start Date]],CE$27&lt;ProposalToGnatt[[#This Row],[Start Date]]+ProposalToGnatt[[#This Row],[Days]]),$G$5,"")),"")</f>
        <v/>
      </c>
      <c r="CF52" s="36" t="str">
        <f ca="1">IFERROR(+IF(CF$27=ProposalToGnatt[[#This Row],[Start Date]],Milestone_Marker,IF(AND(CF$27&gt;ProposalToGnatt[[#This Row],[Start Date]],CF$27&lt;ProposalToGnatt[[#This Row],[Start Date]]+ProposalToGnatt[[#This Row],[Days]]),$G$5,"")),"")</f>
        <v/>
      </c>
      <c r="CG52" s="36" t="str">
        <f ca="1">IFERROR(+IF(CG$27=ProposalToGnatt[[#This Row],[Start Date]],Milestone_Marker,IF(AND(CG$27&gt;ProposalToGnatt[[#This Row],[Start Date]],CG$27&lt;ProposalToGnatt[[#This Row],[Start Date]]+ProposalToGnatt[[#This Row],[Days]]),$G$5,"")),"")</f>
        <v/>
      </c>
      <c r="CH52" s="36" t="str">
        <f ca="1">IFERROR(+IF(CH$27=ProposalToGnatt[[#This Row],[Start Date]],Milestone_Marker,IF(AND(CH$27&gt;ProposalToGnatt[[#This Row],[Start Date]],CH$27&lt;ProposalToGnatt[[#This Row],[Start Date]]+ProposalToGnatt[[#This Row],[Days]]),$G$5,"")),"")</f>
        <v/>
      </c>
      <c r="CI52" s="36" t="str">
        <f ca="1">IFERROR(+IF(CI$27=ProposalToGnatt[[#This Row],[Start Date]],Milestone_Marker,IF(AND(CI$27&gt;ProposalToGnatt[[#This Row],[Start Date]],CI$27&lt;ProposalToGnatt[[#This Row],[Start Date]]+ProposalToGnatt[[#This Row],[Days]]),$G$5,"")),"")</f>
        <v/>
      </c>
      <c r="CJ52" s="36" t="str">
        <f ca="1">IFERROR(+IF(CJ$27=ProposalToGnatt[[#This Row],[Start Date]],Milestone_Marker,IF(AND(CJ$27&gt;ProposalToGnatt[[#This Row],[Start Date]],CJ$27&lt;ProposalToGnatt[[#This Row],[Start Date]]+ProposalToGnatt[[#This Row],[Days]]),$G$5,"")),"")</f>
        <v/>
      </c>
      <c r="CK52" s="36" t="str">
        <f ca="1">IFERROR(+IF(CK$27=ProposalToGnatt[[#This Row],[Start Date]],Milestone_Marker,IF(AND(CK$27&gt;ProposalToGnatt[[#This Row],[Start Date]],CK$27&lt;ProposalToGnatt[[#This Row],[Start Date]]+ProposalToGnatt[[#This Row],[Days]]),$G$5,"")),"")</f>
        <v/>
      </c>
      <c r="CL52" s="36" t="str">
        <f ca="1">IFERROR(+IF(CL$27=ProposalToGnatt[[#This Row],[Start Date]],Milestone_Marker,IF(AND(CL$27&gt;ProposalToGnatt[[#This Row],[Start Date]],CL$27&lt;ProposalToGnatt[[#This Row],[Start Date]]+ProposalToGnatt[[#This Row],[Days]]),$G$5,"")),"")</f>
        <v/>
      </c>
      <c r="CM52" s="36" t="str">
        <f ca="1">IFERROR(+IF(CM$27=ProposalToGnatt[[#This Row],[Start Date]],Milestone_Marker,IF(AND(CM$27&gt;ProposalToGnatt[[#This Row],[Start Date]],CM$27&lt;ProposalToGnatt[[#This Row],[Start Date]]+ProposalToGnatt[[#This Row],[Days]]),$G$5,"")),"")</f>
        <v/>
      </c>
      <c r="CN52" s="36" t="str">
        <f ca="1">IFERROR(+IF(CN$27=ProposalToGnatt[[#This Row],[Start Date]],Milestone_Marker,IF(AND(CN$27&gt;ProposalToGnatt[[#This Row],[Start Date]],CN$27&lt;ProposalToGnatt[[#This Row],[Start Date]]+ProposalToGnatt[[#This Row],[Days]]),$G$5,"")),"")</f>
        <v/>
      </c>
      <c r="CO52" s="36" t="str">
        <f ca="1">IFERROR(+IF(CO$27=ProposalToGnatt[[#This Row],[Start Date]],Milestone_Marker,IF(AND(CO$27&gt;ProposalToGnatt[[#This Row],[Start Date]],CO$27&lt;ProposalToGnatt[[#This Row],[Start Date]]+ProposalToGnatt[[#This Row],[Days]]),$G$5,"")),"")</f>
        <v/>
      </c>
      <c r="CP52" s="36" t="str">
        <f ca="1">IFERROR(+IF(CP$27=ProposalToGnatt[[#This Row],[Start Date]],Milestone_Marker,IF(AND(CP$27&gt;ProposalToGnatt[[#This Row],[Start Date]],CP$27&lt;ProposalToGnatt[[#This Row],[Start Date]]+ProposalToGnatt[[#This Row],[Days]]),$G$5,"")),"")</f>
        <v/>
      </c>
      <c r="CQ52" s="36" t="str">
        <f ca="1">IFERROR(+IF(CQ$27=ProposalToGnatt[[#This Row],[Start Date]],Milestone_Marker,IF(AND(CQ$27&gt;ProposalToGnatt[[#This Row],[Start Date]],CQ$27&lt;ProposalToGnatt[[#This Row],[Start Date]]+ProposalToGnatt[[#This Row],[Days]]),$G$5,"")),"")</f>
        <v/>
      </c>
      <c r="CR52" s="36" t="str">
        <f ca="1">IFERROR(+IF(CR$27=ProposalToGnatt[[#This Row],[Start Date]],Milestone_Marker,IF(AND(CR$27&gt;ProposalToGnatt[[#This Row],[Start Date]],CR$27&lt;ProposalToGnatt[[#This Row],[Start Date]]+ProposalToGnatt[[#This Row],[Days]]),$G$5,"")),"")</f>
        <v/>
      </c>
      <c r="CS52" s="36" t="str">
        <f ca="1">IFERROR(+IF(CS$27=ProposalToGnatt[[#This Row],[Start Date]],Milestone_Marker,IF(AND(CS$27&gt;ProposalToGnatt[[#This Row],[Start Date]],CS$27&lt;ProposalToGnatt[[#This Row],[Start Date]]+ProposalToGnatt[[#This Row],[Days]]),$G$5,"")),"")</f>
        <v/>
      </c>
      <c r="CT52" s="36" t="str">
        <f ca="1">IFERROR(+IF(CT$27=ProposalToGnatt[[#This Row],[Start Date]],Milestone_Marker,IF(AND(CT$27&gt;ProposalToGnatt[[#This Row],[Start Date]],CT$27&lt;ProposalToGnatt[[#This Row],[Start Date]]+ProposalToGnatt[[#This Row],[Days]]),$G$5,"")),"")</f>
        <v/>
      </c>
      <c r="CU52" s="36" t="str">
        <f ca="1">IFERROR(+IF(CU$27=ProposalToGnatt[[#This Row],[Start Date]],Milestone_Marker,IF(AND(CU$27&gt;ProposalToGnatt[[#This Row],[Start Date]],CU$27&lt;ProposalToGnatt[[#This Row],[Start Date]]+ProposalToGnatt[[#This Row],[Days]]),$G$5,"")),"")</f>
        <v/>
      </c>
      <c r="CV52" s="36"/>
      <c r="CW52" s="36"/>
      <c r="CX52" s="36"/>
      <c r="CY52" s="36"/>
      <c r="CZ52" s="36"/>
      <c r="DA52" s="36"/>
      <c r="DB52" s="36"/>
      <c r="DC52" s="36"/>
      <c r="DD52" s="36"/>
      <c r="DE52" s="36"/>
      <c r="DF52" s="36"/>
      <c r="DG52" s="36"/>
      <c r="DH52" s="36"/>
      <c r="DI52" s="36"/>
      <c r="DJ52" s="36"/>
      <c r="DK52" s="36"/>
      <c r="DL52" s="36"/>
      <c r="DM52" s="36"/>
      <c r="DN52" s="36"/>
      <c r="DO52" s="36"/>
      <c r="DP52" s="36"/>
      <c r="DQ52" s="36"/>
      <c r="DR52" s="36"/>
      <c r="DS52" s="36"/>
      <c r="DT52" s="36"/>
      <c r="DU52" s="36"/>
    </row>
    <row r="53" spans="1:125" s="41" customFormat="1" ht="15" x14ac:dyDescent="0.25">
      <c r="A53" t="s">
        <v>267</v>
      </c>
      <c r="B53">
        <v>35</v>
      </c>
      <c r="C53"/>
      <c r="D53" t="s">
        <v>946</v>
      </c>
      <c r="E53" s="568" t="s">
        <v>945</v>
      </c>
      <c r="F53">
        <v>1</v>
      </c>
      <c r="G53" s="14">
        <v>10</v>
      </c>
      <c r="H53" s="14">
        <v>10</v>
      </c>
      <c r="I53" t="s">
        <v>3</v>
      </c>
      <c r="J53">
        <v>1</v>
      </c>
      <c r="K53" s="249"/>
      <c r="L53"/>
      <c r="M53" s="14"/>
      <c r="N53" s="300">
        <v>10</v>
      </c>
      <c r="O53" s="554"/>
      <c r="P53" s="36" t="str">
        <f ca="1">IFERROR(+IF(P$27=ProposalToGnatt[[#This Row],[Start Date]],Milestone_Marker,IF(AND(P$27&gt;ProposalToGnatt[[#This Row],[Start Date]],P$27&lt;ProposalToGnatt[[#This Row],[Start Date]]+ProposalToGnatt[[#This Row],[Days]]),$G$5,"")),"")</f>
        <v/>
      </c>
      <c r="Q53" s="36" t="str">
        <f ca="1">IFERROR(+IF(Q$27=ProposalToGnatt[[#This Row],[Start Date]],Milestone_Marker,IF(AND(Q$27&gt;ProposalToGnatt[[#This Row],[Start Date]],Q$27&lt;ProposalToGnatt[[#This Row],[Start Date]]+ProposalToGnatt[[#This Row],[Days]]),$G$5,"")),"")</f>
        <v/>
      </c>
      <c r="R53" s="36" t="str">
        <f ca="1">IFERROR(+IF(R$27=ProposalToGnatt[[#This Row],[Start Date]],Milestone_Marker,IF(AND(R$27&gt;ProposalToGnatt[[#This Row],[Start Date]],R$27&lt;ProposalToGnatt[[#This Row],[Start Date]]+ProposalToGnatt[[#This Row],[Days]]),$G$5,"")),"")</f>
        <v/>
      </c>
      <c r="S53" s="36" t="str">
        <f ca="1">IFERROR(+IF(S$27=ProposalToGnatt[[#This Row],[Start Date]],Milestone_Marker,IF(AND(S$27&gt;ProposalToGnatt[[#This Row],[Start Date]],S$27&lt;ProposalToGnatt[[#This Row],[Start Date]]+ProposalToGnatt[[#This Row],[Days]]),$G$5,"")),"")</f>
        <v/>
      </c>
      <c r="T53" s="36" t="str">
        <f ca="1">IFERROR(+IF(T$27=ProposalToGnatt[[#This Row],[Start Date]],Milestone_Marker,IF(AND(T$27&gt;ProposalToGnatt[[#This Row],[Start Date]],T$27&lt;ProposalToGnatt[[#This Row],[Start Date]]+ProposalToGnatt[[#This Row],[Days]]),$G$5,"")),"")</f>
        <v/>
      </c>
      <c r="U53" s="36" t="str">
        <f ca="1">IFERROR(+IF(U$27=ProposalToGnatt[[#This Row],[Start Date]],Milestone_Marker,IF(AND(U$27&gt;ProposalToGnatt[[#This Row],[Start Date]],U$27&lt;ProposalToGnatt[[#This Row],[Start Date]]+ProposalToGnatt[[#This Row],[Days]]),$G$5,"")),"")</f>
        <v/>
      </c>
      <c r="V53" s="36" t="str">
        <f ca="1">IFERROR(+IF(V$27=ProposalToGnatt[[#This Row],[Start Date]],Milestone_Marker,IF(AND(V$27&gt;ProposalToGnatt[[#This Row],[Start Date]],V$27&lt;ProposalToGnatt[[#This Row],[Start Date]]+ProposalToGnatt[[#This Row],[Days]]),$G$5,"")),"")</f>
        <v/>
      </c>
      <c r="W53" s="36" t="str">
        <f ca="1">IFERROR(+IF(W$27=ProposalToGnatt[[#This Row],[Start Date]],Milestone_Marker,IF(AND(W$27&gt;ProposalToGnatt[[#This Row],[Start Date]],W$27&lt;ProposalToGnatt[[#This Row],[Start Date]]+ProposalToGnatt[[#This Row],[Days]]),$G$5,"")),"")</f>
        <v/>
      </c>
      <c r="X53" s="36" t="str">
        <f ca="1">IFERROR(+IF(X$27=ProposalToGnatt[[#This Row],[Start Date]],Milestone_Marker,IF(AND(X$27&gt;ProposalToGnatt[[#This Row],[Start Date]],X$27&lt;ProposalToGnatt[[#This Row],[Start Date]]+ProposalToGnatt[[#This Row],[Days]]),$G$5,"")),"")</f>
        <v/>
      </c>
      <c r="Y53" s="36" t="str">
        <f ca="1">IFERROR(+IF(Y$27=ProposalToGnatt[[#This Row],[Start Date]],Milestone_Marker,IF(AND(Y$27&gt;ProposalToGnatt[[#This Row],[Start Date]],Y$27&lt;ProposalToGnatt[[#This Row],[Start Date]]+ProposalToGnatt[[#This Row],[Days]]),$G$5,"")),"")</f>
        <v/>
      </c>
      <c r="Z53" s="36" t="str">
        <f ca="1">IFERROR(+IF(Z$27=ProposalToGnatt[[#This Row],[Start Date]],Milestone_Marker,IF(AND(Z$27&gt;ProposalToGnatt[[#This Row],[Start Date]],Z$27&lt;ProposalToGnatt[[#This Row],[Start Date]]+ProposalToGnatt[[#This Row],[Days]]),$G$5,"")),"")</f>
        <v/>
      </c>
      <c r="AA53" s="36" t="str">
        <f ca="1">IFERROR(+IF(AA$27=ProposalToGnatt[[#This Row],[Start Date]],Milestone_Marker,IF(AND(AA$27&gt;ProposalToGnatt[[#This Row],[Start Date]],AA$27&lt;ProposalToGnatt[[#This Row],[Start Date]]+ProposalToGnatt[[#This Row],[Days]]),$G$5,"")),"")</f>
        <v/>
      </c>
      <c r="AB53" s="36" t="str">
        <f ca="1">IFERROR(+IF(AB$27=ProposalToGnatt[[#This Row],[Start Date]],Milestone_Marker,IF(AND(AB$27&gt;ProposalToGnatt[[#This Row],[Start Date]],AB$27&lt;ProposalToGnatt[[#This Row],[Start Date]]+ProposalToGnatt[[#This Row],[Days]]),$G$5,"")),"")</f>
        <v/>
      </c>
      <c r="AC53" s="36" t="str">
        <f ca="1">IFERROR(+IF(AC$27=ProposalToGnatt[[#This Row],[Start Date]],Milestone_Marker,IF(AND(AC$27&gt;ProposalToGnatt[[#This Row],[Start Date]],AC$27&lt;ProposalToGnatt[[#This Row],[Start Date]]+ProposalToGnatt[[#This Row],[Days]]),$G$5,"")),"")</f>
        <v/>
      </c>
      <c r="AD53" s="36" t="str">
        <f ca="1">IFERROR(+IF(AD$27=ProposalToGnatt[[#This Row],[Start Date]],Milestone_Marker,IF(AND(AD$27&gt;ProposalToGnatt[[#This Row],[Start Date]],AD$27&lt;ProposalToGnatt[[#This Row],[Start Date]]+ProposalToGnatt[[#This Row],[Days]]),$G$5,"")),"")</f>
        <v/>
      </c>
      <c r="AE53" s="36" t="str">
        <f ca="1">IFERROR(+IF(AE$27=ProposalToGnatt[[#This Row],[Start Date]],Milestone_Marker,IF(AND(AE$27&gt;ProposalToGnatt[[#This Row],[Start Date]],AE$27&lt;ProposalToGnatt[[#This Row],[Start Date]]+ProposalToGnatt[[#This Row],[Days]]),$G$5,"")),"")</f>
        <v/>
      </c>
      <c r="AF53" s="36" t="str">
        <f ca="1">IFERROR(+IF(AF$27=ProposalToGnatt[[#This Row],[Start Date]],Milestone_Marker,IF(AND(AF$27&gt;ProposalToGnatt[[#This Row],[Start Date]],AF$27&lt;ProposalToGnatt[[#This Row],[Start Date]]+ProposalToGnatt[[#This Row],[Days]]),$G$5,"")),"")</f>
        <v/>
      </c>
      <c r="AG53" s="36" t="str">
        <f ca="1">IFERROR(+IF(AG$27=ProposalToGnatt[[#This Row],[Start Date]],Milestone_Marker,IF(AND(AG$27&gt;ProposalToGnatt[[#This Row],[Start Date]],AG$27&lt;ProposalToGnatt[[#This Row],[Start Date]]+ProposalToGnatt[[#This Row],[Days]]),$G$5,"")),"")</f>
        <v/>
      </c>
      <c r="AH53" s="36" t="str">
        <f ca="1">IFERROR(+IF(AH$27=ProposalToGnatt[[#This Row],[Start Date]],Milestone_Marker,IF(AND(AH$27&gt;ProposalToGnatt[[#This Row],[Start Date]],AH$27&lt;ProposalToGnatt[[#This Row],[Start Date]]+ProposalToGnatt[[#This Row],[Days]]),$G$5,"")),"")</f>
        <v/>
      </c>
      <c r="AI53" s="36" t="str">
        <f ca="1">IFERROR(+IF(AI$27=ProposalToGnatt[[#This Row],[Start Date]],Milestone_Marker,IF(AND(AI$27&gt;ProposalToGnatt[[#This Row],[Start Date]],AI$27&lt;ProposalToGnatt[[#This Row],[Start Date]]+ProposalToGnatt[[#This Row],[Days]]),$G$5,"")),"")</f>
        <v/>
      </c>
      <c r="AJ53" s="36" t="str">
        <f ca="1">IFERROR(+IF(AJ$27=ProposalToGnatt[[#This Row],[Start Date]],Milestone_Marker,IF(AND(AJ$27&gt;ProposalToGnatt[[#This Row],[Start Date]],AJ$27&lt;ProposalToGnatt[[#This Row],[Start Date]]+ProposalToGnatt[[#This Row],[Days]]),$G$5,"")),"")</f>
        <v/>
      </c>
      <c r="AK53" s="36" t="str">
        <f ca="1">IFERROR(+IF(AK$27=ProposalToGnatt[[#This Row],[Start Date]],Milestone_Marker,IF(AND(AK$27&gt;ProposalToGnatt[[#This Row],[Start Date]],AK$27&lt;ProposalToGnatt[[#This Row],[Start Date]]+ProposalToGnatt[[#This Row],[Days]]),$G$5,"")),"")</f>
        <v/>
      </c>
      <c r="AL53" s="36" t="str">
        <f ca="1">IFERROR(+IF(AL$27=ProposalToGnatt[[#This Row],[Start Date]],Milestone_Marker,IF(AND(AL$27&gt;ProposalToGnatt[[#This Row],[Start Date]],AL$27&lt;ProposalToGnatt[[#This Row],[Start Date]]+ProposalToGnatt[[#This Row],[Days]]),$G$5,"")),"")</f>
        <v/>
      </c>
      <c r="AM53" s="36" t="str">
        <f ca="1">IFERROR(+IF(AM$27=ProposalToGnatt[[#This Row],[Start Date]],Milestone_Marker,IF(AND(AM$27&gt;ProposalToGnatt[[#This Row],[Start Date]],AM$27&lt;ProposalToGnatt[[#This Row],[Start Date]]+ProposalToGnatt[[#This Row],[Days]]),$G$5,"")),"")</f>
        <v/>
      </c>
      <c r="AN53" s="36" t="str">
        <f ca="1">IFERROR(+IF(AN$27=ProposalToGnatt[[#This Row],[Start Date]],Milestone_Marker,IF(AND(AN$27&gt;ProposalToGnatt[[#This Row],[Start Date]],AN$27&lt;ProposalToGnatt[[#This Row],[Start Date]]+ProposalToGnatt[[#This Row],[Days]]),$G$5,"")),"")</f>
        <v/>
      </c>
      <c r="AO53" s="36" t="str">
        <f ca="1">IFERROR(+IF(AO$27=ProposalToGnatt[[#This Row],[Start Date]],Milestone_Marker,IF(AND(AO$27&gt;ProposalToGnatt[[#This Row],[Start Date]],AO$27&lt;ProposalToGnatt[[#This Row],[Start Date]]+ProposalToGnatt[[#This Row],[Days]]),$G$5,"")),"")</f>
        <v/>
      </c>
      <c r="AP53" s="36" t="str">
        <f ca="1">IFERROR(+IF(AP$27=ProposalToGnatt[[#This Row],[Start Date]],Milestone_Marker,IF(AND(AP$27&gt;ProposalToGnatt[[#This Row],[Start Date]],AP$27&lt;ProposalToGnatt[[#This Row],[Start Date]]+ProposalToGnatt[[#This Row],[Days]]),$G$5,"")),"")</f>
        <v/>
      </c>
      <c r="AQ53" s="36" t="str">
        <f ca="1">IFERROR(+IF(AQ$27=ProposalToGnatt[[#This Row],[Start Date]],Milestone_Marker,IF(AND(AQ$27&gt;ProposalToGnatt[[#This Row],[Start Date]],AQ$27&lt;ProposalToGnatt[[#This Row],[Start Date]]+ProposalToGnatt[[#This Row],[Days]]),$G$5,"")),"")</f>
        <v/>
      </c>
      <c r="AR53" s="36" t="str">
        <f ca="1">IFERROR(+IF(AR$27=ProposalToGnatt[[#This Row],[Start Date]],Milestone_Marker,IF(AND(AR$27&gt;ProposalToGnatt[[#This Row],[Start Date]],AR$27&lt;ProposalToGnatt[[#This Row],[Start Date]]+ProposalToGnatt[[#This Row],[Days]]),$G$5,"")),"")</f>
        <v/>
      </c>
      <c r="AS53" s="36" t="str">
        <f ca="1">IFERROR(+IF(AS$27=ProposalToGnatt[[#This Row],[Start Date]],Milestone_Marker,IF(AND(AS$27&gt;ProposalToGnatt[[#This Row],[Start Date]],AS$27&lt;ProposalToGnatt[[#This Row],[Start Date]]+ProposalToGnatt[[#This Row],[Days]]),$G$5,"")),"")</f>
        <v/>
      </c>
      <c r="AT53" s="36" t="str">
        <f ca="1">IFERROR(+IF(AT$27=ProposalToGnatt[[#This Row],[Start Date]],Milestone_Marker,IF(AND(AT$27&gt;ProposalToGnatt[[#This Row],[Start Date]],AT$27&lt;ProposalToGnatt[[#This Row],[Start Date]]+ProposalToGnatt[[#This Row],[Days]]),$G$5,"")),"")</f>
        <v/>
      </c>
      <c r="AU53" s="36" t="str">
        <f ca="1">IFERROR(+IF(AU$27=ProposalToGnatt[[#This Row],[Start Date]],Milestone_Marker,IF(AND(AU$27&gt;ProposalToGnatt[[#This Row],[Start Date]],AU$27&lt;ProposalToGnatt[[#This Row],[Start Date]]+ProposalToGnatt[[#This Row],[Days]]),$G$5,"")),"")</f>
        <v/>
      </c>
      <c r="AV53" s="36" t="str">
        <f ca="1">IFERROR(+IF(AV$27=ProposalToGnatt[[#This Row],[Start Date]],Milestone_Marker,IF(AND(AV$27&gt;ProposalToGnatt[[#This Row],[Start Date]],AV$27&lt;ProposalToGnatt[[#This Row],[Start Date]]+ProposalToGnatt[[#This Row],[Days]]),$G$5,"")),"")</f>
        <v/>
      </c>
      <c r="AW53" s="36" t="str">
        <f ca="1">IFERROR(+IF(AW$27=ProposalToGnatt[[#This Row],[Start Date]],Milestone_Marker,IF(AND(AW$27&gt;ProposalToGnatt[[#This Row],[Start Date]],AW$27&lt;ProposalToGnatt[[#This Row],[Start Date]]+ProposalToGnatt[[#This Row],[Days]]),$G$5,"")),"")</f>
        <v/>
      </c>
      <c r="AX53" s="36" t="str">
        <f ca="1">IFERROR(+IF(AX$27=ProposalToGnatt[[#This Row],[Start Date]],Milestone_Marker,IF(AND(AX$27&gt;ProposalToGnatt[[#This Row],[Start Date]],AX$27&lt;ProposalToGnatt[[#This Row],[Start Date]]+ProposalToGnatt[[#This Row],[Days]]),$G$5,"")),"")</f>
        <v/>
      </c>
      <c r="AY53" s="36" t="str">
        <f ca="1">IFERROR(+IF(AY$27=ProposalToGnatt[[#This Row],[Start Date]],Milestone_Marker,IF(AND(AY$27&gt;ProposalToGnatt[[#This Row],[Start Date]],AY$27&lt;ProposalToGnatt[[#This Row],[Start Date]]+ProposalToGnatt[[#This Row],[Days]]),$G$5,"")),"")</f>
        <v/>
      </c>
      <c r="AZ53" s="36" t="str">
        <f ca="1">IFERROR(+IF(AZ$27=ProposalToGnatt[[#This Row],[Start Date]],Milestone_Marker,IF(AND(AZ$27&gt;ProposalToGnatt[[#This Row],[Start Date]],AZ$27&lt;ProposalToGnatt[[#This Row],[Start Date]]+ProposalToGnatt[[#This Row],[Days]]),$G$5,"")),"")</f>
        <v/>
      </c>
      <c r="BA53" s="36" t="str">
        <f ca="1">IFERROR(+IF(BA$27=ProposalToGnatt[[#This Row],[Start Date]],Milestone_Marker,IF(AND(BA$27&gt;ProposalToGnatt[[#This Row],[Start Date]],BA$27&lt;ProposalToGnatt[[#This Row],[Start Date]]+ProposalToGnatt[[#This Row],[Days]]),$G$5,"")),"")</f>
        <v/>
      </c>
      <c r="BB53" s="36" t="str">
        <f ca="1">IFERROR(+IF(BB$27=ProposalToGnatt[[#This Row],[Start Date]],Milestone_Marker,IF(AND(BB$27&gt;ProposalToGnatt[[#This Row],[Start Date]],BB$27&lt;ProposalToGnatt[[#This Row],[Start Date]]+ProposalToGnatt[[#This Row],[Days]]),$G$5,"")),"")</f>
        <v/>
      </c>
      <c r="BC53" s="36" t="str">
        <f ca="1">IFERROR(+IF(BC$27=ProposalToGnatt[[#This Row],[Start Date]],Milestone_Marker,IF(AND(BC$27&gt;ProposalToGnatt[[#This Row],[Start Date]],BC$27&lt;ProposalToGnatt[[#This Row],[Start Date]]+ProposalToGnatt[[#This Row],[Days]]),$G$5,"")),"")</f>
        <v/>
      </c>
      <c r="BD53" s="36" t="str">
        <f ca="1">IFERROR(+IF(BD$27=ProposalToGnatt[[#This Row],[Start Date]],Milestone_Marker,IF(AND(BD$27&gt;ProposalToGnatt[[#This Row],[Start Date]],BD$27&lt;ProposalToGnatt[[#This Row],[Start Date]]+ProposalToGnatt[[#This Row],[Days]]),$G$5,"")),"")</f>
        <v/>
      </c>
      <c r="BE53" s="36" t="str">
        <f ca="1">IFERROR(+IF(BE$27=ProposalToGnatt[[#This Row],[Start Date]],Milestone_Marker,IF(AND(BE$27&gt;ProposalToGnatt[[#This Row],[Start Date]],BE$27&lt;ProposalToGnatt[[#This Row],[Start Date]]+ProposalToGnatt[[#This Row],[Days]]),$G$5,"")),"")</f>
        <v/>
      </c>
      <c r="BF53" s="36" t="str">
        <f ca="1">IFERROR(+IF(BF$27=ProposalToGnatt[[#This Row],[Start Date]],Milestone_Marker,IF(AND(BF$27&gt;ProposalToGnatt[[#This Row],[Start Date]],BF$27&lt;ProposalToGnatt[[#This Row],[Start Date]]+ProposalToGnatt[[#This Row],[Days]]),$G$5,"")),"")</f>
        <v/>
      </c>
      <c r="BG53" s="36" t="str">
        <f ca="1">IFERROR(+IF(BG$27=ProposalToGnatt[[#This Row],[Start Date]],Milestone_Marker,IF(AND(BG$27&gt;ProposalToGnatt[[#This Row],[Start Date]],BG$27&lt;ProposalToGnatt[[#This Row],[Start Date]]+ProposalToGnatt[[#This Row],[Days]]),$G$5,"")),"")</f>
        <v/>
      </c>
      <c r="BH53" s="36" t="str">
        <f ca="1">IFERROR(+IF(BH$27=ProposalToGnatt[[#This Row],[Start Date]],Milestone_Marker,IF(AND(BH$27&gt;ProposalToGnatt[[#This Row],[Start Date]],BH$27&lt;ProposalToGnatt[[#This Row],[Start Date]]+ProposalToGnatt[[#This Row],[Days]]),$G$5,"")),"")</f>
        <v/>
      </c>
      <c r="BI53" s="36" t="str">
        <f ca="1">IFERROR(+IF(BI$27=ProposalToGnatt[[#This Row],[Start Date]],Milestone_Marker,IF(AND(BI$27&gt;ProposalToGnatt[[#This Row],[Start Date]],BI$27&lt;ProposalToGnatt[[#This Row],[Start Date]]+ProposalToGnatt[[#This Row],[Days]]),$G$5,"")),"")</f>
        <v/>
      </c>
      <c r="BJ53" s="36" t="str">
        <f ca="1">IFERROR(+IF(BJ$27=ProposalToGnatt[[#This Row],[Start Date]],Milestone_Marker,IF(AND(BJ$27&gt;ProposalToGnatt[[#This Row],[Start Date]],BJ$27&lt;ProposalToGnatt[[#This Row],[Start Date]]+ProposalToGnatt[[#This Row],[Days]]),$G$5,"")),"")</f>
        <v/>
      </c>
      <c r="BK53" s="36" t="str">
        <f ca="1">IFERROR(+IF(BK$27=ProposalToGnatt[[#This Row],[Start Date]],Milestone_Marker,IF(AND(BK$27&gt;ProposalToGnatt[[#This Row],[Start Date]],BK$27&lt;ProposalToGnatt[[#This Row],[Start Date]]+ProposalToGnatt[[#This Row],[Days]]),$G$5,"")),"")</f>
        <v/>
      </c>
      <c r="BL53" s="36" t="str">
        <f ca="1">IFERROR(+IF(BL$27=ProposalToGnatt[[#This Row],[Start Date]],Milestone_Marker,IF(AND(BL$27&gt;ProposalToGnatt[[#This Row],[Start Date]],BL$27&lt;ProposalToGnatt[[#This Row],[Start Date]]+ProposalToGnatt[[#This Row],[Days]]),$G$5,"")),"")</f>
        <v/>
      </c>
      <c r="BM53" s="36" t="str">
        <f ca="1">IFERROR(+IF(BM$27=ProposalToGnatt[[#This Row],[Start Date]],Milestone_Marker,IF(AND(BM$27&gt;ProposalToGnatt[[#This Row],[Start Date]],BM$27&lt;ProposalToGnatt[[#This Row],[Start Date]]+ProposalToGnatt[[#This Row],[Days]]),$G$5,"")),"")</f>
        <v/>
      </c>
      <c r="BN53" s="36" t="str">
        <f ca="1">IFERROR(+IF(BN$27=ProposalToGnatt[[#This Row],[Start Date]],Milestone_Marker,IF(AND(BN$27&gt;ProposalToGnatt[[#This Row],[Start Date]],BN$27&lt;ProposalToGnatt[[#This Row],[Start Date]]+ProposalToGnatt[[#This Row],[Days]]),$G$5,"")),"")</f>
        <v/>
      </c>
      <c r="BO53" s="36" t="str">
        <f ca="1">IFERROR(+IF(BO$27=ProposalToGnatt[[#This Row],[Start Date]],Milestone_Marker,IF(AND(BO$27&gt;ProposalToGnatt[[#This Row],[Start Date]],BO$27&lt;ProposalToGnatt[[#This Row],[Start Date]]+ProposalToGnatt[[#This Row],[Days]]),$G$5,"")),"")</f>
        <v/>
      </c>
      <c r="BP53" s="36" t="str">
        <f ca="1">IFERROR(+IF(BP$27=ProposalToGnatt[[#This Row],[Start Date]],Milestone_Marker,IF(AND(BP$27&gt;ProposalToGnatt[[#This Row],[Start Date]],BP$27&lt;ProposalToGnatt[[#This Row],[Start Date]]+ProposalToGnatt[[#This Row],[Days]]),$G$5,"")),"")</f>
        <v/>
      </c>
      <c r="BQ53" s="36" t="str">
        <f ca="1">IFERROR(+IF(BQ$27=ProposalToGnatt[[#This Row],[Start Date]],Milestone_Marker,IF(AND(BQ$27&gt;ProposalToGnatt[[#This Row],[Start Date]],BQ$27&lt;ProposalToGnatt[[#This Row],[Start Date]]+ProposalToGnatt[[#This Row],[Days]]),$G$5,"")),"")</f>
        <v/>
      </c>
      <c r="BR53" s="36" t="str">
        <f ca="1">IFERROR(+IF(BR$27=ProposalToGnatt[[#This Row],[Start Date]],Milestone_Marker,IF(AND(BR$27&gt;ProposalToGnatt[[#This Row],[Start Date]],BR$27&lt;ProposalToGnatt[[#This Row],[Start Date]]+ProposalToGnatt[[#This Row],[Days]]),$G$5,"")),"")</f>
        <v/>
      </c>
      <c r="BS53" s="36" t="str">
        <f ca="1">IFERROR(+IF(BS$27=ProposalToGnatt[[#This Row],[Start Date]],Milestone_Marker,IF(AND(BS$27&gt;ProposalToGnatt[[#This Row],[Start Date]],BS$27&lt;ProposalToGnatt[[#This Row],[Start Date]]+ProposalToGnatt[[#This Row],[Days]]),$G$5,"")),"")</f>
        <v/>
      </c>
      <c r="BT53" s="36" t="str">
        <f ca="1">IFERROR(+IF(BT$27=ProposalToGnatt[[#This Row],[Start Date]],Milestone_Marker,IF(AND(BT$27&gt;ProposalToGnatt[[#This Row],[Start Date]],BT$27&lt;ProposalToGnatt[[#This Row],[Start Date]]+ProposalToGnatt[[#This Row],[Days]]),$G$5,"")),"")</f>
        <v/>
      </c>
      <c r="BU53" s="36" t="str">
        <f ca="1">IFERROR(+IF(BU$27=ProposalToGnatt[[#This Row],[Start Date]],Milestone_Marker,IF(AND(BU$27&gt;ProposalToGnatt[[#This Row],[Start Date]],BU$27&lt;ProposalToGnatt[[#This Row],[Start Date]]+ProposalToGnatt[[#This Row],[Days]]),$G$5,"")),"")</f>
        <v/>
      </c>
      <c r="BV53" s="36" t="str">
        <f ca="1">IFERROR(+IF(BV$27=ProposalToGnatt[[#This Row],[Start Date]],Milestone_Marker,IF(AND(BV$27&gt;ProposalToGnatt[[#This Row],[Start Date]],BV$27&lt;ProposalToGnatt[[#This Row],[Start Date]]+ProposalToGnatt[[#This Row],[Days]]),$G$5,"")),"")</f>
        <v/>
      </c>
      <c r="BW53" s="36" t="str">
        <f ca="1">IFERROR(+IF(BW$27=ProposalToGnatt[[#This Row],[Start Date]],Milestone_Marker,IF(AND(BW$27&gt;ProposalToGnatt[[#This Row],[Start Date]],BW$27&lt;ProposalToGnatt[[#This Row],[Start Date]]+ProposalToGnatt[[#This Row],[Days]]),$G$5,"")),"")</f>
        <v/>
      </c>
      <c r="BX53" s="36" t="str">
        <f ca="1">IFERROR(+IF(BX$27=ProposalToGnatt[[#This Row],[Start Date]],Milestone_Marker,IF(AND(BX$27&gt;ProposalToGnatt[[#This Row],[Start Date]],BX$27&lt;ProposalToGnatt[[#This Row],[Start Date]]+ProposalToGnatt[[#This Row],[Days]]),$G$5,"")),"")</f>
        <v/>
      </c>
      <c r="BY53" s="36" t="str">
        <f ca="1">IFERROR(+IF(BY$27=ProposalToGnatt[[#This Row],[Start Date]],Milestone_Marker,IF(AND(BY$27&gt;ProposalToGnatt[[#This Row],[Start Date]],BY$27&lt;ProposalToGnatt[[#This Row],[Start Date]]+ProposalToGnatt[[#This Row],[Days]]),$G$5,"")),"")</f>
        <v/>
      </c>
      <c r="BZ53" s="36" t="str">
        <f ca="1">IFERROR(+IF(BZ$27=ProposalToGnatt[[#This Row],[Start Date]],Milestone_Marker,IF(AND(BZ$27&gt;ProposalToGnatt[[#This Row],[Start Date]],BZ$27&lt;ProposalToGnatt[[#This Row],[Start Date]]+ProposalToGnatt[[#This Row],[Days]]),$G$5,"")),"")</f>
        <v/>
      </c>
      <c r="CA53" s="36" t="str">
        <f ca="1">IFERROR(+IF(CA$27=ProposalToGnatt[[#This Row],[Start Date]],Milestone_Marker,IF(AND(CA$27&gt;ProposalToGnatt[[#This Row],[Start Date]],CA$27&lt;ProposalToGnatt[[#This Row],[Start Date]]+ProposalToGnatt[[#This Row],[Days]]),$G$5,"")),"")</f>
        <v/>
      </c>
      <c r="CB53" s="36" t="str">
        <f ca="1">IFERROR(+IF(CB$27=ProposalToGnatt[[#This Row],[Start Date]],Milestone_Marker,IF(AND(CB$27&gt;ProposalToGnatt[[#This Row],[Start Date]],CB$27&lt;ProposalToGnatt[[#This Row],[Start Date]]+ProposalToGnatt[[#This Row],[Days]]),$G$5,"")),"")</f>
        <v/>
      </c>
      <c r="CC53" s="36" t="str">
        <f ca="1">IFERROR(+IF(CC$27=ProposalToGnatt[[#This Row],[Start Date]],Milestone_Marker,IF(AND(CC$27&gt;ProposalToGnatt[[#This Row],[Start Date]],CC$27&lt;ProposalToGnatt[[#This Row],[Start Date]]+ProposalToGnatt[[#This Row],[Days]]),$G$5,"")),"")</f>
        <v/>
      </c>
      <c r="CD53" s="36" t="str">
        <f ca="1">IFERROR(+IF(CD$27=ProposalToGnatt[[#This Row],[Start Date]],Milestone_Marker,IF(AND(CD$27&gt;ProposalToGnatt[[#This Row],[Start Date]],CD$27&lt;ProposalToGnatt[[#This Row],[Start Date]]+ProposalToGnatt[[#This Row],[Days]]),$G$5,"")),"")</f>
        <v/>
      </c>
      <c r="CE53" s="36" t="str">
        <f ca="1">IFERROR(+IF(CE$27=ProposalToGnatt[[#This Row],[Start Date]],Milestone_Marker,IF(AND(CE$27&gt;ProposalToGnatt[[#This Row],[Start Date]],CE$27&lt;ProposalToGnatt[[#This Row],[Start Date]]+ProposalToGnatt[[#This Row],[Days]]),$G$5,"")),"")</f>
        <v/>
      </c>
      <c r="CF53" s="36" t="str">
        <f ca="1">IFERROR(+IF(CF$27=ProposalToGnatt[[#This Row],[Start Date]],Milestone_Marker,IF(AND(CF$27&gt;ProposalToGnatt[[#This Row],[Start Date]],CF$27&lt;ProposalToGnatt[[#This Row],[Start Date]]+ProposalToGnatt[[#This Row],[Days]]),$G$5,"")),"")</f>
        <v/>
      </c>
      <c r="CG53" s="36" t="str">
        <f ca="1">IFERROR(+IF(CG$27=ProposalToGnatt[[#This Row],[Start Date]],Milestone_Marker,IF(AND(CG$27&gt;ProposalToGnatt[[#This Row],[Start Date]],CG$27&lt;ProposalToGnatt[[#This Row],[Start Date]]+ProposalToGnatt[[#This Row],[Days]]),$G$5,"")),"")</f>
        <v/>
      </c>
      <c r="CH53" s="36" t="str">
        <f ca="1">IFERROR(+IF(CH$27=ProposalToGnatt[[#This Row],[Start Date]],Milestone_Marker,IF(AND(CH$27&gt;ProposalToGnatt[[#This Row],[Start Date]],CH$27&lt;ProposalToGnatt[[#This Row],[Start Date]]+ProposalToGnatt[[#This Row],[Days]]),$G$5,"")),"")</f>
        <v/>
      </c>
      <c r="CI53" s="36" t="str">
        <f ca="1">IFERROR(+IF(CI$27=ProposalToGnatt[[#This Row],[Start Date]],Milestone_Marker,IF(AND(CI$27&gt;ProposalToGnatt[[#This Row],[Start Date]],CI$27&lt;ProposalToGnatt[[#This Row],[Start Date]]+ProposalToGnatt[[#This Row],[Days]]),$G$5,"")),"")</f>
        <v/>
      </c>
      <c r="CJ53" s="36" t="str">
        <f ca="1">IFERROR(+IF(CJ$27=ProposalToGnatt[[#This Row],[Start Date]],Milestone_Marker,IF(AND(CJ$27&gt;ProposalToGnatt[[#This Row],[Start Date]],CJ$27&lt;ProposalToGnatt[[#This Row],[Start Date]]+ProposalToGnatt[[#This Row],[Days]]),$G$5,"")),"")</f>
        <v/>
      </c>
      <c r="CK53" s="36" t="str">
        <f ca="1">IFERROR(+IF(CK$27=ProposalToGnatt[[#This Row],[Start Date]],Milestone_Marker,IF(AND(CK$27&gt;ProposalToGnatt[[#This Row],[Start Date]],CK$27&lt;ProposalToGnatt[[#This Row],[Start Date]]+ProposalToGnatt[[#This Row],[Days]]),$G$5,"")),"")</f>
        <v/>
      </c>
      <c r="CL53" s="36" t="str">
        <f ca="1">IFERROR(+IF(CL$27=ProposalToGnatt[[#This Row],[Start Date]],Milestone_Marker,IF(AND(CL$27&gt;ProposalToGnatt[[#This Row],[Start Date]],CL$27&lt;ProposalToGnatt[[#This Row],[Start Date]]+ProposalToGnatt[[#This Row],[Days]]),$G$5,"")),"")</f>
        <v/>
      </c>
      <c r="CM53" s="36" t="str">
        <f ca="1">IFERROR(+IF(CM$27=ProposalToGnatt[[#This Row],[Start Date]],Milestone_Marker,IF(AND(CM$27&gt;ProposalToGnatt[[#This Row],[Start Date]],CM$27&lt;ProposalToGnatt[[#This Row],[Start Date]]+ProposalToGnatt[[#This Row],[Days]]),$G$5,"")),"")</f>
        <v/>
      </c>
      <c r="CN53" s="36" t="str">
        <f ca="1">IFERROR(+IF(CN$27=ProposalToGnatt[[#This Row],[Start Date]],Milestone_Marker,IF(AND(CN$27&gt;ProposalToGnatt[[#This Row],[Start Date]],CN$27&lt;ProposalToGnatt[[#This Row],[Start Date]]+ProposalToGnatt[[#This Row],[Days]]),$G$5,"")),"")</f>
        <v/>
      </c>
      <c r="CO53" s="36" t="str">
        <f ca="1">IFERROR(+IF(CO$27=ProposalToGnatt[[#This Row],[Start Date]],Milestone_Marker,IF(AND(CO$27&gt;ProposalToGnatt[[#This Row],[Start Date]],CO$27&lt;ProposalToGnatt[[#This Row],[Start Date]]+ProposalToGnatt[[#This Row],[Days]]),$G$5,"")),"")</f>
        <v/>
      </c>
      <c r="CP53" s="36" t="str">
        <f ca="1">IFERROR(+IF(CP$27=ProposalToGnatt[[#This Row],[Start Date]],Milestone_Marker,IF(AND(CP$27&gt;ProposalToGnatt[[#This Row],[Start Date]],CP$27&lt;ProposalToGnatt[[#This Row],[Start Date]]+ProposalToGnatt[[#This Row],[Days]]),$G$5,"")),"")</f>
        <v/>
      </c>
      <c r="CQ53" s="36" t="str">
        <f ca="1">IFERROR(+IF(CQ$27=ProposalToGnatt[[#This Row],[Start Date]],Milestone_Marker,IF(AND(CQ$27&gt;ProposalToGnatt[[#This Row],[Start Date]],CQ$27&lt;ProposalToGnatt[[#This Row],[Start Date]]+ProposalToGnatt[[#This Row],[Days]]),$G$5,"")),"")</f>
        <v/>
      </c>
      <c r="CR53" s="36" t="str">
        <f ca="1">IFERROR(+IF(CR$27=ProposalToGnatt[[#This Row],[Start Date]],Milestone_Marker,IF(AND(CR$27&gt;ProposalToGnatt[[#This Row],[Start Date]],CR$27&lt;ProposalToGnatt[[#This Row],[Start Date]]+ProposalToGnatt[[#This Row],[Days]]),$G$5,"")),"")</f>
        <v/>
      </c>
      <c r="CS53" s="36" t="str">
        <f ca="1">IFERROR(+IF(CS$27=ProposalToGnatt[[#This Row],[Start Date]],Milestone_Marker,IF(AND(CS$27&gt;ProposalToGnatt[[#This Row],[Start Date]],CS$27&lt;ProposalToGnatt[[#This Row],[Start Date]]+ProposalToGnatt[[#This Row],[Days]]),$G$5,"")),"")</f>
        <v/>
      </c>
      <c r="CT53" s="36" t="str">
        <f ca="1">IFERROR(+IF(CT$27=ProposalToGnatt[[#This Row],[Start Date]],Milestone_Marker,IF(AND(CT$27&gt;ProposalToGnatt[[#This Row],[Start Date]],CT$27&lt;ProposalToGnatt[[#This Row],[Start Date]]+ProposalToGnatt[[#This Row],[Days]]),$G$5,"")),"")</f>
        <v/>
      </c>
      <c r="CU53" s="36" t="str">
        <f ca="1">IFERROR(+IF(CU$27=ProposalToGnatt[[#This Row],[Start Date]],Milestone_Marker,IF(AND(CU$27&gt;ProposalToGnatt[[#This Row],[Start Date]],CU$27&lt;ProposalToGnatt[[#This Row],[Start Date]]+ProposalToGnatt[[#This Row],[Days]]),$G$5,"")),"")</f>
        <v/>
      </c>
      <c r="CV53" s="36"/>
      <c r="CW53" s="36"/>
      <c r="CX53" s="36"/>
      <c r="CY53" s="36"/>
      <c r="CZ53" s="36"/>
      <c r="DA53" s="36"/>
      <c r="DB53" s="36"/>
      <c r="DC53" s="36"/>
      <c r="DD53" s="36"/>
      <c r="DE53" s="36"/>
      <c r="DF53" s="36"/>
      <c r="DG53" s="36"/>
      <c r="DH53" s="36"/>
      <c r="DI53" s="36"/>
      <c r="DJ53" s="36"/>
      <c r="DK53" s="36"/>
      <c r="DL53" s="36"/>
      <c r="DM53" s="36"/>
      <c r="DN53" s="36"/>
      <c r="DO53" s="36"/>
      <c r="DP53" s="36"/>
      <c r="DQ53" s="36"/>
      <c r="DR53" s="36"/>
      <c r="DS53" s="36"/>
      <c r="DT53" s="36"/>
      <c r="DU53" s="36"/>
    </row>
    <row r="54" spans="1:125" s="41" customFormat="1" ht="15" customHeight="1" x14ac:dyDescent="0.25">
      <c r="A54" t="s">
        <v>267</v>
      </c>
      <c r="B54">
        <v>36</v>
      </c>
      <c r="C54"/>
      <c r="D54" t="s">
        <v>907</v>
      </c>
      <c r="E54" s="568" t="s">
        <v>959</v>
      </c>
      <c r="F54"/>
      <c r="G54" s="14">
        <v>1</v>
      </c>
      <c r="H54" s="14"/>
      <c r="I54" t="s">
        <v>3</v>
      </c>
      <c r="J54">
        <v>1</v>
      </c>
      <c r="K54" s="249"/>
      <c r="L54"/>
      <c r="M54" s="14"/>
      <c r="N54" s="300"/>
      <c r="O54" s="554"/>
      <c r="P54" s="36" t="str">
        <f ca="1">IFERROR(+IF(P$27=ProposalToGnatt[[#This Row],[Start Date]],Milestone_Marker,IF(AND(P$27&gt;ProposalToGnatt[[#This Row],[Start Date]],P$27&lt;ProposalToGnatt[[#This Row],[Start Date]]+ProposalToGnatt[[#This Row],[Days]]),$G$5,"")),"")</f>
        <v/>
      </c>
      <c r="Q54" s="36" t="str">
        <f ca="1">IFERROR(+IF(Q$27=ProposalToGnatt[[#This Row],[Start Date]],Milestone_Marker,IF(AND(Q$27&gt;ProposalToGnatt[[#This Row],[Start Date]],Q$27&lt;ProposalToGnatt[[#This Row],[Start Date]]+ProposalToGnatt[[#This Row],[Days]]),$G$5,"")),"")</f>
        <v/>
      </c>
      <c r="R54" s="36" t="str">
        <f ca="1">IFERROR(+IF(R$27=ProposalToGnatt[[#This Row],[Start Date]],Milestone_Marker,IF(AND(R$27&gt;ProposalToGnatt[[#This Row],[Start Date]],R$27&lt;ProposalToGnatt[[#This Row],[Start Date]]+ProposalToGnatt[[#This Row],[Days]]),$G$5,"")),"")</f>
        <v/>
      </c>
      <c r="S54" s="36" t="str">
        <f ca="1">IFERROR(+IF(S$27=ProposalToGnatt[[#This Row],[Start Date]],Milestone_Marker,IF(AND(S$27&gt;ProposalToGnatt[[#This Row],[Start Date]],S$27&lt;ProposalToGnatt[[#This Row],[Start Date]]+ProposalToGnatt[[#This Row],[Days]]),$G$5,"")),"")</f>
        <v/>
      </c>
      <c r="T54" s="36" t="str">
        <f ca="1">IFERROR(+IF(T$27=ProposalToGnatt[[#This Row],[Start Date]],Milestone_Marker,IF(AND(T$27&gt;ProposalToGnatt[[#This Row],[Start Date]],T$27&lt;ProposalToGnatt[[#This Row],[Start Date]]+ProposalToGnatt[[#This Row],[Days]]),$G$5,"")),"")</f>
        <v/>
      </c>
      <c r="U54" s="36" t="str">
        <f ca="1">IFERROR(+IF(U$27=ProposalToGnatt[[#This Row],[Start Date]],Milestone_Marker,IF(AND(U$27&gt;ProposalToGnatt[[#This Row],[Start Date]],U$27&lt;ProposalToGnatt[[#This Row],[Start Date]]+ProposalToGnatt[[#This Row],[Days]]),$G$5,"")),"")</f>
        <v/>
      </c>
      <c r="V54" s="36" t="str">
        <f ca="1">IFERROR(+IF(V$27=ProposalToGnatt[[#This Row],[Start Date]],Milestone_Marker,IF(AND(V$27&gt;ProposalToGnatt[[#This Row],[Start Date]],V$27&lt;ProposalToGnatt[[#This Row],[Start Date]]+ProposalToGnatt[[#This Row],[Days]]),$G$5,"")),"")</f>
        <v/>
      </c>
      <c r="W54" s="36" t="str">
        <f ca="1">IFERROR(+IF(W$27=ProposalToGnatt[[#This Row],[Start Date]],Milestone_Marker,IF(AND(W$27&gt;ProposalToGnatt[[#This Row],[Start Date]],W$27&lt;ProposalToGnatt[[#This Row],[Start Date]]+ProposalToGnatt[[#This Row],[Days]]),$G$5,"")),"")</f>
        <v/>
      </c>
      <c r="X54" s="36" t="str">
        <f ca="1">IFERROR(+IF(X$27=ProposalToGnatt[[#This Row],[Start Date]],Milestone_Marker,IF(AND(X$27&gt;ProposalToGnatt[[#This Row],[Start Date]],X$27&lt;ProposalToGnatt[[#This Row],[Start Date]]+ProposalToGnatt[[#This Row],[Days]]),$G$5,"")),"")</f>
        <v/>
      </c>
      <c r="Y54" s="36" t="str">
        <f ca="1">IFERROR(+IF(Y$27=ProposalToGnatt[[#This Row],[Start Date]],Milestone_Marker,IF(AND(Y$27&gt;ProposalToGnatt[[#This Row],[Start Date]],Y$27&lt;ProposalToGnatt[[#This Row],[Start Date]]+ProposalToGnatt[[#This Row],[Days]]),$G$5,"")),"")</f>
        <v/>
      </c>
      <c r="Z54" s="36" t="str">
        <f ca="1">IFERROR(+IF(Z$27=ProposalToGnatt[[#This Row],[Start Date]],Milestone_Marker,IF(AND(Z$27&gt;ProposalToGnatt[[#This Row],[Start Date]],Z$27&lt;ProposalToGnatt[[#This Row],[Start Date]]+ProposalToGnatt[[#This Row],[Days]]),$G$5,"")),"")</f>
        <v/>
      </c>
      <c r="AA54" s="36" t="str">
        <f ca="1">IFERROR(+IF(AA$27=ProposalToGnatt[[#This Row],[Start Date]],Milestone_Marker,IF(AND(AA$27&gt;ProposalToGnatt[[#This Row],[Start Date]],AA$27&lt;ProposalToGnatt[[#This Row],[Start Date]]+ProposalToGnatt[[#This Row],[Days]]),$G$5,"")),"")</f>
        <v/>
      </c>
      <c r="AB54" s="36" t="str">
        <f ca="1">IFERROR(+IF(AB$27=ProposalToGnatt[[#This Row],[Start Date]],Milestone_Marker,IF(AND(AB$27&gt;ProposalToGnatt[[#This Row],[Start Date]],AB$27&lt;ProposalToGnatt[[#This Row],[Start Date]]+ProposalToGnatt[[#This Row],[Days]]),$G$5,"")),"")</f>
        <v/>
      </c>
      <c r="AC54" s="36" t="str">
        <f ca="1">IFERROR(+IF(AC$27=ProposalToGnatt[[#This Row],[Start Date]],Milestone_Marker,IF(AND(AC$27&gt;ProposalToGnatt[[#This Row],[Start Date]],AC$27&lt;ProposalToGnatt[[#This Row],[Start Date]]+ProposalToGnatt[[#This Row],[Days]]),$G$5,"")),"")</f>
        <v/>
      </c>
      <c r="AD54" s="36" t="str">
        <f ca="1">IFERROR(+IF(AD$27=ProposalToGnatt[[#This Row],[Start Date]],Milestone_Marker,IF(AND(AD$27&gt;ProposalToGnatt[[#This Row],[Start Date]],AD$27&lt;ProposalToGnatt[[#This Row],[Start Date]]+ProposalToGnatt[[#This Row],[Days]]),$G$5,"")),"")</f>
        <v/>
      </c>
      <c r="AE54" s="36" t="str">
        <f ca="1">IFERROR(+IF(AE$27=ProposalToGnatt[[#This Row],[Start Date]],Milestone_Marker,IF(AND(AE$27&gt;ProposalToGnatt[[#This Row],[Start Date]],AE$27&lt;ProposalToGnatt[[#This Row],[Start Date]]+ProposalToGnatt[[#This Row],[Days]]),$G$5,"")),"")</f>
        <v/>
      </c>
      <c r="AF54" s="36" t="str">
        <f ca="1">IFERROR(+IF(AF$27=ProposalToGnatt[[#This Row],[Start Date]],Milestone_Marker,IF(AND(AF$27&gt;ProposalToGnatt[[#This Row],[Start Date]],AF$27&lt;ProposalToGnatt[[#This Row],[Start Date]]+ProposalToGnatt[[#This Row],[Days]]),$G$5,"")),"")</f>
        <v/>
      </c>
      <c r="AG54" s="36" t="str">
        <f ca="1">IFERROR(+IF(AG$27=ProposalToGnatt[[#This Row],[Start Date]],Milestone_Marker,IF(AND(AG$27&gt;ProposalToGnatt[[#This Row],[Start Date]],AG$27&lt;ProposalToGnatt[[#This Row],[Start Date]]+ProposalToGnatt[[#This Row],[Days]]),$G$5,"")),"")</f>
        <v/>
      </c>
      <c r="AH54" s="36" t="str">
        <f ca="1">IFERROR(+IF(AH$27=ProposalToGnatt[[#This Row],[Start Date]],Milestone_Marker,IF(AND(AH$27&gt;ProposalToGnatt[[#This Row],[Start Date]],AH$27&lt;ProposalToGnatt[[#This Row],[Start Date]]+ProposalToGnatt[[#This Row],[Days]]),$G$5,"")),"")</f>
        <v/>
      </c>
      <c r="AI54" s="36" t="str">
        <f ca="1">IFERROR(+IF(AI$27=ProposalToGnatt[[#This Row],[Start Date]],Milestone_Marker,IF(AND(AI$27&gt;ProposalToGnatt[[#This Row],[Start Date]],AI$27&lt;ProposalToGnatt[[#This Row],[Start Date]]+ProposalToGnatt[[#This Row],[Days]]),$G$5,"")),"")</f>
        <v/>
      </c>
      <c r="AJ54" s="36" t="str">
        <f ca="1">IFERROR(+IF(AJ$27=ProposalToGnatt[[#This Row],[Start Date]],Milestone_Marker,IF(AND(AJ$27&gt;ProposalToGnatt[[#This Row],[Start Date]],AJ$27&lt;ProposalToGnatt[[#This Row],[Start Date]]+ProposalToGnatt[[#This Row],[Days]]),$G$5,"")),"")</f>
        <v/>
      </c>
      <c r="AK54" s="36" t="str">
        <f ca="1">IFERROR(+IF(AK$27=ProposalToGnatt[[#This Row],[Start Date]],Milestone_Marker,IF(AND(AK$27&gt;ProposalToGnatt[[#This Row],[Start Date]],AK$27&lt;ProposalToGnatt[[#This Row],[Start Date]]+ProposalToGnatt[[#This Row],[Days]]),$G$5,"")),"")</f>
        <v/>
      </c>
      <c r="AL54" s="36" t="str">
        <f ca="1">IFERROR(+IF(AL$27=ProposalToGnatt[[#This Row],[Start Date]],Milestone_Marker,IF(AND(AL$27&gt;ProposalToGnatt[[#This Row],[Start Date]],AL$27&lt;ProposalToGnatt[[#This Row],[Start Date]]+ProposalToGnatt[[#This Row],[Days]]),$G$5,"")),"")</f>
        <v/>
      </c>
      <c r="AM54" s="36" t="str">
        <f ca="1">IFERROR(+IF(AM$27=ProposalToGnatt[[#This Row],[Start Date]],Milestone_Marker,IF(AND(AM$27&gt;ProposalToGnatt[[#This Row],[Start Date]],AM$27&lt;ProposalToGnatt[[#This Row],[Start Date]]+ProposalToGnatt[[#This Row],[Days]]),$G$5,"")),"")</f>
        <v/>
      </c>
      <c r="AN54" s="36" t="str">
        <f ca="1">IFERROR(+IF(AN$27=ProposalToGnatt[[#This Row],[Start Date]],Milestone_Marker,IF(AND(AN$27&gt;ProposalToGnatt[[#This Row],[Start Date]],AN$27&lt;ProposalToGnatt[[#This Row],[Start Date]]+ProposalToGnatt[[#This Row],[Days]]),$G$5,"")),"")</f>
        <v/>
      </c>
      <c r="AO54" s="36" t="str">
        <f ca="1">IFERROR(+IF(AO$27=ProposalToGnatt[[#This Row],[Start Date]],Milestone_Marker,IF(AND(AO$27&gt;ProposalToGnatt[[#This Row],[Start Date]],AO$27&lt;ProposalToGnatt[[#This Row],[Start Date]]+ProposalToGnatt[[#This Row],[Days]]),$G$5,"")),"")</f>
        <v/>
      </c>
      <c r="AP54" s="36" t="str">
        <f ca="1">IFERROR(+IF(AP$27=ProposalToGnatt[[#This Row],[Start Date]],Milestone_Marker,IF(AND(AP$27&gt;ProposalToGnatt[[#This Row],[Start Date]],AP$27&lt;ProposalToGnatt[[#This Row],[Start Date]]+ProposalToGnatt[[#This Row],[Days]]),$G$5,"")),"")</f>
        <v/>
      </c>
      <c r="AQ54" s="36" t="str">
        <f ca="1">IFERROR(+IF(AQ$27=ProposalToGnatt[[#This Row],[Start Date]],Milestone_Marker,IF(AND(AQ$27&gt;ProposalToGnatt[[#This Row],[Start Date]],AQ$27&lt;ProposalToGnatt[[#This Row],[Start Date]]+ProposalToGnatt[[#This Row],[Days]]),$G$5,"")),"")</f>
        <v/>
      </c>
      <c r="AR54" s="36" t="str">
        <f ca="1">IFERROR(+IF(AR$27=ProposalToGnatt[[#This Row],[Start Date]],Milestone_Marker,IF(AND(AR$27&gt;ProposalToGnatt[[#This Row],[Start Date]],AR$27&lt;ProposalToGnatt[[#This Row],[Start Date]]+ProposalToGnatt[[#This Row],[Days]]),$G$5,"")),"")</f>
        <v/>
      </c>
      <c r="AS54" s="36" t="str">
        <f ca="1">IFERROR(+IF(AS$27=ProposalToGnatt[[#This Row],[Start Date]],Milestone_Marker,IF(AND(AS$27&gt;ProposalToGnatt[[#This Row],[Start Date]],AS$27&lt;ProposalToGnatt[[#This Row],[Start Date]]+ProposalToGnatt[[#This Row],[Days]]),$G$5,"")),"")</f>
        <v/>
      </c>
      <c r="AT54" s="36" t="str">
        <f ca="1">IFERROR(+IF(AT$27=ProposalToGnatt[[#This Row],[Start Date]],Milestone_Marker,IF(AND(AT$27&gt;ProposalToGnatt[[#This Row],[Start Date]],AT$27&lt;ProposalToGnatt[[#This Row],[Start Date]]+ProposalToGnatt[[#This Row],[Days]]),$G$5,"")),"")</f>
        <v/>
      </c>
      <c r="AU54" s="36" t="str">
        <f ca="1">IFERROR(+IF(AU$27=ProposalToGnatt[[#This Row],[Start Date]],Milestone_Marker,IF(AND(AU$27&gt;ProposalToGnatt[[#This Row],[Start Date]],AU$27&lt;ProposalToGnatt[[#This Row],[Start Date]]+ProposalToGnatt[[#This Row],[Days]]),$G$5,"")),"")</f>
        <v/>
      </c>
      <c r="AV54" s="36" t="str">
        <f ca="1">IFERROR(+IF(AV$27=ProposalToGnatt[[#This Row],[Start Date]],Milestone_Marker,IF(AND(AV$27&gt;ProposalToGnatt[[#This Row],[Start Date]],AV$27&lt;ProposalToGnatt[[#This Row],[Start Date]]+ProposalToGnatt[[#This Row],[Days]]),$G$5,"")),"")</f>
        <v/>
      </c>
      <c r="AW54" s="36" t="str">
        <f ca="1">IFERROR(+IF(AW$27=ProposalToGnatt[[#This Row],[Start Date]],Milestone_Marker,IF(AND(AW$27&gt;ProposalToGnatt[[#This Row],[Start Date]],AW$27&lt;ProposalToGnatt[[#This Row],[Start Date]]+ProposalToGnatt[[#This Row],[Days]]),$G$5,"")),"")</f>
        <v/>
      </c>
      <c r="AX54" s="36" t="str">
        <f ca="1">IFERROR(+IF(AX$27=ProposalToGnatt[[#This Row],[Start Date]],Milestone_Marker,IF(AND(AX$27&gt;ProposalToGnatt[[#This Row],[Start Date]],AX$27&lt;ProposalToGnatt[[#This Row],[Start Date]]+ProposalToGnatt[[#This Row],[Days]]),$G$5,"")),"")</f>
        <v/>
      </c>
      <c r="AY54" s="36" t="str">
        <f ca="1">IFERROR(+IF(AY$27=ProposalToGnatt[[#This Row],[Start Date]],Milestone_Marker,IF(AND(AY$27&gt;ProposalToGnatt[[#This Row],[Start Date]],AY$27&lt;ProposalToGnatt[[#This Row],[Start Date]]+ProposalToGnatt[[#This Row],[Days]]),$G$5,"")),"")</f>
        <v/>
      </c>
      <c r="AZ54" s="36" t="str">
        <f ca="1">IFERROR(+IF(AZ$27=ProposalToGnatt[[#This Row],[Start Date]],Milestone_Marker,IF(AND(AZ$27&gt;ProposalToGnatt[[#This Row],[Start Date]],AZ$27&lt;ProposalToGnatt[[#This Row],[Start Date]]+ProposalToGnatt[[#This Row],[Days]]),$G$5,"")),"")</f>
        <v/>
      </c>
      <c r="BA54" s="36" t="str">
        <f ca="1">IFERROR(+IF(BA$27=ProposalToGnatt[[#This Row],[Start Date]],Milestone_Marker,IF(AND(BA$27&gt;ProposalToGnatt[[#This Row],[Start Date]],BA$27&lt;ProposalToGnatt[[#This Row],[Start Date]]+ProposalToGnatt[[#This Row],[Days]]),$G$5,"")),"")</f>
        <v/>
      </c>
      <c r="BB54" s="36" t="str">
        <f ca="1">IFERROR(+IF(BB$27=ProposalToGnatt[[#This Row],[Start Date]],Milestone_Marker,IF(AND(BB$27&gt;ProposalToGnatt[[#This Row],[Start Date]],BB$27&lt;ProposalToGnatt[[#This Row],[Start Date]]+ProposalToGnatt[[#This Row],[Days]]),$G$5,"")),"")</f>
        <v/>
      </c>
      <c r="BC54" s="36" t="str">
        <f ca="1">IFERROR(+IF(BC$27=ProposalToGnatt[[#This Row],[Start Date]],Milestone_Marker,IF(AND(BC$27&gt;ProposalToGnatt[[#This Row],[Start Date]],BC$27&lt;ProposalToGnatt[[#This Row],[Start Date]]+ProposalToGnatt[[#This Row],[Days]]),$G$5,"")),"")</f>
        <v/>
      </c>
      <c r="BD54" s="36" t="str">
        <f ca="1">IFERROR(+IF(BD$27=ProposalToGnatt[[#This Row],[Start Date]],Milestone_Marker,IF(AND(BD$27&gt;ProposalToGnatt[[#This Row],[Start Date]],BD$27&lt;ProposalToGnatt[[#This Row],[Start Date]]+ProposalToGnatt[[#This Row],[Days]]),$G$5,"")),"")</f>
        <v/>
      </c>
      <c r="BE54" s="36" t="str">
        <f ca="1">IFERROR(+IF(BE$27=ProposalToGnatt[[#This Row],[Start Date]],Milestone_Marker,IF(AND(BE$27&gt;ProposalToGnatt[[#This Row],[Start Date]],BE$27&lt;ProposalToGnatt[[#This Row],[Start Date]]+ProposalToGnatt[[#This Row],[Days]]),$G$5,"")),"")</f>
        <v/>
      </c>
      <c r="BF54" s="36" t="str">
        <f ca="1">IFERROR(+IF(BF$27=ProposalToGnatt[[#This Row],[Start Date]],Milestone_Marker,IF(AND(BF$27&gt;ProposalToGnatt[[#This Row],[Start Date]],BF$27&lt;ProposalToGnatt[[#This Row],[Start Date]]+ProposalToGnatt[[#This Row],[Days]]),$G$5,"")),"")</f>
        <v/>
      </c>
      <c r="BG54" s="36" t="str">
        <f ca="1">IFERROR(+IF(BG$27=ProposalToGnatt[[#This Row],[Start Date]],Milestone_Marker,IF(AND(BG$27&gt;ProposalToGnatt[[#This Row],[Start Date]],BG$27&lt;ProposalToGnatt[[#This Row],[Start Date]]+ProposalToGnatt[[#This Row],[Days]]),$G$5,"")),"")</f>
        <v/>
      </c>
      <c r="BH54" s="36" t="str">
        <f ca="1">IFERROR(+IF(BH$27=ProposalToGnatt[[#This Row],[Start Date]],Milestone_Marker,IF(AND(BH$27&gt;ProposalToGnatt[[#This Row],[Start Date]],BH$27&lt;ProposalToGnatt[[#This Row],[Start Date]]+ProposalToGnatt[[#This Row],[Days]]),$G$5,"")),"")</f>
        <v/>
      </c>
      <c r="BI54" s="36" t="str">
        <f ca="1">IFERROR(+IF(BI$27=ProposalToGnatt[[#This Row],[Start Date]],Milestone_Marker,IF(AND(BI$27&gt;ProposalToGnatt[[#This Row],[Start Date]],BI$27&lt;ProposalToGnatt[[#This Row],[Start Date]]+ProposalToGnatt[[#This Row],[Days]]),$G$5,"")),"")</f>
        <v/>
      </c>
      <c r="BJ54" s="36" t="str">
        <f ca="1">IFERROR(+IF(BJ$27=ProposalToGnatt[[#This Row],[Start Date]],Milestone_Marker,IF(AND(BJ$27&gt;ProposalToGnatt[[#This Row],[Start Date]],BJ$27&lt;ProposalToGnatt[[#This Row],[Start Date]]+ProposalToGnatt[[#This Row],[Days]]),$G$5,"")),"")</f>
        <v/>
      </c>
      <c r="BK54" s="36" t="str">
        <f ca="1">IFERROR(+IF(BK$27=ProposalToGnatt[[#This Row],[Start Date]],Milestone_Marker,IF(AND(BK$27&gt;ProposalToGnatt[[#This Row],[Start Date]],BK$27&lt;ProposalToGnatt[[#This Row],[Start Date]]+ProposalToGnatt[[#This Row],[Days]]),$G$5,"")),"")</f>
        <v/>
      </c>
      <c r="BL54" s="36" t="str">
        <f ca="1">IFERROR(+IF(BL$27=ProposalToGnatt[[#This Row],[Start Date]],Milestone_Marker,IF(AND(BL$27&gt;ProposalToGnatt[[#This Row],[Start Date]],BL$27&lt;ProposalToGnatt[[#This Row],[Start Date]]+ProposalToGnatt[[#This Row],[Days]]),$G$5,"")),"")</f>
        <v/>
      </c>
      <c r="BM54" s="36" t="str">
        <f ca="1">IFERROR(+IF(BM$27=ProposalToGnatt[[#This Row],[Start Date]],Milestone_Marker,IF(AND(BM$27&gt;ProposalToGnatt[[#This Row],[Start Date]],BM$27&lt;ProposalToGnatt[[#This Row],[Start Date]]+ProposalToGnatt[[#This Row],[Days]]),$G$5,"")),"")</f>
        <v/>
      </c>
      <c r="BN54" s="36" t="str">
        <f ca="1">IFERROR(+IF(BN$27=ProposalToGnatt[[#This Row],[Start Date]],Milestone_Marker,IF(AND(BN$27&gt;ProposalToGnatt[[#This Row],[Start Date]],BN$27&lt;ProposalToGnatt[[#This Row],[Start Date]]+ProposalToGnatt[[#This Row],[Days]]),$G$5,"")),"")</f>
        <v/>
      </c>
      <c r="BO54" s="36" t="str">
        <f ca="1">IFERROR(+IF(BO$27=ProposalToGnatt[[#This Row],[Start Date]],Milestone_Marker,IF(AND(BO$27&gt;ProposalToGnatt[[#This Row],[Start Date]],BO$27&lt;ProposalToGnatt[[#This Row],[Start Date]]+ProposalToGnatt[[#This Row],[Days]]),$G$5,"")),"")</f>
        <v/>
      </c>
      <c r="BP54" s="36" t="str">
        <f ca="1">IFERROR(+IF(BP$27=ProposalToGnatt[[#This Row],[Start Date]],Milestone_Marker,IF(AND(BP$27&gt;ProposalToGnatt[[#This Row],[Start Date]],BP$27&lt;ProposalToGnatt[[#This Row],[Start Date]]+ProposalToGnatt[[#This Row],[Days]]),$G$5,"")),"")</f>
        <v/>
      </c>
      <c r="BQ54" s="36" t="str">
        <f ca="1">IFERROR(+IF(BQ$27=ProposalToGnatt[[#This Row],[Start Date]],Milestone_Marker,IF(AND(BQ$27&gt;ProposalToGnatt[[#This Row],[Start Date]],BQ$27&lt;ProposalToGnatt[[#This Row],[Start Date]]+ProposalToGnatt[[#This Row],[Days]]),$G$5,"")),"")</f>
        <v/>
      </c>
      <c r="BR54" s="36" t="str">
        <f ca="1">IFERROR(+IF(BR$27=ProposalToGnatt[[#This Row],[Start Date]],Milestone_Marker,IF(AND(BR$27&gt;ProposalToGnatt[[#This Row],[Start Date]],BR$27&lt;ProposalToGnatt[[#This Row],[Start Date]]+ProposalToGnatt[[#This Row],[Days]]),$G$5,"")),"")</f>
        <v/>
      </c>
      <c r="BS54" s="36" t="str">
        <f ca="1">IFERROR(+IF(BS$27=ProposalToGnatt[[#This Row],[Start Date]],Milestone_Marker,IF(AND(BS$27&gt;ProposalToGnatt[[#This Row],[Start Date]],BS$27&lt;ProposalToGnatt[[#This Row],[Start Date]]+ProposalToGnatt[[#This Row],[Days]]),$G$5,"")),"")</f>
        <v/>
      </c>
      <c r="BT54" s="36" t="str">
        <f ca="1">IFERROR(+IF(BT$27=ProposalToGnatt[[#This Row],[Start Date]],Milestone_Marker,IF(AND(BT$27&gt;ProposalToGnatt[[#This Row],[Start Date]],BT$27&lt;ProposalToGnatt[[#This Row],[Start Date]]+ProposalToGnatt[[#This Row],[Days]]),$G$5,"")),"")</f>
        <v/>
      </c>
      <c r="BU54" s="36" t="str">
        <f ca="1">IFERROR(+IF(BU$27=ProposalToGnatt[[#This Row],[Start Date]],Milestone_Marker,IF(AND(BU$27&gt;ProposalToGnatt[[#This Row],[Start Date]],BU$27&lt;ProposalToGnatt[[#This Row],[Start Date]]+ProposalToGnatt[[#This Row],[Days]]),$G$5,"")),"")</f>
        <v/>
      </c>
      <c r="BV54" s="36" t="str">
        <f ca="1">IFERROR(+IF(BV$27=ProposalToGnatt[[#This Row],[Start Date]],Milestone_Marker,IF(AND(BV$27&gt;ProposalToGnatt[[#This Row],[Start Date]],BV$27&lt;ProposalToGnatt[[#This Row],[Start Date]]+ProposalToGnatt[[#This Row],[Days]]),$G$5,"")),"")</f>
        <v/>
      </c>
      <c r="BW54" s="36" t="str">
        <f ca="1">IFERROR(+IF(BW$27=ProposalToGnatt[[#This Row],[Start Date]],Milestone_Marker,IF(AND(BW$27&gt;ProposalToGnatt[[#This Row],[Start Date]],BW$27&lt;ProposalToGnatt[[#This Row],[Start Date]]+ProposalToGnatt[[#This Row],[Days]]),$G$5,"")),"")</f>
        <v/>
      </c>
      <c r="BX54" s="36" t="str">
        <f ca="1">IFERROR(+IF(BX$27=ProposalToGnatt[[#This Row],[Start Date]],Milestone_Marker,IF(AND(BX$27&gt;ProposalToGnatt[[#This Row],[Start Date]],BX$27&lt;ProposalToGnatt[[#This Row],[Start Date]]+ProposalToGnatt[[#This Row],[Days]]),$G$5,"")),"")</f>
        <v/>
      </c>
      <c r="BY54" s="36" t="str">
        <f ca="1">IFERROR(+IF(BY$27=ProposalToGnatt[[#This Row],[Start Date]],Milestone_Marker,IF(AND(BY$27&gt;ProposalToGnatt[[#This Row],[Start Date]],BY$27&lt;ProposalToGnatt[[#This Row],[Start Date]]+ProposalToGnatt[[#This Row],[Days]]),$G$5,"")),"")</f>
        <v/>
      </c>
      <c r="BZ54" s="36" t="str">
        <f ca="1">IFERROR(+IF(BZ$27=ProposalToGnatt[[#This Row],[Start Date]],Milestone_Marker,IF(AND(BZ$27&gt;ProposalToGnatt[[#This Row],[Start Date]],BZ$27&lt;ProposalToGnatt[[#This Row],[Start Date]]+ProposalToGnatt[[#This Row],[Days]]),$G$5,"")),"")</f>
        <v/>
      </c>
      <c r="CA54" s="36" t="str">
        <f ca="1">IFERROR(+IF(CA$27=ProposalToGnatt[[#This Row],[Start Date]],Milestone_Marker,IF(AND(CA$27&gt;ProposalToGnatt[[#This Row],[Start Date]],CA$27&lt;ProposalToGnatt[[#This Row],[Start Date]]+ProposalToGnatt[[#This Row],[Days]]),$G$5,"")),"")</f>
        <v/>
      </c>
      <c r="CB54" s="36" t="str">
        <f ca="1">IFERROR(+IF(CB$27=ProposalToGnatt[[#This Row],[Start Date]],Milestone_Marker,IF(AND(CB$27&gt;ProposalToGnatt[[#This Row],[Start Date]],CB$27&lt;ProposalToGnatt[[#This Row],[Start Date]]+ProposalToGnatt[[#This Row],[Days]]),$G$5,"")),"")</f>
        <v/>
      </c>
      <c r="CC54" s="36" t="str">
        <f ca="1">IFERROR(+IF(CC$27=ProposalToGnatt[[#This Row],[Start Date]],Milestone_Marker,IF(AND(CC$27&gt;ProposalToGnatt[[#This Row],[Start Date]],CC$27&lt;ProposalToGnatt[[#This Row],[Start Date]]+ProposalToGnatt[[#This Row],[Days]]),$G$5,"")),"")</f>
        <v/>
      </c>
      <c r="CD54" s="36" t="str">
        <f ca="1">IFERROR(+IF(CD$27=ProposalToGnatt[[#This Row],[Start Date]],Milestone_Marker,IF(AND(CD$27&gt;ProposalToGnatt[[#This Row],[Start Date]],CD$27&lt;ProposalToGnatt[[#This Row],[Start Date]]+ProposalToGnatt[[#This Row],[Days]]),$G$5,"")),"")</f>
        <v/>
      </c>
      <c r="CE54" s="36" t="str">
        <f ca="1">IFERROR(+IF(CE$27=ProposalToGnatt[[#This Row],[Start Date]],Milestone_Marker,IF(AND(CE$27&gt;ProposalToGnatt[[#This Row],[Start Date]],CE$27&lt;ProposalToGnatt[[#This Row],[Start Date]]+ProposalToGnatt[[#This Row],[Days]]),$G$5,"")),"")</f>
        <v/>
      </c>
      <c r="CF54" s="36" t="str">
        <f ca="1">IFERROR(+IF(CF$27=ProposalToGnatt[[#This Row],[Start Date]],Milestone_Marker,IF(AND(CF$27&gt;ProposalToGnatt[[#This Row],[Start Date]],CF$27&lt;ProposalToGnatt[[#This Row],[Start Date]]+ProposalToGnatt[[#This Row],[Days]]),$G$5,"")),"")</f>
        <v/>
      </c>
      <c r="CG54" s="36" t="str">
        <f ca="1">IFERROR(+IF(CG$27=ProposalToGnatt[[#This Row],[Start Date]],Milestone_Marker,IF(AND(CG$27&gt;ProposalToGnatt[[#This Row],[Start Date]],CG$27&lt;ProposalToGnatt[[#This Row],[Start Date]]+ProposalToGnatt[[#This Row],[Days]]),$G$5,"")),"")</f>
        <v/>
      </c>
      <c r="CH54" s="36" t="str">
        <f ca="1">IFERROR(+IF(CH$27=ProposalToGnatt[[#This Row],[Start Date]],Milestone_Marker,IF(AND(CH$27&gt;ProposalToGnatt[[#This Row],[Start Date]],CH$27&lt;ProposalToGnatt[[#This Row],[Start Date]]+ProposalToGnatt[[#This Row],[Days]]),$G$5,"")),"")</f>
        <v/>
      </c>
      <c r="CI54" s="36" t="str">
        <f ca="1">IFERROR(+IF(CI$27=ProposalToGnatt[[#This Row],[Start Date]],Milestone_Marker,IF(AND(CI$27&gt;ProposalToGnatt[[#This Row],[Start Date]],CI$27&lt;ProposalToGnatt[[#This Row],[Start Date]]+ProposalToGnatt[[#This Row],[Days]]),$G$5,"")),"")</f>
        <v/>
      </c>
      <c r="CJ54" s="36" t="str">
        <f ca="1">IFERROR(+IF(CJ$27=ProposalToGnatt[[#This Row],[Start Date]],Milestone_Marker,IF(AND(CJ$27&gt;ProposalToGnatt[[#This Row],[Start Date]],CJ$27&lt;ProposalToGnatt[[#This Row],[Start Date]]+ProposalToGnatt[[#This Row],[Days]]),$G$5,"")),"")</f>
        <v/>
      </c>
      <c r="CK54" s="36" t="str">
        <f ca="1">IFERROR(+IF(CK$27=ProposalToGnatt[[#This Row],[Start Date]],Milestone_Marker,IF(AND(CK$27&gt;ProposalToGnatt[[#This Row],[Start Date]],CK$27&lt;ProposalToGnatt[[#This Row],[Start Date]]+ProposalToGnatt[[#This Row],[Days]]),$G$5,"")),"")</f>
        <v/>
      </c>
      <c r="CL54" s="36" t="str">
        <f ca="1">IFERROR(+IF(CL$27=ProposalToGnatt[[#This Row],[Start Date]],Milestone_Marker,IF(AND(CL$27&gt;ProposalToGnatt[[#This Row],[Start Date]],CL$27&lt;ProposalToGnatt[[#This Row],[Start Date]]+ProposalToGnatt[[#This Row],[Days]]),$G$5,"")),"")</f>
        <v/>
      </c>
      <c r="CM54" s="36" t="str">
        <f ca="1">IFERROR(+IF(CM$27=ProposalToGnatt[[#This Row],[Start Date]],Milestone_Marker,IF(AND(CM$27&gt;ProposalToGnatt[[#This Row],[Start Date]],CM$27&lt;ProposalToGnatt[[#This Row],[Start Date]]+ProposalToGnatt[[#This Row],[Days]]),$G$5,"")),"")</f>
        <v/>
      </c>
      <c r="CN54" s="36" t="str">
        <f ca="1">IFERROR(+IF(CN$27=ProposalToGnatt[[#This Row],[Start Date]],Milestone_Marker,IF(AND(CN$27&gt;ProposalToGnatt[[#This Row],[Start Date]],CN$27&lt;ProposalToGnatt[[#This Row],[Start Date]]+ProposalToGnatt[[#This Row],[Days]]),$G$5,"")),"")</f>
        <v/>
      </c>
      <c r="CO54" s="36" t="str">
        <f ca="1">IFERROR(+IF(CO$27=ProposalToGnatt[[#This Row],[Start Date]],Milestone_Marker,IF(AND(CO$27&gt;ProposalToGnatt[[#This Row],[Start Date]],CO$27&lt;ProposalToGnatt[[#This Row],[Start Date]]+ProposalToGnatt[[#This Row],[Days]]),$G$5,"")),"")</f>
        <v/>
      </c>
      <c r="CP54" s="36" t="str">
        <f ca="1">IFERROR(+IF(CP$27=ProposalToGnatt[[#This Row],[Start Date]],Milestone_Marker,IF(AND(CP$27&gt;ProposalToGnatt[[#This Row],[Start Date]],CP$27&lt;ProposalToGnatt[[#This Row],[Start Date]]+ProposalToGnatt[[#This Row],[Days]]),$G$5,"")),"")</f>
        <v/>
      </c>
      <c r="CQ54" s="36" t="str">
        <f ca="1">IFERROR(+IF(CQ$27=ProposalToGnatt[[#This Row],[Start Date]],Milestone_Marker,IF(AND(CQ$27&gt;ProposalToGnatt[[#This Row],[Start Date]],CQ$27&lt;ProposalToGnatt[[#This Row],[Start Date]]+ProposalToGnatt[[#This Row],[Days]]),$G$5,"")),"")</f>
        <v/>
      </c>
      <c r="CR54" s="36" t="str">
        <f ca="1">IFERROR(+IF(CR$27=ProposalToGnatt[[#This Row],[Start Date]],Milestone_Marker,IF(AND(CR$27&gt;ProposalToGnatt[[#This Row],[Start Date]],CR$27&lt;ProposalToGnatt[[#This Row],[Start Date]]+ProposalToGnatt[[#This Row],[Days]]),$G$5,"")),"")</f>
        <v/>
      </c>
      <c r="CS54" s="36" t="str">
        <f ca="1">IFERROR(+IF(CS$27=ProposalToGnatt[[#This Row],[Start Date]],Milestone_Marker,IF(AND(CS$27&gt;ProposalToGnatt[[#This Row],[Start Date]],CS$27&lt;ProposalToGnatt[[#This Row],[Start Date]]+ProposalToGnatt[[#This Row],[Days]]),$G$5,"")),"")</f>
        <v/>
      </c>
      <c r="CT54" s="36" t="str">
        <f ca="1">IFERROR(+IF(CT$27=ProposalToGnatt[[#This Row],[Start Date]],Milestone_Marker,IF(AND(CT$27&gt;ProposalToGnatt[[#This Row],[Start Date]],CT$27&lt;ProposalToGnatt[[#This Row],[Start Date]]+ProposalToGnatt[[#This Row],[Days]]),$G$5,"")),"")</f>
        <v/>
      </c>
      <c r="CU54" s="36" t="str">
        <f ca="1">IFERROR(+IF(CU$27=ProposalToGnatt[[#This Row],[Start Date]],Milestone_Marker,IF(AND(CU$27&gt;ProposalToGnatt[[#This Row],[Start Date]],CU$27&lt;ProposalToGnatt[[#This Row],[Start Date]]+ProposalToGnatt[[#This Row],[Days]]),$G$5,"")),"")</f>
        <v/>
      </c>
      <c r="CV54" s="36"/>
      <c r="CW54" s="36"/>
      <c r="CX54" s="36"/>
      <c r="CY54" s="36"/>
      <c r="CZ54" s="36"/>
      <c r="DA54" s="36"/>
      <c r="DB54" s="36"/>
      <c r="DC54" s="36"/>
      <c r="DD54" s="36"/>
      <c r="DE54" s="36"/>
      <c r="DF54" s="36"/>
      <c r="DG54" s="36"/>
      <c r="DH54" s="36"/>
      <c r="DI54" s="36"/>
      <c r="DJ54" s="36"/>
      <c r="DK54" s="36"/>
      <c r="DL54" s="36"/>
      <c r="DM54" s="36"/>
      <c r="DN54" s="36"/>
      <c r="DO54" s="36"/>
      <c r="DP54" s="36"/>
      <c r="DQ54" s="36"/>
      <c r="DR54" s="36"/>
      <c r="DS54" s="36"/>
      <c r="DT54" s="36"/>
      <c r="DU54" s="36"/>
    </row>
    <row r="55" spans="1:125" s="41" customFormat="1" ht="30" customHeight="1" x14ac:dyDescent="0.25">
      <c r="A55" t="s">
        <v>267</v>
      </c>
      <c r="B55">
        <v>37</v>
      </c>
      <c r="C55"/>
      <c r="D55" t="s">
        <v>950</v>
      </c>
      <c r="E55" s="568" t="s">
        <v>947</v>
      </c>
      <c r="F55">
        <v>4</v>
      </c>
      <c r="G55" s="14">
        <v>1</v>
      </c>
      <c r="H55" s="14">
        <v>4</v>
      </c>
      <c r="I55" t="s">
        <v>3</v>
      </c>
      <c r="J55">
        <v>1</v>
      </c>
      <c r="K55" s="249"/>
      <c r="L55"/>
      <c r="M55" s="14"/>
      <c r="N55" s="300">
        <v>4</v>
      </c>
      <c r="O55" s="554"/>
      <c r="P55" s="36" t="str">
        <f ca="1">IFERROR(+IF(P$27=ProposalToGnatt[[#This Row],[Start Date]],Milestone_Marker,IF(AND(P$27&gt;ProposalToGnatt[[#This Row],[Start Date]],P$27&lt;ProposalToGnatt[[#This Row],[Start Date]]+ProposalToGnatt[[#This Row],[Days]]),$G$5,"")),"")</f>
        <v/>
      </c>
      <c r="Q55" s="36" t="str">
        <f ca="1">IFERROR(+IF(Q$27=ProposalToGnatt[[#This Row],[Start Date]],Milestone_Marker,IF(AND(Q$27&gt;ProposalToGnatt[[#This Row],[Start Date]],Q$27&lt;ProposalToGnatt[[#This Row],[Start Date]]+ProposalToGnatt[[#This Row],[Days]]),$G$5,"")),"")</f>
        <v/>
      </c>
      <c r="R55" s="36" t="str">
        <f ca="1">IFERROR(+IF(R$27=ProposalToGnatt[[#This Row],[Start Date]],Milestone_Marker,IF(AND(R$27&gt;ProposalToGnatt[[#This Row],[Start Date]],R$27&lt;ProposalToGnatt[[#This Row],[Start Date]]+ProposalToGnatt[[#This Row],[Days]]),$G$5,"")),"")</f>
        <v/>
      </c>
      <c r="S55" s="36" t="str">
        <f ca="1">IFERROR(+IF(S$27=ProposalToGnatt[[#This Row],[Start Date]],Milestone_Marker,IF(AND(S$27&gt;ProposalToGnatt[[#This Row],[Start Date]],S$27&lt;ProposalToGnatt[[#This Row],[Start Date]]+ProposalToGnatt[[#This Row],[Days]]),$G$5,"")),"")</f>
        <v/>
      </c>
      <c r="T55" s="36" t="str">
        <f ca="1">IFERROR(+IF(T$27=ProposalToGnatt[[#This Row],[Start Date]],Milestone_Marker,IF(AND(T$27&gt;ProposalToGnatt[[#This Row],[Start Date]],T$27&lt;ProposalToGnatt[[#This Row],[Start Date]]+ProposalToGnatt[[#This Row],[Days]]),$G$5,"")),"")</f>
        <v/>
      </c>
      <c r="U55" s="36" t="str">
        <f ca="1">IFERROR(+IF(U$27=ProposalToGnatt[[#This Row],[Start Date]],Milestone_Marker,IF(AND(U$27&gt;ProposalToGnatt[[#This Row],[Start Date]],U$27&lt;ProposalToGnatt[[#This Row],[Start Date]]+ProposalToGnatt[[#This Row],[Days]]),$G$5,"")),"")</f>
        <v/>
      </c>
      <c r="V55" s="36" t="str">
        <f ca="1">IFERROR(+IF(V$27=ProposalToGnatt[[#This Row],[Start Date]],Milestone_Marker,IF(AND(V$27&gt;ProposalToGnatt[[#This Row],[Start Date]],V$27&lt;ProposalToGnatt[[#This Row],[Start Date]]+ProposalToGnatt[[#This Row],[Days]]),$G$5,"")),"")</f>
        <v/>
      </c>
      <c r="W55" s="36" t="str">
        <f ca="1">IFERROR(+IF(W$27=ProposalToGnatt[[#This Row],[Start Date]],Milestone_Marker,IF(AND(W$27&gt;ProposalToGnatt[[#This Row],[Start Date]],W$27&lt;ProposalToGnatt[[#This Row],[Start Date]]+ProposalToGnatt[[#This Row],[Days]]),$G$5,"")),"")</f>
        <v/>
      </c>
      <c r="X55" s="36" t="str">
        <f ca="1">IFERROR(+IF(X$27=ProposalToGnatt[[#This Row],[Start Date]],Milestone_Marker,IF(AND(X$27&gt;ProposalToGnatt[[#This Row],[Start Date]],X$27&lt;ProposalToGnatt[[#This Row],[Start Date]]+ProposalToGnatt[[#This Row],[Days]]),$G$5,"")),"")</f>
        <v/>
      </c>
      <c r="Y55" s="36" t="str">
        <f ca="1">IFERROR(+IF(Y$27=ProposalToGnatt[[#This Row],[Start Date]],Milestone_Marker,IF(AND(Y$27&gt;ProposalToGnatt[[#This Row],[Start Date]],Y$27&lt;ProposalToGnatt[[#This Row],[Start Date]]+ProposalToGnatt[[#This Row],[Days]]),$G$5,"")),"")</f>
        <v/>
      </c>
      <c r="Z55" s="36" t="str">
        <f ca="1">IFERROR(+IF(Z$27=ProposalToGnatt[[#This Row],[Start Date]],Milestone_Marker,IF(AND(Z$27&gt;ProposalToGnatt[[#This Row],[Start Date]],Z$27&lt;ProposalToGnatt[[#This Row],[Start Date]]+ProposalToGnatt[[#This Row],[Days]]),$G$5,"")),"")</f>
        <v/>
      </c>
      <c r="AA55" s="36" t="str">
        <f ca="1">IFERROR(+IF(AA$27=ProposalToGnatt[[#This Row],[Start Date]],Milestone_Marker,IF(AND(AA$27&gt;ProposalToGnatt[[#This Row],[Start Date]],AA$27&lt;ProposalToGnatt[[#This Row],[Start Date]]+ProposalToGnatt[[#This Row],[Days]]),$G$5,"")),"")</f>
        <v/>
      </c>
      <c r="AB55" s="36" t="str">
        <f ca="1">IFERROR(+IF(AB$27=ProposalToGnatt[[#This Row],[Start Date]],Milestone_Marker,IF(AND(AB$27&gt;ProposalToGnatt[[#This Row],[Start Date]],AB$27&lt;ProposalToGnatt[[#This Row],[Start Date]]+ProposalToGnatt[[#This Row],[Days]]),$G$5,"")),"")</f>
        <v/>
      </c>
      <c r="AC55" s="36" t="str">
        <f ca="1">IFERROR(+IF(AC$27=ProposalToGnatt[[#This Row],[Start Date]],Milestone_Marker,IF(AND(AC$27&gt;ProposalToGnatt[[#This Row],[Start Date]],AC$27&lt;ProposalToGnatt[[#This Row],[Start Date]]+ProposalToGnatt[[#This Row],[Days]]),$G$5,"")),"")</f>
        <v/>
      </c>
      <c r="AD55" s="36" t="str">
        <f ca="1">IFERROR(+IF(AD$27=ProposalToGnatt[[#This Row],[Start Date]],Milestone_Marker,IF(AND(AD$27&gt;ProposalToGnatt[[#This Row],[Start Date]],AD$27&lt;ProposalToGnatt[[#This Row],[Start Date]]+ProposalToGnatt[[#This Row],[Days]]),$G$5,"")),"")</f>
        <v/>
      </c>
      <c r="AE55" s="36" t="str">
        <f ca="1">IFERROR(+IF(AE$27=ProposalToGnatt[[#This Row],[Start Date]],Milestone_Marker,IF(AND(AE$27&gt;ProposalToGnatt[[#This Row],[Start Date]],AE$27&lt;ProposalToGnatt[[#This Row],[Start Date]]+ProposalToGnatt[[#This Row],[Days]]),$G$5,"")),"")</f>
        <v/>
      </c>
      <c r="AF55" s="36" t="str">
        <f ca="1">IFERROR(+IF(AF$27=ProposalToGnatt[[#This Row],[Start Date]],Milestone_Marker,IF(AND(AF$27&gt;ProposalToGnatt[[#This Row],[Start Date]],AF$27&lt;ProposalToGnatt[[#This Row],[Start Date]]+ProposalToGnatt[[#This Row],[Days]]),$G$5,"")),"")</f>
        <v/>
      </c>
      <c r="AG55" s="36" t="str">
        <f ca="1">IFERROR(+IF(AG$27=ProposalToGnatt[[#This Row],[Start Date]],Milestone_Marker,IF(AND(AG$27&gt;ProposalToGnatt[[#This Row],[Start Date]],AG$27&lt;ProposalToGnatt[[#This Row],[Start Date]]+ProposalToGnatt[[#This Row],[Days]]),$G$5,"")),"")</f>
        <v/>
      </c>
      <c r="AH55" s="36" t="str">
        <f ca="1">IFERROR(+IF(AH$27=ProposalToGnatt[[#This Row],[Start Date]],Milestone_Marker,IF(AND(AH$27&gt;ProposalToGnatt[[#This Row],[Start Date]],AH$27&lt;ProposalToGnatt[[#This Row],[Start Date]]+ProposalToGnatt[[#This Row],[Days]]),$G$5,"")),"")</f>
        <v/>
      </c>
      <c r="AI55" s="36" t="str">
        <f ca="1">IFERROR(+IF(AI$27=ProposalToGnatt[[#This Row],[Start Date]],Milestone_Marker,IF(AND(AI$27&gt;ProposalToGnatt[[#This Row],[Start Date]],AI$27&lt;ProposalToGnatt[[#This Row],[Start Date]]+ProposalToGnatt[[#This Row],[Days]]),$G$5,"")),"")</f>
        <v/>
      </c>
      <c r="AJ55" s="36" t="str">
        <f ca="1">IFERROR(+IF(AJ$27=ProposalToGnatt[[#This Row],[Start Date]],Milestone_Marker,IF(AND(AJ$27&gt;ProposalToGnatt[[#This Row],[Start Date]],AJ$27&lt;ProposalToGnatt[[#This Row],[Start Date]]+ProposalToGnatt[[#This Row],[Days]]),$G$5,"")),"")</f>
        <v/>
      </c>
      <c r="AK55" s="36" t="str">
        <f ca="1">IFERROR(+IF(AK$27=ProposalToGnatt[[#This Row],[Start Date]],Milestone_Marker,IF(AND(AK$27&gt;ProposalToGnatt[[#This Row],[Start Date]],AK$27&lt;ProposalToGnatt[[#This Row],[Start Date]]+ProposalToGnatt[[#This Row],[Days]]),$G$5,"")),"")</f>
        <v/>
      </c>
      <c r="AL55" s="36" t="str">
        <f ca="1">IFERROR(+IF(AL$27=ProposalToGnatt[[#This Row],[Start Date]],Milestone_Marker,IF(AND(AL$27&gt;ProposalToGnatt[[#This Row],[Start Date]],AL$27&lt;ProposalToGnatt[[#This Row],[Start Date]]+ProposalToGnatt[[#This Row],[Days]]),$G$5,"")),"")</f>
        <v/>
      </c>
      <c r="AM55" s="36" t="str">
        <f ca="1">IFERROR(+IF(AM$27=ProposalToGnatt[[#This Row],[Start Date]],Milestone_Marker,IF(AND(AM$27&gt;ProposalToGnatt[[#This Row],[Start Date]],AM$27&lt;ProposalToGnatt[[#This Row],[Start Date]]+ProposalToGnatt[[#This Row],[Days]]),$G$5,"")),"")</f>
        <v/>
      </c>
      <c r="AN55" s="36" t="str">
        <f ca="1">IFERROR(+IF(AN$27=ProposalToGnatt[[#This Row],[Start Date]],Milestone_Marker,IF(AND(AN$27&gt;ProposalToGnatt[[#This Row],[Start Date]],AN$27&lt;ProposalToGnatt[[#This Row],[Start Date]]+ProposalToGnatt[[#This Row],[Days]]),$G$5,"")),"")</f>
        <v/>
      </c>
      <c r="AO55" s="36" t="str">
        <f ca="1">IFERROR(+IF(AO$27=ProposalToGnatt[[#This Row],[Start Date]],Milestone_Marker,IF(AND(AO$27&gt;ProposalToGnatt[[#This Row],[Start Date]],AO$27&lt;ProposalToGnatt[[#This Row],[Start Date]]+ProposalToGnatt[[#This Row],[Days]]),$G$5,"")),"")</f>
        <v/>
      </c>
      <c r="AP55" s="36" t="str">
        <f ca="1">IFERROR(+IF(AP$27=ProposalToGnatt[[#This Row],[Start Date]],Milestone_Marker,IF(AND(AP$27&gt;ProposalToGnatt[[#This Row],[Start Date]],AP$27&lt;ProposalToGnatt[[#This Row],[Start Date]]+ProposalToGnatt[[#This Row],[Days]]),$G$5,"")),"")</f>
        <v/>
      </c>
      <c r="AQ55" s="36" t="str">
        <f ca="1">IFERROR(+IF(AQ$27=ProposalToGnatt[[#This Row],[Start Date]],Milestone_Marker,IF(AND(AQ$27&gt;ProposalToGnatt[[#This Row],[Start Date]],AQ$27&lt;ProposalToGnatt[[#This Row],[Start Date]]+ProposalToGnatt[[#This Row],[Days]]),$G$5,"")),"")</f>
        <v/>
      </c>
      <c r="AR55" s="36" t="str">
        <f ca="1">IFERROR(+IF(AR$27=ProposalToGnatt[[#This Row],[Start Date]],Milestone_Marker,IF(AND(AR$27&gt;ProposalToGnatt[[#This Row],[Start Date]],AR$27&lt;ProposalToGnatt[[#This Row],[Start Date]]+ProposalToGnatt[[#This Row],[Days]]),$G$5,"")),"")</f>
        <v/>
      </c>
      <c r="AS55" s="36" t="str">
        <f ca="1">IFERROR(+IF(AS$27=ProposalToGnatt[[#This Row],[Start Date]],Milestone_Marker,IF(AND(AS$27&gt;ProposalToGnatt[[#This Row],[Start Date]],AS$27&lt;ProposalToGnatt[[#This Row],[Start Date]]+ProposalToGnatt[[#This Row],[Days]]),$G$5,"")),"")</f>
        <v/>
      </c>
      <c r="AT55" s="36" t="str">
        <f ca="1">IFERROR(+IF(AT$27=ProposalToGnatt[[#This Row],[Start Date]],Milestone_Marker,IF(AND(AT$27&gt;ProposalToGnatt[[#This Row],[Start Date]],AT$27&lt;ProposalToGnatt[[#This Row],[Start Date]]+ProposalToGnatt[[#This Row],[Days]]),$G$5,"")),"")</f>
        <v/>
      </c>
      <c r="AU55" s="36" t="str">
        <f ca="1">IFERROR(+IF(AU$27=ProposalToGnatt[[#This Row],[Start Date]],Milestone_Marker,IF(AND(AU$27&gt;ProposalToGnatt[[#This Row],[Start Date]],AU$27&lt;ProposalToGnatt[[#This Row],[Start Date]]+ProposalToGnatt[[#This Row],[Days]]),$G$5,"")),"")</f>
        <v/>
      </c>
      <c r="AV55" s="36" t="str">
        <f ca="1">IFERROR(+IF(AV$27=ProposalToGnatt[[#This Row],[Start Date]],Milestone_Marker,IF(AND(AV$27&gt;ProposalToGnatt[[#This Row],[Start Date]],AV$27&lt;ProposalToGnatt[[#This Row],[Start Date]]+ProposalToGnatt[[#This Row],[Days]]),$G$5,"")),"")</f>
        <v/>
      </c>
      <c r="AW55" s="36" t="str">
        <f ca="1">IFERROR(+IF(AW$27=ProposalToGnatt[[#This Row],[Start Date]],Milestone_Marker,IF(AND(AW$27&gt;ProposalToGnatt[[#This Row],[Start Date]],AW$27&lt;ProposalToGnatt[[#This Row],[Start Date]]+ProposalToGnatt[[#This Row],[Days]]),$G$5,"")),"")</f>
        <v/>
      </c>
      <c r="AX55" s="36" t="str">
        <f ca="1">IFERROR(+IF(AX$27=ProposalToGnatt[[#This Row],[Start Date]],Milestone_Marker,IF(AND(AX$27&gt;ProposalToGnatt[[#This Row],[Start Date]],AX$27&lt;ProposalToGnatt[[#This Row],[Start Date]]+ProposalToGnatt[[#This Row],[Days]]),$G$5,"")),"")</f>
        <v/>
      </c>
      <c r="AY55" s="36" t="str">
        <f ca="1">IFERROR(+IF(AY$27=ProposalToGnatt[[#This Row],[Start Date]],Milestone_Marker,IF(AND(AY$27&gt;ProposalToGnatt[[#This Row],[Start Date]],AY$27&lt;ProposalToGnatt[[#This Row],[Start Date]]+ProposalToGnatt[[#This Row],[Days]]),$G$5,"")),"")</f>
        <v/>
      </c>
      <c r="AZ55" s="36" t="str">
        <f ca="1">IFERROR(+IF(AZ$27=ProposalToGnatt[[#This Row],[Start Date]],Milestone_Marker,IF(AND(AZ$27&gt;ProposalToGnatt[[#This Row],[Start Date]],AZ$27&lt;ProposalToGnatt[[#This Row],[Start Date]]+ProposalToGnatt[[#This Row],[Days]]),$G$5,"")),"")</f>
        <v/>
      </c>
      <c r="BA55" s="36" t="str">
        <f ca="1">IFERROR(+IF(BA$27=ProposalToGnatt[[#This Row],[Start Date]],Milestone_Marker,IF(AND(BA$27&gt;ProposalToGnatt[[#This Row],[Start Date]],BA$27&lt;ProposalToGnatt[[#This Row],[Start Date]]+ProposalToGnatt[[#This Row],[Days]]),$G$5,"")),"")</f>
        <v/>
      </c>
      <c r="BB55" s="36" t="str">
        <f ca="1">IFERROR(+IF(BB$27=ProposalToGnatt[[#This Row],[Start Date]],Milestone_Marker,IF(AND(BB$27&gt;ProposalToGnatt[[#This Row],[Start Date]],BB$27&lt;ProposalToGnatt[[#This Row],[Start Date]]+ProposalToGnatt[[#This Row],[Days]]),$G$5,"")),"")</f>
        <v/>
      </c>
      <c r="BC55" s="36" t="str">
        <f ca="1">IFERROR(+IF(BC$27=ProposalToGnatt[[#This Row],[Start Date]],Milestone_Marker,IF(AND(BC$27&gt;ProposalToGnatt[[#This Row],[Start Date]],BC$27&lt;ProposalToGnatt[[#This Row],[Start Date]]+ProposalToGnatt[[#This Row],[Days]]),$G$5,"")),"")</f>
        <v/>
      </c>
      <c r="BD55" s="36" t="str">
        <f ca="1">IFERROR(+IF(BD$27=ProposalToGnatt[[#This Row],[Start Date]],Milestone_Marker,IF(AND(BD$27&gt;ProposalToGnatt[[#This Row],[Start Date]],BD$27&lt;ProposalToGnatt[[#This Row],[Start Date]]+ProposalToGnatt[[#This Row],[Days]]),$G$5,"")),"")</f>
        <v/>
      </c>
      <c r="BE55" s="36" t="str">
        <f ca="1">IFERROR(+IF(BE$27=ProposalToGnatt[[#This Row],[Start Date]],Milestone_Marker,IF(AND(BE$27&gt;ProposalToGnatt[[#This Row],[Start Date]],BE$27&lt;ProposalToGnatt[[#This Row],[Start Date]]+ProposalToGnatt[[#This Row],[Days]]),$G$5,"")),"")</f>
        <v/>
      </c>
      <c r="BF55" s="36" t="str">
        <f ca="1">IFERROR(+IF(BF$27=ProposalToGnatt[[#This Row],[Start Date]],Milestone_Marker,IF(AND(BF$27&gt;ProposalToGnatt[[#This Row],[Start Date]],BF$27&lt;ProposalToGnatt[[#This Row],[Start Date]]+ProposalToGnatt[[#This Row],[Days]]),$G$5,"")),"")</f>
        <v/>
      </c>
      <c r="BG55" s="36" t="str">
        <f ca="1">IFERROR(+IF(BG$27=ProposalToGnatt[[#This Row],[Start Date]],Milestone_Marker,IF(AND(BG$27&gt;ProposalToGnatt[[#This Row],[Start Date]],BG$27&lt;ProposalToGnatt[[#This Row],[Start Date]]+ProposalToGnatt[[#This Row],[Days]]),$G$5,"")),"")</f>
        <v/>
      </c>
      <c r="BH55" s="36" t="str">
        <f ca="1">IFERROR(+IF(BH$27=ProposalToGnatt[[#This Row],[Start Date]],Milestone_Marker,IF(AND(BH$27&gt;ProposalToGnatt[[#This Row],[Start Date]],BH$27&lt;ProposalToGnatt[[#This Row],[Start Date]]+ProposalToGnatt[[#This Row],[Days]]),$G$5,"")),"")</f>
        <v/>
      </c>
      <c r="BI55" s="36" t="str">
        <f ca="1">IFERROR(+IF(BI$27=ProposalToGnatt[[#This Row],[Start Date]],Milestone_Marker,IF(AND(BI$27&gt;ProposalToGnatt[[#This Row],[Start Date]],BI$27&lt;ProposalToGnatt[[#This Row],[Start Date]]+ProposalToGnatt[[#This Row],[Days]]),$G$5,"")),"")</f>
        <v/>
      </c>
      <c r="BJ55" s="36" t="str">
        <f ca="1">IFERROR(+IF(BJ$27=ProposalToGnatt[[#This Row],[Start Date]],Milestone_Marker,IF(AND(BJ$27&gt;ProposalToGnatt[[#This Row],[Start Date]],BJ$27&lt;ProposalToGnatt[[#This Row],[Start Date]]+ProposalToGnatt[[#This Row],[Days]]),$G$5,"")),"")</f>
        <v/>
      </c>
      <c r="BK55" s="36" t="str">
        <f ca="1">IFERROR(+IF(BK$27=ProposalToGnatt[[#This Row],[Start Date]],Milestone_Marker,IF(AND(BK$27&gt;ProposalToGnatt[[#This Row],[Start Date]],BK$27&lt;ProposalToGnatt[[#This Row],[Start Date]]+ProposalToGnatt[[#This Row],[Days]]),$G$5,"")),"")</f>
        <v/>
      </c>
      <c r="BL55" s="36" t="str">
        <f ca="1">IFERROR(+IF(BL$27=ProposalToGnatt[[#This Row],[Start Date]],Milestone_Marker,IF(AND(BL$27&gt;ProposalToGnatt[[#This Row],[Start Date]],BL$27&lt;ProposalToGnatt[[#This Row],[Start Date]]+ProposalToGnatt[[#This Row],[Days]]),$G$5,"")),"")</f>
        <v/>
      </c>
      <c r="BM55" s="36" t="str">
        <f ca="1">IFERROR(+IF(BM$27=ProposalToGnatt[[#This Row],[Start Date]],Milestone_Marker,IF(AND(BM$27&gt;ProposalToGnatt[[#This Row],[Start Date]],BM$27&lt;ProposalToGnatt[[#This Row],[Start Date]]+ProposalToGnatt[[#This Row],[Days]]),$G$5,"")),"")</f>
        <v/>
      </c>
      <c r="BN55" s="36" t="str">
        <f ca="1">IFERROR(+IF(BN$27=ProposalToGnatt[[#This Row],[Start Date]],Milestone_Marker,IF(AND(BN$27&gt;ProposalToGnatt[[#This Row],[Start Date]],BN$27&lt;ProposalToGnatt[[#This Row],[Start Date]]+ProposalToGnatt[[#This Row],[Days]]),$G$5,"")),"")</f>
        <v/>
      </c>
      <c r="BO55" s="36" t="str">
        <f ca="1">IFERROR(+IF(BO$27=ProposalToGnatt[[#This Row],[Start Date]],Milestone_Marker,IF(AND(BO$27&gt;ProposalToGnatt[[#This Row],[Start Date]],BO$27&lt;ProposalToGnatt[[#This Row],[Start Date]]+ProposalToGnatt[[#This Row],[Days]]),$G$5,"")),"")</f>
        <v/>
      </c>
      <c r="BP55" s="36" t="str">
        <f ca="1">IFERROR(+IF(BP$27=ProposalToGnatt[[#This Row],[Start Date]],Milestone_Marker,IF(AND(BP$27&gt;ProposalToGnatt[[#This Row],[Start Date]],BP$27&lt;ProposalToGnatt[[#This Row],[Start Date]]+ProposalToGnatt[[#This Row],[Days]]),$G$5,"")),"")</f>
        <v/>
      </c>
      <c r="BQ55" s="36" t="str">
        <f ca="1">IFERROR(+IF(BQ$27=ProposalToGnatt[[#This Row],[Start Date]],Milestone_Marker,IF(AND(BQ$27&gt;ProposalToGnatt[[#This Row],[Start Date]],BQ$27&lt;ProposalToGnatt[[#This Row],[Start Date]]+ProposalToGnatt[[#This Row],[Days]]),$G$5,"")),"")</f>
        <v/>
      </c>
      <c r="BR55" s="36" t="str">
        <f ca="1">IFERROR(+IF(BR$27=ProposalToGnatt[[#This Row],[Start Date]],Milestone_Marker,IF(AND(BR$27&gt;ProposalToGnatt[[#This Row],[Start Date]],BR$27&lt;ProposalToGnatt[[#This Row],[Start Date]]+ProposalToGnatt[[#This Row],[Days]]),$G$5,"")),"")</f>
        <v/>
      </c>
      <c r="BS55" s="36" t="str">
        <f ca="1">IFERROR(+IF(BS$27=ProposalToGnatt[[#This Row],[Start Date]],Milestone_Marker,IF(AND(BS$27&gt;ProposalToGnatt[[#This Row],[Start Date]],BS$27&lt;ProposalToGnatt[[#This Row],[Start Date]]+ProposalToGnatt[[#This Row],[Days]]),$G$5,"")),"")</f>
        <v/>
      </c>
      <c r="BT55" s="36" t="str">
        <f ca="1">IFERROR(+IF(BT$27=ProposalToGnatt[[#This Row],[Start Date]],Milestone_Marker,IF(AND(BT$27&gt;ProposalToGnatt[[#This Row],[Start Date]],BT$27&lt;ProposalToGnatt[[#This Row],[Start Date]]+ProposalToGnatt[[#This Row],[Days]]),$G$5,"")),"")</f>
        <v/>
      </c>
      <c r="BU55" s="36" t="str">
        <f ca="1">IFERROR(+IF(BU$27=ProposalToGnatt[[#This Row],[Start Date]],Milestone_Marker,IF(AND(BU$27&gt;ProposalToGnatt[[#This Row],[Start Date]],BU$27&lt;ProposalToGnatt[[#This Row],[Start Date]]+ProposalToGnatt[[#This Row],[Days]]),$G$5,"")),"")</f>
        <v/>
      </c>
      <c r="BV55" s="36" t="str">
        <f ca="1">IFERROR(+IF(BV$27=ProposalToGnatt[[#This Row],[Start Date]],Milestone_Marker,IF(AND(BV$27&gt;ProposalToGnatt[[#This Row],[Start Date]],BV$27&lt;ProposalToGnatt[[#This Row],[Start Date]]+ProposalToGnatt[[#This Row],[Days]]),$G$5,"")),"")</f>
        <v/>
      </c>
      <c r="BW55" s="36" t="str">
        <f ca="1">IFERROR(+IF(BW$27=ProposalToGnatt[[#This Row],[Start Date]],Milestone_Marker,IF(AND(BW$27&gt;ProposalToGnatt[[#This Row],[Start Date]],BW$27&lt;ProposalToGnatt[[#This Row],[Start Date]]+ProposalToGnatt[[#This Row],[Days]]),$G$5,"")),"")</f>
        <v/>
      </c>
      <c r="BX55" s="36" t="str">
        <f ca="1">IFERROR(+IF(BX$27=ProposalToGnatt[[#This Row],[Start Date]],Milestone_Marker,IF(AND(BX$27&gt;ProposalToGnatt[[#This Row],[Start Date]],BX$27&lt;ProposalToGnatt[[#This Row],[Start Date]]+ProposalToGnatt[[#This Row],[Days]]),$G$5,"")),"")</f>
        <v/>
      </c>
      <c r="BY55" s="36" t="str">
        <f ca="1">IFERROR(+IF(BY$27=ProposalToGnatt[[#This Row],[Start Date]],Milestone_Marker,IF(AND(BY$27&gt;ProposalToGnatt[[#This Row],[Start Date]],BY$27&lt;ProposalToGnatt[[#This Row],[Start Date]]+ProposalToGnatt[[#This Row],[Days]]),$G$5,"")),"")</f>
        <v/>
      </c>
      <c r="BZ55" s="36" t="str">
        <f ca="1">IFERROR(+IF(BZ$27=ProposalToGnatt[[#This Row],[Start Date]],Milestone_Marker,IF(AND(BZ$27&gt;ProposalToGnatt[[#This Row],[Start Date]],BZ$27&lt;ProposalToGnatt[[#This Row],[Start Date]]+ProposalToGnatt[[#This Row],[Days]]),$G$5,"")),"")</f>
        <v/>
      </c>
      <c r="CA55" s="36" t="str">
        <f ca="1">IFERROR(+IF(CA$27=ProposalToGnatt[[#This Row],[Start Date]],Milestone_Marker,IF(AND(CA$27&gt;ProposalToGnatt[[#This Row],[Start Date]],CA$27&lt;ProposalToGnatt[[#This Row],[Start Date]]+ProposalToGnatt[[#This Row],[Days]]),$G$5,"")),"")</f>
        <v/>
      </c>
      <c r="CB55" s="36" t="str">
        <f ca="1">IFERROR(+IF(CB$27=ProposalToGnatt[[#This Row],[Start Date]],Milestone_Marker,IF(AND(CB$27&gt;ProposalToGnatt[[#This Row],[Start Date]],CB$27&lt;ProposalToGnatt[[#This Row],[Start Date]]+ProposalToGnatt[[#This Row],[Days]]),$G$5,"")),"")</f>
        <v/>
      </c>
      <c r="CC55" s="36" t="str">
        <f ca="1">IFERROR(+IF(CC$27=ProposalToGnatt[[#This Row],[Start Date]],Milestone_Marker,IF(AND(CC$27&gt;ProposalToGnatt[[#This Row],[Start Date]],CC$27&lt;ProposalToGnatt[[#This Row],[Start Date]]+ProposalToGnatt[[#This Row],[Days]]),$G$5,"")),"")</f>
        <v/>
      </c>
      <c r="CD55" s="36" t="str">
        <f ca="1">IFERROR(+IF(CD$27=ProposalToGnatt[[#This Row],[Start Date]],Milestone_Marker,IF(AND(CD$27&gt;ProposalToGnatt[[#This Row],[Start Date]],CD$27&lt;ProposalToGnatt[[#This Row],[Start Date]]+ProposalToGnatt[[#This Row],[Days]]),$G$5,"")),"")</f>
        <v/>
      </c>
      <c r="CE55" s="36" t="str">
        <f ca="1">IFERROR(+IF(CE$27=ProposalToGnatt[[#This Row],[Start Date]],Milestone_Marker,IF(AND(CE$27&gt;ProposalToGnatt[[#This Row],[Start Date]],CE$27&lt;ProposalToGnatt[[#This Row],[Start Date]]+ProposalToGnatt[[#This Row],[Days]]),$G$5,"")),"")</f>
        <v/>
      </c>
      <c r="CF55" s="36" t="str">
        <f ca="1">IFERROR(+IF(CF$27=ProposalToGnatt[[#This Row],[Start Date]],Milestone_Marker,IF(AND(CF$27&gt;ProposalToGnatt[[#This Row],[Start Date]],CF$27&lt;ProposalToGnatt[[#This Row],[Start Date]]+ProposalToGnatt[[#This Row],[Days]]),$G$5,"")),"")</f>
        <v/>
      </c>
      <c r="CG55" s="36" t="str">
        <f ca="1">IFERROR(+IF(CG$27=ProposalToGnatt[[#This Row],[Start Date]],Milestone_Marker,IF(AND(CG$27&gt;ProposalToGnatt[[#This Row],[Start Date]],CG$27&lt;ProposalToGnatt[[#This Row],[Start Date]]+ProposalToGnatt[[#This Row],[Days]]),$G$5,"")),"")</f>
        <v/>
      </c>
      <c r="CH55" s="36" t="str">
        <f ca="1">IFERROR(+IF(CH$27=ProposalToGnatt[[#This Row],[Start Date]],Milestone_Marker,IF(AND(CH$27&gt;ProposalToGnatt[[#This Row],[Start Date]],CH$27&lt;ProposalToGnatt[[#This Row],[Start Date]]+ProposalToGnatt[[#This Row],[Days]]),$G$5,"")),"")</f>
        <v/>
      </c>
      <c r="CI55" s="36" t="str">
        <f ca="1">IFERROR(+IF(CI$27=ProposalToGnatt[[#This Row],[Start Date]],Milestone_Marker,IF(AND(CI$27&gt;ProposalToGnatt[[#This Row],[Start Date]],CI$27&lt;ProposalToGnatt[[#This Row],[Start Date]]+ProposalToGnatt[[#This Row],[Days]]),$G$5,"")),"")</f>
        <v/>
      </c>
      <c r="CJ55" s="36" t="str">
        <f ca="1">IFERROR(+IF(CJ$27=ProposalToGnatt[[#This Row],[Start Date]],Milestone_Marker,IF(AND(CJ$27&gt;ProposalToGnatt[[#This Row],[Start Date]],CJ$27&lt;ProposalToGnatt[[#This Row],[Start Date]]+ProposalToGnatt[[#This Row],[Days]]),$G$5,"")),"")</f>
        <v/>
      </c>
      <c r="CK55" s="36" t="str">
        <f ca="1">IFERROR(+IF(CK$27=ProposalToGnatt[[#This Row],[Start Date]],Milestone_Marker,IF(AND(CK$27&gt;ProposalToGnatt[[#This Row],[Start Date]],CK$27&lt;ProposalToGnatt[[#This Row],[Start Date]]+ProposalToGnatt[[#This Row],[Days]]),$G$5,"")),"")</f>
        <v/>
      </c>
      <c r="CL55" s="36" t="str">
        <f ca="1">IFERROR(+IF(CL$27=ProposalToGnatt[[#This Row],[Start Date]],Milestone_Marker,IF(AND(CL$27&gt;ProposalToGnatt[[#This Row],[Start Date]],CL$27&lt;ProposalToGnatt[[#This Row],[Start Date]]+ProposalToGnatt[[#This Row],[Days]]),$G$5,"")),"")</f>
        <v/>
      </c>
      <c r="CM55" s="36" t="str">
        <f ca="1">IFERROR(+IF(CM$27=ProposalToGnatt[[#This Row],[Start Date]],Milestone_Marker,IF(AND(CM$27&gt;ProposalToGnatt[[#This Row],[Start Date]],CM$27&lt;ProposalToGnatt[[#This Row],[Start Date]]+ProposalToGnatt[[#This Row],[Days]]),$G$5,"")),"")</f>
        <v/>
      </c>
      <c r="CN55" s="36" t="str">
        <f ca="1">IFERROR(+IF(CN$27=ProposalToGnatt[[#This Row],[Start Date]],Milestone_Marker,IF(AND(CN$27&gt;ProposalToGnatt[[#This Row],[Start Date]],CN$27&lt;ProposalToGnatt[[#This Row],[Start Date]]+ProposalToGnatt[[#This Row],[Days]]),$G$5,"")),"")</f>
        <v/>
      </c>
      <c r="CO55" s="36" t="str">
        <f ca="1">IFERROR(+IF(CO$27=ProposalToGnatt[[#This Row],[Start Date]],Milestone_Marker,IF(AND(CO$27&gt;ProposalToGnatt[[#This Row],[Start Date]],CO$27&lt;ProposalToGnatt[[#This Row],[Start Date]]+ProposalToGnatt[[#This Row],[Days]]),$G$5,"")),"")</f>
        <v/>
      </c>
      <c r="CP55" s="36" t="str">
        <f ca="1">IFERROR(+IF(CP$27=ProposalToGnatt[[#This Row],[Start Date]],Milestone_Marker,IF(AND(CP$27&gt;ProposalToGnatt[[#This Row],[Start Date]],CP$27&lt;ProposalToGnatt[[#This Row],[Start Date]]+ProposalToGnatt[[#This Row],[Days]]),$G$5,"")),"")</f>
        <v/>
      </c>
      <c r="CQ55" s="36" t="str">
        <f ca="1">IFERROR(+IF(CQ$27=ProposalToGnatt[[#This Row],[Start Date]],Milestone_Marker,IF(AND(CQ$27&gt;ProposalToGnatt[[#This Row],[Start Date]],CQ$27&lt;ProposalToGnatt[[#This Row],[Start Date]]+ProposalToGnatt[[#This Row],[Days]]),$G$5,"")),"")</f>
        <v/>
      </c>
      <c r="CR55" s="36" t="str">
        <f ca="1">IFERROR(+IF(CR$27=ProposalToGnatt[[#This Row],[Start Date]],Milestone_Marker,IF(AND(CR$27&gt;ProposalToGnatt[[#This Row],[Start Date]],CR$27&lt;ProposalToGnatt[[#This Row],[Start Date]]+ProposalToGnatt[[#This Row],[Days]]),$G$5,"")),"")</f>
        <v/>
      </c>
      <c r="CS55" s="36" t="str">
        <f ca="1">IFERROR(+IF(CS$27=ProposalToGnatt[[#This Row],[Start Date]],Milestone_Marker,IF(AND(CS$27&gt;ProposalToGnatt[[#This Row],[Start Date]],CS$27&lt;ProposalToGnatt[[#This Row],[Start Date]]+ProposalToGnatt[[#This Row],[Days]]),$G$5,"")),"")</f>
        <v/>
      </c>
      <c r="CT55" s="36" t="str">
        <f ca="1">IFERROR(+IF(CT$27=ProposalToGnatt[[#This Row],[Start Date]],Milestone_Marker,IF(AND(CT$27&gt;ProposalToGnatt[[#This Row],[Start Date]],CT$27&lt;ProposalToGnatt[[#This Row],[Start Date]]+ProposalToGnatt[[#This Row],[Days]]),$G$5,"")),"")</f>
        <v/>
      </c>
      <c r="CU55" s="36" t="str">
        <f ca="1">IFERROR(+IF(CU$27=ProposalToGnatt[[#This Row],[Start Date]],Milestone_Marker,IF(AND(CU$27&gt;ProposalToGnatt[[#This Row],[Start Date]],CU$27&lt;ProposalToGnatt[[#This Row],[Start Date]]+ProposalToGnatt[[#This Row],[Days]]),$G$5,"")),"")</f>
        <v/>
      </c>
      <c r="CV55" s="36"/>
      <c r="CW55" s="36"/>
      <c r="CX55" s="36"/>
      <c r="CY55" s="36"/>
      <c r="CZ55" s="36"/>
      <c r="DA55" s="36"/>
      <c r="DB55" s="36"/>
      <c r="DC55" s="36"/>
      <c r="DD55" s="36"/>
      <c r="DE55" s="36"/>
      <c r="DF55" s="36"/>
      <c r="DG55" s="36"/>
      <c r="DH55" s="36"/>
      <c r="DI55" s="36"/>
      <c r="DJ55" s="36"/>
      <c r="DK55" s="36"/>
      <c r="DL55" s="36"/>
      <c r="DM55" s="36"/>
      <c r="DN55" s="36"/>
      <c r="DO55" s="36"/>
      <c r="DP55" s="36"/>
      <c r="DQ55" s="36"/>
      <c r="DR55" s="36"/>
      <c r="DS55" s="36"/>
      <c r="DT55" s="36"/>
      <c r="DU55" s="36"/>
    </row>
    <row r="56" spans="1:125" s="41" customFormat="1" ht="15" x14ac:dyDescent="0.25">
      <c r="A56" t="s">
        <v>267</v>
      </c>
      <c r="B56">
        <v>38</v>
      </c>
      <c r="C56"/>
      <c r="D56" t="s">
        <v>950</v>
      </c>
      <c r="E56" s="568" t="s">
        <v>948</v>
      </c>
      <c r="F56">
        <v>1</v>
      </c>
      <c r="G56" s="14">
        <v>55</v>
      </c>
      <c r="H56" s="14">
        <v>55</v>
      </c>
      <c r="I56" t="s">
        <v>3</v>
      </c>
      <c r="J56">
        <v>1</v>
      </c>
      <c r="K56" s="249"/>
      <c r="L56"/>
      <c r="M56" s="14"/>
      <c r="N56" s="300">
        <v>55</v>
      </c>
      <c r="O56" s="554"/>
      <c r="P56" s="36" t="str">
        <f ca="1">IFERROR(+IF(P$27=ProposalToGnatt[[#This Row],[Start Date]],Milestone_Marker,IF(AND(P$27&gt;ProposalToGnatt[[#This Row],[Start Date]],P$27&lt;ProposalToGnatt[[#This Row],[Start Date]]+ProposalToGnatt[[#This Row],[Days]]),$G$5,"")),"")</f>
        <v/>
      </c>
      <c r="Q56" s="36" t="str">
        <f ca="1">IFERROR(+IF(Q$27=ProposalToGnatt[[#This Row],[Start Date]],Milestone_Marker,IF(AND(Q$27&gt;ProposalToGnatt[[#This Row],[Start Date]],Q$27&lt;ProposalToGnatt[[#This Row],[Start Date]]+ProposalToGnatt[[#This Row],[Days]]),$G$5,"")),"")</f>
        <v/>
      </c>
      <c r="R56" s="36" t="str">
        <f ca="1">IFERROR(+IF(R$27=ProposalToGnatt[[#This Row],[Start Date]],Milestone_Marker,IF(AND(R$27&gt;ProposalToGnatt[[#This Row],[Start Date]],R$27&lt;ProposalToGnatt[[#This Row],[Start Date]]+ProposalToGnatt[[#This Row],[Days]]),$G$5,"")),"")</f>
        <v/>
      </c>
      <c r="S56" s="36" t="str">
        <f ca="1">IFERROR(+IF(S$27=ProposalToGnatt[[#This Row],[Start Date]],Milestone_Marker,IF(AND(S$27&gt;ProposalToGnatt[[#This Row],[Start Date]],S$27&lt;ProposalToGnatt[[#This Row],[Start Date]]+ProposalToGnatt[[#This Row],[Days]]),$G$5,"")),"")</f>
        <v/>
      </c>
      <c r="T56" s="36" t="str">
        <f ca="1">IFERROR(+IF(T$27=ProposalToGnatt[[#This Row],[Start Date]],Milestone_Marker,IF(AND(T$27&gt;ProposalToGnatt[[#This Row],[Start Date]],T$27&lt;ProposalToGnatt[[#This Row],[Start Date]]+ProposalToGnatt[[#This Row],[Days]]),$G$5,"")),"")</f>
        <v/>
      </c>
      <c r="U56" s="36" t="str">
        <f ca="1">IFERROR(+IF(U$27=ProposalToGnatt[[#This Row],[Start Date]],Milestone_Marker,IF(AND(U$27&gt;ProposalToGnatt[[#This Row],[Start Date]],U$27&lt;ProposalToGnatt[[#This Row],[Start Date]]+ProposalToGnatt[[#This Row],[Days]]),$G$5,"")),"")</f>
        <v/>
      </c>
      <c r="V56" s="36" t="str">
        <f ca="1">IFERROR(+IF(V$27=ProposalToGnatt[[#This Row],[Start Date]],Milestone_Marker,IF(AND(V$27&gt;ProposalToGnatt[[#This Row],[Start Date]],V$27&lt;ProposalToGnatt[[#This Row],[Start Date]]+ProposalToGnatt[[#This Row],[Days]]),$G$5,"")),"")</f>
        <v/>
      </c>
      <c r="W56" s="36" t="str">
        <f ca="1">IFERROR(+IF(W$27=ProposalToGnatt[[#This Row],[Start Date]],Milestone_Marker,IF(AND(W$27&gt;ProposalToGnatt[[#This Row],[Start Date]],W$27&lt;ProposalToGnatt[[#This Row],[Start Date]]+ProposalToGnatt[[#This Row],[Days]]),$G$5,"")),"")</f>
        <v/>
      </c>
      <c r="X56" s="36" t="str">
        <f ca="1">IFERROR(+IF(X$27=ProposalToGnatt[[#This Row],[Start Date]],Milestone_Marker,IF(AND(X$27&gt;ProposalToGnatt[[#This Row],[Start Date]],X$27&lt;ProposalToGnatt[[#This Row],[Start Date]]+ProposalToGnatt[[#This Row],[Days]]),$G$5,"")),"")</f>
        <v/>
      </c>
      <c r="Y56" s="36" t="str">
        <f ca="1">IFERROR(+IF(Y$27=ProposalToGnatt[[#This Row],[Start Date]],Milestone_Marker,IF(AND(Y$27&gt;ProposalToGnatt[[#This Row],[Start Date]],Y$27&lt;ProposalToGnatt[[#This Row],[Start Date]]+ProposalToGnatt[[#This Row],[Days]]),$G$5,"")),"")</f>
        <v/>
      </c>
      <c r="Z56" s="36" t="str">
        <f ca="1">IFERROR(+IF(Z$27=ProposalToGnatt[[#This Row],[Start Date]],Milestone_Marker,IF(AND(Z$27&gt;ProposalToGnatt[[#This Row],[Start Date]],Z$27&lt;ProposalToGnatt[[#This Row],[Start Date]]+ProposalToGnatt[[#This Row],[Days]]),$G$5,"")),"")</f>
        <v/>
      </c>
      <c r="AA56" s="36" t="str">
        <f ca="1">IFERROR(+IF(AA$27=ProposalToGnatt[[#This Row],[Start Date]],Milestone_Marker,IF(AND(AA$27&gt;ProposalToGnatt[[#This Row],[Start Date]],AA$27&lt;ProposalToGnatt[[#This Row],[Start Date]]+ProposalToGnatt[[#This Row],[Days]]),$G$5,"")),"")</f>
        <v/>
      </c>
      <c r="AB56" s="36" t="str">
        <f ca="1">IFERROR(+IF(AB$27=ProposalToGnatt[[#This Row],[Start Date]],Milestone_Marker,IF(AND(AB$27&gt;ProposalToGnatt[[#This Row],[Start Date]],AB$27&lt;ProposalToGnatt[[#This Row],[Start Date]]+ProposalToGnatt[[#This Row],[Days]]),$G$5,"")),"")</f>
        <v/>
      </c>
      <c r="AC56" s="36" t="str">
        <f ca="1">IFERROR(+IF(AC$27=ProposalToGnatt[[#This Row],[Start Date]],Milestone_Marker,IF(AND(AC$27&gt;ProposalToGnatt[[#This Row],[Start Date]],AC$27&lt;ProposalToGnatt[[#This Row],[Start Date]]+ProposalToGnatt[[#This Row],[Days]]),$G$5,"")),"")</f>
        <v/>
      </c>
      <c r="AD56" s="36" t="str">
        <f ca="1">IFERROR(+IF(AD$27=ProposalToGnatt[[#This Row],[Start Date]],Milestone_Marker,IF(AND(AD$27&gt;ProposalToGnatt[[#This Row],[Start Date]],AD$27&lt;ProposalToGnatt[[#This Row],[Start Date]]+ProposalToGnatt[[#This Row],[Days]]),$G$5,"")),"")</f>
        <v/>
      </c>
      <c r="AE56" s="36" t="str">
        <f ca="1">IFERROR(+IF(AE$27=ProposalToGnatt[[#This Row],[Start Date]],Milestone_Marker,IF(AND(AE$27&gt;ProposalToGnatt[[#This Row],[Start Date]],AE$27&lt;ProposalToGnatt[[#This Row],[Start Date]]+ProposalToGnatt[[#This Row],[Days]]),$G$5,"")),"")</f>
        <v/>
      </c>
      <c r="AF56" s="36" t="str">
        <f ca="1">IFERROR(+IF(AF$27=ProposalToGnatt[[#This Row],[Start Date]],Milestone_Marker,IF(AND(AF$27&gt;ProposalToGnatt[[#This Row],[Start Date]],AF$27&lt;ProposalToGnatt[[#This Row],[Start Date]]+ProposalToGnatt[[#This Row],[Days]]),$G$5,"")),"")</f>
        <v/>
      </c>
      <c r="AG56" s="36" t="str">
        <f ca="1">IFERROR(+IF(AG$27=ProposalToGnatt[[#This Row],[Start Date]],Milestone_Marker,IF(AND(AG$27&gt;ProposalToGnatt[[#This Row],[Start Date]],AG$27&lt;ProposalToGnatt[[#This Row],[Start Date]]+ProposalToGnatt[[#This Row],[Days]]),$G$5,"")),"")</f>
        <v/>
      </c>
      <c r="AH56" s="36" t="str">
        <f ca="1">IFERROR(+IF(AH$27=ProposalToGnatt[[#This Row],[Start Date]],Milestone_Marker,IF(AND(AH$27&gt;ProposalToGnatt[[#This Row],[Start Date]],AH$27&lt;ProposalToGnatt[[#This Row],[Start Date]]+ProposalToGnatt[[#This Row],[Days]]),$G$5,"")),"")</f>
        <v/>
      </c>
      <c r="AI56" s="36" t="str">
        <f ca="1">IFERROR(+IF(AI$27=ProposalToGnatt[[#This Row],[Start Date]],Milestone_Marker,IF(AND(AI$27&gt;ProposalToGnatt[[#This Row],[Start Date]],AI$27&lt;ProposalToGnatt[[#This Row],[Start Date]]+ProposalToGnatt[[#This Row],[Days]]),$G$5,"")),"")</f>
        <v/>
      </c>
      <c r="AJ56" s="36" t="str">
        <f ca="1">IFERROR(+IF(AJ$27=ProposalToGnatt[[#This Row],[Start Date]],Milestone_Marker,IF(AND(AJ$27&gt;ProposalToGnatt[[#This Row],[Start Date]],AJ$27&lt;ProposalToGnatt[[#This Row],[Start Date]]+ProposalToGnatt[[#This Row],[Days]]),$G$5,"")),"")</f>
        <v/>
      </c>
      <c r="AK56" s="36" t="str">
        <f ca="1">IFERROR(+IF(AK$27=ProposalToGnatt[[#This Row],[Start Date]],Milestone_Marker,IF(AND(AK$27&gt;ProposalToGnatt[[#This Row],[Start Date]],AK$27&lt;ProposalToGnatt[[#This Row],[Start Date]]+ProposalToGnatt[[#This Row],[Days]]),$G$5,"")),"")</f>
        <v/>
      </c>
      <c r="AL56" s="36" t="str">
        <f ca="1">IFERROR(+IF(AL$27=ProposalToGnatt[[#This Row],[Start Date]],Milestone_Marker,IF(AND(AL$27&gt;ProposalToGnatt[[#This Row],[Start Date]],AL$27&lt;ProposalToGnatt[[#This Row],[Start Date]]+ProposalToGnatt[[#This Row],[Days]]),$G$5,"")),"")</f>
        <v/>
      </c>
      <c r="AM56" s="36" t="str">
        <f ca="1">IFERROR(+IF(AM$27=ProposalToGnatt[[#This Row],[Start Date]],Milestone_Marker,IF(AND(AM$27&gt;ProposalToGnatt[[#This Row],[Start Date]],AM$27&lt;ProposalToGnatt[[#This Row],[Start Date]]+ProposalToGnatt[[#This Row],[Days]]),$G$5,"")),"")</f>
        <v/>
      </c>
      <c r="AN56" s="36" t="str">
        <f ca="1">IFERROR(+IF(AN$27=ProposalToGnatt[[#This Row],[Start Date]],Milestone_Marker,IF(AND(AN$27&gt;ProposalToGnatt[[#This Row],[Start Date]],AN$27&lt;ProposalToGnatt[[#This Row],[Start Date]]+ProposalToGnatt[[#This Row],[Days]]),$G$5,"")),"")</f>
        <v/>
      </c>
      <c r="AO56" s="36" t="str">
        <f ca="1">IFERROR(+IF(AO$27=ProposalToGnatt[[#This Row],[Start Date]],Milestone_Marker,IF(AND(AO$27&gt;ProposalToGnatt[[#This Row],[Start Date]],AO$27&lt;ProposalToGnatt[[#This Row],[Start Date]]+ProposalToGnatt[[#This Row],[Days]]),$G$5,"")),"")</f>
        <v/>
      </c>
      <c r="AP56" s="36" t="str">
        <f ca="1">IFERROR(+IF(AP$27=ProposalToGnatt[[#This Row],[Start Date]],Milestone_Marker,IF(AND(AP$27&gt;ProposalToGnatt[[#This Row],[Start Date]],AP$27&lt;ProposalToGnatt[[#This Row],[Start Date]]+ProposalToGnatt[[#This Row],[Days]]),$G$5,"")),"")</f>
        <v/>
      </c>
      <c r="AQ56" s="36" t="str">
        <f ca="1">IFERROR(+IF(AQ$27=ProposalToGnatt[[#This Row],[Start Date]],Milestone_Marker,IF(AND(AQ$27&gt;ProposalToGnatt[[#This Row],[Start Date]],AQ$27&lt;ProposalToGnatt[[#This Row],[Start Date]]+ProposalToGnatt[[#This Row],[Days]]),$G$5,"")),"")</f>
        <v/>
      </c>
      <c r="AR56" s="36" t="str">
        <f ca="1">IFERROR(+IF(AR$27=ProposalToGnatt[[#This Row],[Start Date]],Milestone_Marker,IF(AND(AR$27&gt;ProposalToGnatt[[#This Row],[Start Date]],AR$27&lt;ProposalToGnatt[[#This Row],[Start Date]]+ProposalToGnatt[[#This Row],[Days]]),$G$5,"")),"")</f>
        <v/>
      </c>
      <c r="AS56" s="36" t="str">
        <f ca="1">IFERROR(+IF(AS$27=ProposalToGnatt[[#This Row],[Start Date]],Milestone_Marker,IF(AND(AS$27&gt;ProposalToGnatt[[#This Row],[Start Date]],AS$27&lt;ProposalToGnatt[[#This Row],[Start Date]]+ProposalToGnatt[[#This Row],[Days]]),$G$5,"")),"")</f>
        <v/>
      </c>
      <c r="AT56" s="36" t="str">
        <f ca="1">IFERROR(+IF(AT$27=ProposalToGnatt[[#This Row],[Start Date]],Milestone_Marker,IF(AND(AT$27&gt;ProposalToGnatt[[#This Row],[Start Date]],AT$27&lt;ProposalToGnatt[[#This Row],[Start Date]]+ProposalToGnatt[[#This Row],[Days]]),$G$5,"")),"")</f>
        <v/>
      </c>
      <c r="AU56" s="36" t="str">
        <f ca="1">IFERROR(+IF(AU$27=ProposalToGnatt[[#This Row],[Start Date]],Milestone_Marker,IF(AND(AU$27&gt;ProposalToGnatt[[#This Row],[Start Date]],AU$27&lt;ProposalToGnatt[[#This Row],[Start Date]]+ProposalToGnatt[[#This Row],[Days]]),$G$5,"")),"")</f>
        <v/>
      </c>
      <c r="AV56" s="36" t="str">
        <f ca="1">IFERROR(+IF(AV$27=ProposalToGnatt[[#This Row],[Start Date]],Milestone_Marker,IF(AND(AV$27&gt;ProposalToGnatt[[#This Row],[Start Date]],AV$27&lt;ProposalToGnatt[[#This Row],[Start Date]]+ProposalToGnatt[[#This Row],[Days]]),$G$5,"")),"")</f>
        <v/>
      </c>
      <c r="AW56" s="36" t="str">
        <f ca="1">IFERROR(+IF(AW$27=ProposalToGnatt[[#This Row],[Start Date]],Milestone_Marker,IF(AND(AW$27&gt;ProposalToGnatt[[#This Row],[Start Date]],AW$27&lt;ProposalToGnatt[[#This Row],[Start Date]]+ProposalToGnatt[[#This Row],[Days]]),$G$5,"")),"")</f>
        <v/>
      </c>
      <c r="AX56" s="36" t="str">
        <f ca="1">IFERROR(+IF(AX$27=ProposalToGnatt[[#This Row],[Start Date]],Milestone_Marker,IF(AND(AX$27&gt;ProposalToGnatt[[#This Row],[Start Date]],AX$27&lt;ProposalToGnatt[[#This Row],[Start Date]]+ProposalToGnatt[[#This Row],[Days]]),$G$5,"")),"")</f>
        <v/>
      </c>
      <c r="AY56" s="36" t="str">
        <f ca="1">IFERROR(+IF(AY$27=ProposalToGnatt[[#This Row],[Start Date]],Milestone_Marker,IF(AND(AY$27&gt;ProposalToGnatt[[#This Row],[Start Date]],AY$27&lt;ProposalToGnatt[[#This Row],[Start Date]]+ProposalToGnatt[[#This Row],[Days]]),$G$5,"")),"")</f>
        <v/>
      </c>
      <c r="AZ56" s="36" t="str">
        <f ca="1">IFERROR(+IF(AZ$27=ProposalToGnatt[[#This Row],[Start Date]],Milestone_Marker,IF(AND(AZ$27&gt;ProposalToGnatt[[#This Row],[Start Date]],AZ$27&lt;ProposalToGnatt[[#This Row],[Start Date]]+ProposalToGnatt[[#This Row],[Days]]),$G$5,"")),"")</f>
        <v/>
      </c>
      <c r="BA56" s="36" t="str">
        <f ca="1">IFERROR(+IF(BA$27=ProposalToGnatt[[#This Row],[Start Date]],Milestone_Marker,IF(AND(BA$27&gt;ProposalToGnatt[[#This Row],[Start Date]],BA$27&lt;ProposalToGnatt[[#This Row],[Start Date]]+ProposalToGnatt[[#This Row],[Days]]),$G$5,"")),"")</f>
        <v/>
      </c>
      <c r="BB56" s="36" t="str">
        <f ca="1">IFERROR(+IF(BB$27=ProposalToGnatt[[#This Row],[Start Date]],Milestone_Marker,IF(AND(BB$27&gt;ProposalToGnatt[[#This Row],[Start Date]],BB$27&lt;ProposalToGnatt[[#This Row],[Start Date]]+ProposalToGnatt[[#This Row],[Days]]),$G$5,"")),"")</f>
        <v/>
      </c>
      <c r="BC56" s="36" t="str">
        <f ca="1">IFERROR(+IF(BC$27=ProposalToGnatt[[#This Row],[Start Date]],Milestone_Marker,IF(AND(BC$27&gt;ProposalToGnatt[[#This Row],[Start Date]],BC$27&lt;ProposalToGnatt[[#This Row],[Start Date]]+ProposalToGnatt[[#This Row],[Days]]),$G$5,"")),"")</f>
        <v/>
      </c>
      <c r="BD56" s="36" t="str">
        <f ca="1">IFERROR(+IF(BD$27=ProposalToGnatt[[#This Row],[Start Date]],Milestone_Marker,IF(AND(BD$27&gt;ProposalToGnatt[[#This Row],[Start Date]],BD$27&lt;ProposalToGnatt[[#This Row],[Start Date]]+ProposalToGnatt[[#This Row],[Days]]),$G$5,"")),"")</f>
        <v/>
      </c>
      <c r="BE56" s="36" t="str">
        <f ca="1">IFERROR(+IF(BE$27=ProposalToGnatt[[#This Row],[Start Date]],Milestone_Marker,IF(AND(BE$27&gt;ProposalToGnatt[[#This Row],[Start Date]],BE$27&lt;ProposalToGnatt[[#This Row],[Start Date]]+ProposalToGnatt[[#This Row],[Days]]),$G$5,"")),"")</f>
        <v/>
      </c>
      <c r="BF56" s="36" t="str">
        <f ca="1">IFERROR(+IF(BF$27=ProposalToGnatt[[#This Row],[Start Date]],Milestone_Marker,IF(AND(BF$27&gt;ProposalToGnatt[[#This Row],[Start Date]],BF$27&lt;ProposalToGnatt[[#This Row],[Start Date]]+ProposalToGnatt[[#This Row],[Days]]),$G$5,"")),"")</f>
        <v/>
      </c>
      <c r="BG56" s="36" t="str">
        <f ca="1">IFERROR(+IF(BG$27=ProposalToGnatt[[#This Row],[Start Date]],Milestone_Marker,IF(AND(BG$27&gt;ProposalToGnatt[[#This Row],[Start Date]],BG$27&lt;ProposalToGnatt[[#This Row],[Start Date]]+ProposalToGnatt[[#This Row],[Days]]),$G$5,"")),"")</f>
        <v/>
      </c>
      <c r="BH56" s="36" t="str">
        <f ca="1">IFERROR(+IF(BH$27=ProposalToGnatt[[#This Row],[Start Date]],Milestone_Marker,IF(AND(BH$27&gt;ProposalToGnatt[[#This Row],[Start Date]],BH$27&lt;ProposalToGnatt[[#This Row],[Start Date]]+ProposalToGnatt[[#This Row],[Days]]),$G$5,"")),"")</f>
        <v/>
      </c>
      <c r="BI56" s="36" t="str">
        <f ca="1">IFERROR(+IF(BI$27=ProposalToGnatt[[#This Row],[Start Date]],Milestone_Marker,IF(AND(BI$27&gt;ProposalToGnatt[[#This Row],[Start Date]],BI$27&lt;ProposalToGnatt[[#This Row],[Start Date]]+ProposalToGnatt[[#This Row],[Days]]),$G$5,"")),"")</f>
        <v/>
      </c>
      <c r="BJ56" s="36" t="str">
        <f ca="1">IFERROR(+IF(BJ$27=ProposalToGnatt[[#This Row],[Start Date]],Milestone_Marker,IF(AND(BJ$27&gt;ProposalToGnatt[[#This Row],[Start Date]],BJ$27&lt;ProposalToGnatt[[#This Row],[Start Date]]+ProposalToGnatt[[#This Row],[Days]]),$G$5,"")),"")</f>
        <v/>
      </c>
      <c r="BK56" s="36" t="str">
        <f ca="1">IFERROR(+IF(BK$27=ProposalToGnatt[[#This Row],[Start Date]],Milestone_Marker,IF(AND(BK$27&gt;ProposalToGnatt[[#This Row],[Start Date]],BK$27&lt;ProposalToGnatt[[#This Row],[Start Date]]+ProposalToGnatt[[#This Row],[Days]]),$G$5,"")),"")</f>
        <v/>
      </c>
      <c r="BL56" s="36" t="str">
        <f ca="1">IFERROR(+IF(BL$27=ProposalToGnatt[[#This Row],[Start Date]],Milestone_Marker,IF(AND(BL$27&gt;ProposalToGnatt[[#This Row],[Start Date]],BL$27&lt;ProposalToGnatt[[#This Row],[Start Date]]+ProposalToGnatt[[#This Row],[Days]]),$G$5,"")),"")</f>
        <v/>
      </c>
      <c r="BM56" s="36" t="str">
        <f ca="1">IFERROR(+IF(BM$27=ProposalToGnatt[[#This Row],[Start Date]],Milestone_Marker,IF(AND(BM$27&gt;ProposalToGnatt[[#This Row],[Start Date]],BM$27&lt;ProposalToGnatt[[#This Row],[Start Date]]+ProposalToGnatt[[#This Row],[Days]]),$G$5,"")),"")</f>
        <v/>
      </c>
      <c r="BN56" s="36" t="str">
        <f ca="1">IFERROR(+IF(BN$27=ProposalToGnatt[[#This Row],[Start Date]],Milestone_Marker,IF(AND(BN$27&gt;ProposalToGnatt[[#This Row],[Start Date]],BN$27&lt;ProposalToGnatt[[#This Row],[Start Date]]+ProposalToGnatt[[#This Row],[Days]]),$G$5,"")),"")</f>
        <v/>
      </c>
      <c r="BO56" s="36" t="str">
        <f ca="1">IFERROR(+IF(BO$27=ProposalToGnatt[[#This Row],[Start Date]],Milestone_Marker,IF(AND(BO$27&gt;ProposalToGnatt[[#This Row],[Start Date]],BO$27&lt;ProposalToGnatt[[#This Row],[Start Date]]+ProposalToGnatt[[#This Row],[Days]]),$G$5,"")),"")</f>
        <v/>
      </c>
      <c r="BP56" s="36" t="str">
        <f ca="1">IFERROR(+IF(BP$27=ProposalToGnatt[[#This Row],[Start Date]],Milestone_Marker,IF(AND(BP$27&gt;ProposalToGnatt[[#This Row],[Start Date]],BP$27&lt;ProposalToGnatt[[#This Row],[Start Date]]+ProposalToGnatt[[#This Row],[Days]]),$G$5,"")),"")</f>
        <v/>
      </c>
      <c r="BQ56" s="36" t="str">
        <f ca="1">IFERROR(+IF(BQ$27=ProposalToGnatt[[#This Row],[Start Date]],Milestone_Marker,IF(AND(BQ$27&gt;ProposalToGnatt[[#This Row],[Start Date]],BQ$27&lt;ProposalToGnatt[[#This Row],[Start Date]]+ProposalToGnatt[[#This Row],[Days]]),$G$5,"")),"")</f>
        <v/>
      </c>
      <c r="BR56" s="36" t="str">
        <f ca="1">IFERROR(+IF(BR$27=ProposalToGnatt[[#This Row],[Start Date]],Milestone_Marker,IF(AND(BR$27&gt;ProposalToGnatt[[#This Row],[Start Date]],BR$27&lt;ProposalToGnatt[[#This Row],[Start Date]]+ProposalToGnatt[[#This Row],[Days]]),$G$5,"")),"")</f>
        <v/>
      </c>
      <c r="BS56" s="36" t="str">
        <f ca="1">IFERROR(+IF(BS$27=ProposalToGnatt[[#This Row],[Start Date]],Milestone_Marker,IF(AND(BS$27&gt;ProposalToGnatt[[#This Row],[Start Date]],BS$27&lt;ProposalToGnatt[[#This Row],[Start Date]]+ProposalToGnatt[[#This Row],[Days]]),$G$5,"")),"")</f>
        <v/>
      </c>
      <c r="BT56" s="36" t="str">
        <f ca="1">IFERROR(+IF(BT$27=ProposalToGnatt[[#This Row],[Start Date]],Milestone_Marker,IF(AND(BT$27&gt;ProposalToGnatt[[#This Row],[Start Date]],BT$27&lt;ProposalToGnatt[[#This Row],[Start Date]]+ProposalToGnatt[[#This Row],[Days]]),$G$5,"")),"")</f>
        <v/>
      </c>
      <c r="BU56" s="36" t="str">
        <f ca="1">IFERROR(+IF(BU$27=ProposalToGnatt[[#This Row],[Start Date]],Milestone_Marker,IF(AND(BU$27&gt;ProposalToGnatt[[#This Row],[Start Date]],BU$27&lt;ProposalToGnatt[[#This Row],[Start Date]]+ProposalToGnatt[[#This Row],[Days]]),$G$5,"")),"")</f>
        <v/>
      </c>
      <c r="BV56" s="36" t="str">
        <f ca="1">IFERROR(+IF(BV$27=ProposalToGnatt[[#This Row],[Start Date]],Milestone_Marker,IF(AND(BV$27&gt;ProposalToGnatt[[#This Row],[Start Date]],BV$27&lt;ProposalToGnatt[[#This Row],[Start Date]]+ProposalToGnatt[[#This Row],[Days]]),$G$5,"")),"")</f>
        <v/>
      </c>
      <c r="BW56" s="36" t="str">
        <f ca="1">IFERROR(+IF(BW$27=ProposalToGnatt[[#This Row],[Start Date]],Milestone_Marker,IF(AND(BW$27&gt;ProposalToGnatt[[#This Row],[Start Date]],BW$27&lt;ProposalToGnatt[[#This Row],[Start Date]]+ProposalToGnatt[[#This Row],[Days]]),$G$5,"")),"")</f>
        <v/>
      </c>
      <c r="BX56" s="36" t="str">
        <f ca="1">IFERROR(+IF(BX$27=ProposalToGnatt[[#This Row],[Start Date]],Milestone_Marker,IF(AND(BX$27&gt;ProposalToGnatt[[#This Row],[Start Date]],BX$27&lt;ProposalToGnatt[[#This Row],[Start Date]]+ProposalToGnatt[[#This Row],[Days]]),$G$5,"")),"")</f>
        <v/>
      </c>
      <c r="BY56" s="36" t="str">
        <f ca="1">IFERROR(+IF(BY$27=ProposalToGnatt[[#This Row],[Start Date]],Milestone_Marker,IF(AND(BY$27&gt;ProposalToGnatt[[#This Row],[Start Date]],BY$27&lt;ProposalToGnatt[[#This Row],[Start Date]]+ProposalToGnatt[[#This Row],[Days]]),$G$5,"")),"")</f>
        <v/>
      </c>
      <c r="BZ56" s="36" t="str">
        <f ca="1">IFERROR(+IF(BZ$27=ProposalToGnatt[[#This Row],[Start Date]],Milestone_Marker,IF(AND(BZ$27&gt;ProposalToGnatt[[#This Row],[Start Date]],BZ$27&lt;ProposalToGnatt[[#This Row],[Start Date]]+ProposalToGnatt[[#This Row],[Days]]),$G$5,"")),"")</f>
        <v/>
      </c>
      <c r="CA56" s="36" t="str">
        <f ca="1">IFERROR(+IF(CA$27=ProposalToGnatt[[#This Row],[Start Date]],Milestone_Marker,IF(AND(CA$27&gt;ProposalToGnatt[[#This Row],[Start Date]],CA$27&lt;ProposalToGnatt[[#This Row],[Start Date]]+ProposalToGnatt[[#This Row],[Days]]),$G$5,"")),"")</f>
        <v/>
      </c>
      <c r="CB56" s="36" t="str">
        <f ca="1">IFERROR(+IF(CB$27=ProposalToGnatt[[#This Row],[Start Date]],Milestone_Marker,IF(AND(CB$27&gt;ProposalToGnatt[[#This Row],[Start Date]],CB$27&lt;ProposalToGnatt[[#This Row],[Start Date]]+ProposalToGnatt[[#This Row],[Days]]),$G$5,"")),"")</f>
        <v/>
      </c>
      <c r="CC56" s="36" t="str">
        <f ca="1">IFERROR(+IF(CC$27=ProposalToGnatt[[#This Row],[Start Date]],Milestone_Marker,IF(AND(CC$27&gt;ProposalToGnatt[[#This Row],[Start Date]],CC$27&lt;ProposalToGnatt[[#This Row],[Start Date]]+ProposalToGnatt[[#This Row],[Days]]),$G$5,"")),"")</f>
        <v/>
      </c>
      <c r="CD56" s="36" t="str">
        <f ca="1">IFERROR(+IF(CD$27=ProposalToGnatt[[#This Row],[Start Date]],Milestone_Marker,IF(AND(CD$27&gt;ProposalToGnatt[[#This Row],[Start Date]],CD$27&lt;ProposalToGnatt[[#This Row],[Start Date]]+ProposalToGnatt[[#This Row],[Days]]),$G$5,"")),"")</f>
        <v/>
      </c>
      <c r="CE56" s="36" t="str">
        <f ca="1">IFERROR(+IF(CE$27=ProposalToGnatt[[#This Row],[Start Date]],Milestone_Marker,IF(AND(CE$27&gt;ProposalToGnatt[[#This Row],[Start Date]],CE$27&lt;ProposalToGnatt[[#This Row],[Start Date]]+ProposalToGnatt[[#This Row],[Days]]),$G$5,"")),"")</f>
        <v/>
      </c>
      <c r="CF56" s="36" t="str">
        <f ca="1">IFERROR(+IF(CF$27=ProposalToGnatt[[#This Row],[Start Date]],Milestone_Marker,IF(AND(CF$27&gt;ProposalToGnatt[[#This Row],[Start Date]],CF$27&lt;ProposalToGnatt[[#This Row],[Start Date]]+ProposalToGnatt[[#This Row],[Days]]),$G$5,"")),"")</f>
        <v/>
      </c>
      <c r="CG56" s="36" t="str">
        <f ca="1">IFERROR(+IF(CG$27=ProposalToGnatt[[#This Row],[Start Date]],Milestone_Marker,IF(AND(CG$27&gt;ProposalToGnatt[[#This Row],[Start Date]],CG$27&lt;ProposalToGnatt[[#This Row],[Start Date]]+ProposalToGnatt[[#This Row],[Days]]),$G$5,"")),"")</f>
        <v/>
      </c>
      <c r="CH56" s="36" t="str">
        <f ca="1">IFERROR(+IF(CH$27=ProposalToGnatt[[#This Row],[Start Date]],Milestone_Marker,IF(AND(CH$27&gt;ProposalToGnatt[[#This Row],[Start Date]],CH$27&lt;ProposalToGnatt[[#This Row],[Start Date]]+ProposalToGnatt[[#This Row],[Days]]),$G$5,"")),"")</f>
        <v/>
      </c>
      <c r="CI56" s="36" t="str">
        <f ca="1">IFERROR(+IF(CI$27=ProposalToGnatt[[#This Row],[Start Date]],Milestone_Marker,IF(AND(CI$27&gt;ProposalToGnatt[[#This Row],[Start Date]],CI$27&lt;ProposalToGnatt[[#This Row],[Start Date]]+ProposalToGnatt[[#This Row],[Days]]),$G$5,"")),"")</f>
        <v/>
      </c>
      <c r="CJ56" s="36" t="str">
        <f ca="1">IFERROR(+IF(CJ$27=ProposalToGnatt[[#This Row],[Start Date]],Milestone_Marker,IF(AND(CJ$27&gt;ProposalToGnatt[[#This Row],[Start Date]],CJ$27&lt;ProposalToGnatt[[#This Row],[Start Date]]+ProposalToGnatt[[#This Row],[Days]]),$G$5,"")),"")</f>
        <v/>
      </c>
      <c r="CK56" s="36" t="str">
        <f ca="1">IFERROR(+IF(CK$27=ProposalToGnatt[[#This Row],[Start Date]],Milestone_Marker,IF(AND(CK$27&gt;ProposalToGnatt[[#This Row],[Start Date]],CK$27&lt;ProposalToGnatt[[#This Row],[Start Date]]+ProposalToGnatt[[#This Row],[Days]]),$G$5,"")),"")</f>
        <v/>
      </c>
      <c r="CL56" s="36" t="str">
        <f ca="1">IFERROR(+IF(CL$27=ProposalToGnatt[[#This Row],[Start Date]],Milestone_Marker,IF(AND(CL$27&gt;ProposalToGnatt[[#This Row],[Start Date]],CL$27&lt;ProposalToGnatt[[#This Row],[Start Date]]+ProposalToGnatt[[#This Row],[Days]]),$G$5,"")),"")</f>
        <v/>
      </c>
      <c r="CM56" s="36" t="str">
        <f ca="1">IFERROR(+IF(CM$27=ProposalToGnatt[[#This Row],[Start Date]],Milestone_Marker,IF(AND(CM$27&gt;ProposalToGnatt[[#This Row],[Start Date]],CM$27&lt;ProposalToGnatt[[#This Row],[Start Date]]+ProposalToGnatt[[#This Row],[Days]]),$G$5,"")),"")</f>
        <v/>
      </c>
      <c r="CN56" s="36" t="str">
        <f ca="1">IFERROR(+IF(CN$27=ProposalToGnatt[[#This Row],[Start Date]],Milestone_Marker,IF(AND(CN$27&gt;ProposalToGnatt[[#This Row],[Start Date]],CN$27&lt;ProposalToGnatt[[#This Row],[Start Date]]+ProposalToGnatt[[#This Row],[Days]]),$G$5,"")),"")</f>
        <v/>
      </c>
      <c r="CO56" s="36" t="str">
        <f ca="1">IFERROR(+IF(CO$27=ProposalToGnatt[[#This Row],[Start Date]],Milestone_Marker,IF(AND(CO$27&gt;ProposalToGnatt[[#This Row],[Start Date]],CO$27&lt;ProposalToGnatt[[#This Row],[Start Date]]+ProposalToGnatt[[#This Row],[Days]]),$G$5,"")),"")</f>
        <v/>
      </c>
      <c r="CP56" s="36" t="str">
        <f ca="1">IFERROR(+IF(CP$27=ProposalToGnatt[[#This Row],[Start Date]],Milestone_Marker,IF(AND(CP$27&gt;ProposalToGnatt[[#This Row],[Start Date]],CP$27&lt;ProposalToGnatt[[#This Row],[Start Date]]+ProposalToGnatt[[#This Row],[Days]]),$G$5,"")),"")</f>
        <v/>
      </c>
      <c r="CQ56" s="36" t="str">
        <f ca="1">IFERROR(+IF(CQ$27=ProposalToGnatt[[#This Row],[Start Date]],Milestone_Marker,IF(AND(CQ$27&gt;ProposalToGnatt[[#This Row],[Start Date]],CQ$27&lt;ProposalToGnatt[[#This Row],[Start Date]]+ProposalToGnatt[[#This Row],[Days]]),$G$5,"")),"")</f>
        <v/>
      </c>
      <c r="CR56" s="36" t="str">
        <f ca="1">IFERROR(+IF(CR$27=ProposalToGnatt[[#This Row],[Start Date]],Milestone_Marker,IF(AND(CR$27&gt;ProposalToGnatt[[#This Row],[Start Date]],CR$27&lt;ProposalToGnatt[[#This Row],[Start Date]]+ProposalToGnatt[[#This Row],[Days]]),$G$5,"")),"")</f>
        <v/>
      </c>
      <c r="CS56" s="36" t="str">
        <f ca="1">IFERROR(+IF(CS$27=ProposalToGnatt[[#This Row],[Start Date]],Milestone_Marker,IF(AND(CS$27&gt;ProposalToGnatt[[#This Row],[Start Date]],CS$27&lt;ProposalToGnatt[[#This Row],[Start Date]]+ProposalToGnatt[[#This Row],[Days]]),$G$5,"")),"")</f>
        <v/>
      </c>
      <c r="CT56" s="36" t="str">
        <f ca="1">IFERROR(+IF(CT$27=ProposalToGnatt[[#This Row],[Start Date]],Milestone_Marker,IF(AND(CT$27&gt;ProposalToGnatt[[#This Row],[Start Date]],CT$27&lt;ProposalToGnatt[[#This Row],[Start Date]]+ProposalToGnatt[[#This Row],[Days]]),$G$5,"")),"")</f>
        <v/>
      </c>
      <c r="CU56" s="36" t="str">
        <f ca="1">IFERROR(+IF(CU$27=ProposalToGnatt[[#This Row],[Start Date]],Milestone_Marker,IF(AND(CU$27&gt;ProposalToGnatt[[#This Row],[Start Date]],CU$27&lt;ProposalToGnatt[[#This Row],[Start Date]]+ProposalToGnatt[[#This Row],[Days]]),$G$5,"")),"")</f>
        <v/>
      </c>
      <c r="CV56" s="36"/>
      <c r="CW56" s="36"/>
      <c r="CX56" s="36"/>
      <c r="CY56" s="36"/>
      <c r="CZ56" s="36"/>
      <c r="DA56" s="36"/>
      <c r="DB56" s="36"/>
      <c r="DC56" s="36"/>
      <c r="DD56" s="36"/>
      <c r="DE56" s="36"/>
      <c r="DF56" s="36"/>
      <c r="DG56" s="36"/>
      <c r="DH56" s="36"/>
      <c r="DI56" s="36"/>
      <c r="DJ56" s="36"/>
      <c r="DK56" s="36"/>
      <c r="DL56" s="36"/>
      <c r="DM56" s="36"/>
      <c r="DN56" s="36"/>
      <c r="DO56" s="36"/>
      <c r="DP56" s="36"/>
      <c r="DQ56" s="36"/>
      <c r="DR56" s="36"/>
      <c r="DS56" s="36"/>
      <c r="DT56" s="36"/>
      <c r="DU56" s="36"/>
    </row>
    <row r="57" spans="1:125" s="41" customFormat="1" ht="15" x14ac:dyDescent="0.25">
      <c r="A57" t="s">
        <v>267</v>
      </c>
      <c r="B57">
        <v>39</v>
      </c>
      <c r="C57"/>
      <c r="D57" t="s">
        <v>950</v>
      </c>
      <c r="E57" s="568" t="s">
        <v>949</v>
      </c>
      <c r="F57">
        <v>1</v>
      </c>
      <c r="G57" s="14">
        <v>65</v>
      </c>
      <c r="H57" s="14">
        <v>65</v>
      </c>
      <c r="I57" t="s">
        <v>3</v>
      </c>
      <c r="J57">
        <v>1</v>
      </c>
      <c r="K57" s="249"/>
      <c r="L57"/>
      <c r="M57" s="14"/>
      <c r="N57" s="300">
        <v>65</v>
      </c>
      <c r="O57" s="554"/>
      <c r="P57" s="36" t="str">
        <f ca="1">IFERROR(+IF(P$27=ProposalToGnatt[[#This Row],[Start Date]],Milestone_Marker,IF(AND(P$27&gt;ProposalToGnatt[[#This Row],[Start Date]],P$27&lt;ProposalToGnatt[[#This Row],[Start Date]]+ProposalToGnatt[[#This Row],[Days]]),$G$5,"")),"")</f>
        <v/>
      </c>
      <c r="Q57" s="36" t="str">
        <f ca="1">IFERROR(+IF(Q$27=ProposalToGnatt[[#This Row],[Start Date]],Milestone_Marker,IF(AND(Q$27&gt;ProposalToGnatt[[#This Row],[Start Date]],Q$27&lt;ProposalToGnatt[[#This Row],[Start Date]]+ProposalToGnatt[[#This Row],[Days]]),$G$5,"")),"")</f>
        <v/>
      </c>
      <c r="R57" s="36" t="str">
        <f ca="1">IFERROR(+IF(R$27=ProposalToGnatt[[#This Row],[Start Date]],Milestone_Marker,IF(AND(R$27&gt;ProposalToGnatt[[#This Row],[Start Date]],R$27&lt;ProposalToGnatt[[#This Row],[Start Date]]+ProposalToGnatt[[#This Row],[Days]]),$G$5,"")),"")</f>
        <v/>
      </c>
      <c r="S57" s="36" t="str">
        <f ca="1">IFERROR(+IF(S$27=ProposalToGnatt[[#This Row],[Start Date]],Milestone_Marker,IF(AND(S$27&gt;ProposalToGnatt[[#This Row],[Start Date]],S$27&lt;ProposalToGnatt[[#This Row],[Start Date]]+ProposalToGnatt[[#This Row],[Days]]),$G$5,"")),"")</f>
        <v/>
      </c>
      <c r="T57" s="36" t="str">
        <f ca="1">IFERROR(+IF(T$27=ProposalToGnatt[[#This Row],[Start Date]],Milestone_Marker,IF(AND(T$27&gt;ProposalToGnatt[[#This Row],[Start Date]],T$27&lt;ProposalToGnatt[[#This Row],[Start Date]]+ProposalToGnatt[[#This Row],[Days]]),$G$5,"")),"")</f>
        <v/>
      </c>
      <c r="U57" s="36" t="str">
        <f ca="1">IFERROR(+IF(U$27=ProposalToGnatt[[#This Row],[Start Date]],Milestone_Marker,IF(AND(U$27&gt;ProposalToGnatt[[#This Row],[Start Date]],U$27&lt;ProposalToGnatt[[#This Row],[Start Date]]+ProposalToGnatt[[#This Row],[Days]]),$G$5,"")),"")</f>
        <v/>
      </c>
      <c r="V57" s="36" t="str">
        <f ca="1">IFERROR(+IF(V$27=ProposalToGnatt[[#This Row],[Start Date]],Milestone_Marker,IF(AND(V$27&gt;ProposalToGnatt[[#This Row],[Start Date]],V$27&lt;ProposalToGnatt[[#This Row],[Start Date]]+ProposalToGnatt[[#This Row],[Days]]),$G$5,"")),"")</f>
        <v/>
      </c>
      <c r="W57" s="36" t="str">
        <f ca="1">IFERROR(+IF(W$27=ProposalToGnatt[[#This Row],[Start Date]],Milestone_Marker,IF(AND(W$27&gt;ProposalToGnatt[[#This Row],[Start Date]],W$27&lt;ProposalToGnatt[[#This Row],[Start Date]]+ProposalToGnatt[[#This Row],[Days]]),$G$5,"")),"")</f>
        <v/>
      </c>
      <c r="X57" s="36" t="str">
        <f ca="1">IFERROR(+IF(X$27=ProposalToGnatt[[#This Row],[Start Date]],Milestone_Marker,IF(AND(X$27&gt;ProposalToGnatt[[#This Row],[Start Date]],X$27&lt;ProposalToGnatt[[#This Row],[Start Date]]+ProposalToGnatt[[#This Row],[Days]]),$G$5,"")),"")</f>
        <v/>
      </c>
      <c r="Y57" s="36" t="str">
        <f ca="1">IFERROR(+IF(Y$27=ProposalToGnatt[[#This Row],[Start Date]],Milestone_Marker,IF(AND(Y$27&gt;ProposalToGnatt[[#This Row],[Start Date]],Y$27&lt;ProposalToGnatt[[#This Row],[Start Date]]+ProposalToGnatt[[#This Row],[Days]]),$G$5,"")),"")</f>
        <v/>
      </c>
      <c r="Z57" s="36" t="str">
        <f ca="1">IFERROR(+IF(Z$27=ProposalToGnatt[[#This Row],[Start Date]],Milestone_Marker,IF(AND(Z$27&gt;ProposalToGnatt[[#This Row],[Start Date]],Z$27&lt;ProposalToGnatt[[#This Row],[Start Date]]+ProposalToGnatt[[#This Row],[Days]]),$G$5,"")),"")</f>
        <v/>
      </c>
      <c r="AA57" s="36" t="str">
        <f ca="1">IFERROR(+IF(AA$27=ProposalToGnatt[[#This Row],[Start Date]],Milestone_Marker,IF(AND(AA$27&gt;ProposalToGnatt[[#This Row],[Start Date]],AA$27&lt;ProposalToGnatt[[#This Row],[Start Date]]+ProposalToGnatt[[#This Row],[Days]]),$G$5,"")),"")</f>
        <v/>
      </c>
      <c r="AB57" s="36" t="str">
        <f ca="1">IFERROR(+IF(AB$27=ProposalToGnatt[[#This Row],[Start Date]],Milestone_Marker,IF(AND(AB$27&gt;ProposalToGnatt[[#This Row],[Start Date]],AB$27&lt;ProposalToGnatt[[#This Row],[Start Date]]+ProposalToGnatt[[#This Row],[Days]]),$G$5,"")),"")</f>
        <v/>
      </c>
      <c r="AC57" s="36" t="str">
        <f ca="1">IFERROR(+IF(AC$27=ProposalToGnatt[[#This Row],[Start Date]],Milestone_Marker,IF(AND(AC$27&gt;ProposalToGnatt[[#This Row],[Start Date]],AC$27&lt;ProposalToGnatt[[#This Row],[Start Date]]+ProposalToGnatt[[#This Row],[Days]]),$G$5,"")),"")</f>
        <v/>
      </c>
      <c r="AD57" s="36" t="str">
        <f ca="1">IFERROR(+IF(AD$27=ProposalToGnatt[[#This Row],[Start Date]],Milestone_Marker,IF(AND(AD$27&gt;ProposalToGnatt[[#This Row],[Start Date]],AD$27&lt;ProposalToGnatt[[#This Row],[Start Date]]+ProposalToGnatt[[#This Row],[Days]]),$G$5,"")),"")</f>
        <v/>
      </c>
      <c r="AE57" s="36" t="str">
        <f ca="1">IFERROR(+IF(AE$27=ProposalToGnatt[[#This Row],[Start Date]],Milestone_Marker,IF(AND(AE$27&gt;ProposalToGnatt[[#This Row],[Start Date]],AE$27&lt;ProposalToGnatt[[#This Row],[Start Date]]+ProposalToGnatt[[#This Row],[Days]]),$G$5,"")),"")</f>
        <v/>
      </c>
      <c r="AF57" s="36" t="str">
        <f ca="1">IFERROR(+IF(AF$27=ProposalToGnatt[[#This Row],[Start Date]],Milestone_Marker,IF(AND(AF$27&gt;ProposalToGnatt[[#This Row],[Start Date]],AF$27&lt;ProposalToGnatt[[#This Row],[Start Date]]+ProposalToGnatt[[#This Row],[Days]]),$G$5,"")),"")</f>
        <v/>
      </c>
      <c r="AG57" s="36" t="str">
        <f ca="1">IFERROR(+IF(AG$27=ProposalToGnatt[[#This Row],[Start Date]],Milestone_Marker,IF(AND(AG$27&gt;ProposalToGnatt[[#This Row],[Start Date]],AG$27&lt;ProposalToGnatt[[#This Row],[Start Date]]+ProposalToGnatt[[#This Row],[Days]]),$G$5,"")),"")</f>
        <v/>
      </c>
      <c r="AH57" s="36" t="str">
        <f ca="1">IFERROR(+IF(AH$27=ProposalToGnatt[[#This Row],[Start Date]],Milestone_Marker,IF(AND(AH$27&gt;ProposalToGnatt[[#This Row],[Start Date]],AH$27&lt;ProposalToGnatt[[#This Row],[Start Date]]+ProposalToGnatt[[#This Row],[Days]]),$G$5,"")),"")</f>
        <v/>
      </c>
      <c r="AI57" s="36" t="str">
        <f ca="1">IFERROR(+IF(AI$27=ProposalToGnatt[[#This Row],[Start Date]],Milestone_Marker,IF(AND(AI$27&gt;ProposalToGnatt[[#This Row],[Start Date]],AI$27&lt;ProposalToGnatt[[#This Row],[Start Date]]+ProposalToGnatt[[#This Row],[Days]]),$G$5,"")),"")</f>
        <v/>
      </c>
      <c r="AJ57" s="36" t="str">
        <f ca="1">IFERROR(+IF(AJ$27=ProposalToGnatt[[#This Row],[Start Date]],Milestone_Marker,IF(AND(AJ$27&gt;ProposalToGnatt[[#This Row],[Start Date]],AJ$27&lt;ProposalToGnatt[[#This Row],[Start Date]]+ProposalToGnatt[[#This Row],[Days]]),$G$5,"")),"")</f>
        <v/>
      </c>
      <c r="AK57" s="36" t="str">
        <f ca="1">IFERROR(+IF(AK$27=ProposalToGnatt[[#This Row],[Start Date]],Milestone_Marker,IF(AND(AK$27&gt;ProposalToGnatt[[#This Row],[Start Date]],AK$27&lt;ProposalToGnatt[[#This Row],[Start Date]]+ProposalToGnatt[[#This Row],[Days]]),$G$5,"")),"")</f>
        <v/>
      </c>
      <c r="AL57" s="36" t="str">
        <f ca="1">IFERROR(+IF(AL$27=ProposalToGnatt[[#This Row],[Start Date]],Milestone_Marker,IF(AND(AL$27&gt;ProposalToGnatt[[#This Row],[Start Date]],AL$27&lt;ProposalToGnatt[[#This Row],[Start Date]]+ProposalToGnatt[[#This Row],[Days]]),$G$5,"")),"")</f>
        <v/>
      </c>
      <c r="AM57" s="36" t="str">
        <f ca="1">IFERROR(+IF(AM$27=ProposalToGnatt[[#This Row],[Start Date]],Milestone_Marker,IF(AND(AM$27&gt;ProposalToGnatt[[#This Row],[Start Date]],AM$27&lt;ProposalToGnatt[[#This Row],[Start Date]]+ProposalToGnatt[[#This Row],[Days]]),$G$5,"")),"")</f>
        <v/>
      </c>
      <c r="AN57" s="36" t="str">
        <f ca="1">IFERROR(+IF(AN$27=ProposalToGnatt[[#This Row],[Start Date]],Milestone_Marker,IF(AND(AN$27&gt;ProposalToGnatt[[#This Row],[Start Date]],AN$27&lt;ProposalToGnatt[[#This Row],[Start Date]]+ProposalToGnatt[[#This Row],[Days]]),$G$5,"")),"")</f>
        <v/>
      </c>
      <c r="AO57" s="36" t="str">
        <f ca="1">IFERROR(+IF(AO$27=ProposalToGnatt[[#This Row],[Start Date]],Milestone_Marker,IF(AND(AO$27&gt;ProposalToGnatt[[#This Row],[Start Date]],AO$27&lt;ProposalToGnatt[[#This Row],[Start Date]]+ProposalToGnatt[[#This Row],[Days]]),$G$5,"")),"")</f>
        <v/>
      </c>
      <c r="AP57" s="36" t="str">
        <f ca="1">IFERROR(+IF(AP$27=ProposalToGnatt[[#This Row],[Start Date]],Milestone_Marker,IF(AND(AP$27&gt;ProposalToGnatt[[#This Row],[Start Date]],AP$27&lt;ProposalToGnatt[[#This Row],[Start Date]]+ProposalToGnatt[[#This Row],[Days]]),$G$5,"")),"")</f>
        <v/>
      </c>
      <c r="AQ57" s="36" t="str">
        <f ca="1">IFERROR(+IF(AQ$27=ProposalToGnatt[[#This Row],[Start Date]],Milestone_Marker,IF(AND(AQ$27&gt;ProposalToGnatt[[#This Row],[Start Date]],AQ$27&lt;ProposalToGnatt[[#This Row],[Start Date]]+ProposalToGnatt[[#This Row],[Days]]),$G$5,"")),"")</f>
        <v/>
      </c>
      <c r="AR57" s="36" t="str">
        <f ca="1">IFERROR(+IF(AR$27=ProposalToGnatt[[#This Row],[Start Date]],Milestone_Marker,IF(AND(AR$27&gt;ProposalToGnatt[[#This Row],[Start Date]],AR$27&lt;ProposalToGnatt[[#This Row],[Start Date]]+ProposalToGnatt[[#This Row],[Days]]),$G$5,"")),"")</f>
        <v/>
      </c>
      <c r="AS57" s="36" t="str">
        <f ca="1">IFERROR(+IF(AS$27=ProposalToGnatt[[#This Row],[Start Date]],Milestone_Marker,IF(AND(AS$27&gt;ProposalToGnatt[[#This Row],[Start Date]],AS$27&lt;ProposalToGnatt[[#This Row],[Start Date]]+ProposalToGnatt[[#This Row],[Days]]),$G$5,"")),"")</f>
        <v/>
      </c>
      <c r="AT57" s="36" t="str">
        <f ca="1">IFERROR(+IF(AT$27=ProposalToGnatt[[#This Row],[Start Date]],Milestone_Marker,IF(AND(AT$27&gt;ProposalToGnatt[[#This Row],[Start Date]],AT$27&lt;ProposalToGnatt[[#This Row],[Start Date]]+ProposalToGnatt[[#This Row],[Days]]),$G$5,"")),"")</f>
        <v/>
      </c>
      <c r="AU57" s="36" t="str">
        <f ca="1">IFERROR(+IF(AU$27=ProposalToGnatt[[#This Row],[Start Date]],Milestone_Marker,IF(AND(AU$27&gt;ProposalToGnatt[[#This Row],[Start Date]],AU$27&lt;ProposalToGnatt[[#This Row],[Start Date]]+ProposalToGnatt[[#This Row],[Days]]),$G$5,"")),"")</f>
        <v/>
      </c>
      <c r="AV57" s="36" t="str">
        <f ca="1">IFERROR(+IF(AV$27=ProposalToGnatt[[#This Row],[Start Date]],Milestone_Marker,IF(AND(AV$27&gt;ProposalToGnatt[[#This Row],[Start Date]],AV$27&lt;ProposalToGnatt[[#This Row],[Start Date]]+ProposalToGnatt[[#This Row],[Days]]),$G$5,"")),"")</f>
        <v/>
      </c>
      <c r="AW57" s="36" t="str">
        <f ca="1">IFERROR(+IF(AW$27=ProposalToGnatt[[#This Row],[Start Date]],Milestone_Marker,IF(AND(AW$27&gt;ProposalToGnatt[[#This Row],[Start Date]],AW$27&lt;ProposalToGnatt[[#This Row],[Start Date]]+ProposalToGnatt[[#This Row],[Days]]),$G$5,"")),"")</f>
        <v/>
      </c>
      <c r="AX57" s="36" t="str">
        <f ca="1">IFERROR(+IF(AX$27=ProposalToGnatt[[#This Row],[Start Date]],Milestone_Marker,IF(AND(AX$27&gt;ProposalToGnatt[[#This Row],[Start Date]],AX$27&lt;ProposalToGnatt[[#This Row],[Start Date]]+ProposalToGnatt[[#This Row],[Days]]),$G$5,"")),"")</f>
        <v/>
      </c>
      <c r="AY57" s="36" t="str">
        <f ca="1">IFERROR(+IF(AY$27=ProposalToGnatt[[#This Row],[Start Date]],Milestone_Marker,IF(AND(AY$27&gt;ProposalToGnatt[[#This Row],[Start Date]],AY$27&lt;ProposalToGnatt[[#This Row],[Start Date]]+ProposalToGnatt[[#This Row],[Days]]),$G$5,"")),"")</f>
        <v/>
      </c>
      <c r="AZ57" s="36" t="str">
        <f ca="1">IFERROR(+IF(AZ$27=ProposalToGnatt[[#This Row],[Start Date]],Milestone_Marker,IF(AND(AZ$27&gt;ProposalToGnatt[[#This Row],[Start Date]],AZ$27&lt;ProposalToGnatt[[#This Row],[Start Date]]+ProposalToGnatt[[#This Row],[Days]]),$G$5,"")),"")</f>
        <v/>
      </c>
      <c r="BA57" s="36" t="str">
        <f ca="1">IFERROR(+IF(BA$27=ProposalToGnatt[[#This Row],[Start Date]],Milestone_Marker,IF(AND(BA$27&gt;ProposalToGnatt[[#This Row],[Start Date]],BA$27&lt;ProposalToGnatt[[#This Row],[Start Date]]+ProposalToGnatt[[#This Row],[Days]]),$G$5,"")),"")</f>
        <v/>
      </c>
      <c r="BB57" s="36" t="str">
        <f ca="1">IFERROR(+IF(BB$27=ProposalToGnatt[[#This Row],[Start Date]],Milestone_Marker,IF(AND(BB$27&gt;ProposalToGnatt[[#This Row],[Start Date]],BB$27&lt;ProposalToGnatt[[#This Row],[Start Date]]+ProposalToGnatt[[#This Row],[Days]]),$G$5,"")),"")</f>
        <v/>
      </c>
      <c r="BC57" s="36" t="str">
        <f ca="1">IFERROR(+IF(BC$27=ProposalToGnatt[[#This Row],[Start Date]],Milestone_Marker,IF(AND(BC$27&gt;ProposalToGnatt[[#This Row],[Start Date]],BC$27&lt;ProposalToGnatt[[#This Row],[Start Date]]+ProposalToGnatt[[#This Row],[Days]]),$G$5,"")),"")</f>
        <v/>
      </c>
      <c r="BD57" s="36" t="str">
        <f ca="1">IFERROR(+IF(BD$27=ProposalToGnatt[[#This Row],[Start Date]],Milestone_Marker,IF(AND(BD$27&gt;ProposalToGnatt[[#This Row],[Start Date]],BD$27&lt;ProposalToGnatt[[#This Row],[Start Date]]+ProposalToGnatt[[#This Row],[Days]]),$G$5,"")),"")</f>
        <v/>
      </c>
      <c r="BE57" s="36" t="str">
        <f ca="1">IFERROR(+IF(BE$27=ProposalToGnatt[[#This Row],[Start Date]],Milestone_Marker,IF(AND(BE$27&gt;ProposalToGnatt[[#This Row],[Start Date]],BE$27&lt;ProposalToGnatt[[#This Row],[Start Date]]+ProposalToGnatt[[#This Row],[Days]]),$G$5,"")),"")</f>
        <v/>
      </c>
      <c r="BF57" s="36" t="str">
        <f ca="1">IFERROR(+IF(BF$27=ProposalToGnatt[[#This Row],[Start Date]],Milestone_Marker,IF(AND(BF$27&gt;ProposalToGnatt[[#This Row],[Start Date]],BF$27&lt;ProposalToGnatt[[#This Row],[Start Date]]+ProposalToGnatt[[#This Row],[Days]]),$G$5,"")),"")</f>
        <v/>
      </c>
      <c r="BG57" s="36" t="str">
        <f ca="1">IFERROR(+IF(BG$27=ProposalToGnatt[[#This Row],[Start Date]],Milestone_Marker,IF(AND(BG$27&gt;ProposalToGnatt[[#This Row],[Start Date]],BG$27&lt;ProposalToGnatt[[#This Row],[Start Date]]+ProposalToGnatt[[#This Row],[Days]]),$G$5,"")),"")</f>
        <v/>
      </c>
      <c r="BH57" s="36" t="str">
        <f ca="1">IFERROR(+IF(BH$27=ProposalToGnatt[[#This Row],[Start Date]],Milestone_Marker,IF(AND(BH$27&gt;ProposalToGnatt[[#This Row],[Start Date]],BH$27&lt;ProposalToGnatt[[#This Row],[Start Date]]+ProposalToGnatt[[#This Row],[Days]]),$G$5,"")),"")</f>
        <v/>
      </c>
      <c r="BI57" s="36" t="str">
        <f ca="1">IFERROR(+IF(BI$27=ProposalToGnatt[[#This Row],[Start Date]],Milestone_Marker,IF(AND(BI$27&gt;ProposalToGnatt[[#This Row],[Start Date]],BI$27&lt;ProposalToGnatt[[#This Row],[Start Date]]+ProposalToGnatt[[#This Row],[Days]]),$G$5,"")),"")</f>
        <v/>
      </c>
      <c r="BJ57" s="36" t="str">
        <f ca="1">IFERROR(+IF(BJ$27=ProposalToGnatt[[#This Row],[Start Date]],Milestone_Marker,IF(AND(BJ$27&gt;ProposalToGnatt[[#This Row],[Start Date]],BJ$27&lt;ProposalToGnatt[[#This Row],[Start Date]]+ProposalToGnatt[[#This Row],[Days]]),$G$5,"")),"")</f>
        <v/>
      </c>
      <c r="BK57" s="36" t="str">
        <f ca="1">IFERROR(+IF(BK$27=ProposalToGnatt[[#This Row],[Start Date]],Milestone_Marker,IF(AND(BK$27&gt;ProposalToGnatt[[#This Row],[Start Date]],BK$27&lt;ProposalToGnatt[[#This Row],[Start Date]]+ProposalToGnatt[[#This Row],[Days]]),$G$5,"")),"")</f>
        <v/>
      </c>
      <c r="BL57" s="36" t="str">
        <f ca="1">IFERROR(+IF(BL$27=ProposalToGnatt[[#This Row],[Start Date]],Milestone_Marker,IF(AND(BL$27&gt;ProposalToGnatt[[#This Row],[Start Date]],BL$27&lt;ProposalToGnatt[[#This Row],[Start Date]]+ProposalToGnatt[[#This Row],[Days]]),$G$5,"")),"")</f>
        <v/>
      </c>
      <c r="BM57" s="36" t="str">
        <f ca="1">IFERROR(+IF(BM$27=ProposalToGnatt[[#This Row],[Start Date]],Milestone_Marker,IF(AND(BM$27&gt;ProposalToGnatt[[#This Row],[Start Date]],BM$27&lt;ProposalToGnatt[[#This Row],[Start Date]]+ProposalToGnatt[[#This Row],[Days]]),$G$5,"")),"")</f>
        <v/>
      </c>
      <c r="BN57" s="36" t="str">
        <f ca="1">IFERROR(+IF(BN$27=ProposalToGnatt[[#This Row],[Start Date]],Milestone_Marker,IF(AND(BN$27&gt;ProposalToGnatt[[#This Row],[Start Date]],BN$27&lt;ProposalToGnatt[[#This Row],[Start Date]]+ProposalToGnatt[[#This Row],[Days]]),$G$5,"")),"")</f>
        <v/>
      </c>
      <c r="BO57" s="36" t="str">
        <f ca="1">IFERROR(+IF(BO$27=ProposalToGnatt[[#This Row],[Start Date]],Milestone_Marker,IF(AND(BO$27&gt;ProposalToGnatt[[#This Row],[Start Date]],BO$27&lt;ProposalToGnatt[[#This Row],[Start Date]]+ProposalToGnatt[[#This Row],[Days]]),$G$5,"")),"")</f>
        <v/>
      </c>
      <c r="BP57" s="36" t="str">
        <f ca="1">IFERROR(+IF(BP$27=ProposalToGnatt[[#This Row],[Start Date]],Milestone_Marker,IF(AND(BP$27&gt;ProposalToGnatt[[#This Row],[Start Date]],BP$27&lt;ProposalToGnatt[[#This Row],[Start Date]]+ProposalToGnatt[[#This Row],[Days]]),$G$5,"")),"")</f>
        <v/>
      </c>
      <c r="BQ57" s="36" t="str">
        <f ca="1">IFERROR(+IF(BQ$27=ProposalToGnatt[[#This Row],[Start Date]],Milestone_Marker,IF(AND(BQ$27&gt;ProposalToGnatt[[#This Row],[Start Date]],BQ$27&lt;ProposalToGnatt[[#This Row],[Start Date]]+ProposalToGnatt[[#This Row],[Days]]),$G$5,"")),"")</f>
        <v/>
      </c>
      <c r="BR57" s="36" t="str">
        <f ca="1">IFERROR(+IF(BR$27=ProposalToGnatt[[#This Row],[Start Date]],Milestone_Marker,IF(AND(BR$27&gt;ProposalToGnatt[[#This Row],[Start Date]],BR$27&lt;ProposalToGnatt[[#This Row],[Start Date]]+ProposalToGnatt[[#This Row],[Days]]),$G$5,"")),"")</f>
        <v/>
      </c>
      <c r="BS57" s="36" t="str">
        <f ca="1">IFERROR(+IF(BS$27=ProposalToGnatt[[#This Row],[Start Date]],Milestone_Marker,IF(AND(BS$27&gt;ProposalToGnatt[[#This Row],[Start Date]],BS$27&lt;ProposalToGnatt[[#This Row],[Start Date]]+ProposalToGnatt[[#This Row],[Days]]),$G$5,"")),"")</f>
        <v/>
      </c>
      <c r="BT57" s="36" t="str">
        <f ca="1">IFERROR(+IF(BT$27=ProposalToGnatt[[#This Row],[Start Date]],Milestone_Marker,IF(AND(BT$27&gt;ProposalToGnatt[[#This Row],[Start Date]],BT$27&lt;ProposalToGnatt[[#This Row],[Start Date]]+ProposalToGnatt[[#This Row],[Days]]),$G$5,"")),"")</f>
        <v/>
      </c>
      <c r="BU57" s="36" t="str">
        <f ca="1">IFERROR(+IF(BU$27=ProposalToGnatt[[#This Row],[Start Date]],Milestone_Marker,IF(AND(BU$27&gt;ProposalToGnatt[[#This Row],[Start Date]],BU$27&lt;ProposalToGnatt[[#This Row],[Start Date]]+ProposalToGnatt[[#This Row],[Days]]),$G$5,"")),"")</f>
        <v/>
      </c>
      <c r="BV57" s="36" t="str">
        <f ca="1">IFERROR(+IF(BV$27=ProposalToGnatt[[#This Row],[Start Date]],Milestone_Marker,IF(AND(BV$27&gt;ProposalToGnatt[[#This Row],[Start Date]],BV$27&lt;ProposalToGnatt[[#This Row],[Start Date]]+ProposalToGnatt[[#This Row],[Days]]),$G$5,"")),"")</f>
        <v/>
      </c>
      <c r="BW57" s="36" t="str">
        <f ca="1">IFERROR(+IF(BW$27=ProposalToGnatt[[#This Row],[Start Date]],Milestone_Marker,IF(AND(BW$27&gt;ProposalToGnatt[[#This Row],[Start Date]],BW$27&lt;ProposalToGnatt[[#This Row],[Start Date]]+ProposalToGnatt[[#This Row],[Days]]),$G$5,"")),"")</f>
        <v/>
      </c>
      <c r="BX57" s="36" t="str">
        <f ca="1">IFERROR(+IF(BX$27=ProposalToGnatt[[#This Row],[Start Date]],Milestone_Marker,IF(AND(BX$27&gt;ProposalToGnatt[[#This Row],[Start Date]],BX$27&lt;ProposalToGnatt[[#This Row],[Start Date]]+ProposalToGnatt[[#This Row],[Days]]),$G$5,"")),"")</f>
        <v/>
      </c>
      <c r="BY57" s="36" t="str">
        <f ca="1">IFERROR(+IF(BY$27=ProposalToGnatt[[#This Row],[Start Date]],Milestone_Marker,IF(AND(BY$27&gt;ProposalToGnatt[[#This Row],[Start Date]],BY$27&lt;ProposalToGnatt[[#This Row],[Start Date]]+ProposalToGnatt[[#This Row],[Days]]),$G$5,"")),"")</f>
        <v/>
      </c>
      <c r="BZ57" s="36" t="str">
        <f ca="1">IFERROR(+IF(BZ$27=ProposalToGnatt[[#This Row],[Start Date]],Milestone_Marker,IF(AND(BZ$27&gt;ProposalToGnatt[[#This Row],[Start Date]],BZ$27&lt;ProposalToGnatt[[#This Row],[Start Date]]+ProposalToGnatt[[#This Row],[Days]]),$G$5,"")),"")</f>
        <v/>
      </c>
      <c r="CA57" s="36" t="str">
        <f ca="1">IFERROR(+IF(CA$27=ProposalToGnatt[[#This Row],[Start Date]],Milestone_Marker,IF(AND(CA$27&gt;ProposalToGnatt[[#This Row],[Start Date]],CA$27&lt;ProposalToGnatt[[#This Row],[Start Date]]+ProposalToGnatt[[#This Row],[Days]]),$G$5,"")),"")</f>
        <v/>
      </c>
      <c r="CB57" s="36" t="str">
        <f ca="1">IFERROR(+IF(CB$27=ProposalToGnatt[[#This Row],[Start Date]],Milestone_Marker,IF(AND(CB$27&gt;ProposalToGnatt[[#This Row],[Start Date]],CB$27&lt;ProposalToGnatt[[#This Row],[Start Date]]+ProposalToGnatt[[#This Row],[Days]]),$G$5,"")),"")</f>
        <v/>
      </c>
      <c r="CC57" s="36" t="str">
        <f ca="1">IFERROR(+IF(CC$27=ProposalToGnatt[[#This Row],[Start Date]],Milestone_Marker,IF(AND(CC$27&gt;ProposalToGnatt[[#This Row],[Start Date]],CC$27&lt;ProposalToGnatt[[#This Row],[Start Date]]+ProposalToGnatt[[#This Row],[Days]]),$G$5,"")),"")</f>
        <v/>
      </c>
      <c r="CD57" s="36" t="str">
        <f ca="1">IFERROR(+IF(CD$27=ProposalToGnatt[[#This Row],[Start Date]],Milestone_Marker,IF(AND(CD$27&gt;ProposalToGnatt[[#This Row],[Start Date]],CD$27&lt;ProposalToGnatt[[#This Row],[Start Date]]+ProposalToGnatt[[#This Row],[Days]]),$G$5,"")),"")</f>
        <v/>
      </c>
      <c r="CE57" s="36" t="str">
        <f ca="1">IFERROR(+IF(CE$27=ProposalToGnatt[[#This Row],[Start Date]],Milestone_Marker,IF(AND(CE$27&gt;ProposalToGnatt[[#This Row],[Start Date]],CE$27&lt;ProposalToGnatt[[#This Row],[Start Date]]+ProposalToGnatt[[#This Row],[Days]]),$G$5,"")),"")</f>
        <v/>
      </c>
      <c r="CF57" s="36" t="str">
        <f ca="1">IFERROR(+IF(CF$27=ProposalToGnatt[[#This Row],[Start Date]],Milestone_Marker,IF(AND(CF$27&gt;ProposalToGnatt[[#This Row],[Start Date]],CF$27&lt;ProposalToGnatt[[#This Row],[Start Date]]+ProposalToGnatt[[#This Row],[Days]]),$G$5,"")),"")</f>
        <v/>
      </c>
      <c r="CG57" s="36" t="str">
        <f ca="1">IFERROR(+IF(CG$27=ProposalToGnatt[[#This Row],[Start Date]],Milestone_Marker,IF(AND(CG$27&gt;ProposalToGnatt[[#This Row],[Start Date]],CG$27&lt;ProposalToGnatt[[#This Row],[Start Date]]+ProposalToGnatt[[#This Row],[Days]]),$G$5,"")),"")</f>
        <v/>
      </c>
      <c r="CH57" s="36" t="str">
        <f ca="1">IFERROR(+IF(CH$27=ProposalToGnatt[[#This Row],[Start Date]],Milestone_Marker,IF(AND(CH$27&gt;ProposalToGnatt[[#This Row],[Start Date]],CH$27&lt;ProposalToGnatt[[#This Row],[Start Date]]+ProposalToGnatt[[#This Row],[Days]]),$G$5,"")),"")</f>
        <v/>
      </c>
      <c r="CI57" s="36" t="str">
        <f ca="1">IFERROR(+IF(CI$27=ProposalToGnatt[[#This Row],[Start Date]],Milestone_Marker,IF(AND(CI$27&gt;ProposalToGnatt[[#This Row],[Start Date]],CI$27&lt;ProposalToGnatt[[#This Row],[Start Date]]+ProposalToGnatt[[#This Row],[Days]]),$G$5,"")),"")</f>
        <v/>
      </c>
      <c r="CJ57" s="36" t="str">
        <f ca="1">IFERROR(+IF(CJ$27=ProposalToGnatt[[#This Row],[Start Date]],Milestone_Marker,IF(AND(CJ$27&gt;ProposalToGnatt[[#This Row],[Start Date]],CJ$27&lt;ProposalToGnatt[[#This Row],[Start Date]]+ProposalToGnatt[[#This Row],[Days]]),$G$5,"")),"")</f>
        <v/>
      </c>
      <c r="CK57" s="36" t="str">
        <f ca="1">IFERROR(+IF(CK$27=ProposalToGnatt[[#This Row],[Start Date]],Milestone_Marker,IF(AND(CK$27&gt;ProposalToGnatt[[#This Row],[Start Date]],CK$27&lt;ProposalToGnatt[[#This Row],[Start Date]]+ProposalToGnatt[[#This Row],[Days]]),$G$5,"")),"")</f>
        <v/>
      </c>
      <c r="CL57" s="36" t="str">
        <f ca="1">IFERROR(+IF(CL$27=ProposalToGnatt[[#This Row],[Start Date]],Milestone_Marker,IF(AND(CL$27&gt;ProposalToGnatt[[#This Row],[Start Date]],CL$27&lt;ProposalToGnatt[[#This Row],[Start Date]]+ProposalToGnatt[[#This Row],[Days]]),$G$5,"")),"")</f>
        <v/>
      </c>
      <c r="CM57" s="36" t="str">
        <f ca="1">IFERROR(+IF(CM$27=ProposalToGnatt[[#This Row],[Start Date]],Milestone_Marker,IF(AND(CM$27&gt;ProposalToGnatt[[#This Row],[Start Date]],CM$27&lt;ProposalToGnatt[[#This Row],[Start Date]]+ProposalToGnatt[[#This Row],[Days]]),$G$5,"")),"")</f>
        <v/>
      </c>
      <c r="CN57" s="36" t="str">
        <f ca="1">IFERROR(+IF(CN$27=ProposalToGnatt[[#This Row],[Start Date]],Milestone_Marker,IF(AND(CN$27&gt;ProposalToGnatt[[#This Row],[Start Date]],CN$27&lt;ProposalToGnatt[[#This Row],[Start Date]]+ProposalToGnatt[[#This Row],[Days]]),$G$5,"")),"")</f>
        <v/>
      </c>
      <c r="CO57" s="36" t="str">
        <f ca="1">IFERROR(+IF(CO$27=ProposalToGnatt[[#This Row],[Start Date]],Milestone_Marker,IF(AND(CO$27&gt;ProposalToGnatt[[#This Row],[Start Date]],CO$27&lt;ProposalToGnatt[[#This Row],[Start Date]]+ProposalToGnatt[[#This Row],[Days]]),$G$5,"")),"")</f>
        <v/>
      </c>
      <c r="CP57" s="36" t="str">
        <f ca="1">IFERROR(+IF(CP$27=ProposalToGnatt[[#This Row],[Start Date]],Milestone_Marker,IF(AND(CP$27&gt;ProposalToGnatt[[#This Row],[Start Date]],CP$27&lt;ProposalToGnatt[[#This Row],[Start Date]]+ProposalToGnatt[[#This Row],[Days]]),$G$5,"")),"")</f>
        <v/>
      </c>
      <c r="CQ57" s="36" t="str">
        <f ca="1">IFERROR(+IF(CQ$27=ProposalToGnatt[[#This Row],[Start Date]],Milestone_Marker,IF(AND(CQ$27&gt;ProposalToGnatt[[#This Row],[Start Date]],CQ$27&lt;ProposalToGnatt[[#This Row],[Start Date]]+ProposalToGnatt[[#This Row],[Days]]),$G$5,"")),"")</f>
        <v/>
      </c>
      <c r="CR57" s="36" t="str">
        <f ca="1">IFERROR(+IF(CR$27=ProposalToGnatt[[#This Row],[Start Date]],Milestone_Marker,IF(AND(CR$27&gt;ProposalToGnatt[[#This Row],[Start Date]],CR$27&lt;ProposalToGnatt[[#This Row],[Start Date]]+ProposalToGnatt[[#This Row],[Days]]),$G$5,"")),"")</f>
        <v/>
      </c>
      <c r="CS57" s="36" t="str">
        <f ca="1">IFERROR(+IF(CS$27=ProposalToGnatt[[#This Row],[Start Date]],Milestone_Marker,IF(AND(CS$27&gt;ProposalToGnatt[[#This Row],[Start Date]],CS$27&lt;ProposalToGnatt[[#This Row],[Start Date]]+ProposalToGnatt[[#This Row],[Days]]),$G$5,"")),"")</f>
        <v/>
      </c>
      <c r="CT57" s="36" t="str">
        <f ca="1">IFERROR(+IF(CT$27=ProposalToGnatt[[#This Row],[Start Date]],Milestone_Marker,IF(AND(CT$27&gt;ProposalToGnatt[[#This Row],[Start Date]],CT$27&lt;ProposalToGnatt[[#This Row],[Start Date]]+ProposalToGnatt[[#This Row],[Days]]),$G$5,"")),"")</f>
        <v/>
      </c>
      <c r="CU57" s="36" t="str">
        <f ca="1">IFERROR(+IF(CU$27=ProposalToGnatt[[#This Row],[Start Date]],Milestone_Marker,IF(AND(CU$27&gt;ProposalToGnatt[[#This Row],[Start Date]],CU$27&lt;ProposalToGnatt[[#This Row],[Start Date]]+ProposalToGnatt[[#This Row],[Days]]),$G$5,"")),"")</f>
        <v/>
      </c>
      <c r="CV57" s="36"/>
      <c r="CW57" s="36"/>
      <c r="CX57" s="36"/>
      <c r="CY57" s="36"/>
      <c r="CZ57" s="36"/>
      <c r="DA57" s="36"/>
      <c r="DB57" s="36"/>
      <c r="DC57" s="36"/>
      <c r="DD57" s="36"/>
      <c r="DE57" s="36"/>
      <c r="DF57" s="36"/>
      <c r="DG57" s="36"/>
      <c r="DH57" s="36"/>
      <c r="DI57" s="36"/>
      <c r="DJ57" s="36"/>
      <c r="DK57" s="36"/>
      <c r="DL57" s="36"/>
      <c r="DM57" s="36"/>
      <c r="DN57" s="36"/>
      <c r="DO57" s="36"/>
      <c r="DP57" s="36"/>
      <c r="DQ57" s="36"/>
      <c r="DR57" s="36"/>
      <c r="DS57" s="36"/>
      <c r="DT57" s="36"/>
      <c r="DU57" s="36"/>
    </row>
    <row r="58" spans="1:125" s="41" customFormat="1" ht="15" x14ac:dyDescent="0.25">
      <c r="A58" t="s">
        <v>267</v>
      </c>
      <c r="B58">
        <v>40</v>
      </c>
      <c r="C58"/>
      <c r="D58" t="s">
        <v>950</v>
      </c>
      <c r="E58" s="568" t="s">
        <v>951</v>
      </c>
      <c r="F58">
        <v>1</v>
      </c>
      <c r="G58" s="14">
        <v>10</v>
      </c>
      <c r="H58" s="14">
        <v>10</v>
      </c>
      <c r="I58" t="s">
        <v>3</v>
      </c>
      <c r="J58">
        <v>1</v>
      </c>
      <c r="K58" s="249"/>
      <c r="L58"/>
      <c r="M58" s="14"/>
      <c r="N58" s="300">
        <v>10</v>
      </c>
      <c r="O58" s="554"/>
      <c r="P58" s="36" t="str">
        <f ca="1">IFERROR(+IF(P$27=ProposalToGnatt[[#This Row],[Start Date]],Milestone_Marker,IF(AND(P$27&gt;ProposalToGnatt[[#This Row],[Start Date]],P$27&lt;ProposalToGnatt[[#This Row],[Start Date]]+ProposalToGnatt[[#This Row],[Days]]),$G$5,"")),"")</f>
        <v/>
      </c>
      <c r="Q58" s="36" t="str">
        <f ca="1">IFERROR(+IF(Q$27=ProposalToGnatt[[#This Row],[Start Date]],Milestone_Marker,IF(AND(Q$27&gt;ProposalToGnatt[[#This Row],[Start Date]],Q$27&lt;ProposalToGnatt[[#This Row],[Start Date]]+ProposalToGnatt[[#This Row],[Days]]),$G$5,"")),"")</f>
        <v/>
      </c>
      <c r="R58" s="36" t="str">
        <f ca="1">IFERROR(+IF(R$27=ProposalToGnatt[[#This Row],[Start Date]],Milestone_Marker,IF(AND(R$27&gt;ProposalToGnatt[[#This Row],[Start Date]],R$27&lt;ProposalToGnatt[[#This Row],[Start Date]]+ProposalToGnatt[[#This Row],[Days]]),$G$5,"")),"")</f>
        <v/>
      </c>
      <c r="S58" s="36" t="str">
        <f ca="1">IFERROR(+IF(S$27=ProposalToGnatt[[#This Row],[Start Date]],Milestone_Marker,IF(AND(S$27&gt;ProposalToGnatt[[#This Row],[Start Date]],S$27&lt;ProposalToGnatt[[#This Row],[Start Date]]+ProposalToGnatt[[#This Row],[Days]]),$G$5,"")),"")</f>
        <v/>
      </c>
      <c r="T58" s="36" t="str">
        <f ca="1">IFERROR(+IF(T$27=ProposalToGnatt[[#This Row],[Start Date]],Milestone_Marker,IF(AND(T$27&gt;ProposalToGnatt[[#This Row],[Start Date]],T$27&lt;ProposalToGnatt[[#This Row],[Start Date]]+ProposalToGnatt[[#This Row],[Days]]),$G$5,"")),"")</f>
        <v/>
      </c>
      <c r="U58" s="36" t="str">
        <f ca="1">IFERROR(+IF(U$27=ProposalToGnatt[[#This Row],[Start Date]],Milestone_Marker,IF(AND(U$27&gt;ProposalToGnatt[[#This Row],[Start Date]],U$27&lt;ProposalToGnatt[[#This Row],[Start Date]]+ProposalToGnatt[[#This Row],[Days]]),$G$5,"")),"")</f>
        <v/>
      </c>
      <c r="V58" s="36" t="str">
        <f ca="1">IFERROR(+IF(V$27=ProposalToGnatt[[#This Row],[Start Date]],Milestone_Marker,IF(AND(V$27&gt;ProposalToGnatt[[#This Row],[Start Date]],V$27&lt;ProposalToGnatt[[#This Row],[Start Date]]+ProposalToGnatt[[#This Row],[Days]]),$G$5,"")),"")</f>
        <v/>
      </c>
      <c r="W58" s="36" t="str">
        <f ca="1">IFERROR(+IF(W$27=ProposalToGnatt[[#This Row],[Start Date]],Milestone_Marker,IF(AND(W$27&gt;ProposalToGnatt[[#This Row],[Start Date]],W$27&lt;ProposalToGnatt[[#This Row],[Start Date]]+ProposalToGnatt[[#This Row],[Days]]),$G$5,"")),"")</f>
        <v/>
      </c>
      <c r="X58" s="36" t="str">
        <f ca="1">IFERROR(+IF(X$27=ProposalToGnatt[[#This Row],[Start Date]],Milestone_Marker,IF(AND(X$27&gt;ProposalToGnatt[[#This Row],[Start Date]],X$27&lt;ProposalToGnatt[[#This Row],[Start Date]]+ProposalToGnatt[[#This Row],[Days]]),$G$5,"")),"")</f>
        <v/>
      </c>
      <c r="Y58" s="36" t="str">
        <f ca="1">IFERROR(+IF(Y$27=ProposalToGnatt[[#This Row],[Start Date]],Milestone_Marker,IF(AND(Y$27&gt;ProposalToGnatt[[#This Row],[Start Date]],Y$27&lt;ProposalToGnatt[[#This Row],[Start Date]]+ProposalToGnatt[[#This Row],[Days]]),$G$5,"")),"")</f>
        <v/>
      </c>
      <c r="Z58" s="36" t="str">
        <f ca="1">IFERROR(+IF(Z$27=ProposalToGnatt[[#This Row],[Start Date]],Milestone_Marker,IF(AND(Z$27&gt;ProposalToGnatt[[#This Row],[Start Date]],Z$27&lt;ProposalToGnatt[[#This Row],[Start Date]]+ProposalToGnatt[[#This Row],[Days]]),$G$5,"")),"")</f>
        <v/>
      </c>
      <c r="AA58" s="36" t="str">
        <f ca="1">IFERROR(+IF(AA$27=ProposalToGnatt[[#This Row],[Start Date]],Milestone_Marker,IF(AND(AA$27&gt;ProposalToGnatt[[#This Row],[Start Date]],AA$27&lt;ProposalToGnatt[[#This Row],[Start Date]]+ProposalToGnatt[[#This Row],[Days]]),$G$5,"")),"")</f>
        <v/>
      </c>
      <c r="AB58" s="36" t="str">
        <f ca="1">IFERROR(+IF(AB$27=ProposalToGnatt[[#This Row],[Start Date]],Milestone_Marker,IF(AND(AB$27&gt;ProposalToGnatt[[#This Row],[Start Date]],AB$27&lt;ProposalToGnatt[[#This Row],[Start Date]]+ProposalToGnatt[[#This Row],[Days]]),$G$5,"")),"")</f>
        <v/>
      </c>
      <c r="AC58" s="36" t="str">
        <f ca="1">IFERROR(+IF(AC$27=ProposalToGnatt[[#This Row],[Start Date]],Milestone_Marker,IF(AND(AC$27&gt;ProposalToGnatt[[#This Row],[Start Date]],AC$27&lt;ProposalToGnatt[[#This Row],[Start Date]]+ProposalToGnatt[[#This Row],[Days]]),$G$5,"")),"")</f>
        <v/>
      </c>
      <c r="AD58" s="36" t="str">
        <f ca="1">IFERROR(+IF(AD$27=ProposalToGnatt[[#This Row],[Start Date]],Milestone_Marker,IF(AND(AD$27&gt;ProposalToGnatt[[#This Row],[Start Date]],AD$27&lt;ProposalToGnatt[[#This Row],[Start Date]]+ProposalToGnatt[[#This Row],[Days]]),$G$5,"")),"")</f>
        <v/>
      </c>
      <c r="AE58" s="36" t="str">
        <f ca="1">IFERROR(+IF(AE$27=ProposalToGnatt[[#This Row],[Start Date]],Milestone_Marker,IF(AND(AE$27&gt;ProposalToGnatt[[#This Row],[Start Date]],AE$27&lt;ProposalToGnatt[[#This Row],[Start Date]]+ProposalToGnatt[[#This Row],[Days]]),$G$5,"")),"")</f>
        <v/>
      </c>
      <c r="AF58" s="36" t="str">
        <f ca="1">IFERROR(+IF(AF$27=ProposalToGnatt[[#This Row],[Start Date]],Milestone_Marker,IF(AND(AF$27&gt;ProposalToGnatt[[#This Row],[Start Date]],AF$27&lt;ProposalToGnatt[[#This Row],[Start Date]]+ProposalToGnatt[[#This Row],[Days]]),$G$5,"")),"")</f>
        <v/>
      </c>
      <c r="AG58" s="36" t="str">
        <f ca="1">IFERROR(+IF(AG$27=ProposalToGnatt[[#This Row],[Start Date]],Milestone_Marker,IF(AND(AG$27&gt;ProposalToGnatt[[#This Row],[Start Date]],AG$27&lt;ProposalToGnatt[[#This Row],[Start Date]]+ProposalToGnatt[[#This Row],[Days]]),$G$5,"")),"")</f>
        <v/>
      </c>
      <c r="AH58" s="36" t="str">
        <f ca="1">IFERROR(+IF(AH$27=ProposalToGnatt[[#This Row],[Start Date]],Milestone_Marker,IF(AND(AH$27&gt;ProposalToGnatt[[#This Row],[Start Date]],AH$27&lt;ProposalToGnatt[[#This Row],[Start Date]]+ProposalToGnatt[[#This Row],[Days]]),$G$5,"")),"")</f>
        <v/>
      </c>
      <c r="AI58" s="36" t="str">
        <f ca="1">IFERROR(+IF(AI$27=ProposalToGnatt[[#This Row],[Start Date]],Milestone_Marker,IF(AND(AI$27&gt;ProposalToGnatt[[#This Row],[Start Date]],AI$27&lt;ProposalToGnatt[[#This Row],[Start Date]]+ProposalToGnatt[[#This Row],[Days]]),$G$5,"")),"")</f>
        <v/>
      </c>
      <c r="AJ58" s="36" t="str">
        <f ca="1">IFERROR(+IF(AJ$27=ProposalToGnatt[[#This Row],[Start Date]],Milestone_Marker,IF(AND(AJ$27&gt;ProposalToGnatt[[#This Row],[Start Date]],AJ$27&lt;ProposalToGnatt[[#This Row],[Start Date]]+ProposalToGnatt[[#This Row],[Days]]),$G$5,"")),"")</f>
        <v/>
      </c>
      <c r="AK58" s="36" t="str">
        <f ca="1">IFERROR(+IF(AK$27=ProposalToGnatt[[#This Row],[Start Date]],Milestone_Marker,IF(AND(AK$27&gt;ProposalToGnatt[[#This Row],[Start Date]],AK$27&lt;ProposalToGnatt[[#This Row],[Start Date]]+ProposalToGnatt[[#This Row],[Days]]),$G$5,"")),"")</f>
        <v/>
      </c>
      <c r="AL58" s="36" t="str">
        <f ca="1">IFERROR(+IF(AL$27=ProposalToGnatt[[#This Row],[Start Date]],Milestone_Marker,IF(AND(AL$27&gt;ProposalToGnatt[[#This Row],[Start Date]],AL$27&lt;ProposalToGnatt[[#This Row],[Start Date]]+ProposalToGnatt[[#This Row],[Days]]),$G$5,"")),"")</f>
        <v/>
      </c>
      <c r="AM58" s="36" t="str">
        <f ca="1">IFERROR(+IF(AM$27=ProposalToGnatt[[#This Row],[Start Date]],Milestone_Marker,IF(AND(AM$27&gt;ProposalToGnatt[[#This Row],[Start Date]],AM$27&lt;ProposalToGnatt[[#This Row],[Start Date]]+ProposalToGnatt[[#This Row],[Days]]),$G$5,"")),"")</f>
        <v/>
      </c>
      <c r="AN58" s="36" t="str">
        <f ca="1">IFERROR(+IF(AN$27=ProposalToGnatt[[#This Row],[Start Date]],Milestone_Marker,IF(AND(AN$27&gt;ProposalToGnatt[[#This Row],[Start Date]],AN$27&lt;ProposalToGnatt[[#This Row],[Start Date]]+ProposalToGnatt[[#This Row],[Days]]),$G$5,"")),"")</f>
        <v/>
      </c>
      <c r="AO58" s="36" t="str">
        <f ca="1">IFERROR(+IF(AO$27=ProposalToGnatt[[#This Row],[Start Date]],Milestone_Marker,IF(AND(AO$27&gt;ProposalToGnatt[[#This Row],[Start Date]],AO$27&lt;ProposalToGnatt[[#This Row],[Start Date]]+ProposalToGnatt[[#This Row],[Days]]),$G$5,"")),"")</f>
        <v/>
      </c>
      <c r="AP58" s="36" t="str">
        <f ca="1">IFERROR(+IF(AP$27=ProposalToGnatt[[#This Row],[Start Date]],Milestone_Marker,IF(AND(AP$27&gt;ProposalToGnatt[[#This Row],[Start Date]],AP$27&lt;ProposalToGnatt[[#This Row],[Start Date]]+ProposalToGnatt[[#This Row],[Days]]),$G$5,"")),"")</f>
        <v/>
      </c>
      <c r="AQ58" s="36" t="str">
        <f ca="1">IFERROR(+IF(AQ$27=ProposalToGnatt[[#This Row],[Start Date]],Milestone_Marker,IF(AND(AQ$27&gt;ProposalToGnatt[[#This Row],[Start Date]],AQ$27&lt;ProposalToGnatt[[#This Row],[Start Date]]+ProposalToGnatt[[#This Row],[Days]]),$G$5,"")),"")</f>
        <v/>
      </c>
      <c r="AR58" s="36" t="str">
        <f ca="1">IFERROR(+IF(AR$27=ProposalToGnatt[[#This Row],[Start Date]],Milestone_Marker,IF(AND(AR$27&gt;ProposalToGnatt[[#This Row],[Start Date]],AR$27&lt;ProposalToGnatt[[#This Row],[Start Date]]+ProposalToGnatt[[#This Row],[Days]]),$G$5,"")),"")</f>
        <v/>
      </c>
      <c r="AS58" s="36" t="str">
        <f ca="1">IFERROR(+IF(AS$27=ProposalToGnatt[[#This Row],[Start Date]],Milestone_Marker,IF(AND(AS$27&gt;ProposalToGnatt[[#This Row],[Start Date]],AS$27&lt;ProposalToGnatt[[#This Row],[Start Date]]+ProposalToGnatt[[#This Row],[Days]]),$G$5,"")),"")</f>
        <v/>
      </c>
      <c r="AT58" s="36" t="str">
        <f ca="1">IFERROR(+IF(AT$27=ProposalToGnatt[[#This Row],[Start Date]],Milestone_Marker,IF(AND(AT$27&gt;ProposalToGnatt[[#This Row],[Start Date]],AT$27&lt;ProposalToGnatt[[#This Row],[Start Date]]+ProposalToGnatt[[#This Row],[Days]]),$G$5,"")),"")</f>
        <v/>
      </c>
      <c r="AU58" s="36" t="str">
        <f ca="1">IFERROR(+IF(AU$27=ProposalToGnatt[[#This Row],[Start Date]],Milestone_Marker,IF(AND(AU$27&gt;ProposalToGnatt[[#This Row],[Start Date]],AU$27&lt;ProposalToGnatt[[#This Row],[Start Date]]+ProposalToGnatt[[#This Row],[Days]]),$G$5,"")),"")</f>
        <v/>
      </c>
      <c r="AV58" s="36" t="str">
        <f ca="1">IFERROR(+IF(AV$27=ProposalToGnatt[[#This Row],[Start Date]],Milestone_Marker,IF(AND(AV$27&gt;ProposalToGnatt[[#This Row],[Start Date]],AV$27&lt;ProposalToGnatt[[#This Row],[Start Date]]+ProposalToGnatt[[#This Row],[Days]]),$G$5,"")),"")</f>
        <v/>
      </c>
      <c r="AW58" s="36" t="str">
        <f ca="1">IFERROR(+IF(AW$27=ProposalToGnatt[[#This Row],[Start Date]],Milestone_Marker,IF(AND(AW$27&gt;ProposalToGnatt[[#This Row],[Start Date]],AW$27&lt;ProposalToGnatt[[#This Row],[Start Date]]+ProposalToGnatt[[#This Row],[Days]]),$G$5,"")),"")</f>
        <v/>
      </c>
      <c r="AX58" s="36" t="str">
        <f ca="1">IFERROR(+IF(AX$27=ProposalToGnatt[[#This Row],[Start Date]],Milestone_Marker,IF(AND(AX$27&gt;ProposalToGnatt[[#This Row],[Start Date]],AX$27&lt;ProposalToGnatt[[#This Row],[Start Date]]+ProposalToGnatt[[#This Row],[Days]]),$G$5,"")),"")</f>
        <v/>
      </c>
      <c r="AY58" s="36" t="str">
        <f ca="1">IFERROR(+IF(AY$27=ProposalToGnatt[[#This Row],[Start Date]],Milestone_Marker,IF(AND(AY$27&gt;ProposalToGnatt[[#This Row],[Start Date]],AY$27&lt;ProposalToGnatt[[#This Row],[Start Date]]+ProposalToGnatt[[#This Row],[Days]]),$G$5,"")),"")</f>
        <v/>
      </c>
      <c r="AZ58" s="36" t="str">
        <f ca="1">IFERROR(+IF(AZ$27=ProposalToGnatt[[#This Row],[Start Date]],Milestone_Marker,IF(AND(AZ$27&gt;ProposalToGnatt[[#This Row],[Start Date]],AZ$27&lt;ProposalToGnatt[[#This Row],[Start Date]]+ProposalToGnatt[[#This Row],[Days]]),$G$5,"")),"")</f>
        <v/>
      </c>
      <c r="BA58" s="36" t="str">
        <f ca="1">IFERROR(+IF(BA$27=ProposalToGnatt[[#This Row],[Start Date]],Milestone_Marker,IF(AND(BA$27&gt;ProposalToGnatt[[#This Row],[Start Date]],BA$27&lt;ProposalToGnatt[[#This Row],[Start Date]]+ProposalToGnatt[[#This Row],[Days]]),$G$5,"")),"")</f>
        <v/>
      </c>
      <c r="BB58" s="36" t="str">
        <f ca="1">IFERROR(+IF(BB$27=ProposalToGnatt[[#This Row],[Start Date]],Milestone_Marker,IF(AND(BB$27&gt;ProposalToGnatt[[#This Row],[Start Date]],BB$27&lt;ProposalToGnatt[[#This Row],[Start Date]]+ProposalToGnatt[[#This Row],[Days]]),$G$5,"")),"")</f>
        <v/>
      </c>
      <c r="BC58" s="36" t="str">
        <f ca="1">IFERROR(+IF(BC$27=ProposalToGnatt[[#This Row],[Start Date]],Milestone_Marker,IF(AND(BC$27&gt;ProposalToGnatt[[#This Row],[Start Date]],BC$27&lt;ProposalToGnatt[[#This Row],[Start Date]]+ProposalToGnatt[[#This Row],[Days]]),$G$5,"")),"")</f>
        <v/>
      </c>
      <c r="BD58" s="36" t="str">
        <f ca="1">IFERROR(+IF(BD$27=ProposalToGnatt[[#This Row],[Start Date]],Milestone_Marker,IF(AND(BD$27&gt;ProposalToGnatt[[#This Row],[Start Date]],BD$27&lt;ProposalToGnatt[[#This Row],[Start Date]]+ProposalToGnatt[[#This Row],[Days]]),$G$5,"")),"")</f>
        <v/>
      </c>
      <c r="BE58" s="36" t="str">
        <f ca="1">IFERROR(+IF(BE$27=ProposalToGnatt[[#This Row],[Start Date]],Milestone_Marker,IF(AND(BE$27&gt;ProposalToGnatt[[#This Row],[Start Date]],BE$27&lt;ProposalToGnatt[[#This Row],[Start Date]]+ProposalToGnatt[[#This Row],[Days]]),$G$5,"")),"")</f>
        <v/>
      </c>
      <c r="BF58" s="36" t="str">
        <f ca="1">IFERROR(+IF(BF$27=ProposalToGnatt[[#This Row],[Start Date]],Milestone_Marker,IF(AND(BF$27&gt;ProposalToGnatt[[#This Row],[Start Date]],BF$27&lt;ProposalToGnatt[[#This Row],[Start Date]]+ProposalToGnatt[[#This Row],[Days]]),$G$5,"")),"")</f>
        <v/>
      </c>
      <c r="BG58" s="36" t="str">
        <f ca="1">IFERROR(+IF(BG$27=ProposalToGnatt[[#This Row],[Start Date]],Milestone_Marker,IF(AND(BG$27&gt;ProposalToGnatt[[#This Row],[Start Date]],BG$27&lt;ProposalToGnatt[[#This Row],[Start Date]]+ProposalToGnatt[[#This Row],[Days]]),$G$5,"")),"")</f>
        <v/>
      </c>
      <c r="BH58" s="36" t="str">
        <f ca="1">IFERROR(+IF(BH$27=ProposalToGnatt[[#This Row],[Start Date]],Milestone_Marker,IF(AND(BH$27&gt;ProposalToGnatt[[#This Row],[Start Date]],BH$27&lt;ProposalToGnatt[[#This Row],[Start Date]]+ProposalToGnatt[[#This Row],[Days]]),$G$5,"")),"")</f>
        <v/>
      </c>
      <c r="BI58" s="36" t="str">
        <f ca="1">IFERROR(+IF(BI$27=ProposalToGnatt[[#This Row],[Start Date]],Milestone_Marker,IF(AND(BI$27&gt;ProposalToGnatt[[#This Row],[Start Date]],BI$27&lt;ProposalToGnatt[[#This Row],[Start Date]]+ProposalToGnatt[[#This Row],[Days]]),$G$5,"")),"")</f>
        <v/>
      </c>
      <c r="BJ58" s="36" t="str">
        <f ca="1">IFERROR(+IF(BJ$27=ProposalToGnatt[[#This Row],[Start Date]],Milestone_Marker,IF(AND(BJ$27&gt;ProposalToGnatt[[#This Row],[Start Date]],BJ$27&lt;ProposalToGnatt[[#This Row],[Start Date]]+ProposalToGnatt[[#This Row],[Days]]),$G$5,"")),"")</f>
        <v/>
      </c>
      <c r="BK58" s="36" t="str">
        <f ca="1">IFERROR(+IF(BK$27=ProposalToGnatt[[#This Row],[Start Date]],Milestone_Marker,IF(AND(BK$27&gt;ProposalToGnatt[[#This Row],[Start Date]],BK$27&lt;ProposalToGnatt[[#This Row],[Start Date]]+ProposalToGnatt[[#This Row],[Days]]),$G$5,"")),"")</f>
        <v/>
      </c>
      <c r="BL58" s="36" t="str">
        <f ca="1">IFERROR(+IF(BL$27=ProposalToGnatt[[#This Row],[Start Date]],Milestone_Marker,IF(AND(BL$27&gt;ProposalToGnatt[[#This Row],[Start Date]],BL$27&lt;ProposalToGnatt[[#This Row],[Start Date]]+ProposalToGnatt[[#This Row],[Days]]),$G$5,"")),"")</f>
        <v/>
      </c>
      <c r="BM58" s="36" t="str">
        <f ca="1">IFERROR(+IF(BM$27=ProposalToGnatt[[#This Row],[Start Date]],Milestone_Marker,IF(AND(BM$27&gt;ProposalToGnatt[[#This Row],[Start Date]],BM$27&lt;ProposalToGnatt[[#This Row],[Start Date]]+ProposalToGnatt[[#This Row],[Days]]),$G$5,"")),"")</f>
        <v/>
      </c>
      <c r="BN58" s="36" t="str">
        <f ca="1">IFERROR(+IF(BN$27=ProposalToGnatt[[#This Row],[Start Date]],Milestone_Marker,IF(AND(BN$27&gt;ProposalToGnatt[[#This Row],[Start Date]],BN$27&lt;ProposalToGnatt[[#This Row],[Start Date]]+ProposalToGnatt[[#This Row],[Days]]),$G$5,"")),"")</f>
        <v/>
      </c>
      <c r="BO58" s="36" t="str">
        <f ca="1">IFERROR(+IF(BO$27=ProposalToGnatt[[#This Row],[Start Date]],Milestone_Marker,IF(AND(BO$27&gt;ProposalToGnatt[[#This Row],[Start Date]],BO$27&lt;ProposalToGnatt[[#This Row],[Start Date]]+ProposalToGnatt[[#This Row],[Days]]),$G$5,"")),"")</f>
        <v/>
      </c>
      <c r="BP58" s="36" t="str">
        <f ca="1">IFERROR(+IF(BP$27=ProposalToGnatt[[#This Row],[Start Date]],Milestone_Marker,IF(AND(BP$27&gt;ProposalToGnatt[[#This Row],[Start Date]],BP$27&lt;ProposalToGnatt[[#This Row],[Start Date]]+ProposalToGnatt[[#This Row],[Days]]),$G$5,"")),"")</f>
        <v/>
      </c>
      <c r="BQ58" s="36" t="str">
        <f ca="1">IFERROR(+IF(BQ$27=ProposalToGnatt[[#This Row],[Start Date]],Milestone_Marker,IF(AND(BQ$27&gt;ProposalToGnatt[[#This Row],[Start Date]],BQ$27&lt;ProposalToGnatt[[#This Row],[Start Date]]+ProposalToGnatt[[#This Row],[Days]]),$G$5,"")),"")</f>
        <v/>
      </c>
      <c r="BR58" s="36" t="str">
        <f ca="1">IFERROR(+IF(BR$27=ProposalToGnatt[[#This Row],[Start Date]],Milestone_Marker,IF(AND(BR$27&gt;ProposalToGnatt[[#This Row],[Start Date]],BR$27&lt;ProposalToGnatt[[#This Row],[Start Date]]+ProposalToGnatt[[#This Row],[Days]]),$G$5,"")),"")</f>
        <v/>
      </c>
      <c r="BS58" s="36" t="str">
        <f ca="1">IFERROR(+IF(BS$27=ProposalToGnatt[[#This Row],[Start Date]],Milestone_Marker,IF(AND(BS$27&gt;ProposalToGnatt[[#This Row],[Start Date]],BS$27&lt;ProposalToGnatt[[#This Row],[Start Date]]+ProposalToGnatt[[#This Row],[Days]]),$G$5,"")),"")</f>
        <v/>
      </c>
      <c r="BT58" s="36" t="str">
        <f ca="1">IFERROR(+IF(BT$27=ProposalToGnatt[[#This Row],[Start Date]],Milestone_Marker,IF(AND(BT$27&gt;ProposalToGnatt[[#This Row],[Start Date]],BT$27&lt;ProposalToGnatt[[#This Row],[Start Date]]+ProposalToGnatt[[#This Row],[Days]]),$G$5,"")),"")</f>
        <v/>
      </c>
      <c r="BU58" s="36" t="str">
        <f ca="1">IFERROR(+IF(BU$27=ProposalToGnatt[[#This Row],[Start Date]],Milestone_Marker,IF(AND(BU$27&gt;ProposalToGnatt[[#This Row],[Start Date]],BU$27&lt;ProposalToGnatt[[#This Row],[Start Date]]+ProposalToGnatt[[#This Row],[Days]]),$G$5,"")),"")</f>
        <v/>
      </c>
      <c r="BV58" s="36" t="str">
        <f ca="1">IFERROR(+IF(BV$27=ProposalToGnatt[[#This Row],[Start Date]],Milestone_Marker,IF(AND(BV$27&gt;ProposalToGnatt[[#This Row],[Start Date]],BV$27&lt;ProposalToGnatt[[#This Row],[Start Date]]+ProposalToGnatt[[#This Row],[Days]]),$G$5,"")),"")</f>
        <v/>
      </c>
      <c r="BW58" s="36" t="str">
        <f ca="1">IFERROR(+IF(BW$27=ProposalToGnatt[[#This Row],[Start Date]],Milestone_Marker,IF(AND(BW$27&gt;ProposalToGnatt[[#This Row],[Start Date]],BW$27&lt;ProposalToGnatt[[#This Row],[Start Date]]+ProposalToGnatt[[#This Row],[Days]]),$G$5,"")),"")</f>
        <v/>
      </c>
      <c r="BX58" s="36" t="str">
        <f ca="1">IFERROR(+IF(BX$27=ProposalToGnatt[[#This Row],[Start Date]],Milestone_Marker,IF(AND(BX$27&gt;ProposalToGnatt[[#This Row],[Start Date]],BX$27&lt;ProposalToGnatt[[#This Row],[Start Date]]+ProposalToGnatt[[#This Row],[Days]]),$G$5,"")),"")</f>
        <v/>
      </c>
      <c r="BY58" s="36" t="str">
        <f ca="1">IFERROR(+IF(BY$27=ProposalToGnatt[[#This Row],[Start Date]],Milestone_Marker,IF(AND(BY$27&gt;ProposalToGnatt[[#This Row],[Start Date]],BY$27&lt;ProposalToGnatt[[#This Row],[Start Date]]+ProposalToGnatt[[#This Row],[Days]]),$G$5,"")),"")</f>
        <v/>
      </c>
      <c r="BZ58" s="36" t="str">
        <f ca="1">IFERROR(+IF(BZ$27=ProposalToGnatt[[#This Row],[Start Date]],Milestone_Marker,IF(AND(BZ$27&gt;ProposalToGnatt[[#This Row],[Start Date]],BZ$27&lt;ProposalToGnatt[[#This Row],[Start Date]]+ProposalToGnatt[[#This Row],[Days]]),$G$5,"")),"")</f>
        <v/>
      </c>
      <c r="CA58" s="36" t="str">
        <f ca="1">IFERROR(+IF(CA$27=ProposalToGnatt[[#This Row],[Start Date]],Milestone_Marker,IF(AND(CA$27&gt;ProposalToGnatt[[#This Row],[Start Date]],CA$27&lt;ProposalToGnatt[[#This Row],[Start Date]]+ProposalToGnatt[[#This Row],[Days]]),$G$5,"")),"")</f>
        <v/>
      </c>
      <c r="CB58" s="36" t="str">
        <f ca="1">IFERROR(+IF(CB$27=ProposalToGnatt[[#This Row],[Start Date]],Milestone_Marker,IF(AND(CB$27&gt;ProposalToGnatt[[#This Row],[Start Date]],CB$27&lt;ProposalToGnatt[[#This Row],[Start Date]]+ProposalToGnatt[[#This Row],[Days]]),$G$5,"")),"")</f>
        <v/>
      </c>
      <c r="CC58" s="36" t="str">
        <f ca="1">IFERROR(+IF(CC$27=ProposalToGnatt[[#This Row],[Start Date]],Milestone_Marker,IF(AND(CC$27&gt;ProposalToGnatt[[#This Row],[Start Date]],CC$27&lt;ProposalToGnatt[[#This Row],[Start Date]]+ProposalToGnatt[[#This Row],[Days]]),$G$5,"")),"")</f>
        <v/>
      </c>
      <c r="CD58" s="36" t="str">
        <f ca="1">IFERROR(+IF(CD$27=ProposalToGnatt[[#This Row],[Start Date]],Milestone_Marker,IF(AND(CD$27&gt;ProposalToGnatt[[#This Row],[Start Date]],CD$27&lt;ProposalToGnatt[[#This Row],[Start Date]]+ProposalToGnatt[[#This Row],[Days]]),$G$5,"")),"")</f>
        <v/>
      </c>
      <c r="CE58" s="36" t="str">
        <f ca="1">IFERROR(+IF(CE$27=ProposalToGnatt[[#This Row],[Start Date]],Milestone_Marker,IF(AND(CE$27&gt;ProposalToGnatt[[#This Row],[Start Date]],CE$27&lt;ProposalToGnatt[[#This Row],[Start Date]]+ProposalToGnatt[[#This Row],[Days]]),$G$5,"")),"")</f>
        <v/>
      </c>
      <c r="CF58" s="36" t="str">
        <f ca="1">IFERROR(+IF(CF$27=ProposalToGnatt[[#This Row],[Start Date]],Milestone_Marker,IF(AND(CF$27&gt;ProposalToGnatt[[#This Row],[Start Date]],CF$27&lt;ProposalToGnatt[[#This Row],[Start Date]]+ProposalToGnatt[[#This Row],[Days]]),$G$5,"")),"")</f>
        <v/>
      </c>
      <c r="CG58" s="36" t="str">
        <f ca="1">IFERROR(+IF(CG$27=ProposalToGnatt[[#This Row],[Start Date]],Milestone_Marker,IF(AND(CG$27&gt;ProposalToGnatt[[#This Row],[Start Date]],CG$27&lt;ProposalToGnatt[[#This Row],[Start Date]]+ProposalToGnatt[[#This Row],[Days]]),$G$5,"")),"")</f>
        <v/>
      </c>
      <c r="CH58" s="36" t="str">
        <f ca="1">IFERROR(+IF(CH$27=ProposalToGnatt[[#This Row],[Start Date]],Milestone_Marker,IF(AND(CH$27&gt;ProposalToGnatt[[#This Row],[Start Date]],CH$27&lt;ProposalToGnatt[[#This Row],[Start Date]]+ProposalToGnatt[[#This Row],[Days]]),$G$5,"")),"")</f>
        <v/>
      </c>
      <c r="CI58" s="36" t="str">
        <f ca="1">IFERROR(+IF(CI$27=ProposalToGnatt[[#This Row],[Start Date]],Milestone_Marker,IF(AND(CI$27&gt;ProposalToGnatt[[#This Row],[Start Date]],CI$27&lt;ProposalToGnatt[[#This Row],[Start Date]]+ProposalToGnatt[[#This Row],[Days]]),$G$5,"")),"")</f>
        <v/>
      </c>
      <c r="CJ58" s="36" t="str">
        <f ca="1">IFERROR(+IF(CJ$27=ProposalToGnatt[[#This Row],[Start Date]],Milestone_Marker,IF(AND(CJ$27&gt;ProposalToGnatt[[#This Row],[Start Date]],CJ$27&lt;ProposalToGnatt[[#This Row],[Start Date]]+ProposalToGnatt[[#This Row],[Days]]),$G$5,"")),"")</f>
        <v/>
      </c>
      <c r="CK58" s="36" t="str">
        <f ca="1">IFERROR(+IF(CK$27=ProposalToGnatt[[#This Row],[Start Date]],Milestone_Marker,IF(AND(CK$27&gt;ProposalToGnatt[[#This Row],[Start Date]],CK$27&lt;ProposalToGnatt[[#This Row],[Start Date]]+ProposalToGnatt[[#This Row],[Days]]),$G$5,"")),"")</f>
        <v/>
      </c>
      <c r="CL58" s="36" t="str">
        <f ca="1">IFERROR(+IF(CL$27=ProposalToGnatt[[#This Row],[Start Date]],Milestone_Marker,IF(AND(CL$27&gt;ProposalToGnatt[[#This Row],[Start Date]],CL$27&lt;ProposalToGnatt[[#This Row],[Start Date]]+ProposalToGnatt[[#This Row],[Days]]),$G$5,"")),"")</f>
        <v/>
      </c>
      <c r="CM58" s="36" t="str">
        <f ca="1">IFERROR(+IF(CM$27=ProposalToGnatt[[#This Row],[Start Date]],Milestone_Marker,IF(AND(CM$27&gt;ProposalToGnatt[[#This Row],[Start Date]],CM$27&lt;ProposalToGnatt[[#This Row],[Start Date]]+ProposalToGnatt[[#This Row],[Days]]),$G$5,"")),"")</f>
        <v/>
      </c>
      <c r="CN58" s="36" t="str">
        <f ca="1">IFERROR(+IF(CN$27=ProposalToGnatt[[#This Row],[Start Date]],Milestone_Marker,IF(AND(CN$27&gt;ProposalToGnatt[[#This Row],[Start Date]],CN$27&lt;ProposalToGnatt[[#This Row],[Start Date]]+ProposalToGnatt[[#This Row],[Days]]),$G$5,"")),"")</f>
        <v/>
      </c>
      <c r="CO58" s="36" t="str">
        <f ca="1">IFERROR(+IF(CO$27=ProposalToGnatt[[#This Row],[Start Date]],Milestone_Marker,IF(AND(CO$27&gt;ProposalToGnatt[[#This Row],[Start Date]],CO$27&lt;ProposalToGnatt[[#This Row],[Start Date]]+ProposalToGnatt[[#This Row],[Days]]),$G$5,"")),"")</f>
        <v/>
      </c>
      <c r="CP58" s="36" t="str">
        <f ca="1">IFERROR(+IF(CP$27=ProposalToGnatt[[#This Row],[Start Date]],Milestone_Marker,IF(AND(CP$27&gt;ProposalToGnatt[[#This Row],[Start Date]],CP$27&lt;ProposalToGnatt[[#This Row],[Start Date]]+ProposalToGnatt[[#This Row],[Days]]),$G$5,"")),"")</f>
        <v/>
      </c>
      <c r="CQ58" s="36" t="str">
        <f ca="1">IFERROR(+IF(CQ$27=ProposalToGnatt[[#This Row],[Start Date]],Milestone_Marker,IF(AND(CQ$27&gt;ProposalToGnatt[[#This Row],[Start Date]],CQ$27&lt;ProposalToGnatt[[#This Row],[Start Date]]+ProposalToGnatt[[#This Row],[Days]]),$G$5,"")),"")</f>
        <v/>
      </c>
      <c r="CR58" s="36" t="str">
        <f ca="1">IFERROR(+IF(CR$27=ProposalToGnatt[[#This Row],[Start Date]],Milestone_Marker,IF(AND(CR$27&gt;ProposalToGnatt[[#This Row],[Start Date]],CR$27&lt;ProposalToGnatt[[#This Row],[Start Date]]+ProposalToGnatt[[#This Row],[Days]]),$G$5,"")),"")</f>
        <v/>
      </c>
      <c r="CS58" s="36" t="str">
        <f ca="1">IFERROR(+IF(CS$27=ProposalToGnatt[[#This Row],[Start Date]],Milestone_Marker,IF(AND(CS$27&gt;ProposalToGnatt[[#This Row],[Start Date]],CS$27&lt;ProposalToGnatt[[#This Row],[Start Date]]+ProposalToGnatt[[#This Row],[Days]]),$G$5,"")),"")</f>
        <v/>
      </c>
      <c r="CT58" s="36" t="str">
        <f ca="1">IFERROR(+IF(CT$27=ProposalToGnatt[[#This Row],[Start Date]],Milestone_Marker,IF(AND(CT$27&gt;ProposalToGnatt[[#This Row],[Start Date]],CT$27&lt;ProposalToGnatt[[#This Row],[Start Date]]+ProposalToGnatt[[#This Row],[Days]]),$G$5,"")),"")</f>
        <v/>
      </c>
      <c r="CU58" s="36" t="str">
        <f ca="1">IFERROR(+IF(CU$27=ProposalToGnatt[[#This Row],[Start Date]],Milestone_Marker,IF(AND(CU$27&gt;ProposalToGnatt[[#This Row],[Start Date]],CU$27&lt;ProposalToGnatt[[#This Row],[Start Date]]+ProposalToGnatt[[#This Row],[Days]]),$G$5,"")),"")</f>
        <v/>
      </c>
      <c r="CV58" s="36"/>
      <c r="CW58" s="36"/>
      <c r="CX58" s="36"/>
      <c r="CY58" s="36"/>
      <c r="CZ58" s="36"/>
      <c r="DA58" s="36"/>
      <c r="DB58" s="36"/>
      <c r="DC58" s="36"/>
      <c r="DD58" s="36"/>
      <c r="DE58" s="36"/>
      <c r="DF58" s="36"/>
      <c r="DG58" s="36"/>
      <c r="DH58" s="36"/>
      <c r="DI58" s="36"/>
      <c r="DJ58" s="36"/>
      <c r="DK58" s="36"/>
      <c r="DL58" s="36"/>
      <c r="DM58" s="36"/>
      <c r="DN58" s="36"/>
      <c r="DO58" s="36"/>
      <c r="DP58" s="36"/>
      <c r="DQ58" s="36"/>
      <c r="DR58" s="36"/>
      <c r="DS58" s="36"/>
      <c r="DT58" s="36"/>
      <c r="DU58" s="36"/>
    </row>
    <row r="59" spans="1:125" s="41" customFormat="1" ht="15" x14ac:dyDescent="0.25">
      <c r="A59" t="s">
        <v>267</v>
      </c>
      <c r="B59">
        <v>41</v>
      </c>
      <c r="C59"/>
      <c r="D59" t="s">
        <v>950</v>
      </c>
      <c r="E59" s="568" t="s">
        <v>952</v>
      </c>
      <c r="F59">
        <v>1</v>
      </c>
      <c r="G59" s="14">
        <v>10</v>
      </c>
      <c r="H59" s="14">
        <v>10</v>
      </c>
      <c r="I59" t="s">
        <v>3</v>
      </c>
      <c r="J59">
        <v>1</v>
      </c>
      <c r="K59" s="249"/>
      <c r="L59"/>
      <c r="M59" s="14"/>
      <c r="N59" s="300">
        <v>10</v>
      </c>
      <c r="O59" s="554"/>
      <c r="P59" s="36" t="str">
        <f ca="1">IFERROR(+IF(P$27=ProposalToGnatt[[#This Row],[Start Date]],Milestone_Marker,IF(AND(P$27&gt;ProposalToGnatt[[#This Row],[Start Date]],P$27&lt;ProposalToGnatt[[#This Row],[Start Date]]+ProposalToGnatt[[#This Row],[Days]]),$G$5,"")),"")</f>
        <v/>
      </c>
      <c r="Q59" s="36" t="str">
        <f ca="1">IFERROR(+IF(Q$27=ProposalToGnatt[[#This Row],[Start Date]],Milestone_Marker,IF(AND(Q$27&gt;ProposalToGnatt[[#This Row],[Start Date]],Q$27&lt;ProposalToGnatt[[#This Row],[Start Date]]+ProposalToGnatt[[#This Row],[Days]]),$G$5,"")),"")</f>
        <v/>
      </c>
      <c r="R59" s="36" t="str">
        <f ca="1">IFERROR(+IF(R$27=ProposalToGnatt[[#This Row],[Start Date]],Milestone_Marker,IF(AND(R$27&gt;ProposalToGnatt[[#This Row],[Start Date]],R$27&lt;ProposalToGnatt[[#This Row],[Start Date]]+ProposalToGnatt[[#This Row],[Days]]),$G$5,"")),"")</f>
        <v/>
      </c>
      <c r="S59" s="36" t="str">
        <f ca="1">IFERROR(+IF(S$27=ProposalToGnatt[[#This Row],[Start Date]],Milestone_Marker,IF(AND(S$27&gt;ProposalToGnatt[[#This Row],[Start Date]],S$27&lt;ProposalToGnatt[[#This Row],[Start Date]]+ProposalToGnatt[[#This Row],[Days]]),$G$5,"")),"")</f>
        <v/>
      </c>
      <c r="T59" s="36" t="str">
        <f ca="1">IFERROR(+IF(T$27=ProposalToGnatt[[#This Row],[Start Date]],Milestone_Marker,IF(AND(T$27&gt;ProposalToGnatt[[#This Row],[Start Date]],T$27&lt;ProposalToGnatt[[#This Row],[Start Date]]+ProposalToGnatt[[#This Row],[Days]]),$G$5,"")),"")</f>
        <v/>
      </c>
      <c r="U59" s="36" t="str">
        <f ca="1">IFERROR(+IF(U$27=ProposalToGnatt[[#This Row],[Start Date]],Milestone_Marker,IF(AND(U$27&gt;ProposalToGnatt[[#This Row],[Start Date]],U$27&lt;ProposalToGnatt[[#This Row],[Start Date]]+ProposalToGnatt[[#This Row],[Days]]),$G$5,"")),"")</f>
        <v/>
      </c>
      <c r="V59" s="36" t="str">
        <f ca="1">IFERROR(+IF(V$27=ProposalToGnatt[[#This Row],[Start Date]],Milestone_Marker,IF(AND(V$27&gt;ProposalToGnatt[[#This Row],[Start Date]],V$27&lt;ProposalToGnatt[[#This Row],[Start Date]]+ProposalToGnatt[[#This Row],[Days]]),$G$5,"")),"")</f>
        <v/>
      </c>
      <c r="W59" s="36" t="str">
        <f ca="1">IFERROR(+IF(W$27=ProposalToGnatt[[#This Row],[Start Date]],Milestone_Marker,IF(AND(W$27&gt;ProposalToGnatt[[#This Row],[Start Date]],W$27&lt;ProposalToGnatt[[#This Row],[Start Date]]+ProposalToGnatt[[#This Row],[Days]]),$G$5,"")),"")</f>
        <v/>
      </c>
      <c r="X59" s="36" t="str">
        <f ca="1">IFERROR(+IF(X$27=ProposalToGnatt[[#This Row],[Start Date]],Milestone_Marker,IF(AND(X$27&gt;ProposalToGnatt[[#This Row],[Start Date]],X$27&lt;ProposalToGnatt[[#This Row],[Start Date]]+ProposalToGnatt[[#This Row],[Days]]),$G$5,"")),"")</f>
        <v/>
      </c>
      <c r="Y59" s="36" t="str">
        <f ca="1">IFERROR(+IF(Y$27=ProposalToGnatt[[#This Row],[Start Date]],Milestone_Marker,IF(AND(Y$27&gt;ProposalToGnatt[[#This Row],[Start Date]],Y$27&lt;ProposalToGnatt[[#This Row],[Start Date]]+ProposalToGnatt[[#This Row],[Days]]),$G$5,"")),"")</f>
        <v/>
      </c>
      <c r="Z59" s="36" t="str">
        <f ca="1">IFERROR(+IF(Z$27=ProposalToGnatt[[#This Row],[Start Date]],Milestone_Marker,IF(AND(Z$27&gt;ProposalToGnatt[[#This Row],[Start Date]],Z$27&lt;ProposalToGnatt[[#This Row],[Start Date]]+ProposalToGnatt[[#This Row],[Days]]),$G$5,"")),"")</f>
        <v/>
      </c>
      <c r="AA59" s="36" t="str">
        <f ca="1">IFERROR(+IF(AA$27=ProposalToGnatt[[#This Row],[Start Date]],Milestone_Marker,IF(AND(AA$27&gt;ProposalToGnatt[[#This Row],[Start Date]],AA$27&lt;ProposalToGnatt[[#This Row],[Start Date]]+ProposalToGnatt[[#This Row],[Days]]),$G$5,"")),"")</f>
        <v/>
      </c>
      <c r="AB59" s="36" t="str">
        <f ca="1">IFERROR(+IF(AB$27=ProposalToGnatt[[#This Row],[Start Date]],Milestone_Marker,IF(AND(AB$27&gt;ProposalToGnatt[[#This Row],[Start Date]],AB$27&lt;ProposalToGnatt[[#This Row],[Start Date]]+ProposalToGnatt[[#This Row],[Days]]),$G$5,"")),"")</f>
        <v/>
      </c>
      <c r="AC59" s="36" t="str">
        <f ca="1">IFERROR(+IF(AC$27=ProposalToGnatt[[#This Row],[Start Date]],Milestone_Marker,IF(AND(AC$27&gt;ProposalToGnatt[[#This Row],[Start Date]],AC$27&lt;ProposalToGnatt[[#This Row],[Start Date]]+ProposalToGnatt[[#This Row],[Days]]),$G$5,"")),"")</f>
        <v/>
      </c>
      <c r="AD59" s="36" t="str">
        <f ca="1">IFERROR(+IF(AD$27=ProposalToGnatt[[#This Row],[Start Date]],Milestone_Marker,IF(AND(AD$27&gt;ProposalToGnatt[[#This Row],[Start Date]],AD$27&lt;ProposalToGnatt[[#This Row],[Start Date]]+ProposalToGnatt[[#This Row],[Days]]),$G$5,"")),"")</f>
        <v/>
      </c>
      <c r="AE59" s="36" t="str">
        <f ca="1">IFERROR(+IF(AE$27=ProposalToGnatt[[#This Row],[Start Date]],Milestone_Marker,IF(AND(AE$27&gt;ProposalToGnatt[[#This Row],[Start Date]],AE$27&lt;ProposalToGnatt[[#This Row],[Start Date]]+ProposalToGnatt[[#This Row],[Days]]),$G$5,"")),"")</f>
        <v/>
      </c>
      <c r="AF59" s="36" t="str">
        <f ca="1">IFERROR(+IF(AF$27=ProposalToGnatt[[#This Row],[Start Date]],Milestone_Marker,IF(AND(AF$27&gt;ProposalToGnatt[[#This Row],[Start Date]],AF$27&lt;ProposalToGnatt[[#This Row],[Start Date]]+ProposalToGnatt[[#This Row],[Days]]),$G$5,"")),"")</f>
        <v/>
      </c>
      <c r="AG59" s="36" t="str">
        <f ca="1">IFERROR(+IF(AG$27=ProposalToGnatt[[#This Row],[Start Date]],Milestone_Marker,IF(AND(AG$27&gt;ProposalToGnatt[[#This Row],[Start Date]],AG$27&lt;ProposalToGnatt[[#This Row],[Start Date]]+ProposalToGnatt[[#This Row],[Days]]),$G$5,"")),"")</f>
        <v/>
      </c>
      <c r="AH59" s="36" t="str">
        <f ca="1">IFERROR(+IF(AH$27=ProposalToGnatt[[#This Row],[Start Date]],Milestone_Marker,IF(AND(AH$27&gt;ProposalToGnatt[[#This Row],[Start Date]],AH$27&lt;ProposalToGnatt[[#This Row],[Start Date]]+ProposalToGnatt[[#This Row],[Days]]),$G$5,"")),"")</f>
        <v/>
      </c>
      <c r="AI59" s="36" t="str">
        <f ca="1">IFERROR(+IF(AI$27=ProposalToGnatt[[#This Row],[Start Date]],Milestone_Marker,IF(AND(AI$27&gt;ProposalToGnatt[[#This Row],[Start Date]],AI$27&lt;ProposalToGnatt[[#This Row],[Start Date]]+ProposalToGnatt[[#This Row],[Days]]),$G$5,"")),"")</f>
        <v/>
      </c>
      <c r="AJ59" s="36" t="str">
        <f ca="1">IFERROR(+IF(AJ$27=ProposalToGnatt[[#This Row],[Start Date]],Milestone_Marker,IF(AND(AJ$27&gt;ProposalToGnatt[[#This Row],[Start Date]],AJ$27&lt;ProposalToGnatt[[#This Row],[Start Date]]+ProposalToGnatt[[#This Row],[Days]]),$G$5,"")),"")</f>
        <v/>
      </c>
      <c r="AK59" s="36" t="str">
        <f ca="1">IFERROR(+IF(AK$27=ProposalToGnatt[[#This Row],[Start Date]],Milestone_Marker,IF(AND(AK$27&gt;ProposalToGnatt[[#This Row],[Start Date]],AK$27&lt;ProposalToGnatt[[#This Row],[Start Date]]+ProposalToGnatt[[#This Row],[Days]]),$G$5,"")),"")</f>
        <v/>
      </c>
      <c r="AL59" s="36" t="str">
        <f ca="1">IFERROR(+IF(AL$27=ProposalToGnatt[[#This Row],[Start Date]],Milestone_Marker,IF(AND(AL$27&gt;ProposalToGnatt[[#This Row],[Start Date]],AL$27&lt;ProposalToGnatt[[#This Row],[Start Date]]+ProposalToGnatt[[#This Row],[Days]]),$G$5,"")),"")</f>
        <v/>
      </c>
      <c r="AM59" s="36" t="str">
        <f ca="1">IFERROR(+IF(AM$27=ProposalToGnatt[[#This Row],[Start Date]],Milestone_Marker,IF(AND(AM$27&gt;ProposalToGnatt[[#This Row],[Start Date]],AM$27&lt;ProposalToGnatt[[#This Row],[Start Date]]+ProposalToGnatt[[#This Row],[Days]]),$G$5,"")),"")</f>
        <v/>
      </c>
      <c r="AN59" s="36" t="str">
        <f ca="1">IFERROR(+IF(AN$27=ProposalToGnatt[[#This Row],[Start Date]],Milestone_Marker,IF(AND(AN$27&gt;ProposalToGnatt[[#This Row],[Start Date]],AN$27&lt;ProposalToGnatt[[#This Row],[Start Date]]+ProposalToGnatt[[#This Row],[Days]]),$G$5,"")),"")</f>
        <v/>
      </c>
      <c r="AO59" s="36" t="str">
        <f ca="1">IFERROR(+IF(AO$27=ProposalToGnatt[[#This Row],[Start Date]],Milestone_Marker,IF(AND(AO$27&gt;ProposalToGnatt[[#This Row],[Start Date]],AO$27&lt;ProposalToGnatt[[#This Row],[Start Date]]+ProposalToGnatt[[#This Row],[Days]]),$G$5,"")),"")</f>
        <v/>
      </c>
      <c r="AP59" s="36" t="str">
        <f ca="1">IFERROR(+IF(AP$27=ProposalToGnatt[[#This Row],[Start Date]],Milestone_Marker,IF(AND(AP$27&gt;ProposalToGnatt[[#This Row],[Start Date]],AP$27&lt;ProposalToGnatt[[#This Row],[Start Date]]+ProposalToGnatt[[#This Row],[Days]]),$G$5,"")),"")</f>
        <v/>
      </c>
      <c r="AQ59" s="36" t="str">
        <f ca="1">IFERROR(+IF(AQ$27=ProposalToGnatt[[#This Row],[Start Date]],Milestone_Marker,IF(AND(AQ$27&gt;ProposalToGnatt[[#This Row],[Start Date]],AQ$27&lt;ProposalToGnatt[[#This Row],[Start Date]]+ProposalToGnatt[[#This Row],[Days]]),$G$5,"")),"")</f>
        <v/>
      </c>
      <c r="AR59" s="36" t="str">
        <f ca="1">IFERROR(+IF(AR$27=ProposalToGnatt[[#This Row],[Start Date]],Milestone_Marker,IF(AND(AR$27&gt;ProposalToGnatt[[#This Row],[Start Date]],AR$27&lt;ProposalToGnatt[[#This Row],[Start Date]]+ProposalToGnatt[[#This Row],[Days]]),$G$5,"")),"")</f>
        <v/>
      </c>
      <c r="AS59" s="36" t="str">
        <f ca="1">IFERROR(+IF(AS$27=ProposalToGnatt[[#This Row],[Start Date]],Milestone_Marker,IF(AND(AS$27&gt;ProposalToGnatt[[#This Row],[Start Date]],AS$27&lt;ProposalToGnatt[[#This Row],[Start Date]]+ProposalToGnatt[[#This Row],[Days]]),$G$5,"")),"")</f>
        <v/>
      </c>
      <c r="AT59" s="36" t="str">
        <f ca="1">IFERROR(+IF(AT$27=ProposalToGnatt[[#This Row],[Start Date]],Milestone_Marker,IF(AND(AT$27&gt;ProposalToGnatt[[#This Row],[Start Date]],AT$27&lt;ProposalToGnatt[[#This Row],[Start Date]]+ProposalToGnatt[[#This Row],[Days]]),$G$5,"")),"")</f>
        <v/>
      </c>
      <c r="AU59" s="36" t="str">
        <f ca="1">IFERROR(+IF(AU$27=ProposalToGnatt[[#This Row],[Start Date]],Milestone_Marker,IF(AND(AU$27&gt;ProposalToGnatt[[#This Row],[Start Date]],AU$27&lt;ProposalToGnatt[[#This Row],[Start Date]]+ProposalToGnatt[[#This Row],[Days]]),$G$5,"")),"")</f>
        <v/>
      </c>
      <c r="AV59" s="36" t="str">
        <f ca="1">IFERROR(+IF(AV$27=ProposalToGnatt[[#This Row],[Start Date]],Milestone_Marker,IF(AND(AV$27&gt;ProposalToGnatt[[#This Row],[Start Date]],AV$27&lt;ProposalToGnatt[[#This Row],[Start Date]]+ProposalToGnatt[[#This Row],[Days]]),$G$5,"")),"")</f>
        <v/>
      </c>
      <c r="AW59" s="36" t="str">
        <f ca="1">IFERROR(+IF(AW$27=ProposalToGnatt[[#This Row],[Start Date]],Milestone_Marker,IF(AND(AW$27&gt;ProposalToGnatt[[#This Row],[Start Date]],AW$27&lt;ProposalToGnatt[[#This Row],[Start Date]]+ProposalToGnatt[[#This Row],[Days]]),$G$5,"")),"")</f>
        <v/>
      </c>
      <c r="AX59" s="36" t="str">
        <f ca="1">IFERROR(+IF(AX$27=ProposalToGnatt[[#This Row],[Start Date]],Milestone_Marker,IF(AND(AX$27&gt;ProposalToGnatt[[#This Row],[Start Date]],AX$27&lt;ProposalToGnatt[[#This Row],[Start Date]]+ProposalToGnatt[[#This Row],[Days]]),$G$5,"")),"")</f>
        <v/>
      </c>
      <c r="AY59" s="36" t="str">
        <f ca="1">IFERROR(+IF(AY$27=ProposalToGnatt[[#This Row],[Start Date]],Milestone_Marker,IF(AND(AY$27&gt;ProposalToGnatt[[#This Row],[Start Date]],AY$27&lt;ProposalToGnatt[[#This Row],[Start Date]]+ProposalToGnatt[[#This Row],[Days]]),$G$5,"")),"")</f>
        <v/>
      </c>
      <c r="AZ59" s="36" t="str">
        <f ca="1">IFERROR(+IF(AZ$27=ProposalToGnatt[[#This Row],[Start Date]],Milestone_Marker,IF(AND(AZ$27&gt;ProposalToGnatt[[#This Row],[Start Date]],AZ$27&lt;ProposalToGnatt[[#This Row],[Start Date]]+ProposalToGnatt[[#This Row],[Days]]),$G$5,"")),"")</f>
        <v/>
      </c>
      <c r="BA59" s="36" t="str">
        <f ca="1">IFERROR(+IF(BA$27=ProposalToGnatt[[#This Row],[Start Date]],Milestone_Marker,IF(AND(BA$27&gt;ProposalToGnatt[[#This Row],[Start Date]],BA$27&lt;ProposalToGnatt[[#This Row],[Start Date]]+ProposalToGnatt[[#This Row],[Days]]),$G$5,"")),"")</f>
        <v/>
      </c>
      <c r="BB59" s="36" t="str">
        <f ca="1">IFERROR(+IF(BB$27=ProposalToGnatt[[#This Row],[Start Date]],Milestone_Marker,IF(AND(BB$27&gt;ProposalToGnatt[[#This Row],[Start Date]],BB$27&lt;ProposalToGnatt[[#This Row],[Start Date]]+ProposalToGnatt[[#This Row],[Days]]),$G$5,"")),"")</f>
        <v/>
      </c>
      <c r="BC59" s="36" t="str">
        <f ca="1">IFERROR(+IF(BC$27=ProposalToGnatt[[#This Row],[Start Date]],Milestone_Marker,IF(AND(BC$27&gt;ProposalToGnatt[[#This Row],[Start Date]],BC$27&lt;ProposalToGnatt[[#This Row],[Start Date]]+ProposalToGnatt[[#This Row],[Days]]),$G$5,"")),"")</f>
        <v/>
      </c>
      <c r="BD59" s="36" t="str">
        <f ca="1">IFERROR(+IF(BD$27=ProposalToGnatt[[#This Row],[Start Date]],Milestone_Marker,IF(AND(BD$27&gt;ProposalToGnatt[[#This Row],[Start Date]],BD$27&lt;ProposalToGnatt[[#This Row],[Start Date]]+ProposalToGnatt[[#This Row],[Days]]),$G$5,"")),"")</f>
        <v/>
      </c>
      <c r="BE59" s="36" t="str">
        <f ca="1">IFERROR(+IF(BE$27=ProposalToGnatt[[#This Row],[Start Date]],Milestone_Marker,IF(AND(BE$27&gt;ProposalToGnatt[[#This Row],[Start Date]],BE$27&lt;ProposalToGnatt[[#This Row],[Start Date]]+ProposalToGnatt[[#This Row],[Days]]),$G$5,"")),"")</f>
        <v/>
      </c>
      <c r="BF59" s="36" t="str">
        <f ca="1">IFERROR(+IF(BF$27=ProposalToGnatt[[#This Row],[Start Date]],Milestone_Marker,IF(AND(BF$27&gt;ProposalToGnatt[[#This Row],[Start Date]],BF$27&lt;ProposalToGnatt[[#This Row],[Start Date]]+ProposalToGnatt[[#This Row],[Days]]),$G$5,"")),"")</f>
        <v/>
      </c>
      <c r="BG59" s="36" t="str">
        <f ca="1">IFERROR(+IF(BG$27=ProposalToGnatt[[#This Row],[Start Date]],Milestone_Marker,IF(AND(BG$27&gt;ProposalToGnatt[[#This Row],[Start Date]],BG$27&lt;ProposalToGnatt[[#This Row],[Start Date]]+ProposalToGnatt[[#This Row],[Days]]),$G$5,"")),"")</f>
        <v/>
      </c>
      <c r="BH59" s="36" t="str">
        <f ca="1">IFERROR(+IF(BH$27=ProposalToGnatt[[#This Row],[Start Date]],Milestone_Marker,IF(AND(BH$27&gt;ProposalToGnatt[[#This Row],[Start Date]],BH$27&lt;ProposalToGnatt[[#This Row],[Start Date]]+ProposalToGnatt[[#This Row],[Days]]),$G$5,"")),"")</f>
        <v/>
      </c>
      <c r="BI59" s="36" t="str">
        <f ca="1">IFERROR(+IF(BI$27=ProposalToGnatt[[#This Row],[Start Date]],Milestone_Marker,IF(AND(BI$27&gt;ProposalToGnatt[[#This Row],[Start Date]],BI$27&lt;ProposalToGnatt[[#This Row],[Start Date]]+ProposalToGnatt[[#This Row],[Days]]),$G$5,"")),"")</f>
        <v/>
      </c>
      <c r="BJ59" s="36" t="str">
        <f ca="1">IFERROR(+IF(BJ$27=ProposalToGnatt[[#This Row],[Start Date]],Milestone_Marker,IF(AND(BJ$27&gt;ProposalToGnatt[[#This Row],[Start Date]],BJ$27&lt;ProposalToGnatt[[#This Row],[Start Date]]+ProposalToGnatt[[#This Row],[Days]]),$G$5,"")),"")</f>
        <v/>
      </c>
      <c r="BK59" s="36" t="str">
        <f ca="1">IFERROR(+IF(BK$27=ProposalToGnatt[[#This Row],[Start Date]],Milestone_Marker,IF(AND(BK$27&gt;ProposalToGnatt[[#This Row],[Start Date]],BK$27&lt;ProposalToGnatt[[#This Row],[Start Date]]+ProposalToGnatt[[#This Row],[Days]]),$G$5,"")),"")</f>
        <v/>
      </c>
      <c r="BL59" s="36" t="str">
        <f ca="1">IFERROR(+IF(BL$27=ProposalToGnatt[[#This Row],[Start Date]],Milestone_Marker,IF(AND(BL$27&gt;ProposalToGnatt[[#This Row],[Start Date]],BL$27&lt;ProposalToGnatt[[#This Row],[Start Date]]+ProposalToGnatt[[#This Row],[Days]]),$G$5,"")),"")</f>
        <v/>
      </c>
      <c r="BM59" s="36" t="str">
        <f ca="1">IFERROR(+IF(BM$27=ProposalToGnatt[[#This Row],[Start Date]],Milestone_Marker,IF(AND(BM$27&gt;ProposalToGnatt[[#This Row],[Start Date]],BM$27&lt;ProposalToGnatt[[#This Row],[Start Date]]+ProposalToGnatt[[#This Row],[Days]]),$G$5,"")),"")</f>
        <v/>
      </c>
      <c r="BN59" s="36" t="str">
        <f ca="1">IFERROR(+IF(BN$27=ProposalToGnatt[[#This Row],[Start Date]],Milestone_Marker,IF(AND(BN$27&gt;ProposalToGnatt[[#This Row],[Start Date]],BN$27&lt;ProposalToGnatt[[#This Row],[Start Date]]+ProposalToGnatt[[#This Row],[Days]]),$G$5,"")),"")</f>
        <v/>
      </c>
      <c r="BO59" s="36" t="str">
        <f ca="1">IFERROR(+IF(BO$27=ProposalToGnatt[[#This Row],[Start Date]],Milestone_Marker,IF(AND(BO$27&gt;ProposalToGnatt[[#This Row],[Start Date]],BO$27&lt;ProposalToGnatt[[#This Row],[Start Date]]+ProposalToGnatt[[#This Row],[Days]]),$G$5,"")),"")</f>
        <v/>
      </c>
      <c r="BP59" s="36" t="str">
        <f ca="1">IFERROR(+IF(BP$27=ProposalToGnatt[[#This Row],[Start Date]],Milestone_Marker,IF(AND(BP$27&gt;ProposalToGnatt[[#This Row],[Start Date]],BP$27&lt;ProposalToGnatt[[#This Row],[Start Date]]+ProposalToGnatt[[#This Row],[Days]]),$G$5,"")),"")</f>
        <v/>
      </c>
      <c r="BQ59" s="36" t="str">
        <f ca="1">IFERROR(+IF(BQ$27=ProposalToGnatt[[#This Row],[Start Date]],Milestone_Marker,IF(AND(BQ$27&gt;ProposalToGnatt[[#This Row],[Start Date]],BQ$27&lt;ProposalToGnatt[[#This Row],[Start Date]]+ProposalToGnatt[[#This Row],[Days]]),$G$5,"")),"")</f>
        <v/>
      </c>
      <c r="BR59" s="36" t="str">
        <f ca="1">IFERROR(+IF(BR$27=ProposalToGnatt[[#This Row],[Start Date]],Milestone_Marker,IF(AND(BR$27&gt;ProposalToGnatt[[#This Row],[Start Date]],BR$27&lt;ProposalToGnatt[[#This Row],[Start Date]]+ProposalToGnatt[[#This Row],[Days]]),$G$5,"")),"")</f>
        <v/>
      </c>
      <c r="BS59" s="36" t="str">
        <f ca="1">IFERROR(+IF(BS$27=ProposalToGnatt[[#This Row],[Start Date]],Milestone_Marker,IF(AND(BS$27&gt;ProposalToGnatt[[#This Row],[Start Date]],BS$27&lt;ProposalToGnatt[[#This Row],[Start Date]]+ProposalToGnatt[[#This Row],[Days]]),$G$5,"")),"")</f>
        <v/>
      </c>
      <c r="BT59" s="36" t="str">
        <f ca="1">IFERROR(+IF(BT$27=ProposalToGnatt[[#This Row],[Start Date]],Milestone_Marker,IF(AND(BT$27&gt;ProposalToGnatt[[#This Row],[Start Date]],BT$27&lt;ProposalToGnatt[[#This Row],[Start Date]]+ProposalToGnatt[[#This Row],[Days]]),$G$5,"")),"")</f>
        <v/>
      </c>
      <c r="BU59" s="36" t="str">
        <f ca="1">IFERROR(+IF(BU$27=ProposalToGnatt[[#This Row],[Start Date]],Milestone_Marker,IF(AND(BU$27&gt;ProposalToGnatt[[#This Row],[Start Date]],BU$27&lt;ProposalToGnatt[[#This Row],[Start Date]]+ProposalToGnatt[[#This Row],[Days]]),$G$5,"")),"")</f>
        <v/>
      </c>
      <c r="BV59" s="36" t="str">
        <f ca="1">IFERROR(+IF(BV$27=ProposalToGnatt[[#This Row],[Start Date]],Milestone_Marker,IF(AND(BV$27&gt;ProposalToGnatt[[#This Row],[Start Date]],BV$27&lt;ProposalToGnatt[[#This Row],[Start Date]]+ProposalToGnatt[[#This Row],[Days]]),$G$5,"")),"")</f>
        <v/>
      </c>
      <c r="BW59" s="36" t="str">
        <f ca="1">IFERROR(+IF(BW$27=ProposalToGnatt[[#This Row],[Start Date]],Milestone_Marker,IF(AND(BW$27&gt;ProposalToGnatt[[#This Row],[Start Date]],BW$27&lt;ProposalToGnatt[[#This Row],[Start Date]]+ProposalToGnatt[[#This Row],[Days]]),$G$5,"")),"")</f>
        <v/>
      </c>
      <c r="BX59" s="36" t="str">
        <f ca="1">IFERROR(+IF(BX$27=ProposalToGnatt[[#This Row],[Start Date]],Milestone_Marker,IF(AND(BX$27&gt;ProposalToGnatt[[#This Row],[Start Date]],BX$27&lt;ProposalToGnatt[[#This Row],[Start Date]]+ProposalToGnatt[[#This Row],[Days]]),$G$5,"")),"")</f>
        <v/>
      </c>
      <c r="BY59" s="36" t="str">
        <f ca="1">IFERROR(+IF(BY$27=ProposalToGnatt[[#This Row],[Start Date]],Milestone_Marker,IF(AND(BY$27&gt;ProposalToGnatt[[#This Row],[Start Date]],BY$27&lt;ProposalToGnatt[[#This Row],[Start Date]]+ProposalToGnatt[[#This Row],[Days]]),$G$5,"")),"")</f>
        <v/>
      </c>
      <c r="BZ59" s="36" t="str">
        <f ca="1">IFERROR(+IF(BZ$27=ProposalToGnatt[[#This Row],[Start Date]],Milestone_Marker,IF(AND(BZ$27&gt;ProposalToGnatt[[#This Row],[Start Date]],BZ$27&lt;ProposalToGnatt[[#This Row],[Start Date]]+ProposalToGnatt[[#This Row],[Days]]),$G$5,"")),"")</f>
        <v/>
      </c>
      <c r="CA59" s="36" t="str">
        <f ca="1">IFERROR(+IF(CA$27=ProposalToGnatt[[#This Row],[Start Date]],Milestone_Marker,IF(AND(CA$27&gt;ProposalToGnatt[[#This Row],[Start Date]],CA$27&lt;ProposalToGnatt[[#This Row],[Start Date]]+ProposalToGnatt[[#This Row],[Days]]),$G$5,"")),"")</f>
        <v/>
      </c>
      <c r="CB59" s="36" t="str">
        <f ca="1">IFERROR(+IF(CB$27=ProposalToGnatt[[#This Row],[Start Date]],Milestone_Marker,IF(AND(CB$27&gt;ProposalToGnatt[[#This Row],[Start Date]],CB$27&lt;ProposalToGnatt[[#This Row],[Start Date]]+ProposalToGnatt[[#This Row],[Days]]),$G$5,"")),"")</f>
        <v/>
      </c>
      <c r="CC59" s="36" t="str">
        <f ca="1">IFERROR(+IF(CC$27=ProposalToGnatt[[#This Row],[Start Date]],Milestone_Marker,IF(AND(CC$27&gt;ProposalToGnatt[[#This Row],[Start Date]],CC$27&lt;ProposalToGnatt[[#This Row],[Start Date]]+ProposalToGnatt[[#This Row],[Days]]),$G$5,"")),"")</f>
        <v/>
      </c>
      <c r="CD59" s="36" t="str">
        <f ca="1">IFERROR(+IF(CD$27=ProposalToGnatt[[#This Row],[Start Date]],Milestone_Marker,IF(AND(CD$27&gt;ProposalToGnatt[[#This Row],[Start Date]],CD$27&lt;ProposalToGnatt[[#This Row],[Start Date]]+ProposalToGnatt[[#This Row],[Days]]),$G$5,"")),"")</f>
        <v/>
      </c>
      <c r="CE59" s="36" t="str">
        <f ca="1">IFERROR(+IF(CE$27=ProposalToGnatt[[#This Row],[Start Date]],Milestone_Marker,IF(AND(CE$27&gt;ProposalToGnatt[[#This Row],[Start Date]],CE$27&lt;ProposalToGnatt[[#This Row],[Start Date]]+ProposalToGnatt[[#This Row],[Days]]),$G$5,"")),"")</f>
        <v/>
      </c>
      <c r="CF59" s="36" t="str">
        <f ca="1">IFERROR(+IF(CF$27=ProposalToGnatt[[#This Row],[Start Date]],Milestone_Marker,IF(AND(CF$27&gt;ProposalToGnatt[[#This Row],[Start Date]],CF$27&lt;ProposalToGnatt[[#This Row],[Start Date]]+ProposalToGnatt[[#This Row],[Days]]),$G$5,"")),"")</f>
        <v/>
      </c>
      <c r="CG59" s="36" t="str">
        <f ca="1">IFERROR(+IF(CG$27=ProposalToGnatt[[#This Row],[Start Date]],Milestone_Marker,IF(AND(CG$27&gt;ProposalToGnatt[[#This Row],[Start Date]],CG$27&lt;ProposalToGnatt[[#This Row],[Start Date]]+ProposalToGnatt[[#This Row],[Days]]),$G$5,"")),"")</f>
        <v/>
      </c>
      <c r="CH59" s="36" t="str">
        <f ca="1">IFERROR(+IF(CH$27=ProposalToGnatt[[#This Row],[Start Date]],Milestone_Marker,IF(AND(CH$27&gt;ProposalToGnatt[[#This Row],[Start Date]],CH$27&lt;ProposalToGnatt[[#This Row],[Start Date]]+ProposalToGnatt[[#This Row],[Days]]),$G$5,"")),"")</f>
        <v/>
      </c>
      <c r="CI59" s="36" t="str">
        <f ca="1">IFERROR(+IF(CI$27=ProposalToGnatt[[#This Row],[Start Date]],Milestone_Marker,IF(AND(CI$27&gt;ProposalToGnatt[[#This Row],[Start Date]],CI$27&lt;ProposalToGnatt[[#This Row],[Start Date]]+ProposalToGnatt[[#This Row],[Days]]),$G$5,"")),"")</f>
        <v/>
      </c>
      <c r="CJ59" s="36" t="str">
        <f ca="1">IFERROR(+IF(CJ$27=ProposalToGnatt[[#This Row],[Start Date]],Milestone_Marker,IF(AND(CJ$27&gt;ProposalToGnatt[[#This Row],[Start Date]],CJ$27&lt;ProposalToGnatt[[#This Row],[Start Date]]+ProposalToGnatt[[#This Row],[Days]]),$G$5,"")),"")</f>
        <v/>
      </c>
      <c r="CK59" s="36" t="str">
        <f ca="1">IFERROR(+IF(CK$27=ProposalToGnatt[[#This Row],[Start Date]],Milestone_Marker,IF(AND(CK$27&gt;ProposalToGnatt[[#This Row],[Start Date]],CK$27&lt;ProposalToGnatt[[#This Row],[Start Date]]+ProposalToGnatt[[#This Row],[Days]]),$G$5,"")),"")</f>
        <v/>
      </c>
      <c r="CL59" s="36" t="str">
        <f ca="1">IFERROR(+IF(CL$27=ProposalToGnatt[[#This Row],[Start Date]],Milestone_Marker,IF(AND(CL$27&gt;ProposalToGnatt[[#This Row],[Start Date]],CL$27&lt;ProposalToGnatt[[#This Row],[Start Date]]+ProposalToGnatt[[#This Row],[Days]]),$G$5,"")),"")</f>
        <v/>
      </c>
      <c r="CM59" s="36" t="str">
        <f ca="1">IFERROR(+IF(CM$27=ProposalToGnatt[[#This Row],[Start Date]],Milestone_Marker,IF(AND(CM$27&gt;ProposalToGnatt[[#This Row],[Start Date]],CM$27&lt;ProposalToGnatt[[#This Row],[Start Date]]+ProposalToGnatt[[#This Row],[Days]]),$G$5,"")),"")</f>
        <v/>
      </c>
      <c r="CN59" s="36" t="str">
        <f ca="1">IFERROR(+IF(CN$27=ProposalToGnatt[[#This Row],[Start Date]],Milestone_Marker,IF(AND(CN$27&gt;ProposalToGnatt[[#This Row],[Start Date]],CN$27&lt;ProposalToGnatt[[#This Row],[Start Date]]+ProposalToGnatt[[#This Row],[Days]]),$G$5,"")),"")</f>
        <v/>
      </c>
      <c r="CO59" s="36" t="str">
        <f ca="1">IFERROR(+IF(CO$27=ProposalToGnatt[[#This Row],[Start Date]],Milestone_Marker,IF(AND(CO$27&gt;ProposalToGnatt[[#This Row],[Start Date]],CO$27&lt;ProposalToGnatt[[#This Row],[Start Date]]+ProposalToGnatt[[#This Row],[Days]]),$G$5,"")),"")</f>
        <v/>
      </c>
      <c r="CP59" s="36" t="str">
        <f ca="1">IFERROR(+IF(CP$27=ProposalToGnatt[[#This Row],[Start Date]],Milestone_Marker,IF(AND(CP$27&gt;ProposalToGnatt[[#This Row],[Start Date]],CP$27&lt;ProposalToGnatt[[#This Row],[Start Date]]+ProposalToGnatt[[#This Row],[Days]]),$G$5,"")),"")</f>
        <v/>
      </c>
      <c r="CQ59" s="36" t="str">
        <f ca="1">IFERROR(+IF(CQ$27=ProposalToGnatt[[#This Row],[Start Date]],Milestone_Marker,IF(AND(CQ$27&gt;ProposalToGnatt[[#This Row],[Start Date]],CQ$27&lt;ProposalToGnatt[[#This Row],[Start Date]]+ProposalToGnatt[[#This Row],[Days]]),$G$5,"")),"")</f>
        <v/>
      </c>
      <c r="CR59" s="36" t="str">
        <f ca="1">IFERROR(+IF(CR$27=ProposalToGnatt[[#This Row],[Start Date]],Milestone_Marker,IF(AND(CR$27&gt;ProposalToGnatt[[#This Row],[Start Date]],CR$27&lt;ProposalToGnatt[[#This Row],[Start Date]]+ProposalToGnatt[[#This Row],[Days]]),$G$5,"")),"")</f>
        <v/>
      </c>
      <c r="CS59" s="36" t="str">
        <f ca="1">IFERROR(+IF(CS$27=ProposalToGnatt[[#This Row],[Start Date]],Milestone_Marker,IF(AND(CS$27&gt;ProposalToGnatt[[#This Row],[Start Date]],CS$27&lt;ProposalToGnatt[[#This Row],[Start Date]]+ProposalToGnatt[[#This Row],[Days]]),$G$5,"")),"")</f>
        <v/>
      </c>
      <c r="CT59" s="36" t="str">
        <f ca="1">IFERROR(+IF(CT$27=ProposalToGnatt[[#This Row],[Start Date]],Milestone_Marker,IF(AND(CT$27&gt;ProposalToGnatt[[#This Row],[Start Date]],CT$27&lt;ProposalToGnatt[[#This Row],[Start Date]]+ProposalToGnatt[[#This Row],[Days]]),$G$5,"")),"")</f>
        <v/>
      </c>
      <c r="CU59" s="36" t="str">
        <f ca="1">IFERROR(+IF(CU$27=ProposalToGnatt[[#This Row],[Start Date]],Milestone_Marker,IF(AND(CU$27&gt;ProposalToGnatt[[#This Row],[Start Date]],CU$27&lt;ProposalToGnatt[[#This Row],[Start Date]]+ProposalToGnatt[[#This Row],[Days]]),$G$5,"")),"")</f>
        <v/>
      </c>
      <c r="CV59" s="36"/>
      <c r="CW59" s="36"/>
      <c r="CX59" s="36"/>
      <c r="CY59" s="36"/>
      <c r="CZ59" s="36"/>
      <c r="DA59" s="36"/>
      <c r="DB59" s="36"/>
      <c r="DC59" s="36"/>
      <c r="DD59" s="36"/>
      <c r="DE59" s="36"/>
      <c r="DF59" s="36"/>
      <c r="DG59" s="36"/>
      <c r="DH59" s="36"/>
      <c r="DI59" s="36"/>
      <c r="DJ59" s="36"/>
      <c r="DK59" s="36"/>
      <c r="DL59" s="36"/>
      <c r="DM59" s="36"/>
      <c r="DN59" s="36"/>
      <c r="DO59" s="36"/>
      <c r="DP59" s="36"/>
      <c r="DQ59" s="36"/>
      <c r="DR59" s="36"/>
      <c r="DS59" s="36"/>
      <c r="DT59" s="36"/>
      <c r="DU59" s="36"/>
    </row>
    <row r="60" spans="1:125" s="41" customFormat="1" ht="15" x14ac:dyDescent="0.25">
      <c r="A60" t="s">
        <v>267</v>
      </c>
      <c r="B60">
        <v>42</v>
      </c>
      <c r="C60"/>
      <c r="D60" t="s">
        <v>954</v>
      </c>
      <c r="E60" s="568" t="s">
        <v>953</v>
      </c>
      <c r="F60">
        <v>1</v>
      </c>
      <c r="G60" s="14">
        <v>75</v>
      </c>
      <c r="H60" s="14">
        <v>75</v>
      </c>
      <c r="I60" t="s">
        <v>3</v>
      </c>
      <c r="J60">
        <v>1</v>
      </c>
      <c r="K60" s="249"/>
      <c r="L60"/>
      <c r="M60" s="14"/>
      <c r="N60" s="300">
        <v>75</v>
      </c>
      <c r="O60" s="554"/>
      <c r="P60" s="36" t="str">
        <f ca="1">IFERROR(+IF(P$27=ProposalToGnatt[[#This Row],[Start Date]],Milestone_Marker,IF(AND(P$27&gt;ProposalToGnatt[[#This Row],[Start Date]],P$27&lt;ProposalToGnatt[[#This Row],[Start Date]]+ProposalToGnatt[[#This Row],[Days]]),$G$5,"")),"")</f>
        <v/>
      </c>
      <c r="Q60" s="36" t="str">
        <f ca="1">IFERROR(+IF(Q$27=ProposalToGnatt[[#This Row],[Start Date]],Milestone_Marker,IF(AND(Q$27&gt;ProposalToGnatt[[#This Row],[Start Date]],Q$27&lt;ProposalToGnatt[[#This Row],[Start Date]]+ProposalToGnatt[[#This Row],[Days]]),$G$5,"")),"")</f>
        <v/>
      </c>
      <c r="R60" s="36" t="str">
        <f ca="1">IFERROR(+IF(R$27=ProposalToGnatt[[#This Row],[Start Date]],Milestone_Marker,IF(AND(R$27&gt;ProposalToGnatt[[#This Row],[Start Date]],R$27&lt;ProposalToGnatt[[#This Row],[Start Date]]+ProposalToGnatt[[#This Row],[Days]]),$G$5,"")),"")</f>
        <v/>
      </c>
      <c r="S60" s="36" t="str">
        <f ca="1">IFERROR(+IF(S$27=ProposalToGnatt[[#This Row],[Start Date]],Milestone_Marker,IF(AND(S$27&gt;ProposalToGnatt[[#This Row],[Start Date]],S$27&lt;ProposalToGnatt[[#This Row],[Start Date]]+ProposalToGnatt[[#This Row],[Days]]),$G$5,"")),"")</f>
        <v/>
      </c>
      <c r="T60" s="36" t="str">
        <f ca="1">IFERROR(+IF(T$27=ProposalToGnatt[[#This Row],[Start Date]],Milestone_Marker,IF(AND(T$27&gt;ProposalToGnatt[[#This Row],[Start Date]],T$27&lt;ProposalToGnatt[[#This Row],[Start Date]]+ProposalToGnatt[[#This Row],[Days]]),$G$5,"")),"")</f>
        <v/>
      </c>
      <c r="U60" s="36" t="str">
        <f ca="1">IFERROR(+IF(U$27=ProposalToGnatt[[#This Row],[Start Date]],Milestone_Marker,IF(AND(U$27&gt;ProposalToGnatt[[#This Row],[Start Date]],U$27&lt;ProposalToGnatt[[#This Row],[Start Date]]+ProposalToGnatt[[#This Row],[Days]]),$G$5,"")),"")</f>
        <v/>
      </c>
      <c r="V60" s="36" t="str">
        <f ca="1">IFERROR(+IF(V$27=ProposalToGnatt[[#This Row],[Start Date]],Milestone_Marker,IF(AND(V$27&gt;ProposalToGnatt[[#This Row],[Start Date]],V$27&lt;ProposalToGnatt[[#This Row],[Start Date]]+ProposalToGnatt[[#This Row],[Days]]),$G$5,"")),"")</f>
        <v/>
      </c>
      <c r="W60" s="36" t="str">
        <f ca="1">IFERROR(+IF(W$27=ProposalToGnatt[[#This Row],[Start Date]],Milestone_Marker,IF(AND(W$27&gt;ProposalToGnatt[[#This Row],[Start Date]],W$27&lt;ProposalToGnatt[[#This Row],[Start Date]]+ProposalToGnatt[[#This Row],[Days]]),$G$5,"")),"")</f>
        <v/>
      </c>
      <c r="X60" s="36" t="str">
        <f ca="1">IFERROR(+IF(X$27=ProposalToGnatt[[#This Row],[Start Date]],Milestone_Marker,IF(AND(X$27&gt;ProposalToGnatt[[#This Row],[Start Date]],X$27&lt;ProposalToGnatt[[#This Row],[Start Date]]+ProposalToGnatt[[#This Row],[Days]]),$G$5,"")),"")</f>
        <v/>
      </c>
      <c r="Y60" s="36" t="str">
        <f ca="1">IFERROR(+IF(Y$27=ProposalToGnatt[[#This Row],[Start Date]],Milestone_Marker,IF(AND(Y$27&gt;ProposalToGnatt[[#This Row],[Start Date]],Y$27&lt;ProposalToGnatt[[#This Row],[Start Date]]+ProposalToGnatt[[#This Row],[Days]]),$G$5,"")),"")</f>
        <v/>
      </c>
      <c r="Z60" s="36" t="str">
        <f ca="1">IFERROR(+IF(Z$27=ProposalToGnatt[[#This Row],[Start Date]],Milestone_Marker,IF(AND(Z$27&gt;ProposalToGnatt[[#This Row],[Start Date]],Z$27&lt;ProposalToGnatt[[#This Row],[Start Date]]+ProposalToGnatt[[#This Row],[Days]]),$G$5,"")),"")</f>
        <v/>
      </c>
      <c r="AA60" s="36" t="str">
        <f ca="1">IFERROR(+IF(AA$27=ProposalToGnatt[[#This Row],[Start Date]],Milestone_Marker,IF(AND(AA$27&gt;ProposalToGnatt[[#This Row],[Start Date]],AA$27&lt;ProposalToGnatt[[#This Row],[Start Date]]+ProposalToGnatt[[#This Row],[Days]]),$G$5,"")),"")</f>
        <v/>
      </c>
      <c r="AB60" s="36" t="str">
        <f ca="1">IFERROR(+IF(AB$27=ProposalToGnatt[[#This Row],[Start Date]],Milestone_Marker,IF(AND(AB$27&gt;ProposalToGnatt[[#This Row],[Start Date]],AB$27&lt;ProposalToGnatt[[#This Row],[Start Date]]+ProposalToGnatt[[#This Row],[Days]]),$G$5,"")),"")</f>
        <v/>
      </c>
      <c r="AC60" s="36" t="str">
        <f ca="1">IFERROR(+IF(AC$27=ProposalToGnatt[[#This Row],[Start Date]],Milestone_Marker,IF(AND(AC$27&gt;ProposalToGnatt[[#This Row],[Start Date]],AC$27&lt;ProposalToGnatt[[#This Row],[Start Date]]+ProposalToGnatt[[#This Row],[Days]]),$G$5,"")),"")</f>
        <v/>
      </c>
      <c r="AD60" s="36" t="str">
        <f ca="1">IFERROR(+IF(AD$27=ProposalToGnatt[[#This Row],[Start Date]],Milestone_Marker,IF(AND(AD$27&gt;ProposalToGnatt[[#This Row],[Start Date]],AD$27&lt;ProposalToGnatt[[#This Row],[Start Date]]+ProposalToGnatt[[#This Row],[Days]]),$G$5,"")),"")</f>
        <v/>
      </c>
      <c r="AE60" s="36" t="str">
        <f ca="1">IFERROR(+IF(AE$27=ProposalToGnatt[[#This Row],[Start Date]],Milestone_Marker,IF(AND(AE$27&gt;ProposalToGnatt[[#This Row],[Start Date]],AE$27&lt;ProposalToGnatt[[#This Row],[Start Date]]+ProposalToGnatt[[#This Row],[Days]]),$G$5,"")),"")</f>
        <v/>
      </c>
      <c r="AF60" s="36" t="str">
        <f ca="1">IFERROR(+IF(AF$27=ProposalToGnatt[[#This Row],[Start Date]],Milestone_Marker,IF(AND(AF$27&gt;ProposalToGnatt[[#This Row],[Start Date]],AF$27&lt;ProposalToGnatt[[#This Row],[Start Date]]+ProposalToGnatt[[#This Row],[Days]]),$G$5,"")),"")</f>
        <v/>
      </c>
      <c r="AG60" s="36" t="str">
        <f ca="1">IFERROR(+IF(AG$27=ProposalToGnatt[[#This Row],[Start Date]],Milestone_Marker,IF(AND(AG$27&gt;ProposalToGnatt[[#This Row],[Start Date]],AG$27&lt;ProposalToGnatt[[#This Row],[Start Date]]+ProposalToGnatt[[#This Row],[Days]]),$G$5,"")),"")</f>
        <v/>
      </c>
      <c r="AH60" s="36" t="str">
        <f ca="1">IFERROR(+IF(AH$27=ProposalToGnatt[[#This Row],[Start Date]],Milestone_Marker,IF(AND(AH$27&gt;ProposalToGnatt[[#This Row],[Start Date]],AH$27&lt;ProposalToGnatt[[#This Row],[Start Date]]+ProposalToGnatt[[#This Row],[Days]]),$G$5,"")),"")</f>
        <v/>
      </c>
      <c r="AI60" s="36" t="str">
        <f ca="1">IFERROR(+IF(AI$27=ProposalToGnatt[[#This Row],[Start Date]],Milestone_Marker,IF(AND(AI$27&gt;ProposalToGnatt[[#This Row],[Start Date]],AI$27&lt;ProposalToGnatt[[#This Row],[Start Date]]+ProposalToGnatt[[#This Row],[Days]]),$G$5,"")),"")</f>
        <v/>
      </c>
      <c r="AJ60" s="36" t="str">
        <f ca="1">IFERROR(+IF(AJ$27=ProposalToGnatt[[#This Row],[Start Date]],Milestone_Marker,IF(AND(AJ$27&gt;ProposalToGnatt[[#This Row],[Start Date]],AJ$27&lt;ProposalToGnatt[[#This Row],[Start Date]]+ProposalToGnatt[[#This Row],[Days]]),$G$5,"")),"")</f>
        <v/>
      </c>
      <c r="AK60" s="36" t="str">
        <f ca="1">IFERROR(+IF(AK$27=ProposalToGnatt[[#This Row],[Start Date]],Milestone_Marker,IF(AND(AK$27&gt;ProposalToGnatt[[#This Row],[Start Date]],AK$27&lt;ProposalToGnatt[[#This Row],[Start Date]]+ProposalToGnatt[[#This Row],[Days]]),$G$5,"")),"")</f>
        <v/>
      </c>
      <c r="AL60" s="36" t="str">
        <f ca="1">IFERROR(+IF(AL$27=ProposalToGnatt[[#This Row],[Start Date]],Milestone_Marker,IF(AND(AL$27&gt;ProposalToGnatt[[#This Row],[Start Date]],AL$27&lt;ProposalToGnatt[[#This Row],[Start Date]]+ProposalToGnatt[[#This Row],[Days]]),$G$5,"")),"")</f>
        <v/>
      </c>
      <c r="AM60" s="36" t="str">
        <f ca="1">IFERROR(+IF(AM$27=ProposalToGnatt[[#This Row],[Start Date]],Milestone_Marker,IF(AND(AM$27&gt;ProposalToGnatt[[#This Row],[Start Date]],AM$27&lt;ProposalToGnatt[[#This Row],[Start Date]]+ProposalToGnatt[[#This Row],[Days]]),$G$5,"")),"")</f>
        <v/>
      </c>
      <c r="AN60" s="36" t="str">
        <f ca="1">IFERROR(+IF(AN$27=ProposalToGnatt[[#This Row],[Start Date]],Milestone_Marker,IF(AND(AN$27&gt;ProposalToGnatt[[#This Row],[Start Date]],AN$27&lt;ProposalToGnatt[[#This Row],[Start Date]]+ProposalToGnatt[[#This Row],[Days]]),$G$5,"")),"")</f>
        <v/>
      </c>
      <c r="AO60" s="36" t="str">
        <f ca="1">IFERROR(+IF(AO$27=ProposalToGnatt[[#This Row],[Start Date]],Milestone_Marker,IF(AND(AO$27&gt;ProposalToGnatt[[#This Row],[Start Date]],AO$27&lt;ProposalToGnatt[[#This Row],[Start Date]]+ProposalToGnatt[[#This Row],[Days]]),$G$5,"")),"")</f>
        <v/>
      </c>
      <c r="AP60" s="36" t="str">
        <f ca="1">IFERROR(+IF(AP$27=ProposalToGnatt[[#This Row],[Start Date]],Milestone_Marker,IF(AND(AP$27&gt;ProposalToGnatt[[#This Row],[Start Date]],AP$27&lt;ProposalToGnatt[[#This Row],[Start Date]]+ProposalToGnatt[[#This Row],[Days]]),$G$5,"")),"")</f>
        <v/>
      </c>
      <c r="AQ60" s="36" t="str">
        <f ca="1">IFERROR(+IF(AQ$27=ProposalToGnatt[[#This Row],[Start Date]],Milestone_Marker,IF(AND(AQ$27&gt;ProposalToGnatt[[#This Row],[Start Date]],AQ$27&lt;ProposalToGnatt[[#This Row],[Start Date]]+ProposalToGnatt[[#This Row],[Days]]),$G$5,"")),"")</f>
        <v/>
      </c>
      <c r="AR60" s="36" t="str">
        <f ca="1">IFERROR(+IF(AR$27=ProposalToGnatt[[#This Row],[Start Date]],Milestone_Marker,IF(AND(AR$27&gt;ProposalToGnatt[[#This Row],[Start Date]],AR$27&lt;ProposalToGnatt[[#This Row],[Start Date]]+ProposalToGnatt[[#This Row],[Days]]),$G$5,"")),"")</f>
        <v/>
      </c>
      <c r="AS60" s="36" t="str">
        <f ca="1">IFERROR(+IF(AS$27=ProposalToGnatt[[#This Row],[Start Date]],Milestone_Marker,IF(AND(AS$27&gt;ProposalToGnatt[[#This Row],[Start Date]],AS$27&lt;ProposalToGnatt[[#This Row],[Start Date]]+ProposalToGnatt[[#This Row],[Days]]),$G$5,"")),"")</f>
        <v/>
      </c>
      <c r="AT60" s="36" t="str">
        <f ca="1">IFERROR(+IF(AT$27=ProposalToGnatt[[#This Row],[Start Date]],Milestone_Marker,IF(AND(AT$27&gt;ProposalToGnatt[[#This Row],[Start Date]],AT$27&lt;ProposalToGnatt[[#This Row],[Start Date]]+ProposalToGnatt[[#This Row],[Days]]),$G$5,"")),"")</f>
        <v/>
      </c>
      <c r="AU60" s="36" t="str">
        <f ca="1">IFERROR(+IF(AU$27=ProposalToGnatt[[#This Row],[Start Date]],Milestone_Marker,IF(AND(AU$27&gt;ProposalToGnatt[[#This Row],[Start Date]],AU$27&lt;ProposalToGnatt[[#This Row],[Start Date]]+ProposalToGnatt[[#This Row],[Days]]),$G$5,"")),"")</f>
        <v/>
      </c>
      <c r="AV60" s="36" t="str">
        <f ca="1">IFERROR(+IF(AV$27=ProposalToGnatt[[#This Row],[Start Date]],Milestone_Marker,IF(AND(AV$27&gt;ProposalToGnatt[[#This Row],[Start Date]],AV$27&lt;ProposalToGnatt[[#This Row],[Start Date]]+ProposalToGnatt[[#This Row],[Days]]),$G$5,"")),"")</f>
        <v/>
      </c>
      <c r="AW60" s="36" t="str">
        <f ca="1">IFERROR(+IF(AW$27=ProposalToGnatt[[#This Row],[Start Date]],Milestone_Marker,IF(AND(AW$27&gt;ProposalToGnatt[[#This Row],[Start Date]],AW$27&lt;ProposalToGnatt[[#This Row],[Start Date]]+ProposalToGnatt[[#This Row],[Days]]),$G$5,"")),"")</f>
        <v/>
      </c>
      <c r="AX60" s="36" t="str">
        <f ca="1">IFERROR(+IF(AX$27=ProposalToGnatt[[#This Row],[Start Date]],Milestone_Marker,IF(AND(AX$27&gt;ProposalToGnatt[[#This Row],[Start Date]],AX$27&lt;ProposalToGnatt[[#This Row],[Start Date]]+ProposalToGnatt[[#This Row],[Days]]),$G$5,"")),"")</f>
        <v/>
      </c>
      <c r="AY60" s="36" t="str">
        <f ca="1">IFERROR(+IF(AY$27=ProposalToGnatt[[#This Row],[Start Date]],Milestone_Marker,IF(AND(AY$27&gt;ProposalToGnatt[[#This Row],[Start Date]],AY$27&lt;ProposalToGnatt[[#This Row],[Start Date]]+ProposalToGnatt[[#This Row],[Days]]),$G$5,"")),"")</f>
        <v/>
      </c>
      <c r="AZ60" s="36" t="str">
        <f ca="1">IFERROR(+IF(AZ$27=ProposalToGnatt[[#This Row],[Start Date]],Milestone_Marker,IF(AND(AZ$27&gt;ProposalToGnatt[[#This Row],[Start Date]],AZ$27&lt;ProposalToGnatt[[#This Row],[Start Date]]+ProposalToGnatt[[#This Row],[Days]]),$G$5,"")),"")</f>
        <v/>
      </c>
      <c r="BA60" s="36" t="str">
        <f ca="1">IFERROR(+IF(BA$27=ProposalToGnatt[[#This Row],[Start Date]],Milestone_Marker,IF(AND(BA$27&gt;ProposalToGnatt[[#This Row],[Start Date]],BA$27&lt;ProposalToGnatt[[#This Row],[Start Date]]+ProposalToGnatt[[#This Row],[Days]]),$G$5,"")),"")</f>
        <v/>
      </c>
      <c r="BB60" s="36" t="str">
        <f ca="1">IFERROR(+IF(BB$27=ProposalToGnatt[[#This Row],[Start Date]],Milestone_Marker,IF(AND(BB$27&gt;ProposalToGnatt[[#This Row],[Start Date]],BB$27&lt;ProposalToGnatt[[#This Row],[Start Date]]+ProposalToGnatt[[#This Row],[Days]]),$G$5,"")),"")</f>
        <v/>
      </c>
      <c r="BC60" s="36" t="str">
        <f ca="1">IFERROR(+IF(BC$27=ProposalToGnatt[[#This Row],[Start Date]],Milestone_Marker,IF(AND(BC$27&gt;ProposalToGnatt[[#This Row],[Start Date]],BC$27&lt;ProposalToGnatt[[#This Row],[Start Date]]+ProposalToGnatt[[#This Row],[Days]]),$G$5,"")),"")</f>
        <v/>
      </c>
      <c r="BD60" s="36" t="str">
        <f ca="1">IFERROR(+IF(BD$27=ProposalToGnatt[[#This Row],[Start Date]],Milestone_Marker,IF(AND(BD$27&gt;ProposalToGnatt[[#This Row],[Start Date]],BD$27&lt;ProposalToGnatt[[#This Row],[Start Date]]+ProposalToGnatt[[#This Row],[Days]]),$G$5,"")),"")</f>
        <v/>
      </c>
      <c r="BE60" s="36" t="str">
        <f ca="1">IFERROR(+IF(BE$27=ProposalToGnatt[[#This Row],[Start Date]],Milestone_Marker,IF(AND(BE$27&gt;ProposalToGnatt[[#This Row],[Start Date]],BE$27&lt;ProposalToGnatt[[#This Row],[Start Date]]+ProposalToGnatt[[#This Row],[Days]]),$G$5,"")),"")</f>
        <v/>
      </c>
      <c r="BF60" s="36" t="str">
        <f ca="1">IFERROR(+IF(BF$27=ProposalToGnatt[[#This Row],[Start Date]],Milestone_Marker,IF(AND(BF$27&gt;ProposalToGnatt[[#This Row],[Start Date]],BF$27&lt;ProposalToGnatt[[#This Row],[Start Date]]+ProposalToGnatt[[#This Row],[Days]]),$G$5,"")),"")</f>
        <v/>
      </c>
      <c r="BG60" s="36" t="str">
        <f ca="1">IFERROR(+IF(BG$27=ProposalToGnatt[[#This Row],[Start Date]],Milestone_Marker,IF(AND(BG$27&gt;ProposalToGnatt[[#This Row],[Start Date]],BG$27&lt;ProposalToGnatt[[#This Row],[Start Date]]+ProposalToGnatt[[#This Row],[Days]]),$G$5,"")),"")</f>
        <v/>
      </c>
      <c r="BH60" s="36" t="str">
        <f ca="1">IFERROR(+IF(BH$27=ProposalToGnatt[[#This Row],[Start Date]],Milestone_Marker,IF(AND(BH$27&gt;ProposalToGnatt[[#This Row],[Start Date]],BH$27&lt;ProposalToGnatt[[#This Row],[Start Date]]+ProposalToGnatt[[#This Row],[Days]]),$G$5,"")),"")</f>
        <v/>
      </c>
      <c r="BI60" s="36" t="str">
        <f ca="1">IFERROR(+IF(BI$27=ProposalToGnatt[[#This Row],[Start Date]],Milestone_Marker,IF(AND(BI$27&gt;ProposalToGnatt[[#This Row],[Start Date]],BI$27&lt;ProposalToGnatt[[#This Row],[Start Date]]+ProposalToGnatt[[#This Row],[Days]]),$G$5,"")),"")</f>
        <v/>
      </c>
      <c r="BJ60" s="36" t="str">
        <f ca="1">IFERROR(+IF(BJ$27=ProposalToGnatt[[#This Row],[Start Date]],Milestone_Marker,IF(AND(BJ$27&gt;ProposalToGnatt[[#This Row],[Start Date]],BJ$27&lt;ProposalToGnatt[[#This Row],[Start Date]]+ProposalToGnatt[[#This Row],[Days]]),$G$5,"")),"")</f>
        <v/>
      </c>
      <c r="BK60" s="36" t="str">
        <f ca="1">IFERROR(+IF(BK$27=ProposalToGnatt[[#This Row],[Start Date]],Milestone_Marker,IF(AND(BK$27&gt;ProposalToGnatt[[#This Row],[Start Date]],BK$27&lt;ProposalToGnatt[[#This Row],[Start Date]]+ProposalToGnatt[[#This Row],[Days]]),$G$5,"")),"")</f>
        <v/>
      </c>
      <c r="BL60" s="36" t="str">
        <f ca="1">IFERROR(+IF(BL$27=ProposalToGnatt[[#This Row],[Start Date]],Milestone_Marker,IF(AND(BL$27&gt;ProposalToGnatt[[#This Row],[Start Date]],BL$27&lt;ProposalToGnatt[[#This Row],[Start Date]]+ProposalToGnatt[[#This Row],[Days]]),$G$5,"")),"")</f>
        <v/>
      </c>
      <c r="BM60" s="36" t="str">
        <f ca="1">IFERROR(+IF(BM$27=ProposalToGnatt[[#This Row],[Start Date]],Milestone_Marker,IF(AND(BM$27&gt;ProposalToGnatt[[#This Row],[Start Date]],BM$27&lt;ProposalToGnatt[[#This Row],[Start Date]]+ProposalToGnatt[[#This Row],[Days]]),$G$5,"")),"")</f>
        <v/>
      </c>
      <c r="BN60" s="36" t="str">
        <f ca="1">IFERROR(+IF(BN$27=ProposalToGnatt[[#This Row],[Start Date]],Milestone_Marker,IF(AND(BN$27&gt;ProposalToGnatt[[#This Row],[Start Date]],BN$27&lt;ProposalToGnatt[[#This Row],[Start Date]]+ProposalToGnatt[[#This Row],[Days]]),$G$5,"")),"")</f>
        <v/>
      </c>
      <c r="BO60" s="36" t="str">
        <f ca="1">IFERROR(+IF(BO$27=ProposalToGnatt[[#This Row],[Start Date]],Milestone_Marker,IF(AND(BO$27&gt;ProposalToGnatt[[#This Row],[Start Date]],BO$27&lt;ProposalToGnatt[[#This Row],[Start Date]]+ProposalToGnatt[[#This Row],[Days]]),$G$5,"")),"")</f>
        <v/>
      </c>
      <c r="BP60" s="36" t="str">
        <f ca="1">IFERROR(+IF(BP$27=ProposalToGnatt[[#This Row],[Start Date]],Milestone_Marker,IF(AND(BP$27&gt;ProposalToGnatt[[#This Row],[Start Date]],BP$27&lt;ProposalToGnatt[[#This Row],[Start Date]]+ProposalToGnatt[[#This Row],[Days]]),$G$5,"")),"")</f>
        <v/>
      </c>
      <c r="BQ60" s="36" t="str">
        <f ca="1">IFERROR(+IF(BQ$27=ProposalToGnatt[[#This Row],[Start Date]],Milestone_Marker,IF(AND(BQ$27&gt;ProposalToGnatt[[#This Row],[Start Date]],BQ$27&lt;ProposalToGnatt[[#This Row],[Start Date]]+ProposalToGnatt[[#This Row],[Days]]),$G$5,"")),"")</f>
        <v/>
      </c>
      <c r="BR60" s="36" t="str">
        <f ca="1">IFERROR(+IF(BR$27=ProposalToGnatt[[#This Row],[Start Date]],Milestone_Marker,IF(AND(BR$27&gt;ProposalToGnatt[[#This Row],[Start Date]],BR$27&lt;ProposalToGnatt[[#This Row],[Start Date]]+ProposalToGnatt[[#This Row],[Days]]),$G$5,"")),"")</f>
        <v/>
      </c>
      <c r="BS60" s="36" t="str">
        <f ca="1">IFERROR(+IF(BS$27=ProposalToGnatt[[#This Row],[Start Date]],Milestone_Marker,IF(AND(BS$27&gt;ProposalToGnatt[[#This Row],[Start Date]],BS$27&lt;ProposalToGnatt[[#This Row],[Start Date]]+ProposalToGnatt[[#This Row],[Days]]),$G$5,"")),"")</f>
        <v/>
      </c>
      <c r="BT60" s="36" t="str">
        <f ca="1">IFERROR(+IF(BT$27=ProposalToGnatt[[#This Row],[Start Date]],Milestone_Marker,IF(AND(BT$27&gt;ProposalToGnatt[[#This Row],[Start Date]],BT$27&lt;ProposalToGnatt[[#This Row],[Start Date]]+ProposalToGnatt[[#This Row],[Days]]),$G$5,"")),"")</f>
        <v/>
      </c>
      <c r="BU60" s="36" t="str">
        <f ca="1">IFERROR(+IF(BU$27=ProposalToGnatt[[#This Row],[Start Date]],Milestone_Marker,IF(AND(BU$27&gt;ProposalToGnatt[[#This Row],[Start Date]],BU$27&lt;ProposalToGnatt[[#This Row],[Start Date]]+ProposalToGnatt[[#This Row],[Days]]),$G$5,"")),"")</f>
        <v/>
      </c>
      <c r="BV60" s="36" t="str">
        <f ca="1">IFERROR(+IF(BV$27=ProposalToGnatt[[#This Row],[Start Date]],Milestone_Marker,IF(AND(BV$27&gt;ProposalToGnatt[[#This Row],[Start Date]],BV$27&lt;ProposalToGnatt[[#This Row],[Start Date]]+ProposalToGnatt[[#This Row],[Days]]),$G$5,"")),"")</f>
        <v/>
      </c>
      <c r="BW60" s="36" t="str">
        <f ca="1">IFERROR(+IF(BW$27=ProposalToGnatt[[#This Row],[Start Date]],Milestone_Marker,IF(AND(BW$27&gt;ProposalToGnatt[[#This Row],[Start Date]],BW$27&lt;ProposalToGnatt[[#This Row],[Start Date]]+ProposalToGnatt[[#This Row],[Days]]),$G$5,"")),"")</f>
        <v/>
      </c>
      <c r="BX60" s="36" t="str">
        <f ca="1">IFERROR(+IF(BX$27=ProposalToGnatt[[#This Row],[Start Date]],Milestone_Marker,IF(AND(BX$27&gt;ProposalToGnatt[[#This Row],[Start Date]],BX$27&lt;ProposalToGnatt[[#This Row],[Start Date]]+ProposalToGnatt[[#This Row],[Days]]),$G$5,"")),"")</f>
        <v/>
      </c>
      <c r="BY60" s="36" t="str">
        <f ca="1">IFERROR(+IF(BY$27=ProposalToGnatt[[#This Row],[Start Date]],Milestone_Marker,IF(AND(BY$27&gt;ProposalToGnatt[[#This Row],[Start Date]],BY$27&lt;ProposalToGnatt[[#This Row],[Start Date]]+ProposalToGnatt[[#This Row],[Days]]),$G$5,"")),"")</f>
        <v/>
      </c>
      <c r="BZ60" s="36" t="str">
        <f ca="1">IFERROR(+IF(BZ$27=ProposalToGnatt[[#This Row],[Start Date]],Milestone_Marker,IF(AND(BZ$27&gt;ProposalToGnatt[[#This Row],[Start Date]],BZ$27&lt;ProposalToGnatt[[#This Row],[Start Date]]+ProposalToGnatt[[#This Row],[Days]]),$G$5,"")),"")</f>
        <v/>
      </c>
      <c r="CA60" s="36" t="str">
        <f ca="1">IFERROR(+IF(CA$27=ProposalToGnatt[[#This Row],[Start Date]],Milestone_Marker,IF(AND(CA$27&gt;ProposalToGnatt[[#This Row],[Start Date]],CA$27&lt;ProposalToGnatt[[#This Row],[Start Date]]+ProposalToGnatt[[#This Row],[Days]]),$G$5,"")),"")</f>
        <v/>
      </c>
      <c r="CB60" s="36" t="str">
        <f ca="1">IFERROR(+IF(CB$27=ProposalToGnatt[[#This Row],[Start Date]],Milestone_Marker,IF(AND(CB$27&gt;ProposalToGnatt[[#This Row],[Start Date]],CB$27&lt;ProposalToGnatt[[#This Row],[Start Date]]+ProposalToGnatt[[#This Row],[Days]]),$G$5,"")),"")</f>
        <v/>
      </c>
      <c r="CC60" s="36" t="str">
        <f ca="1">IFERROR(+IF(CC$27=ProposalToGnatt[[#This Row],[Start Date]],Milestone_Marker,IF(AND(CC$27&gt;ProposalToGnatt[[#This Row],[Start Date]],CC$27&lt;ProposalToGnatt[[#This Row],[Start Date]]+ProposalToGnatt[[#This Row],[Days]]),$G$5,"")),"")</f>
        <v/>
      </c>
      <c r="CD60" s="36" t="str">
        <f ca="1">IFERROR(+IF(CD$27=ProposalToGnatt[[#This Row],[Start Date]],Milestone_Marker,IF(AND(CD$27&gt;ProposalToGnatt[[#This Row],[Start Date]],CD$27&lt;ProposalToGnatt[[#This Row],[Start Date]]+ProposalToGnatt[[#This Row],[Days]]),$G$5,"")),"")</f>
        <v/>
      </c>
      <c r="CE60" s="36" t="str">
        <f ca="1">IFERROR(+IF(CE$27=ProposalToGnatt[[#This Row],[Start Date]],Milestone_Marker,IF(AND(CE$27&gt;ProposalToGnatt[[#This Row],[Start Date]],CE$27&lt;ProposalToGnatt[[#This Row],[Start Date]]+ProposalToGnatt[[#This Row],[Days]]),$G$5,"")),"")</f>
        <v/>
      </c>
      <c r="CF60" s="36" t="str">
        <f ca="1">IFERROR(+IF(CF$27=ProposalToGnatt[[#This Row],[Start Date]],Milestone_Marker,IF(AND(CF$27&gt;ProposalToGnatt[[#This Row],[Start Date]],CF$27&lt;ProposalToGnatt[[#This Row],[Start Date]]+ProposalToGnatt[[#This Row],[Days]]),$G$5,"")),"")</f>
        <v/>
      </c>
      <c r="CG60" s="36" t="str">
        <f ca="1">IFERROR(+IF(CG$27=ProposalToGnatt[[#This Row],[Start Date]],Milestone_Marker,IF(AND(CG$27&gt;ProposalToGnatt[[#This Row],[Start Date]],CG$27&lt;ProposalToGnatt[[#This Row],[Start Date]]+ProposalToGnatt[[#This Row],[Days]]),$G$5,"")),"")</f>
        <v/>
      </c>
      <c r="CH60" s="36" t="str">
        <f ca="1">IFERROR(+IF(CH$27=ProposalToGnatt[[#This Row],[Start Date]],Milestone_Marker,IF(AND(CH$27&gt;ProposalToGnatt[[#This Row],[Start Date]],CH$27&lt;ProposalToGnatt[[#This Row],[Start Date]]+ProposalToGnatt[[#This Row],[Days]]),$G$5,"")),"")</f>
        <v/>
      </c>
      <c r="CI60" s="36" t="str">
        <f ca="1">IFERROR(+IF(CI$27=ProposalToGnatt[[#This Row],[Start Date]],Milestone_Marker,IF(AND(CI$27&gt;ProposalToGnatt[[#This Row],[Start Date]],CI$27&lt;ProposalToGnatt[[#This Row],[Start Date]]+ProposalToGnatt[[#This Row],[Days]]),$G$5,"")),"")</f>
        <v/>
      </c>
      <c r="CJ60" s="36" t="str">
        <f ca="1">IFERROR(+IF(CJ$27=ProposalToGnatt[[#This Row],[Start Date]],Milestone_Marker,IF(AND(CJ$27&gt;ProposalToGnatt[[#This Row],[Start Date]],CJ$27&lt;ProposalToGnatt[[#This Row],[Start Date]]+ProposalToGnatt[[#This Row],[Days]]),$G$5,"")),"")</f>
        <v/>
      </c>
      <c r="CK60" s="36" t="str">
        <f ca="1">IFERROR(+IF(CK$27=ProposalToGnatt[[#This Row],[Start Date]],Milestone_Marker,IF(AND(CK$27&gt;ProposalToGnatt[[#This Row],[Start Date]],CK$27&lt;ProposalToGnatt[[#This Row],[Start Date]]+ProposalToGnatt[[#This Row],[Days]]),$G$5,"")),"")</f>
        <v/>
      </c>
      <c r="CL60" s="36" t="str">
        <f ca="1">IFERROR(+IF(CL$27=ProposalToGnatt[[#This Row],[Start Date]],Milestone_Marker,IF(AND(CL$27&gt;ProposalToGnatt[[#This Row],[Start Date]],CL$27&lt;ProposalToGnatt[[#This Row],[Start Date]]+ProposalToGnatt[[#This Row],[Days]]),$G$5,"")),"")</f>
        <v/>
      </c>
      <c r="CM60" s="36" t="str">
        <f ca="1">IFERROR(+IF(CM$27=ProposalToGnatt[[#This Row],[Start Date]],Milestone_Marker,IF(AND(CM$27&gt;ProposalToGnatt[[#This Row],[Start Date]],CM$27&lt;ProposalToGnatt[[#This Row],[Start Date]]+ProposalToGnatt[[#This Row],[Days]]),$G$5,"")),"")</f>
        <v/>
      </c>
      <c r="CN60" s="36" t="str">
        <f ca="1">IFERROR(+IF(CN$27=ProposalToGnatt[[#This Row],[Start Date]],Milestone_Marker,IF(AND(CN$27&gt;ProposalToGnatt[[#This Row],[Start Date]],CN$27&lt;ProposalToGnatt[[#This Row],[Start Date]]+ProposalToGnatt[[#This Row],[Days]]),$G$5,"")),"")</f>
        <v/>
      </c>
      <c r="CO60" s="36" t="str">
        <f ca="1">IFERROR(+IF(CO$27=ProposalToGnatt[[#This Row],[Start Date]],Milestone_Marker,IF(AND(CO$27&gt;ProposalToGnatt[[#This Row],[Start Date]],CO$27&lt;ProposalToGnatt[[#This Row],[Start Date]]+ProposalToGnatt[[#This Row],[Days]]),$G$5,"")),"")</f>
        <v/>
      </c>
      <c r="CP60" s="36" t="str">
        <f ca="1">IFERROR(+IF(CP$27=ProposalToGnatt[[#This Row],[Start Date]],Milestone_Marker,IF(AND(CP$27&gt;ProposalToGnatt[[#This Row],[Start Date]],CP$27&lt;ProposalToGnatt[[#This Row],[Start Date]]+ProposalToGnatt[[#This Row],[Days]]),$G$5,"")),"")</f>
        <v/>
      </c>
      <c r="CQ60" s="36" t="str">
        <f ca="1">IFERROR(+IF(CQ$27=ProposalToGnatt[[#This Row],[Start Date]],Milestone_Marker,IF(AND(CQ$27&gt;ProposalToGnatt[[#This Row],[Start Date]],CQ$27&lt;ProposalToGnatt[[#This Row],[Start Date]]+ProposalToGnatt[[#This Row],[Days]]),$G$5,"")),"")</f>
        <v/>
      </c>
      <c r="CR60" s="36" t="str">
        <f ca="1">IFERROR(+IF(CR$27=ProposalToGnatt[[#This Row],[Start Date]],Milestone_Marker,IF(AND(CR$27&gt;ProposalToGnatt[[#This Row],[Start Date]],CR$27&lt;ProposalToGnatt[[#This Row],[Start Date]]+ProposalToGnatt[[#This Row],[Days]]),$G$5,"")),"")</f>
        <v/>
      </c>
      <c r="CS60" s="36" t="str">
        <f ca="1">IFERROR(+IF(CS$27=ProposalToGnatt[[#This Row],[Start Date]],Milestone_Marker,IF(AND(CS$27&gt;ProposalToGnatt[[#This Row],[Start Date]],CS$27&lt;ProposalToGnatt[[#This Row],[Start Date]]+ProposalToGnatt[[#This Row],[Days]]),$G$5,"")),"")</f>
        <v/>
      </c>
      <c r="CT60" s="36" t="str">
        <f ca="1">IFERROR(+IF(CT$27=ProposalToGnatt[[#This Row],[Start Date]],Milestone_Marker,IF(AND(CT$27&gt;ProposalToGnatt[[#This Row],[Start Date]],CT$27&lt;ProposalToGnatt[[#This Row],[Start Date]]+ProposalToGnatt[[#This Row],[Days]]),$G$5,"")),"")</f>
        <v/>
      </c>
      <c r="CU60" s="36" t="str">
        <f ca="1">IFERROR(+IF(CU$27=ProposalToGnatt[[#This Row],[Start Date]],Milestone_Marker,IF(AND(CU$27&gt;ProposalToGnatt[[#This Row],[Start Date]],CU$27&lt;ProposalToGnatt[[#This Row],[Start Date]]+ProposalToGnatt[[#This Row],[Days]]),$G$5,"")),"")</f>
        <v/>
      </c>
      <c r="CV60" s="36"/>
      <c r="CW60" s="36"/>
      <c r="CX60" s="36"/>
      <c r="CY60" s="36"/>
      <c r="CZ60" s="36"/>
      <c r="DA60" s="36"/>
      <c r="DB60" s="36"/>
      <c r="DC60" s="36"/>
      <c r="DD60" s="36"/>
      <c r="DE60" s="36"/>
      <c r="DF60" s="36"/>
      <c r="DG60" s="36"/>
      <c r="DH60" s="36"/>
      <c r="DI60" s="36"/>
      <c r="DJ60" s="36"/>
      <c r="DK60" s="36"/>
      <c r="DL60" s="36"/>
      <c r="DM60" s="36"/>
      <c r="DN60" s="36"/>
      <c r="DO60" s="36"/>
      <c r="DP60" s="36"/>
      <c r="DQ60" s="36"/>
      <c r="DR60" s="36"/>
      <c r="DS60" s="36"/>
      <c r="DT60" s="36"/>
      <c r="DU60" s="36"/>
    </row>
    <row r="61" spans="1:125" s="41" customFormat="1" ht="15" x14ac:dyDescent="0.25">
      <c r="A61" t="s">
        <v>267</v>
      </c>
      <c r="B61">
        <v>43</v>
      </c>
      <c r="C61"/>
      <c r="D61" t="s">
        <v>956</v>
      </c>
      <c r="E61" s="568" t="s">
        <v>955</v>
      </c>
      <c r="F61">
        <v>0</v>
      </c>
      <c r="G61" s="14"/>
      <c r="H61" s="14"/>
      <c r="I61"/>
      <c r="J61">
        <v>1</v>
      </c>
      <c r="K61" s="249"/>
      <c r="L61"/>
      <c r="M61" s="14"/>
      <c r="N61" s="300"/>
      <c r="O61" s="554"/>
      <c r="P61" s="36" t="str">
        <f ca="1">IFERROR(+IF(P$27=ProposalToGnatt[[#This Row],[Start Date]],Milestone_Marker,IF(AND(P$27&gt;ProposalToGnatt[[#This Row],[Start Date]],P$27&lt;ProposalToGnatt[[#This Row],[Start Date]]+ProposalToGnatt[[#This Row],[Days]]),$G$5,"")),"")</f>
        <v/>
      </c>
      <c r="Q61" s="36" t="str">
        <f ca="1">IFERROR(+IF(Q$27=ProposalToGnatt[[#This Row],[Start Date]],Milestone_Marker,IF(AND(Q$27&gt;ProposalToGnatt[[#This Row],[Start Date]],Q$27&lt;ProposalToGnatt[[#This Row],[Start Date]]+ProposalToGnatt[[#This Row],[Days]]),$G$5,"")),"")</f>
        <v/>
      </c>
      <c r="R61" s="36" t="str">
        <f ca="1">IFERROR(+IF(R$27=ProposalToGnatt[[#This Row],[Start Date]],Milestone_Marker,IF(AND(R$27&gt;ProposalToGnatt[[#This Row],[Start Date]],R$27&lt;ProposalToGnatt[[#This Row],[Start Date]]+ProposalToGnatt[[#This Row],[Days]]),$G$5,"")),"")</f>
        <v/>
      </c>
      <c r="S61" s="36" t="str">
        <f ca="1">IFERROR(+IF(S$27=ProposalToGnatt[[#This Row],[Start Date]],Milestone_Marker,IF(AND(S$27&gt;ProposalToGnatt[[#This Row],[Start Date]],S$27&lt;ProposalToGnatt[[#This Row],[Start Date]]+ProposalToGnatt[[#This Row],[Days]]),$G$5,"")),"")</f>
        <v/>
      </c>
      <c r="T61" s="36" t="str">
        <f ca="1">IFERROR(+IF(T$27=ProposalToGnatt[[#This Row],[Start Date]],Milestone_Marker,IF(AND(T$27&gt;ProposalToGnatt[[#This Row],[Start Date]],T$27&lt;ProposalToGnatt[[#This Row],[Start Date]]+ProposalToGnatt[[#This Row],[Days]]),$G$5,"")),"")</f>
        <v/>
      </c>
      <c r="U61" s="36" t="str">
        <f ca="1">IFERROR(+IF(U$27=ProposalToGnatt[[#This Row],[Start Date]],Milestone_Marker,IF(AND(U$27&gt;ProposalToGnatt[[#This Row],[Start Date]],U$27&lt;ProposalToGnatt[[#This Row],[Start Date]]+ProposalToGnatt[[#This Row],[Days]]),$G$5,"")),"")</f>
        <v/>
      </c>
      <c r="V61" s="36" t="str">
        <f ca="1">IFERROR(+IF(V$27=ProposalToGnatt[[#This Row],[Start Date]],Milestone_Marker,IF(AND(V$27&gt;ProposalToGnatt[[#This Row],[Start Date]],V$27&lt;ProposalToGnatt[[#This Row],[Start Date]]+ProposalToGnatt[[#This Row],[Days]]),$G$5,"")),"")</f>
        <v/>
      </c>
      <c r="W61" s="36" t="str">
        <f ca="1">IFERROR(+IF(W$27=ProposalToGnatt[[#This Row],[Start Date]],Milestone_Marker,IF(AND(W$27&gt;ProposalToGnatt[[#This Row],[Start Date]],W$27&lt;ProposalToGnatt[[#This Row],[Start Date]]+ProposalToGnatt[[#This Row],[Days]]),$G$5,"")),"")</f>
        <v/>
      </c>
      <c r="X61" s="36" t="str">
        <f ca="1">IFERROR(+IF(X$27=ProposalToGnatt[[#This Row],[Start Date]],Milestone_Marker,IF(AND(X$27&gt;ProposalToGnatt[[#This Row],[Start Date]],X$27&lt;ProposalToGnatt[[#This Row],[Start Date]]+ProposalToGnatt[[#This Row],[Days]]),$G$5,"")),"")</f>
        <v/>
      </c>
      <c r="Y61" s="36" t="str">
        <f ca="1">IFERROR(+IF(Y$27=ProposalToGnatt[[#This Row],[Start Date]],Milestone_Marker,IF(AND(Y$27&gt;ProposalToGnatt[[#This Row],[Start Date]],Y$27&lt;ProposalToGnatt[[#This Row],[Start Date]]+ProposalToGnatt[[#This Row],[Days]]),$G$5,"")),"")</f>
        <v/>
      </c>
      <c r="Z61" s="36" t="str">
        <f ca="1">IFERROR(+IF(Z$27=ProposalToGnatt[[#This Row],[Start Date]],Milestone_Marker,IF(AND(Z$27&gt;ProposalToGnatt[[#This Row],[Start Date]],Z$27&lt;ProposalToGnatt[[#This Row],[Start Date]]+ProposalToGnatt[[#This Row],[Days]]),$G$5,"")),"")</f>
        <v/>
      </c>
      <c r="AA61" s="36" t="str">
        <f ca="1">IFERROR(+IF(AA$27=ProposalToGnatt[[#This Row],[Start Date]],Milestone_Marker,IF(AND(AA$27&gt;ProposalToGnatt[[#This Row],[Start Date]],AA$27&lt;ProposalToGnatt[[#This Row],[Start Date]]+ProposalToGnatt[[#This Row],[Days]]),$G$5,"")),"")</f>
        <v/>
      </c>
      <c r="AB61" s="36" t="str">
        <f ca="1">IFERROR(+IF(AB$27=ProposalToGnatt[[#This Row],[Start Date]],Milestone_Marker,IF(AND(AB$27&gt;ProposalToGnatt[[#This Row],[Start Date]],AB$27&lt;ProposalToGnatt[[#This Row],[Start Date]]+ProposalToGnatt[[#This Row],[Days]]),$G$5,"")),"")</f>
        <v/>
      </c>
      <c r="AC61" s="36" t="str">
        <f ca="1">IFERROR(+IF(AC$27=ProposalToGnatt[[#This Row],[Start Date]],Milestone_Marker,IF(AND(AC$27&gt;ProposalToGnatt[[#This Row],[Start Date]],AC$27&lt;ProposalToGnatt[[#This Row],[Start Date]]+ProposalToGnatt[[#This Row],[Days]]),$G$5,"")),"")</f>
        <v/>
      </c>
      <c r="AD61" s="36" t="str">
        <f ca="1">IFERROR(+IF(AD$27=ProposalToGnatt[[#This Row],[Start Date]],Milestone_Marker,IF(AND(AD$27&gt;ProposalToGnatt[[#This Row],[Start Date]],AD$27&lt;ProposalToGnatt[[#This Row],[Start Date]]+ProposalToGnatt[[#This Row],[Days]]),$G$5,"")),"")</f>
        <v/>
      </c>
      <c r="AE61" s="36" t="str">
        <f ca="1">IFERROR(+IF(AE$27=ProposalToGnatt[[#This Row],[Start Date]],Milestone_Marker,IF(AND(AE$27&gt;ProposalToGnatt[[#This Row],[Start Date]],AE$27&lt;ProposalToGnatt[[#This Row],[Start Date]]+ProposalToGnatt[[#This Row],[Days]]),$G$5,"")),"")</f>
        <v/>
      </c>
      <c r="AF61" s="36" t="str">
        <f ca="1">IFERROR(+IF(AF$27=ProposalToGnatt[[#This Row],[Start Date]],Milestone_Marker,IF(AND(AF$27&gt;ProposalToGnatt[[#This Row],[Start Date]],AF$27&lt;ProposalToGnatt[[#This Row],[Start Date]]+ProposalToGnatt[[#This Row],[Days]]),$G$5,"")),"")</f>
        <v/>
      </c>
      <c r="AG61" s="36" t="str">
        <f ca="1">IFERROR(+IF(AG$27=ProposalToGnatt[[#This Row],[Start Date]],Milestone_Marker,IF(AND(AG$27&gt;ProposalToGnatt[[#This Row],[Start Date]],AG$27&lt;ProposalToGnatt[[#This Row],[Start Date]]+ProposalToGnatt[[#This Row],[Days]]),$G$5,"")),"")</f>
        <v/>
      </c>
      <c r="AH61" s="36" t="str">
        <f ca="1">IFERROR(+IF(AH$27=ProposalToGnatt[[#This Row],[Start Date]],Milestone_Marker,IF(AND(AH$27&gt;ProposalToGnatt[[#This Row],[Start Date]],AH$27&lt;ProposalToGnatt[[#This Row],[Start Date]]+ProposalToGnatt[[#This Row],[Days]]),$G$5,"")),"")</f>
        <v/>
      </c>
      <c r="AI61" s="36" t="str">
        <f ca="1">IFERROR(+IF(AI$27=ProposalToGnatt[[#This Row],[Start Date]],Milestone_Marker,IF(AND(AI$27&gt;ProposalToGnatt[[#This Row],[Start Date]],AI$27&lt;ProposalToGnatt[[#This Row],[Start Date]]+ProposalToGnatt[[#This Row],[Days]]),$G$5,"")),"")</f>
        <v/>
      </c>
      <c r="AJ61" s="36" t="str">
        <f ca="1">IFERROR(+IF(AJ$27=ProposalToGnatt[[#This Row],[Start Date]],Milestone_Marker,IF(AND(AJ$27&gt;ProposalToGnatt[[#This Row],[Start Date]],AJ$27&lt;ProposalToGnatt[[#This Row],[Start Date]]+ProposalToGnatt[[#This Row],[Days]]),$G$5,"")),"")</f>
        <v/>
      </c>
      <c r="AK61" s="36" t="str">
        <f ca="1">IFERROR(+IF(AK$27=ProposalToGnatt[[#This Row],[Start Date]],Milestone_Marker,IF(AND(AK$27&gt;ProposalToGnatt[[#This Row],[Start Date]],AK$27&lt;ProposalToGnatt[[#This Row],[Start Date]]+ProposalToGnatt[[#This Row],[Days]]),$G$5,"")),"")</f>
        <v/>
      </c>
      <c r="AL61" s="36" t="str">
        <f ca="1">IFERROR(+IF(AL$27=ProposalToGnatt[[#This Row],[Start Date]],Milestone_Marker,IF(AND(AL$27&gt;ProposalToGnatt[[#This Row],[Start Date]],AL$27&lt;ProposalToGnatt[[#This Row],[Start Date]]+ProposalToGnatt[[#This Row],[Days]]),$G$5,"")),"")</f>
        <v/>
      </c>
      <c r="AM61" s="36" t="str">
        <f ca="1">IFERROR(+IF(AM$27=ProposalToGnatt[[#This Row],[Start Date]],Milestone_Marker,IF(AND(AM$27&gt;ProposalToGnatt[[#This Row],[Start Date]],AM$27&lt;ProposalToGnatt[[#This Row],[Start Date]]+ProposalToGnatt[[#This Row],[Days]]),$G$5,"")),"")</f>
        <v/>
      </c>
      <c r="AN61" s="36" t="str">
        <f ca="1">IFERROR(+IF(AN$27=ProposalToGnatt[[#This Row],[Start Date]],Milestone_Marker,IF(AND(AN$27&gt;ProposalToGnatt[[#This Row],[Start Date]],AN$27&lt;ProposalToGnatt[[#This Row],[Start Date]]+ProposalToGnatt[[#This Row],[Days]]),$G$5,"")),"")</f>
        <v/>
      </c>
      <c r="AO61" s="36" t="str">
        <f ca="1">IFERROR(+IF(AO$27=ProposalToGnatt[[#This Row],[Start Date]],Milestone_Marker,IF(AND(AO$27&gt;ProposalToGnatt[[#This Row],[Start Date]],AO$27&lt;ProposalToGnatt[[#This Row],[Start Date]]+ProposalToGnatt[[#This Row],[Days]]),$G$5,"")),"")</f>
        <v/>
      </c>
      <c r="AP61" s="36" t="str">
        <f ca="1">IFERROR(+IF(AP$27=ProposalToGnatt[[#This Row],[Start Date]],Milestone_Marker,IF(AND(AP$27&gt;ProposalToGnatt[[#This Row],[Start Date]],AP$27&lt;ProposalToGnatt[[#This Row],[Start Date]]+ProposalToGnatt[[#This Row],[Days]]),$G$5,"")),"")</f>
        <v/>
      </c>
      <c r="AQ61" s="36" t="str">
        <f ca="1">IFERROR(+IF(AQ$27=ProposalToGnatt[[#This Row],[Start Date]],Milestone_Marker,IF(AND(AQ$27&gt;ProposalToGnatt[[#This Row],[Start Date]],AQ$27&lt;ProposalToGnatt[[#This Row],[Start Date]]+ProposalToGnatt[[#This Row],[Days]]),$G$5,"")),"")</f>
        <v/>
      </c>
      <c r="AR61" s="36" t="str">
        <f ca="1">IFERROR(+IF(AR$27=ProposalToGnatt[[#This Row],[Start Date]],Milestone_Marker,IF(AND(AR$27&gt;ProposalToGnatt[[#This Row],[Start Date]],AR$27&lt;ProposalToGnatt[[#This Row],[Start Date]]+ProposalToGnatt[[#This Row],[Days]]),$G$5,"")),"")</f>
        <v/>
      </c>
      <c r="AS61" s="36" t="str">
        <f ca="1">IFERROR(+IF(AS$27=ProposalToGnatt[[#This Row],[Start Date]],Milestone_Marker,IF(AND(AS$27&gt;ProposalToGnatt[[#This Row],[Start Date]],AS$27&lt;ProposalToGnatt[[#This Row],[Start Date]]+ProposalToGnatt[[#This Row],[Days]]),$G$5,"")),"")</f>
        <v/>
      </c>
      <c r="AT61" s="36" t="str">
        <f ca="1">IFERROR(+IF(AT$27=ProposalToGnatt[[#This Row],[Start Date]],Milestone_Marker,IF(AND(AT$27&gt;ProposalToGnatt[[#This Row],[Start Date]],AT$27&lt;ProposalToGnatt[[#This Row],[Start Date]]+ProposalToGnatt[[#This Row],[Days]]),$G$5,"")),"")</f>
        <v/>
      </c>
      <c r="AU61" s="36" t="str">
        <f ca="1">IFERROR(+IF(AU$27=ProposalToGnatt[[#This Row],[Start Date]],Milestone_Marker,IF(AND(AU$27&gt;ProposalToGnatt[[#This Row],[Start Date]],AU$27&lt;ProposalToGnatt[[#This Row],[Start Date]]+ProposalToGnatt[[#This Row],[Days]]),$G$5,"")),"")</f>
        <v/>
      </c>
      <c r="AV61" s="36" t="str">
        <f ca="1">IFERROR(+IF(AV$27=ProposalToGnatt[[#This Row],[Start Date]],Milestone_Marker,IF(AND(AV$27&gt;ProposalToGnatt[[#This Row],[Start Date]],AV$27&lt;ProposalToGnatt[[#This Row],[Start Date]]+ProposalToGnatt[[#This Row],[Days]]),$G$5,"")),"")</f>
        <v/>
      </c>
      <c r="AW61" s="36" t="str">
        <f ca="1">IFERROR(+IF(AW$27=ProposalToGnatt[[#This Row],[Start Date]],Milestone_Marker,IF(AND(AW$27&gt;ProposalToGnatt[[#This Row],[Start Date]],AW$27&lt;ProposalToGnatt[[#This Row],[Start Date]]+ProposalToGnatt[[#This Row],[Days]]),$G$5,"")),"")</f>
        <v/>
      </c>
      <c r="AX61" s="36" t="str">
        <f ca="1">IFERROR(+IF(AX$27=ProposalToGnatt[[#This Row],[Start Date]],Milestone_Marker,IF(AND(AX$27&gt;ProposalToGnatt[[#This Row],[Start Date]],AX$27&lt;ProposalToGnatt[[#This Row],[Start Date]]+ProposalToGnatt[[#This Row],[Days]]),$G$5,"")),"")</f>
        <v/>
      </c>
      <c r="AY61" s="36" t="str">
        <f ca="1">IFERROR(+IF(AY$27=ProposalToGnatt[[#This Row],[Start Date]],Milestone_Marker,IF(AND(AY$27&gt;ProposalToGnatt[[#This Row],[Start Date]],AY$27&lt;ProposalToGnatt[[#This Row],[Start Date]]+ProposalToGnatt[[#This Row],[Days]]),$G$5,"")),"")</f>
        <v/>
      </c>
      <c r="AZ61" s="36" t="str">
        <f ca="1">IFERROR(+IF(AZ$27=ProposalToGnatt[[#This Row],[Start Date]],Milestone_Marker,IF(AND(AZ$27&gt;ProposalToGnatt[[#This Row],[Start Date]],AZ$27&lt;ProposalToGnatt[[#This Row],[Start Date]]+ProposalToGnatt[[#This Row],[Days]]),$G$5,"")),"")</f>
        <v/>
      </c>
      <c r="BA61" s="36" t="str">
        <f ca="1">IFERROR(+IF(BA$27=ProposalToGnatt[[#This Row],[Start Date]],Milestone_Marker,IF(AND(BA$27&gt;ProposalToGnatt[[#This Row],[Start Date]],BA$27&lt;ProposalToGnatt[[#This Row],[Start Date]]+ProposalToGnatt[[#This Row],[Days]]),$G$5,"")),"")</f>
        <v/>
      </c>
      <c r="BB61" s="36" t="str">
        <f ca="1">IFERROR(+IF(BB$27=ProposalToGnatt[[#This Row],[Start Date]],Milestone_Marker,IF(AND(BB$27&gt;ProposalToGnatt[[#This Row],[Start Date]],BB$27&lt;ProposalToGnatt[[#This Row],[Start Date]]+ProposalToGnatt[[#This Row],[Days]]),$G$5,"")),"")</f>
        <v/>
      </c>
      <c r="BC61" s="36" t="str">
        <f ca="1">IFERROR(+IF(BC$27=ProposalToGnatt[[#This Row],[Start Date]],Milestone_Marker,IF(AND(BC$27&gt;ProposalToGnatt[[#This Row],[Start Date]],BC$27&lt;ProposalToGnatt[[#This Row],[Start Date]]+ProposalToGnatt[[#This Row],[Days]]),$G$5,"")),"")</f>
        <v/>
      </c>
      <c r="BD61" s="36" t="str">
        <f ca="1">IFERROR(+IF(BD$27=ProposalToGnatt[[#This Row],[Start Date]],Milestone_Marker,IF(AND(BD$27&gt;ProposalToGnatt[[#This Row],[Start Date]],BD$27&lt;ProposalToGnatt[[#This Row],[Start Date]]+ProposalToGnatt[[#This Row],[Days]]),$G$5,"")),"")</f>
        <v/>
      </c>
      <c r="BE61" s="36" t="str">
        <f ca="1">IFERROR(+IF(BE$27=ProposalToGnatt[[#This Row],[Start Date]],Milestone_Marker,IF(AND(BE$27&gt;ProposalToGnatt[[#This Row],[Start Date]],BE$27&lt;ProposalToGnatt[[#This Row],[Start Date]]+ProposalToGnatt[[#This Row],[Days]]),$G$5,"")),"")</f>
        <v/>
      </c>
      <c r="BF61" s="36" t="str">
        <f ca="1">IFERROR(+IF(BF$27=ProposalToGnatt[[#This Row],[Start Date]],Milestone_Marker,IF(AND(BF$27&gt;ProposalToGnatt[[#This Row],[Start Date]],BF$27&lt;ProposalToGnatt[[#This Row],[Start Date]]+ProposalToGnatt[[#This Row],[Days]]),$G$5,"")),"")</f>
        <v/>
      </c>
      <c r="BG61" s="36" t="str">
        <f ca="1">IFERROR(+IF(BG$27=ProposalToGnatt[[#This Row],[Start Date]],Milestone_Marker,IF(AND(BG$27&gt;ProposalToGnatt[[#This Row],[Start Date]],BG$27&lt;ProposalToGnatt[[#This Row],[Start Date]]+ProposalToGnatt[[#This Row],[Days]]),$G$5,"")),"")</f>
        <v/>
      </c>
      <c r="BH61" s="36" t="str">
        <f ca="1">IFERROR(+IF(BH$27=ProposalToGnatt[[#This Row],[Start Date]],Milestone_Marker,IF(AND(BH$27&gt;ProposalToGnatt[[#This Row],[Start Date]],BH$27&lt;ProposalToGnatt[[#This Row],[Start Date]]+ProposalToGnatt[[#This Row],[Days]]),$G$5,"")),"")</f>
        <v/>
      </c>
      <c r="BI61" s="36" t="str">
        <f ca="1">IFERROR(+IF(BI$27=ProposalToGnatt[[#This Row],[Start Date]],Milestone_Marker,IF(AND(BI$27&gt;ProposalToGnatt[[#This Row],[Start Date]],BI$27&lt;ProposalToGnatt[[#This Row],[Start Date]]+ProposalToGnatt[[#This Row],[Days]]),$G$5,"")),"")</f>
        <v/>
      </c>
      <c r="BJ61" s="36" t="str">
        <f ca="1">IFERROR(+IF(BJ$27=ProposalToGnatt[[#This Row],[Start Date]],Milestone_Marker,IF(AND(BJ$27&gt;ProposalToGnatt[[#This Row],[Start Date]],BJ$27&lt;ProposalToGnatt[[#This Row],[Start Date]]+ProposalToGnatt[[#This Row],[Days]]),$G$5,"")),"")</f>
        <v/>
      </c>
      <c r="BK61" s="36" t="str">
        <f ca="1">IFERROR(+IF(BK$27=ProposalToGnatt[[#This Row],[Start Date]],Milestone_Marker,IF(AND(BK$27&gt;ProposalToGnatt[[#This Row],[Start Date]],BK$27&lt;ProposalToGnatt[[#This Row],[Start Date]]+ProposalToGnatt[[#This Row],[Days]]),$G$5,"")),"")</f>
        <v/>
      </c>
      <c r="BL61" s="36" t="str">
        <f ca="1">IFERROR(+IF(BL$27=ProposalToGnatt[[#This Row],[Start Date]],Milestone_Marker,IF(AND(BL$27&gt;ProposalToGnatt[[#This Row],[Start Date]],BL$27&lt;ProposalToGnatt[[#This Row],[Start Date]]+ProposalToGnatt[[#This Row],[Days]]),$G$5,"")),"")</f>
        <v/>
      </c>
      <c r="BM61" s="36" t="str">
        <f ca="1">IFERROR(+IF(BM$27=ProposalToGnatt[[#This Row],[Start Date]],Milestone_Marker,IF(AND(BM$27&gt;ProposalToGnatt[[#This Row],[Start Date]],BM$27&lt;ProposalToGnatt[[#This Row],[Start Date]]+ProposalToGnatt[[#This Row],[Days]]),$G$5,"")),"")</f>
        <v/>
      </c>
      <c r="BN61" s="36" t="str">
        <f ca="1">IFERROR(+IF(BN$27=ProposalToGnatt[[#This Row],[Start Date]],Milestone_Marker,IF(AND(BN$27&gt;ProposalToGnatt[[#This Row],[Start Date]],BN$27&lt;ProposalToGnatt[[#This Row],[Start Date]]+ProposalToGnatt[[#This Row],[Days]]),$G$5,"")),"")</f>
        <v/>
      </c>
      <c r="BO61" s="36" t="str">
        <f ca="1">IFERROR(+IF(BO$27=ProposalToGnatt[[#This Row],[Start Date]],Milestone_Marker,IF(AND(BO$27&gt;ProposalToGnatt[[#This Row],[Start Date]],BO$27&lt;ProposalToGnatt[[#This Row],[Start Date]]+ProposalToGnatt[[#This Row],[Days]]),$G$5,"")),"")</f>
        <v/>
      </c>
      <c r="BP61" s="36" t="str">
        <f ca="1">IFERROR(+IF(BP$27=ProposalToGnatt[[#This Row],[Start Date]],Milestone_Marker,IF(AND(BP$27&gt;ProposalToGnatt[[#This Row],[Start Date]],BP$27&lt;ProposalToGnatt[[#This Row],[Start Date]]+ProposalToGnatt[[#This Row],[Days]]),$G$5,"")),"")</f>
        <v/>
      </c>
      <c r="BQ61" s="36" t="str">
        <f ca="1">IFERROR(+IF(BQ$27=ProposalToGnatt[[#This Row],[Start Date]],Milestone_Marker,IF(AND(BQ$27&gt;ProposalToGnatt[[#This Row],[Start Date]],BQ$27&lt;ProposalToGnatt[[#This Row],[Start Date]]+ProposalToGnatt[[#This Row],[Days]]),$G$5,"")),"")</f>
        <v/>
      </c>
      <c r="BR61" s="36" t="str">
        <f ca="1">IFERROR(+IF(BR$27=ProposalToGnatt[[#This Row],[Start Date]],Milestone_Marker,IF(AND(BR$27&gt;ProposalToGnatt[[#This Row],[Start Date]],BR$27&lt;ProposalToGnatt[[#This Row],[Start Date]]+ProposalToGnatt[[#This Row],[Days]]),$G$5,"")),"")</f>
        <v/>
      </c>
      <c r="BS61" s="36" t="str">
        <f ca="1">IFERROR(+IF(BS$27=ProposalToGnatt[[#This Row],[Start Date]],Milestone_Marker,IF(AND(BS$27&gt;ProposalToGnatt[[#This Row],[Start Date]],BS$27&lt;ProposalToGnatt[[#This Row],[Start Date]]+ProposalToGnatt[[#This Row],[Days]]),$G$5,"")),"")</f>
        <v/>
      </c>
      <c r="BT61" s="36" t="str">
        <f ca="1">IFERROR(+IF(BT$27=ProposalToGnatt[[#This Row],[Start Date]],Milestone_Marker,IF(AND(BT$27&gt;ProposalToGnatt[[#This Row],[Start Date]],BT$27&lt;ProposalToGnatt[[#This Row],[Start Date]]+ProposalToGnatt[[#This Row],[Days]]),$G$5,"")),"")</f>
        <v/>
      </c>
      <c r="BU61" s="36" t="str">
        <f ca="1">IFERROR(+IF(BU$27=ProposalToGnatt[[#This Row],[Start Date]],Milestone_Marker,IF(AND(BU$27&gt;ProposalToGnatt[[#This Row],[Start Date]],BU$27&lt;ProposalToGnatt[[#This Row],[Start Date]]+ProposalToGnatt[[#This Row],[Days]]),$G$5,"")),"")</f>
        <v/>
      </c>
      <c r="BV61" s="36" t="str">
        <f ca="1">IFERROR(+IF(BV$27=ProposalToGnatt[[#This Row],[Start Date]],Milestone_Marker,IF(AND(BV$27&gt;ProposalToGnatt[[#This Row],[Start Date]],BV$27&lt;ProposalToGnatt[[#This Row],[Start Date]]+ProposalToGnatt[[#This Row],[Days]]),$G$5,"")),"")</f>
        <v/>
      </c>
      <c r="BW61" s="36" t="str">
        <f ca="1">IFERROR(+IF(BW$27=ProposalToGnatt[[#This Row],[Start Date]],Milestone_Marker,IF(AND(BW$27&gt;ProposalToGnatt[[#This Row],[Start Date]],BW$27&lt;ProposalToGnatt[[#This Row],[Start Date]]+ProposalToGnatt[[#This Row],[Days]]),$G$5,"")),"")</f>
        <v/>
      </c>
      <c r="BX61" s="36" t="str">
        <f ca="1">IFERROR(+IF(BX$27=ProposalToGnatt[[#This Row],[Start Date]],Milestone_Marker,IF(AND(BX$27&gt;ProposalToGnatt[[#This Row],[Start Date]],BX$27&lt;ProposalToGnatt[[#This Row],[Start Date]]+ProposalToGnatt[[#This Row],[Days]]),$G$5,"")),"")</f>
        <v/>
      </c>
      <c r="BY61" s="36" t="str">
        <f ca="1">IFERROR(+IF(BY$27=ProposalToGnatt[[#This Row],[Start Date]],Milestone_Marker,IF(AND(BY$27&gt;ProposalToGnatt[[#This Row],[Start Date]],BY$27&lt;ProposalToGnatt[[#This Row],[Start Date]]+ProposalToGnatt[[#This Row],[Days]]),$G$5,"")),"")</f>
        <v/>
      </c>
      <c r="BZ61" s="36" t="str">
        <f ca="1">IFERROR(+IF(BZ$27=ProposalToGnatt[[#This Row],[Start Date]],Milestone_Marker,IF(AND(BZ$27&gt;ProposalToGnatt[[#This Row],[Start Date]],BZ$27&lt;ProposalToGnatt[[#This Row],[Start Date]]+ProposalToGnatt[[#This Row],[Days]]),$G$5,"")),"")</f>
        <v/>
      </c>
      <c r="CA61" s="36" t="str">
        <f ca="1">IFERROR(+IF(CA$27=ProposalToGnatt[[#This Row],[Start Date]],Milestone_Marker,IF(AND(CA$27&gt;ProposalToGnatt[[#This Row],[Start Date]],CA$27&lt;ProposalToGnatt[[#This Row],[Start Date]]+ProposalToGnatt[[#This Row],[Days]]),$G$5,"")),"")</f>
        <v/>
      </c>
      <c r="CB61" s="36" t="str">
        <f ca="1">IFERROR(+IF(CB$27=ProposalToGnatt[[#This Row],[Start Date]],Milestone_Marker,IF(AND(CB$27&gt;ProposalToGnatt[[#This Row],[Start Date]],CB$27&lt;ProposalToGnatt[[#This Row],[Start Date]]+ProposalToGnatt[[#This Row],[Days]]),$G$5,"")),"")</f>
        <v/>
      </c>
      <c r="CC61" s="36" t="str">
        <f ca="1">IFERROR(+IF(CC$27=ProposalToGnatt[[#This Row],[Start Date]],Milestone_Marker,IF(AND(CC$27&gt;ProposalToGnatt[[#This Row],[Start Date]],CC$27&lt;ProposalToGnatt[[#This Row],[Start Date]]+ProposalToGnatt[[#This Row],[Days]]),$G$5,"")),"")</f>
        <v/>
      </c>
      <c r="CD61" s="36" t="str">
        <f ca="1">IFERROR(+IF(CD$27=ProposalToGnatt[[#This Row],[Start Date]],Milestone_Marker,IF(AND(CD$27&gt;ProposalToGnatt[[#This Row],[Start Date]],CD$27&lt;ProposalToGnatt[[#This Row],[Start Date]]+ProposalToGnatt[[#This Row],[Days]]),$G$5,"")),"")</f>
        <v/>
      </c>
      <c r="CE61" s="36" t="str">
        <f ca="1">IFERROR(+IF(CE$27=ProposalToGnatt[[#This Row],[Start Date]],Milestone_Marker,IF(AND(CE$27&gt;ProposalToGnatt[[#This Row],[Start Date]],CE$27&lt;ProposalToGnatt[[#This Row],[Start Date]]+ProposalToGnatt[[#This Row],[Days]]),$G$5,"")),"")</f>
        <v/>
      </c>
      <c r="CF61" s="36" t="str">
        <f ca="1">IFERROR(+IF(CF$27=ProposalToGnatt[[#This Row],[Start Date]],Milestone_Marker,IF(AND(CF$27&gt;ProposalToGnatt[[#This Row],[Start Date]],CF$27&lt;ProposalToGnatt[[#This Row],[Start Date]]+ProposalToGnatt[[#This Row],[Days]]),$G$5,"")),"")</f>
        <v/>
      </c>
      <c r="CG61" s="36" t="str">
        <f ca="1">IFERROR(+IF(CG$27=ProposalToGnatt[[#This Row],[Start Date]],Milestone_Marker,IF(AND(CG$27&gt;ProposalToGnatt[[#This Row],[Start Date]],CG$27&lt;ProposalToGnatt[[#This Row],[Start Date]]+ProposalToGnatt[[#This Row],[Days]]),$G$5,"")),"")</f>
        <v/>
      </c>
      <c r="CH61" s="36" t="str">
        <f ca="1">IFERROR(+IF(CH$27=ProposalToGnatt[[#This Row],[Start Date]],Milestone_Marker,IF(AND(CH$27&gt;ProposalToGnatt[[#This Row],[Start Date]],CH$27&lt;ProposalToGnatt[[#This Row],[Start Date]]+ProposalToGnatt[[#This Row],[Days]]),$G$5,"")),"")</f>
        <v/>
      </c>
      <c r="CI61" s="36" t="str">
        <f ca="1">IFERROR(+IF(CI$27=ProposalToGnatt[[#This Row],[Start Date]],Milestone_Marker,IF(AND(CI$27&gt;ProposalToGnatt[[#This Row],[Start Date]],CI$27&lt;ProposalToGnatt[[#This Row],[Start Date]]+ProposalToGnatt[[#This Row],[Days]]),$G$5,"")),"")</f>
        <v/>
      </c>
      <c r="CJ61" s="36" t="str">
        <f ca="1">IFERROR(+IF(CJ$27=ProposalToGnatt[[#This Row],[Start Date]],Milestone_Marker,IF(AND(CJ$27&gt;ProposalToGnatt[[#This Row],[Start Date]],CJ$27&lt;ProposalToGnatt[[#This Row],[Start Date]]+ProposalToGnatt[[#This Row],[Days]]),$G$5,"")),"")</f>
        <v/>
      </c>
      <c r="CK61" s="36" t="str">
        <f ca="1">IFERROR(+IF(CK$27=ProposalToGnatt[[#This Row],[Start Date]],Milestone_Marker,IF(AND(CK$27&gt;ProposalToGnatt[[#This Row],[Start Date]],CK$27&lt;ProposalToGnatt[[#This Row],[Start Date]]+ProposalToGnatt[[#This Row],[Days]]),$G$5,"")),"")</f>
        <v/>
      </c>
      <c r="CL61" s="36" t="str">
        <f ca="1">IFERROR(+IF(CL$27=ProposalToGnatt[[#This Row],[Start Date]],Milestone_Marker,IF(AND(CL$27&gt;ProposalToGnatt[[#This Row],[Start Date]],CL$27&lt;ProposalToGnatt[[#This Row],[Start Date]]+ProposalToGnatt[[#This Row],[Days]]),$G$5,"")),"")</f>
        <v/>
      </c>
      <c r="CM61" s="36" t="str">
        <f ca="1">IFERROR(+IF(CM$27=ProposalToGnatt[[#This Row],[Start Date]],Milestone_Marker,IF(AND(CM$27&gt;ProposalToGnatt[[#This Row],[Start Date]],CM$27&lt;ProposalToGnatt[[#This Row],[Start Date]]+ProposalToGnatt[[#This Row],[Days]]),$G$5,"")),"")</f>
        <v/>
      </c>
      <c r="CN61" s="36" t="str">
        <f ca="1">IFERROR(+IF(CN$27=ProposalToGnatt[[#This Row],[Start Date]],Milestone_Marker,IF(AND(CN$27&gt;ProposalToGnatt[[#This Row],[Start Date]],CN$27&lt;ProposalToGnatt[[#This Row],[Start Date]]+ProposalToGnatt[[#This Row],[Days]]),$G$5,"")),"")</f>
        <v/>
      </c>
      <c r="CO61" s="36" t="str">
        <f ca="1">IFERROR(+IF(CO$27=ProposalToGnatt[[#This Row],[Start Date]],Milestone_Marker,IF(AND(CO$27&gt;ProposalToGnatt[[#This Row],[Start Date]],CO$27&lt;ProposalToGnatt[[#This Row],[Start Date]]+ProposalToGnatt[[#This Row],[Days]]),$G$5,"")),"")</f>
        <v/>
      </c>
      <c r="CP61" s="36" t="str">
        <f ca="1">IFERROR(+IF(CP$27=ProposalToGnatt[[#This Row],[Start Date]],Milestone_Marker,IF(AND(CP$27&gt;ProposalToGnatt[[#This Row],[Start Date]],CP$27&lt;ProposalToGnatt[[#This Row],[Start Date]]+ProposalToGnatt[[#This Row],[Days]]),$G$5,"")),"")</f>
        <v/>
      </c>
      <c r="CQ61" s="36" t="str">
        <f ca="1">IFERROR(+IF(CQ$27=ProposalToGnatt[[#This Row],[Start Date]],Milestone_Marker,IF(AND(CQ$27&gt;ProposalToGnatt[[#This Row],[Start Date]],CQ$27&lt;ProposalToGnatt[[#This Row],[Start Date]]+ProposalToGnatt[[#This Row],[Days]]),$G$5,"")),"")</f>
        <v/>
      </c>
      <c r="CR61" s="36" t="str">
        <f ca="1">IFERROR(+IF(CR$27=ProposalToGnatt[[#This Row],[Start Date]],Milestone_Marker,IF(AND(CR$27&gt;ProposalToGnatt[[#This Row],[Start Date]],CR$27&lt;ProposalToGnatt[[#This Row],[Start Date]]+ProposalToGnatt[[#This Row],[Days]]),$G$5,"")),"")</f>
        <v/>
      </c>
      <c r="CS61" s="36" t="str">
        <f ca="1">IFERROR(+IF(CS$27=ProposalToGnatt[[#This Row],[Start Date]],Milestone_Marker,IF(AND(CS$27&gt;ProposalToGnatt[[#This Row],[Start Date]],CS$27&lt;ProposalToGnatt[[#This Row],[Start Date]]+ProposalToGnatt[[#This Row],[Days]]),$G$5,"")),"")</f>
        <v/>
      </c>
      <c r="CT61" s="36" t="str">
        <f ca="1">IFERROR(+IF(CT$27=ProposalToGnatt[[#This Row],[Start Date]],Milestone_Marker,IF(AND(CT$27&gt;ProposalToGnatt[[#This Row],[Start Date]],CT$27&lt;ProposalToGnatt[[#This Row],[Start Date]]+ProposalToGnatt[[#This Row],[Days]]),$G$5,"")),"")</f>
        <v/>
      </c>
      <c r="CU61" s="36" t="str">
        <f ca="1">IFERROR(+IF(CU$27=ProposalToGnatt[[#This Row],[Start Date]],Milestone_Marker,IF(AND(CU$27&gt;ProposalToGnatt[[#This Row],[Start Date]],CU$27&lt;ProposalToGnatt[[#This Row],[Start Date]]+ProposalToGnatt[[#This Row],[Days]]),$G$5,"")),"")</f>
        <v/>
      </c>
      <c r="CV61" s="36"/>
      <c r="CW61" s="36"/>
      <c r="CX61" s="36"/>
      <c r="CY61" s="36"/>
      <c r="CZ61" s="36"/>
      <c r="DA61" s="36"/>
      <c r="DB61" s="36"/>
      <c r="DC61" s="36"/>
      <c r="DD61" s="36"/>
      <c r="DE61" s="36"/>
      <c r="DF61" s="36"/>
      <c r="DG61" s="36"/>
      <c r="DH61" s="36"/>
      <c r="DI61" s="36"/>
      <c r="DJ61" s="36"/>
      <c r="DK61" s="36"/>
      <c r="DL61" s="36"/>
      <c r="DM61" s="36"/>
      <c r="DN61" s="36"/>
      <c r="DO61" s="36"/>
      <c r="DP61" s="36"/>
      <c r="DQ61" s="36"/>
      <c r="DR61" s="36"/>
      <c r="DS61" s="36"/>
      <c r="DT61" s="36"/>
      <c r="DU61" s="36"/>
    </row>
    <row r="62" spans="1:125" s="41" customFormat="1" ht="15" x14ac:dyDescent="0.25">
      <c r="A62" t="s">
        <v>267</v>
      </c>
      <c r="B62">
        <v>44</v>
      </c>
      <c r="C62"/>
      <c r="D62" t="s">
        <v>957</v>
      </c>
      <c r="E62" s="568" t="s">
        <v>958</v>
      </c>
      <c r="F62">
        <v>1</v>
      </c>
      <c r="G62" s="14">
        <v>65</v>
      </c>
      <c r="H62" s="14">
        <v>65</v>
      </c>
      <c r="I62" t="s">
        <v>3</v>
      </c>
      <c r="J62">
        <v>1</v>
      </c>
      <c r="K62" s="249"/>
      <c r="L62"/>
      <c r="M62" s="14"/>
      <c r="N62" s="300">
        <v>65</v>
      </c>
      <c r="O62" s="554"/>
      <c r="P62" s="36" t="str">
        <f ca="1">IFERROR(+IF(P$27=ProposalToGnatt[[#This Row],[Start Date]],Milestone_Marker,IF(AND(P$27&gt;ProposalToGnatt[[#This Row],[Start Date]],P$27&lt;ProposalToGnatt[[#This Row],[Start Date]]+ProposalToGnatt[[#This Row],[Days]]),$G$5,"")),"")</f>
        <v/>
      </c>
      <c r="Q62" s="36" t="str">
        <f ca="1">IFERROR(+IF(Q$27=ProposalToGnatt[[#This Row],[Start Date]],Milestone_Marker,IF(AND(Q$27&gt;ProposalToGnatt[[#This Row],[Start Date]],Q$27&lt;ProposalToGnatt[[#This Row],[Start Date]]+ProposalToGnatt[[#This Row],[Days]]),$G$5,"")),"")</f>
        <v/>
      </c>
      <c r="R62" s="36" t="str">
        <f ca="1">IFERROR(+IF(R$27=ProposalToGnatt[[#This Row],[Start Date]],Milestone_Marker,IF(AND(R$27&gt;ProposalToGnatt[[#This Row],[Start Date]],R$27&lt;ProposalToGnatt[[#This Row],[Start Date]]+ProposalToGnatt[[#This Row],[Days]]),$G$5,"")),"")</f>
        <v/>
      </c>
      <c r="S62" s="36" t="str">
        <f ca="1">IFERROR(+IF(S$27=ProposalToGnatt[[#This Row],[Start Date]],Milestone_Marker,IF(AND(S$27&gt;ProposalToGnatt[[#This Row],[Start Date]],S$27&lt;ProposalToGnatt[[#This Row],[Start Date]]+ProposalToGnatt[[#This Row],[Days]]),$G$5,"")),"")</f>
        <v/>
      </c>
      <c r="T62" s="36" t="str">
        <f ca="1">IFERROR(+IF(T$27=ProposalToGnatt[[#This Row],[Start Date]],Milestone_Marker,IF(AND(T$27&gt;ProposalToGnatt[[#This Row],[Start Date]],T$27&lt;ProposalToGnatt[[#This Row],[Start Date]]+ProposalToGnatt[[#This Row],[Days]]),$G$5,"")),"")</f>
        <v/>
      </c>
      <c r="U62" s="36" t="str">
        <f ca="1">IFERROR(+IF(U$27=ProposalToGnatt[[#This Row],[Start Date]],Milestone_Marker,IF(AND(U$27&gt;ProposalToGnatt[[#This Row],[Start Date]],U$27&lt;ProposalToGnatt[[#This Row],[Start Date]]+ProposalToGnatt[[#This Row],[Days]]),$G$5,"")),"")</f>
        <v/>
      </c>
      <c r="V62" s="36" t="str">
        <f ca="1">IFERROR(+IF(V$27=ProposalToGnatt[[#This Row],[Start Date]],Milestone_Marker,IF(AND(V$27&gt;ProposalToGnatt[[#This Row],[Start Date]],V$27&lt;ProposalToGnatt[[#This Row],[Start Date]]+ProposalToGnatt[[#This Row],[Days]]),$G$5,"")),"")</f>
        <v/>
      </c>
      <c r="W62" s="36" t="str">
        <f ca="1">IFERROR(+IF(W$27=ProposalToGnatt[[#This Row],[Start Date]],Milestone_Marker,IF(AND(W$27&gt;ProposalToGnatt[[#This Row],[Start Date]],W$27&lt;ProposalToGnatt[[#This Row],[Start Date]]+ProposalToGnatt[[#This Row],[Days]]),$G$5,"")),"")</f>
        <v/>
      </c>
      <c r="X62" s="36" t="str">
        <f ca="1">IFERROR(+IF(X$27=ProposalToGnatt[[#This Row],[Start Date]],Milestone_Marker,IF(AND(X$27&gt;ProposalToGnatt[[#This Row],[Start Date]],X$27&lt;ProposalToGnatt[[#This Row],[Start Date]]+ProposalToGnatt[[#This Row],[Days]]),$G$5,"")),"")</f>
        <v/>
      </c>
      <c r="Y62" s="36" t="str">
        <f ca="1">IFERROR(+IF(Y$27=ProposalToGnatt[[#This Row],[Start Date]],Milestone_Marker,IF(AND(Y$27&gt;ProposalToGnatt[[#This Row],[Start Date]],Y$27&lt;ProposalToGnatt[[#This Row],[Start Date]]+ProposalToGnatt[[#This Row],[Days]]),$G$5,"")),"")</f>
        <v/>
      </c>
      <c r="Z62" s="36" t="str">
        <f ca="1">IFERROR(+IF(Z$27=ProposalToGnatt[[#This Row],[Start Date]],Milestone_Marker,IF(AND(Z$27&gt;ProposalToGnatt[[#This Row],[Start Date]],Z$27&lt;ProposalToGnatt[[#This Row],[Start Date]]+ProposalToGnatt[[#This Row],[Days]]),$G$5,"")),"")</f>
        <v/>
      </c>
      <c r="AA62" s="36" t="str">
        <f ca="1">IFERROR(+IF(AA$27=ProposalToGnatt[[#This Row],[Start Date]],Milestone_Marker,IF(AND(AA$27&gt;ProposalToGnatt[[#This Row],[Start Date]],AA$27&lt;ProposalToGnatt[[#This Row],[Start Date]]+ProposalToGnatt[[#This Row],[Days]]),$G$5,"")),"")</f>
        <v/>
      </c>
      <c r="AB62" s="36" t="str">
        <f ca="1">IFERROR(+IF(AB$27=ProposalToGnatt[[#This Row],[Start Date]],Milestone_Marker,IF(AND(AB$27&gt;ProposalToGnatt[[#This Row],[Start Date]],AB$27&lt;ProposalToGnatt[[#This Row],[Start Date]]+ProposalToGnatt[[#This Row],[Days]]),$G$5,"")),"")</f>
        <v/>
      </c>
      <c r="AC62" s="36" t="str">
        <f ca="1">IFERROR(+IF(AC$27=ProposalToGnatt[[#This Row],[Start Date]],Milestone_Marker,IF(AND(AC$27&gt;ProposalToGnatt[[#This Row],[Start Date]],AC$27&lt;ProposalToGnatt[[#This Row],[Start Date]]+ProposalToGnatt[[#This Row],[Days]]),$G$5,"")),"")</f>
        <v/>
      </c>
      <c r="AD62" s="36" t="str">
        <f ca="1">IFERROR(+IF(AD$27=ProposalToGnatt[[#This Row],[Start Date]],Milestone_Marker,IF(AND(AD$27&gt;ProposalToGnatt[[#This Row],[Start Date]],AD$27&lt;ProposalToGnatt[[#This Row],[Start Date]]+ProposalToGnatt[[#This Row],[Days]]),$G$5,"")),"")</f>
        <v/>
      </c>
      <c r="AE62" s="36" t="str">
        <f ca="1">IFERROR(+IF(AE$27=ProposalToGnatt[[#This Row],[Start Date]],Milestone_Marker,IF(AND(AE$27&gt;ProposalToGnatt[[#This Row],[Start Date]],AE$27&lt;ProposalToGnatt[[#This Row],[Start Date]]+ProposalToGnatt[[#This Row],[Days]]),$G$5,"")),"")</f>
        <v/>
      </c>
      <c r="AF62" s="36" t="str">
        <f ca="1">IFERROR(+IF(AF$27=ProposalToGnatt[[#This Row],[Start Date]],Milestone_Marker,IF(AND(AF$27&gt;ProposalToGnatt[[#This Row],[Start Date]],AF$27&lt;ProposalToGnatt[[#This Row],[Start Date]]+ProposalToGnatt[[#This Row],[Days]]),$G$5,"")),"")</f>
        <v/>
      </c>
      <c r="AG62" s="36" t="str">
        <f ca="1">IFERROR(+IF(AG$27=ProposalToGnatt[[#This Row],[Start Date]],Milestone_Marker,IF(AND(AG$27&gt;ProposalToGnatt[[#This Row],[Start Date]],AG$27&lt;ProposalToGnatt[[#This Row],[Start Date]]+ProposalToGnatt[[#This Row],[Days]]),$G$5,"")),"")</f>
        <v/>
      </c>
      <c r="AH62" s="36" t="str">
        <f ca="1">IFERROR(+IF(AH$27=ProposalToGnatt[[#This Row],[Start Date]],Milestone_Marker,IF(AND(AH$27&gt;ProposalToGnatt[[#This Row],[Start Date]],AH$27&lt;ProposalToGnatt[[#This Row],[Start Date]]+ProposalToGnatt[[#This Row],[Days]]),$G$5,"")),"")</f>
        <v/>
      </c>
      <c r="AI62" s="36" t="str">
        <f ca="1">IFERROR(+IF(AI$27=ProposalToGnatt[[#This Row],[Start Date]],Milestone_Marker,IF(AND(AI$27&gt;ProposalToGnatt[[#This Row],[Start Date]],AI$27&lt;ProposalToGnatt[[#This Row],[Start Date]]+ProposalToGnatt[[#This Row],[Days]]),$G$5,"")),"")</f>
        <v/>
      </c>
      <c r="AJ62" s="36" t="str">
        <f ca="1">IFERROR(+IF(AJ$27=ProposalToGnatt[[#This Row],[Start Date]],Milestone_Marker,IF(AND(AJ$27&gt;ProposalToGnatt[[#This Row],[Start Date]],AJ$27&lt;ProposalToGnatt[[#This Row],[Start Date]]+ProposalToGnatt[[#This Row],[Days]]),$G$5,"")),"")</f>
        <v/>
      </c>
      <c r="AK62" s="36" t="str">
        <f ca="1">IFERROR(+IF(AK$27=ProposalToGnatt[[#This Row],[Start Date]],Milestone_Marker,IF(AND(AK$27&gt;ProposalToGnatt[[#This Row],[Start Date]],AK$27&lt;ProposalToGnatt[[#This Row],[Start Date]]+ProposalToGnatt[[#This Row],[Days]]),$G$5,"")),"")</f>
        <v/>
      </c>
      <c r="AL62" s="36" t="str">
        <f ca="1">IFERROR(+IF(AL$27=ProposalToGnatt[[#This Row],[Start Date]],Milestone_Marker,IF(AND(AL$27&gt;ProposalToGnatt[[#This Row],[Start Date]],AL$27&lt;ProposalToGnatt[[#This Row],[Start Date]]+ProposalToGnatt[[#This Row],[Days]]),$G$5,"")),"")</f>
        <v/>
      </c>
      <c r="AM62" s="36" t="str">
        <f ca="1">IFERROR(+IF(AM$27=ProposalToGnatt[[#This Row],[Start Date]],Milestone_Marker,IF(AND(AM$27&gt;ProposalToGnatt[[#This Row],[Start Date]],AM$27&lt;ProposalToGnatt[[#This Row],[Start Date]]+ProposalToGnatt[[#This Row],[Days]]),$G$5,"")),"")</f>
        <v/>
      </c>
      <c r="AN62" s="36" t="str">
        <f ca="1">IFERROR(+IF(AN$27=ProposalToGnatt[[#This Row],[Start Date]],Milestone_Marker,IF(AND(AN$27&gt;ProposalToGnatt[[#This Row],[Start Date]],AN$27&lt;ProposalToGnatt[[#This Row],[Start Date]]+ProposalToGnatt[[#This Row],[Days]]),$G$5,"")),"")</f>
        <v/>
      </c>
      <c r="AO62" s="36" t="str">
        <f ca="1">IFERROR(+IF(AO$27=ProposalToGnatt[[#This Row],[Start Date]],Milestone_Marker,IF(AND(AO$27&gt;ProposalToGnatt[[#This Row],[Start Date]],AO$27&lt;ProposalToGnatt[[#This Row],[Start Date]]+ProposalToGnatt[[#This Row],[Days]]),$G$5,"")),"")</f>
        <v/>
      </c>
      <c r="AP62" s="36" t="str">
        <f ca="1">IFERROR(+IF(AP$27=ProposalToGnatt[[#This Row],[Start Date]],Milestone_Marker,IF(AND(AP$27&gt;ProposalToGnatt[[#This Row],[Start Date]],AP$27&lt;ProposalToGnatt[[#This Row],[Start Date]]+ProposalToGnatt[[#This Row],[Days]]),$G$5,"")),"")</f>
        <v/>
      </c>
      <c r="AQ62" s="36" t="str">
        <f ca="1">IFERROR(+IF(AQ$27=ProposalToGnatt[[#This Row],[Start Date]],Milestone_Marker,IF(AND(AQ$27&gt;ProposalToGnatt[[#This Row],[Start Date]],AQ$27&lt;ProposalToGnatt[[#This Row],[Start Date]]+ProposalToGnatt[[#This Row],[Days]]),$G$5,"")),"")</f>
        <v/>
      </c>
      <c r="AR62" s="36" t="str">
        <f ca="1">IFERROR(+IF(AR$27=ProposalToGnatt[[#This Row],[Start Date]],Milestone_Marker,IF(AND(AR$27&gt;ProposalToGnatt[[#This Row],[Start Date]],AR$27&lt;ProposalToGnatt[[#This Row],[Start Date]]+ProposalToGnatt[[#This Row],[Days]]),$G$5,"")),"")</f>
        <v/>
      </c>
      <c r="AS62" s="36" t="str">
        <f ca="1">IFERROR(+IF(AS$27=ProposalToGnatt[[#This Row],[Start Date]],Milestone_Marker,IF(AND(AS$27&gt;ProposalToGnatt[[#This Row],[Start Date]],AS$27&lt;ProposalToGnatt[[#This Row],[Start Date]]+ProposalToGnatt[[#This Row],[Days]]),$G$5,"")),"")</f>
        <v/>
      </c>
      <c r="AT62" s="36" t="str">
        <f ca="1">IFERROR(+IF(AT$27=ProposalToGnatt[[#This Row],[Start Date]],Milestone_Marker,IF(AND(AT$27&gt;ProposalToGnatt[[#This Row],[Start Date]],AT$27&lt;ProposalToGnatt[[#This Row],[Start Date]]+ProposalToGnatt[[#This Row],[Days]]),$G$5,"")),"")</f>
        <v/>
      </c>
      <c r="AU62" s="36" t="str">
        <f ca="1">IFERROR(+IF(AU$27=ProposalToGnatt[[#This Row],[Start Date]],Milestone_Marker,IF(AND(AU$27&gt;ProposalToGnatt[[#This Row],[Start Date]],AU$27&lt;ProposalToGnatt[[#This Row],[Start Date]]+ProposalToGnatt[[#This Row],[Days]]),$G$5,"")),"")</f>
        <v/>
      </c>
      <c r="AV62" s="36" t="str">
        <f ca="1">IFERROR(+IF(AV$27=ProposalToGnatt[[#This Row],[Start Date]],Milestone_Marker,IF(AND(AV$27&gt;ProposalToGnatt[[#This Row],[Start Date]],AV$27&lt;ProposalToGnatt[[#This Row],[Start Date]]+ProposalToGnatt[[#This Row],[Days]]),$G$5,"")),"")</f>
        <v/>
      </c>
      <c r="AW62" s="36" t="str">
        <f ca="1">IFERROR(+IF(AW$27=ProposalToGnatt[[#This Row],[Start Date]],Milestone_Marker,IF(AND(AW$27&gt;ProposalToGnatt[[#This Row],[Start Date]],AW$27&lt;ProposalToGnatt[[#This Row],[Start Date]]+ProposalToGnatt[[#This Row],[Days]]),$G$5,"")),"")</f>
        <v/>
      </c>
      <c r="AX62" s="36" t="str">
        <f ca="1">IFERROR(+IF(AX$27=ProposalToGnatt[[#This Row],[Start Date]],Milestone_Marker,IF(AND(AX$27&gt;ProposalToGnatt[[#This Row],[Start Date]],AX$27&lt;ProposalToGnatt[[#This Row],[Start Date]]+ProposalToGnatt[[#This Row],[Days]]),$G$5,"")),"")</f>
        <v/>
      </c>
      <c r="AY62" s="36" t="str">
        <f ca="1">IFERROR(+IF(AY$27=ProposalToGnatt[[#This Row],[Start Date]],Milestone_Marker,IF(AND(AY$27&gt;ProposalToGnatt[[#This Row],[Start Date]],AY$27&lt;ProposalToGnatt[[#This Row],[Start Date]]+ProposalToGnatt[[#This Row],[Days]]),$G$5,"")),"")</f>
        <v/>
      </c>
      <c r="AZ62" s="36" t="str">
        <f ca="1">IFERROR(+IF(AZ$27=ProposalToGnatt[[#This Row],[Start Date]],Milestone_Marker,IF(AND(AZ$27&gt;ProposalToGnatt[[#This Row],[Start Date]],AZ$27&lt;ProposalToGnatt[[#This Row],[Start Date]]+ProposalToGnatt[[#This Row],[Days]]),$G$5,"")),"")</f>
        <v/>
      </c>
      <c r="BA62" s="36" t="str">
        <f ca="1">IFERROR(+IF(BA$27=ProposalToGnatt[[#This Row],[Start Date]],Milestone_Marker,IF(AND(BA$27&gt;ProposalToGnatt[[#This Row],[Start Date]],BA$27&lt;ProposalToGnatt[[#This Row],[Start Date]]+ProposalToGnatt[[#This Row],[Days]]),$G$5,"")),"")</f>
        <v/>
      </c>
      <c r="BB62" s="36" t="str">
        <f ca="1">IFERROR(+IF(BB$27=ProposalToGnatt[[#This Row],[Start Date]],Milestone_Marker,IF(AND(BB$27&gt;ProposalToGnatt[[#This Row],[Start Date]],BB$27&lt;ProposalToGnatt[[#This Row],[Start Date]]+ProposalToGnatt[[#This Row],[Days]]),$G$5,"")),"")</f>
        <v/>
      </c>
      <c r="BC62" s="36" t="str">
        <f ca="1">IFERROR(+IF(BC$27=ProposalToGnatt[[#This Row],[Start Date]],Milestone_Marker,IF(AND(BC$27&gt;ProposalToGnatt[[#This Row],[Start Date]],BC$27&lt;ProposalToGnatt[[#This Row],[Start Date]]+ProposalToGnatt[[#This Row],[Days]]),$G$5,"")),"")</f>
        <v/>
      </c>
      <c r="BD62" s="36" t="str">
        <f ca="1">IFERROR(+IF(BD$27=ProposalToGnatt[[#This Row],[Start Date]],Milestone_Marker,IF(AND(BD$27&gt;ProposalToGnatt[[#This Row],[Start Date]],BD$27&lt;ProposalToGnatt[[#This Row],[Start Date]]+ProposalToGnatt[[#This Row],[Days]]),$G$5,"")),"")</f>
        <v/>
      </c>
      <c r="BE62" s="36" t="str">
        <f ca="1">IFERROR(+IF(BE$27=ProposalToGnatt[[#This Row],[Start Date]],Milestone_Marker,IF(AND(BE$27&gt;ProposalToGnatt[[#This Row],[Start Date]],BE$27&lt;ProposalToGnatt[[#This Row],[Start Date]]+ProposalToGnatt[[#This Row],[Days]]),$G$5,"")),"")</f>
        <v/>
      </c>
      <c r="BF62" s="36" t="str">
        <f ca="1">IFERROR(+IF(BF$27=ProposalToGnatt[[#This Row],[Start Date]],Milestone_Marker,IF(AND(BF$27&gt;ProposalToGnatt[[#This Row],[Start Date]],BF$27&lt;ProposalToGnatt[[#This Row],[Start Date]]+ProposalToGnatt[[#This Row],[Days]]),$G$5,"")),"")</f>
        <v/>
      </c>
      <c r="BG62" s="36" t="str">
        <f ca="1">IFERROR(+IF(BG$27=ProposalToGnatt[[#This Row],[Start Date]],Milestone_Marker,IF(AND(BG$27&gt;ProposalToGnatt[[#This Row],[Start Date]],BG$27&lt;ProposalToGnatt[[#This Row],[Start Date]]+ProposalToGnatt[[#This Row],[Days]]),$G$5,"")),"")</f>
        <v/>
      </c>
      <c r="BH62" s="36" t="str">
        <f ca="1">IFERROR(+IF(BH$27=ProposalToGnatt[[#This Row],[Start Date]],Milestone_Marker,IF(AND(BH$27&gt;ProposalToGnatt[[#This Row],[Start Date]],BH$27&lt;ProposalToGnatt[[#This Row],[Start Date]]+ProposalToGnatt[[#This Row],[Days]]),$G$5,"")),"")</f>
        <v/>
      </c>
      <c r="BI62" s="36" t="str">
        <f ca="1">IFERROR(+IF(BI$27=ProposalToGnatt[[#This Row],[Start Date]],Milestone_Marker,IF(AND(BI$27&gt;ProposalToGnatt[[#This Row],[Start Date]],BI$27&lt;ProposalToGnatt[[#This Row],[Start Date]]+ProposalToGnatt[[#This Row],[Days]]),$G$5,"")),"")</f>
        <v/>
      </c>
      <c r="BJ62" s="36" t="str">
        <f ca="1">IFERROR(+IF(BJ$27=ProposalToGnatt[[#This Row],[Start Date]],Milestone_Marker,IF(AND(BJ$27&gt;ProposalToGnatt[[#This Row],[Start Date]],BJ$27&lt;ProposalToGnatt[[#This Row],[Start Date]]+ProposalToGnatt[[#This Row],[Days]]),$G$5,"")),"")</f>
        <v/>
      </c>
      <c r="BK62" s="36" t="str">
        <f ca="1">IFERROR(+IF(BK$27=ProposalToGnatt[[#This Row],[Start Date]],Milestone_Marker,IF(AND(BK$27&gt;ProposalToGnatt[[#This Row],[Start Date]],BK$27&lt;ProposalToGnatt[[#This Row],[Start Date]]+ProposalToGnatt[[#This Row],[Days]]),$G$5,"")),"")</f>
        <v/>
      </c>
      <c r="BL62" s="36" t="str">
        <f ca="1">IFERROR(+IF(BL$27=ProposalToGnatt[[#This Row],[Start Date]],Milestone_Marker,IF(AND(BL$27&gt;ProposalToGnatt[[#This Row],[Start Date]],BL$27&lt;ProposalToGnatt[[#This Row],[Start Date]]+ProposalToGnatt[[#This Row],[Days]]),$G$5,"")),"")</f>
        <v/>
      </c>
      <c r="BM62" s="36" t="str">
        <f ca="1">IFERROR(+IF(BM$27=ProposalToGnatt[[#This Row],[Start Date]],Milestone_Marker,IF(AND(BM$27&gt;ProposalToGnatt[[#This Row],[Start Date]],BM$27&lt;ProposalToGnatt[[#This Row],[Start Date]]+ProposalToGnatt[[#This Row],[Days]]),$G$5,"")),"")</f>
        <v/>
      </c>
      <c r="BN62" s="36" t="str">
        <f ca="1">IFERROR(+IF(BN$27=ProposalToGnatt[[#This Row],[Start Date]],Milestone_Marker,IF(AND(BN$27&gt;ProposalToGnatt[[#This Row],[Start Date]],BN$27&lt;ProposalToGnatt[[#This Row],[Start Date]]+ProposalToGnatt[[#This Row],[Days]]),$G$5,"")),"")</f>
        <v/>
      </c>
      <c r="BO62" s="36" t="str">
        <f ca="1">IFERROR(+IF(BO$27=ProposalToGnatt[[#This Row],[Start Date]],Milestone_Marker,IF(AND(BO$27&gt;ProposalToGnatt[[#This Row],[Start Date]],BO$27&lt;ProposalToGnatt[[#This Row],[Start Date]]+ProposalToGnatt[[#This Row],[Days]]),$G$5,"")),"")</f>
        <v/>
      </c>
      <c r="BP62" s="36" t="str">
        <f ca="1">IFERROR(+IF(BP$27=ProposalToGnatt[[#This Row],[Start Date]],Milestone_Marker,IF(AND(BP$27&gt;ProposalToGnatt[[#This Row],[Start Date]],BP$27&lt;ProposalToGnatt[[#This Row],[Start Date]]+ProposalToGnatt[[#This Row],[Days]]),$G$5,"")),"")</f>
        <v/>
      </c>
      <c r="BQ62" s="36" t="str">
        <f ca="1">IFERROR(+IF(BQ$27=ProposalToGnatt[[#This Row],[Start Date]],Milestone_Marker,IF(AND(BQ$27&gt;ProposalToGnatt[[#This Row],[Start Date]],BQ$27&lt;ProposalToGnatt[[#This Row],[Start Date]]+ProposalToGnatt[[#This Row],[Days]]),$G$5,"")),"")</f>
        <v/>
      </c>
      <c r="BR62" s="36" t="str">
        <f ca="1">IFERROR(+IF(BR$27=ProposalToGnatt[[#This Row],[Start Date]],Milestone_Marker,IF(AND(BR$27&gt;ProposalToGnatt[[#This Row],[Start Date]],BR$27&lt;ProposalToGnatt[[#This Row],[Start Date]]+ProposalToGnatt[[#This Row],[Days]]),$G$5,"")),"")</f>
        <v/>
      </c>
      <c r="BS62" s="36" t="str">
        <f ca="1">IFERROR(+IF(BS$27=ProposalToGnatt[[#This Row],[Start Date]],Milestone_Marker,IF(AND(BS$27&gt;ProposalToGnatt[[#This Row],[Start Date]],BS$27&lt;ProposalToGnatt[[#This Row],[Start Date]]+ProposalToGnatt[[#This Row],[Days]]),$G$5,"")),"")</f>
        <v/>
      </c>
      <c r="BT62" s="36" t="str">
        <f ca="1">IFERROR(+IF(BT$27=ProposalToGnatt[[#This Row],[Start Date]],Milestone_Marker,IF(AND(BT$27&gt;ProposalToGnatt[[#This Row],[Start Date]],BT$27&lt;ProposalToGnatt[[#This Row],[Start Date]]+ProposalToGnatt[[#This Row],[Days]]),$G$5,"")),"")</f>
        <v/>
      </c>
      <c r="BU62" s="36" t="str">
        <f ca="1">IFERROR(+IF(BU$27=ProposalToGnatt[[#This Row],[Start Date]],Milestone_Marker,IF(AND(BU$27&gt;ProposalToGnatt[[#This Row],[Start Date]],BU$27&lt;ProposalToGnatt[[#This Row],[Start Date]]+ProposalToGnatt[[#This Row],[Days]]),$G$5,"")),"")</f>
        <v/>
      </c>
      <c r="BV62" s="36" t="str">
        <f ca="1">IFERROR(+IF(BV$27=ProposalToGnatt[[#This Row],[Start Date]],Milestone_Marker,IF(AND(BV$27&gt;ProposalToGnatt[[#This Row],[Start Date]],BV$27&lt;ProposalToGnatt[[#This Row],[Start Date]]+ProposalToGnatt[[#This Row],[Days]]),$G$5,"")),"")</f>
        <v/>
      </c>
      <c r="BW62" s="36" t="str">
        <f ca="1">IFERROR(+IF(BW$27=ProposalToGnatt[[#This Row],[Start Date]],Milestone_Marker,IF(AND(BW$27&gt;ProposalToGnatt[[#This Row],[Start Date]],BW$27&lt;ProposalToGnatt[[#This Row],[Start Date]]+ProposalToGnatt[[#This Row],[Days]]),$G$5,"")),"")</f>
        <v/>
      </c>
      <c r="BX62" s="36" t="str">
        <f ca="1">IFERROR(+IF(BX$27=ProposalToGnatt[[#This Row],[Start Date]],Milestone_Marker,IF(AND(BX$27&gt;ProposalToGnatt[[#This Row],[Start Date]],BX$27&lt;ProposalToGnatt[[#This Row],[Start Date]]+ProposalToGnatt[[#This Row],[Days]]),$G$5,"")),"")</f>
        <v/>
      </c>
      <c r="BY62" s="36" t="str">
        <f ca="1">IFERROR(+IF(BY$27=ProposalToGnatt[[#This Row],[Start Date]],Milestone_Marker,IF(AND(BY$27&gt;ProposalToGnatt[[#This Row],[Start Date]],BY$27&lt;ProposalToGnatt[[#This Row],[Start Date]]+ProposalToGnatt[[#This Row],[Days]]),$G$5,"")),"")</f>
        <v/>
      </c>
      <c r="BZ62" s="36" t="str">
        <f ca="1">IFERROR(+IF(BZ$27=ProposalToGnatt[[#This Row],[Start Date]],Milestone_Marker,IF(AND(BZ$27&gt;ProposalToGnatt[[#This Row],[Start Date]],BZ$27&lt;ProposalToGnatt[[#This Row],[Start Date]]+ProposalToGnatt[[#This Row],[Days]]),$G$5,"")),"")</f>
        <v/>
      </c>
      <c r="CA62" s="36" t="str">
        <f ca="1">IFERROR(+IF(CA$27=ProposalToGnatt[[#This Row],[Start Date]],Milestone_Marker,IF(AND(CA$27&gt;ProposalToGnatt[[#This Row],[Start Date]],CA$27&lt;ProposalToGnatt[[#This Row],[Start Date]]+ProposalToGnatt[[#This Row],[Days]]),$G$5,"")),"")</f>
        <v/>
      </c>
      <c r="CB62" s="36" t="str">
        <f ca="1">IFERROR(+IF(CB$27=ProposalToGnatt[[#This Row],[Start Date]],Milestone_Marker,IF(AND(CB$27&gt;ProposalToGnatt[[#This Row],[Start Date]],CB$27&lt;ProposalToGnatt[[#This Row],[Start Date]]+ProposalToGnatt[[#This Row],[Days]]),$G$5,"")),"")</f>
        <v/>
      </c>
      <c r="CC62" s="36" t="str">
        <f ca="1">IFERROR(+IF(CC$27=ProposalToGnatt[[#This Row],[Start Date]],Milestone_Marker,IF(AND(CC$27&gt;ProposalToGnatt[[#This Row],[Start Date]],CC$27&lt;ProposalToGnatt[[#This Row],[Start Date]]+ProposalToGnatt[[#This Row],[Days]]),$G$5,"")),"")</f>
        <v/>
      </c>
      <c r="CD62" s="36" t="str">
        <f ca="1">IFERROR(+IF(CD$27=ProposalToGnatt[[#This Row],[Start Date]],Milestone_Marker,IF(AND(CD$27&gt;ProposalToGnatt[[#This Row],[Start Date]],CD$27&lt;ProposalToGnatt[[#This Row],[Start Date]]+ProposalToGnatt[[#This Row],[Days]]),$G$5,"")),"")</f>
        <v/>
      </c>
      <c r="CE62" s="36" t="str">
        <f ca="1">IFERROR(+IF(CE$27=ProposalToGnatt[[#This Row],[Start Date]],Milestone_Marker,IF(AND(CE$27&gt;ProposalToGnatt[[#This Row],[Start Date]],CE$27&lt;ProposalToGnatt[[#This Row],[Start Date]]+ProposalToGnatt[[#This Row],[Days]]),$G$5,"")),"")</f>
        <v/>
      </c>
      <c r="CF62" s="36" t="str">
        <f ca="1">IFERROR(+IF(CF$27=ProposalToGnatt[[#This Row],[Start Date]],Milestone_Marker,IF(AND(CF$27&gt;ProposalToGnatt[[#This Row],[Start Date]],CF$27&lt;ProposalToGnatt[[#This Row],[Start Date]]+ProposalToGnatt[[#This Row],[Days]]),$G$5,"")),"")</f>
        <v/>
      </c>
      <c r="CG62" s="36" t="str">
        <f ca="1">IFERROR(+IF(CG$27=ProposalToGnatt[[#This Row],[Start Date]],Milestone_Marker,IF(AND(CG$27&gt;ProposalToGnatt[[#This Row],[Start Date]],CG$27&lt;ProposalToGnatt[[#This Row],[Start Date]]+ProposalToGnatt[[#This Row],[Days]]),$G$5,"")),"")</f>
        <v/>
      </c>
      <c r="CH62" s="36" t="str">
        <f ca="1">IFERROR(+IF(CH$27=ProposalToGnatt[[#This Row],[Start Date]],Milestone_Marker,IF(AND(CH$27&gt;ProposalToGnatt[[#This Row],[Start Date]],CH$27&lt;ProposalToGnatt[[#This Row],[Start Date]]+ProposalToGnatt[[#This Row],[Days]]),$G$5,"")),"")</f>
        <v/>
      </c>
      <c r="CI62" s="36" t="str">
        <f ca="1">IFERROR(+IF(CI$27=ProposalToGnatt[[#This Row],[Start Date]],Milestone_Marker,IF(AND(CI$27&gt;ProposalToGnatt[[#This Row],[Start Date]],CI$27&lt;ProposalToGnatt[[#This Row],[Start Date]]+ProposalToGnatt[[#This Row],[Days]]),$G$5,"")),"")</f>
        <v/>
      </c>
      <c r="CJ62" s="36" t="str">
        <f ca="1">IFERROR(+IF(CJ$27=ProposalToGnatt[[#This Row],[Start Date]],Milestone_Marker,IF(AND(CJ$27&gt;ProposalToGnatt[[#This Row],[Start Date]],CJ$27&lt;ProposalToGnatt[[#This Row],[Start Date]]+ProposalToGnatt[[#This Row],[Days]]),$G$5,"")),"")</f>
        <v/>
      </c>
      <c r="CK62" s="36" t="str">
        <f ca="1">IFERROR(+IF(CK$27=ProposalToGnatt[[#This Row],[Start Date]],Milestone_Marker,IF(AND(CK$27&gt;ProposalToGnatt[[#This Row],[Start Date]],CK$27&lt;ProposalToGnatt[[#This Row],[Start Date]]+ProposalToGnatt[[#This Row],[Days]]),$G$5,"")),"")</f>
        <v/>
      </c>
      <c r="CL62" s="36" t="str">
        <f ca="1">IFERROR(+IF(CL$27=ProposalToGnatt[[#This Row],[Start Date]],Milestone_Marker,IF(AND(CL$27&gt;ProposalToGnatt[[#This Row],[Start Date]],CL$27&lt;ProposalToGnatt[[#This Row],[Start Date]]+ProposalToGnatt[[#This Row],[Days]]),$G$5,"")),"")</f>
        <v/>
      </c>
      <c r="CM62" s="36" t="str">
        <f ca="1">IFERROR(+IF(CM$27=ProposalToGnatt[[#This Row],[Start Date]],Milestone_Marker,IF(AND(CM$27&gt;ProposalToGnatt[[#This Row],[Start Date]],CM$27&lt;ProposalToGnatt[[#This Row],[Start Date]]+ProposalToGnatt[[#This Row],[Days]]),$G$5,"")),"")</f>
        <v/>
      </c>
      <c r="CN62" s="36" t="str">
        <f ca="1">IFERROR(+IF(CN$27=ProposalToGnatt[[#This Row],[Start Date]],Milestone_Marker,IF(AND(CN$27&gt;ProposalToGnatt[[#This Row],[Start Date]],CN$27&lt;ProposalToGnatt[[#This Row],[Start Date]]+ProposalToGnatt[[#This Row],[Days]]),$G$5,"")),"")</f>
        <v/>
      </c>
      <c r="CO62" s="36" t="str">
        <f ca="1">IFERROR(+IF(CO$27=ProposalToGnatt[[#This Row],[Start Date]],Milestone_Marker,IF(AND(CO$27&gt;ProposalToGnatt[[#This Row],[Start Date]],CO$27&lt;ProposalToGnatt[[#This Row],[Start Date]]+ProposalToGnatt[[#This Row],[Days]]),$G$5,"")),"")</f>
        <v/>
      </c>
      <c r="CP62" s="36" t="str">
        <f ca="1">IFERROR(+IF(CP$27=ProposalToGnatt[[#This Row],[Start Date]],Milestone_Marker,IF(AND(CP$27&gt;ProposalToGnatt[[#This Row],[Start Date]],CP$27&lt;ProposalToGnatt[[#This Row],[Start Date]]+ProposalToGnatt[[#This Row],[Days]]),$G$5,"")),"")</f>
        <v/>
      </c>
      <c r="CQ62" s="36" t="str">
        <f ca="1">IFERROR(+IF(CQ$27=ProposalToGnatt[[#This Row],[Start Date]],Milestone_Marker,IF(AND(CQ$27&gt;ProposalToGnatt[[#This Row],[Start Date]],CQ$27&lt;ProposalToGnatt[[#This Row],[Start Date]]+ProposalToGnatt[[#This Row],[Days]]),$G$5,"")),"")</f>
        <v/>
      </c>
      <c r="CR62" s="36" t="str">
        <f ca="1">IFERROR(+IF(CR$27=ProposalToGnatt[[#This Row],[Start Date]],Milestone_Marker,IF(AND(CR$27&gt;ProposalToGnatt[[#This Row],[Start Date]],CR$27&lt;ProposalToGnatt[[#This Row],[Start Date]]+ProposalToGnatt[[#This Row],[Days]]),$G$5,"")),"")</f>
        <v/>
      </c>
      <c r="CS62" s="36" t="str">
        <f ca="1">IFERROR(+IF(CS$27=ProposalToGnatt[[#This Row],[Start Date]],Milestone_Marker,IF(AND(CS$27&gt;ProposalToGnatt[[#This Row],[Start Date]],CS$27&lt;ProposalToGnatt[[#This Row],[Start Date]]+ProposalToGnatt[[#This Row],[Days]]),$G$5,"")),"")</f>
        <v/>
      </c>
      <c r="CT62" s="36" t="str">
        <f ca="1">IFERROR(+IF(CT$27=ProposalToGnatt[[#This Row],[Start Date]],Milestone_Marker,IF(AND(CT$27&gt;ProposalToGnatt[[#This Row],[Start Date]],CT$27&lt;ProposalToGnatt[[#This Row],[Start Date]]+ProposalToGnatt[[#This Row],[Days]]),$G$5,"")),"")</f>
        <v/>
      </c>
      <c r="CU62" s="36" t="str">
        <f ca="1">IFERROR(+IF(CU$27=ProposalToGnatt[[#This Row],[Start Date]],Milestone_Marker,IF(AND(CU$27&gt;ProposalToGnatt[[#This Row],[Start Date]],CU$27&lt;ProposalToGnatt[[#This Row],[Start Date]]+ProposalToGnatt[[#This Row],[Days]]),$G$5,"")),"")</f>
        <v/>
      </c>
      <c r="CV62" s="36"/>
      <c r="CW62" s="36"/>
      <c r="CX62" s="36"/>
      <c r="CY62" s="36"/>
      <c r="CZ62" s="36"/>
      <c r="DA62" s="36"/>
      <c r="DB62" s="36"/>
      <c r="DC62" s="36"/>
      <c r="DD62" s="36"/>
      <c r="DE62" s="36"/>
      <c r="DF62" s="36"/>
      <c r="DG62" s="36"/>
      <c r="DH62" s="36"/>
      <c r="DI62" s="36"/>
      <c r="DJ62" s="36"/>
      <c r="DK62" s="36"/>
      <c r="DL62" s="36"/>
      <c r="DM62" s="36"/>
      <c r="DN62" s="36"/>
      <c r="DO62" s="36"/>
      <c r="DP62" s="36"/>
      <c r="DQ62" s="36"/>
      <c r="DR62" s="36"/>
      <c r="DS62" s="36"/>
      <c r="DT62" s="36"/>
      <c r="DU62" s="36"/>
    </row>
    <row r="63" spans="1:125" s="41" customFormat="1" ht="30" customHeight="1" x14ac:dyDescent="0.25">
      <c r="A63" t="s">
        <v>267</v>
      </c>
      <c r="B63">
        <v>45</v>
      </c>
      <c r="C63"/>
      <c r="D63" t="s">
        <v>950</v>
      </c>
      <c r="E63" s="568" t="s">
        <v>960</v>
      </c>
      <c r="F63">
        <v>1</v>
      </c>
      <c r="G63" s="14"/>
      <c r="H63" s="14"/>
      <c r="I63" t="s">
        <v>3</v>
      </c>
      <c r="J63">
        <v>1</v>
      </c>
      <c r="K63" s="249"/>
      <c r="L63"/>
      <c r="M63" s="14"/>
      <c r="N63" s="300"/>
      <c r="O63" s="554"/>
      <c r="P63" s="36" t="str">
        <f ca="1">IFERROR(+IF(P$27=ProposalToGnatt[[#This Row],[Start Date]],Milestone_Marker,IF(AND(P$27&gt;ProposalToGnatt[[#This Row],[Start Date]],P$27&lt;ProposalToGnatt[[#This Row],[Start Date]]+ProposalToGnatt[[#This Row],[Days]]),$G$5,"")),"")</f>
        <v/>
      </c>
      <c r="Q63" s="36" t="str">
        <f ca="1">IFERROR(+IF(Q$27=ProposalToGnatt[[#This Row],[Start Date]],Milestone_Marker,IF(AND(Q$27&gt;ProposalToGnatt[[#This Row],[Start Date]],Q$27&lt;ProposalToGnatt[[#This Row],[Start Date]]+ProposalToGnatt[[#This Row],[Days]]),$G$5,"")),"")</f>
        <v/>
      </c>
      <c r="R63" s="36" t="str">
        <f ca="1">IFERROR(+IF(R$27=ProposalToGnatt[[#This Row],[Start Date]],Milestone_Marker,IF(AND(R$27&gt;ProposalToGnatt[[#This Row],[Start Date]],R$27&lt;ProposalToGnatt[[#This Row],[Start Date]]+ProposalToGnatt[[#This Row],[Days]]),$G$5,"")),"")</f>
        <v/>
      </c>
      <c r="S63" s="36" t="str">
        <f ca="1">IFERROR(+IF(S$27=ProposalToGnatt[[#This Row],[Start Date]],Milestone_Marker,IF(AND(S$27&gt;ProposalToGnatt[[#This Row],[Start Date]],S$27&lt;ProposalToGnatt[[#This Row],[Start Date]]+ProposalToGnatt[[#This Row],[Days]]),$G$5,"")),"")</f>
        <v/>
      </c>
      <c r="T63" s="36" t="str">
        <f ca="1">IFERROR(+IF(T$27=ProposalToGnatt[[#This Row],[Start Date]],Milestone_Marker,IF(AND(T$27&gt;ProposalToGnatt[[#This Row],[Start Date]],T$27&lt;ProposalToGnatt[[#This Row],[Start Date]]+ProposalToGnatt[[#This Row],[Days]]),$G$5,"")),"")</f>
        <v/>
      </c>
      <c r="U63" s="36" t="str">
        <f ca="1">IFERROR(+IF(U$27=ProposalToGnatt[[#This Row],[Start Date]],Milestone_Marker,IF(AND(U$27&gt;ProposalToGnatt[[#This Row],[Start Date]],U$27&lt;ProposalToGnatt[[#This Row],[Start Date]]+ProposalToGnatt[[#This Row],[Days]]),$G$5,"")),"")</f>
        <v/>
      </c>
      <c r="V63" s="36" t="str">
        <f ca="1">IFERROR(+IF(V$27=ProposalToGnatt[[#This Row],[Start Date]],Milestone_Marker,IF(AND(V$27&gt;ProposalToGnatt[[#This Row],[Start Date]],V$27&lt;ProposalToGnatt[[#This Row],[Start Date]]+ProposalToGnatt[[#This Row],[Days]]),$G$5,"")),"")</f>
        <v/>
      </c>
      <c r="W63" s="36" t="str">
        <f ca="1">IFERROR(+IF(W$27=ProposalToGnatt[[#This Row],[Start Date]],Milestone_Marker,IF(AND(W$27&gt;ProposalToGnatt[[#This Row],[Start Date]],W$27&lt;ProposalToGnatt[[#This Row],[Start Date]]+ProposalToGnatt[[#This Row],[Days]]),$G$5,"")),"")</f>
        <v/>
      </c>
      <c r="X63" s="36" t="str">
        <f ca="1">IFERROR(+IF(X$27=ProposalToGnatt[[#This Row],[Start Date]],Milestone_Marker,IF(AND(X$27&gt;ProposalToGnatt[[#This Row],[Start Date]],X$27&lt;ProposalToGnatt[[#This Row],[Start Date]]+ProposalToGnatt[[#This Row],[Days]]),$G$5,"")),"")</f>
        <v/>
      </c>
      <c r="Y63" s="36" t="str">
        <f ca="1">IFERROR(+IF(Y$27=ProposalToGnatt[[#This Row],[Start Date]],Milestone_Marker,IF(AND(Y$27&gt;ProposalToGnatt[[#This Row],[Start Date]],Y$27&lt;ProposalToGnatt[[#This Row],[Start Date]]+ProposalToGnatt[[#This Row],[Days]]),$G$5,"")),"")</f>
        <v/>
      </c>
      <c r="Z63" s="36" t="str">
        <f ca="1">IFERROR(+IF(Z$27=ProposalToGnatt[[#This Row],[Start Date]],Milestone_Marker,IF(AND(Z$27&gt;ProposalToGnatt[[#This Row],[Start Date]],Z$27&lt;ProposalToGnatt[[#This Row],[Start Date]]+ProposalToGnatt[[#This Row],[Days]]),$G$5,"")),"")</f>
        <v/>
      </c>
      <c r="AA63" s="36" t="str">
        <f ca="1">IFERROR(+IF(AA$27=ProposalToGnatt[[#This Row],[Start Date]],Milestone_Marker,IF(AND(AA$27&gt;ProposalToGnatt[[#This Row],[Start Date]],AA$27&lt;ProposalToGnatt[[#This Row],[Start Date]]+ProposalToGnatt[[#This Row],[Days]]),$G$5,"")),"")</f>
        <v/>
      </c>
      <c r="AB63" s="36" t="str">
        <f ca="1">IFERROR(+IF(AB$27=ProposalToGnatt[[#This Row],[Start Date]],Milestone_Marker,IF(AND(AB$27&gt;ProposalToGnatt[[#This Row],[Start Date]],AB$27&lt;ProposalToGnatt[[#This Row],[Start Date]]+ProposalToGnatt[[#This Row],[Days]]),$G$5,"")),"")</f>
        <v/>
      </c>
      <c r="AC63" s="36" t="str">
        <f ca="1">IFERROR(+IF(AC$27=ProposalToGnatt[[#This Row],[Start Date]],Milestone_Marker,IF(AND(AC$27&gt;ProposalToGnatt[[#This Row],[Start Date]],AC$27&lt;ProposalToGnatt[[#This Row],[Start Date]]+ProposalToGnatt[[#This Row],[Days]]),$G$5,"")),"")</f>
        <v/>
      </c>
      <c r="AD63" s="36" t="str">
        <f ca="1">IFERROR(+IF(AD$27=ProposalToGnatt[[#This Row],[Start Date]],Milestone_Marker,IF(AND(AD$27&gt;ProposalToGnatt[[#This Row],[Start Date]],AD$27&lt;ProposalToGnatt[[#This Row],[Start Date]]+ProposalToGnatt[[#This Row],[Days]]),$G$5,"")),"")</f>
        <v/>
      </c>
      <c r="AE63" s="36" t="str">
        <f ca="1">IFERROR(+IF(AE$27=ProposalToGnatt[[#This Row],[Start Date]],Milestone_Marker,IF(AND(AE$27&gt;ProposalToGnatt[[#This Row],[Start Date]],AE$27&lt;ProposalToGnatt[[#This Row],[Start Date]]+ProposalToGnatt[[#This Row],[Days]]),$G$5,"")),"")</f>
        <v/>
      </c>
      <c r="AF63" s="36" t="str">
        <f ca="1">IFERROR(+IF(AF$27=ProposalToGnatt[[#This Row],[Start Date]],Milestone_Marker,IF(AND(AF$27&gt;ProposalToGnatt[[#This Row],[Start Date]],AF$27&lt;ProposalToGnatt[[#This Row],[Start Date]]+ProposalToGnatt[[#This Row],[Days]]),$G$5,"")),"")</f>
        <v/>
      </c>
      <c r="AG63" s="36" t="str">
        <f ca="1">IFERROR(+IF(AG$27=ProposalToGnatt[[#This Row],[Start Date]],Milestone_Marker,IF(AND(AG$27&gt;ProposalToGnatt[[#This Row],[Start Date]],AG$27&lt;ProposalToGnatt[[#This Row],[Start Date]]+ProposalToGnatt[[#This Row],[Days]]),$G$5,"")),"")</f>
        <v/>
      </c>
      <c r="AH63" s="36" t="str">
        <f ca="1">IFERROR(+IF(AH$27=ProposalToGnatt[[#This Row],[Start Date]],Milestone_Marker,IF(AND(AH$27&gt;ProposalToGnatt[[#This Row],[Start Date]],AH$27&lt;ProposalToGnatt[[#This Row],[Start Date]]+ProposalToGnatt[[#This Row],[Days]]),$G$5,"")),"")</f>
        <v/>
      </c>
      <c r="AI63" s="36" t="str">
        <f ca="1">IFERROR(+IF(AI$27=ProposalToGnatt[[#This Row],[Start Date]],Milestone_Marker,IF(AND(AI$27&gt;ProposalToGnatt[[#This Row],[Start Date]],AI$27&lt;ProposalToGnatt[[#This Row],[Start Date]]+ProposalToGnatt[[#This Row],[Days]]),$G$5,"")),"")</f>
        <v/>
      </c>
      <c r="AJ63" s="36" t="str">
        <f ca="1">IFERROR(+IF(AJ$27=ProposalToGnatt[[#This Row],[Start Date]],Milestone_Marker,IF(AND(AJ$27&gt;ProposalToGnatt[[#This Row],[Start Date]],AJ$27&lt;ProposalToGnatt[[#This Row],[Start Date]]+ProposalToGnatt[[#This Row],[Days]]),$G$5,"")),"")</f>
        <v/>
      </c>
      <c r="AK63" s="36" t="str">
        <f ca="1">IFERROR(+IF(AK$27=ProposalToGnatt[[#This Row],[Start Date]],Milestone_Marker,IF(AND(AK$27&gt;ProposalToGnatt[[#This Row],[Start Date]],AK$27&lt;ProposalToGnatt[[#This Row],[Start Date]]+ProposalToGnatt[[#This Row],[Days]]),$G$5,"")),"")</f>
        <v/>
      </c>
      <c r="AL63" s="36" t="str">
        <f ca="1">IFERROR(+IF(AL$27=ProposalToGnatt[[#This Row],[Start Date]],Milestone_Marker,IF(AND(AL$27&gt;ProposalToGnatt[[#This Row],[Start Date]],AL$27&lt;ProposalToGnatt[[#This Row],[Start Date]]+ProposalToGnatt[[#This Row],[Days]]),$G$5,"")),"")</f>
        <v/>
      </c>
      <c r="AM63" s="36" t="str">
        <f ca="1">IFERROR(+IF(AM$27=ProposalToGnatt[[#This Row],[Start Date]],Milestone_Marker,IF(AND(AM$27&gt;ProposalToGnatt[[#This Row],[Start Date]],AM$27&lt;ProposalToGnatt[[#This Row],[Start Date]]+ProposalToGnatt[[#This Row],[Days]]),$G$5,"")),"")</f>
        <v/>
      </c>
      <c r="AN63" s="36" t="str">
        <f ca="1">IFERROR(+IF(AN$27=ProposalToGnatt[[#This Row],[Start Date]],Milestone_Marker,IF(AND(AN$27&gt;ProposalToGnatt[[#This Row],[Start Date]],AN$27&lt;ProposalToGnatt[[#This Row],[Start Date]]+ProposalToGnatt[[#This Row],[Days]]),$G$5,"")),"")</f>
        <v/>
      </c>
      <c r="AO63" s="36" t="str">
        <f ca="1">IFERROR(+IF(AO$27=ProposalToGnatt[[#This Row],[Start Date]],Milestone_Marker,IF(AND(AO$27&gt;ProposalToGnatt[[#This Row],[Start Date]],AO$27&lt;ProposalToGnatt[[#This Row],[Start Date]]+ProposalToGnatt[[#This Row],[Days]]),$G$5,"")),"")</f>
        <v/>
      </c>
      <c r="AP63" s="36" t="str">
        <f ca="1">IFERROR(+IF(AP$27=ProposalToGnatt[[#This Row],[Start Date]],Milestone_Marker,IF(AND(AP$27&gt;ProposalToGnatt[[#This Row],[Start Date]],AP$27&lt;ProposalToGnatt[[#This Row],[Start Date]]+ProposalToGnatt[[#This Row],[Days]]),$G$5,"")),"")</f>
        <v/>
      </c>
      <c r="AQ63" s="36" t="str">
        <f ca="1">IFERROR(+IF(AQ$27=ProposalToGnatt[[#This Row],[Start Date]],Milestone_Marker,IF(AND(AQ$27&gt;ProposalToGnatt[[#This Row],[Start Date]],AQ$27&lt;ProposalToGnatt[[#This Row],[Start Date]]+ProposalToGnatt[[#This Row],[Days]]),$G$5,"")),"")</f>
        <v/>
      </c>
      <c r="AR63" s="36" t="str">
        <f ca="1">IFERROR(+IF(AR$27=ProposalToGnatt[[#This Row],[Start Date]],Milestone_Marker,IF(AND(AR$27&gt;ProposalToGnatt[[#This Row],[Start Date]],AR$27&lt;ProposalToGnatt[[#This Row],[Start Date]]+ProposalToGnatt[[#This Row],[Days]]),$G$5,"")),"")</f>
        <v/>
      </c>
      <c r="AS63" s="36" t="str">
        <f ca="1">IFERROR(+IF(AS$27=ProposalToGnatt[[#This Row],[Start Date]],Milestone_Marker,IF(AND(AS$27&gt;ProposalToGnatt[[#This Row],[Start Date]],AS$27&lt;ProposalToGnatt[[#This Row],[Start Date]]+ProposalToGnatt[[#This Row],[Days]]),$G$5,"")),"")</f>
        <v/>
      </c>
      <c r="AT63" s="36" t="str">
        <f ca="1">IFERROR(+IF(AT$27=ProposalToGnatt[[#This Row],[Start Date]],Milestone_Marker,IF(AND(AT$27&gt;ProposalToGnatt[[#This Row],[Start Date]],AT$27&lt;ProposalToGnatt[[#This Row],[Start Date]]+ProposalToGnatt[[#This Row],[Days]]),$G$5,"")),"")</f>
        <v/>
      </c>
      <c r="AU63" s="36" t="str">
        <f ca="1">IFERROR(+IF(AU$27=ProposalToGnatt[[#This Row],[Start Date]],Milestone_Marker,IF(AND(AU$27&gt;ProposalToGnatt[[#This Row],[Start Date]],AU$27&lt;ProposalToGnatt[[#This Row],[Start Date]]+ProposalToGnatt[[#This Row],[Days]]),$G$5,"")),"")</f>
        <v/>
      </c>
      <c r="AV63" s="36" t="str">
        <f ca="1">IFERROR(+IF(AV$27=ProposalToGnatt[[#This Row],[Start Date]],Milestone_Marker,IF(AND(AV$27&gt;ProposalToGnatt[[#This Row],[Start Date]],AV$27&lt;ProposalToGnatt[[#This Row],[Start Date]]+ProposalToGnatt[[#This Row],[Days]]),$G$5,"")),"")</f>
        <v/>
      </c>
      <c r="AW63" s="36" t="str">
        <f ca="1">IFERROR(+IF(AW$27=ProposalToGnatt[[#This Row],[Start Date]],Milestone_Marker,IF(AND(AW$27&gt;ProposalToGnatt[[#This Row],[Start Date]],AW$27&lt;ProposalToGnatt[[#This Row],[Start Date]]+ProposalToGnatt[[#This Row],[Days]]),$G$5,"")),"")</f>
        <v/>
      </c>
      <c r="AX63" s="36" t="str">
        <f ca="1">IFERROR(+IF(AX$27=ProposalToGnatt[[#This Row],[Start Date]],Milestone_Marker,IF(AND(AX$27&gt;ProposalToGnatt[[#This Row],[Start Date]],AX$27&lt;ProposalToGnatt[[#This Row],[Start Date]]+ProposalToGnatt[[#This Row],[Days]]),$G$5,"")),"")</f>
        <v/>
      </c>
      <c r="AY63" s="36" t="str">
        <f ca="1">IFERROR(+IF(AY$27=ProposalToGnatt[[#This Row],[Start Date]],Milestone_Marker,IF(AND(AY$27&gt;ProposalToGnatt[[#This Row],[Start Date]],AY$27&lt;ProposalToGnatt[[#This Row],[Start Date]]+ProposalToGnatt[[#This Row],[Days]]),$G$5,"")),"")</f>
        <v/>
      </c>
      <c r="AZ63" s="36" t="str">
        <f ca="1">IFERROR(+IF(AZ$27=ProposalToGnatt[[#This Row],[Start Date]],Milestone_Marker,IF(AND(AZ$27&gt;ProposalToGnatt[[#This Row],[Start Date]],AZ$27&lt;ProposalToGnatt[[#This Row],[Start Date]]+ProposalToGnatt[[#This Row],[Days]]),$G$5,"")),"")</f>
        <v/>
      </c>
      <c r="BA63" s="36" t="str">
        <f ca="1">IFERROR(+IF(BA$27=ProposalToGnatt[[#This Row],[Start Date]],Milestone_Marker,IF(AND(BA$27&gt;ProposalToGnatt[[#This Row],[Start Date]],BA$27&lt;ProposalToGnatt[[#This Row],[Start Date]]+ProposalToGnatt[[#This Row],[Days]]),$G$5,"")),"")</f>
        <v/>
      </c>
      <c r="BB63" s="36" t="str">
        <f ca="1">IFERROR(+IF(BB$27=ProposalToGnatt[[#This Row],[Start Date]],Milestone_Marker,IF(AND(BB$27&gt;ProposalToGnatt[[#This Row],[Start Date]],BB$27&lt;ProposalToGnatt[[#This Row],[Start Date]]+ProposalToGnatt[[#This Row],[Days]]),$G$5,"")),"")</f>
        <v/>
      </c>
      <c r="BC63" s="36" t="str">
        <f ca="1">IFERROR(+IF(BC$27=ProposalToGnatt[[#This Row],[Start Date]],Milestone_Marker,IF(AND(BC$27&gt;ProposalToGnatt[[#This Row],[Start Date]],BC$27&lt;ProposalToGnatt[[#This Row],[Start Date]]+ProposalToGnatt[[#This Row],[Days]]),$G$5,"")),"")</f>
        <v/>
      </c>
      <c r="BD63" s="36" t="str">
        <f ca="1">IFERROR(+IF(BD$27=ProposalToGnatt[[#This Row],[Start Date]],Milestone_Marker,IF(AND(BD$27&gt;ProposalToGnatt[[#This Row],[Start Date]],BD$27&lt;ProposalToGnatt[[#This Row],[Start Date]]+ProposalToGnatt[[#This Row],[Days]]),$G$5,"")),"")</f>
        <v/>
      </c>
      <c r="BE63" s="36" t="str">
        <f ca="1">IFERROR(+IF(BE$27=ProposalToGnatt[[#This Row],[Start Date]],Milestone_Marker,IF(AND(BE$27&gt;ProposalToGnatt[[#This Row],[Start Date]],BE$27&lt;ProposalToGnatt[[#This Row],[Start Date]]+ProposalToGnatt[[#This Row],[Days]]),$G$5,"")),"")</f>
        <v/>
      </c>
      <c r="BF63" s="36" t="str">
        <f ca="1">IFERROR(+IF(BF$27=ProposalToGnatt[[#This Row],[Start Date]],Milestone_Marker,IF(AND(BF$27&gt;ProposalToGnatt[[#This Row],[Start Date]],BF$27&lt;ProposalToGnatt[[#This Row],[Start Date]]+ProposalToGnatt[[#This Row],[Days]]),$G$5,"")),"")</f>
        <v/>
      </c>
      <c r="BG63" s="36" t="str">
        <f ca="1">IFERROR(+IF(BG$27=ProposalToGnatt[[#This Row],[Start Date]],Milestone_Marker,IF(AND(BG$27&gt;ProposalToGnatt[[#This Row],[Start Date]],BG$27&lt;ProposalToGnatt[[#This Row],[Start Date]]+ProposalToGnatt[[#This Row],[Days]]),$G$5,"")),"")</f>
        <v/>
      </c>
      <c r="BH63" s="36" t="str">
        <f ca="1">IFERROR(+IF(BH$27=ProposalToGnatt[[#This Row],[Start Date]],Milestone_Marker,IF(AND(BH$27&gt;ProposalToGnatt[[#This Row],[Start Date]],BH$27&lt;ProposalToGnatt[[#This Row],[Start Date]]+ProposalToGnatt[[#This Row],[Days]]),$G$5,"")),"")</f>
        <v/>
      </c>
      <c r="BI63" s="36" t="str">
        <f ca="1">IFERROR(+IF(BI$27=ProposalToGnatt[[#This Row],[Start Date]],Milestone_Marker,IF(AND(BI$27&gt;ProposalToGnatt[[#This Row],[Start Date]],BI$27&lt;ProposalToGnatt[[#This Row],[Start Date]]+ProposalToGnatt[[#This Row],[Days]]),$G$5,"")),"")</f>
        <v/>
      </c>
      <c r="BJ63" s="36" t="str">
        <f ca="1">IFERROR(+IF(BJ$27=ProposalToGnatt[[#This Row],[Start Date]],Milestone_Marker,IF(AND(BJ$27&gt;ProposalToGnatt[[#This Row],[Start Date]],BJ$27&lt;ProposalToGnatt[[#This Row],[Start Date]]+ProposalToGnatt[[#This Row],[Days]]),$G$5,"")),"")</f>
        <v/>
      </c>
      <c r="BK63" s="36" t="str">
        <f ca="1">IFERROR(+IF(BK$27=ProposalToGnatt[[#This Row],[Start Date]],Milestone_Marker,IF(AND(BK$27&gt;ProposalToGnatt[[#This Row],[Start Date]],BK$27&lt;ProposalToGnatt[[#This Row],[Start Date]]+ProposalToGnatt[[#This Row],[Days]]),$G$5,"")),"")</f>
        <v/>
      </c>
      <c r="BL63" s="36" t="str">
        <f ca="1">IFERROR(+IF(BL$27=ProposalToGnatt[[#This Row],[Start Date]],Milestone_Marker,IF(AND(BL$27&gt;ProposalToGnatt[[#This Row],[Start Date]],BL$27&lt;ProposalToGnatt[[#This Row],[Start Date]]+ProposalToGnatt[[#This Row],[Days]]),$G$5,"")),"")</f>
        <v/>
      </c>
      <c r="BM63" s="36" t="str">
        <f ca="1">IFERROR(+IF(BM$27=ProposalToGnatt[[#This Row],[Start Date]],Milestone_Marker,IF(AND(BM$27&gt;ProposalToGnatt[[#This Row],[Start Date]],BM$27&lt;ProposalToGnatt[[#This Row],[Start Date]]+ProposalToGnatt[[#This Row],[Days]]),$G$5,"")),"")</f>
        <v/>
      </c>
      <c r="BN63" s="36" t="str">
        <f ca="1">IFERROR(+IF(BN$27=ProposalToGnatt[[#This Row],[Start Date]],Milestone_Marker,IF(AND(BN$27&gt;ProposalToGnatt[[#This Row],[Start Date]],BN$27&lt;ProposalToGnatt[[#This Row],[Start Date]]+ProposalToGnatt[[#This Row],[Days]]),$G$5,"")),"")</f>
        <v/>
      </c>
      <c r="BO63" s="36" t="str">
        <f ca="1">IFERROR(+IF(BO$27=ProposalToGnatt[[#This Row],[Start Date]],Milestone_Marker,IF(AND(BO$27&gt;ProposalToGnatt[[#This Row],[Start Date]],BO$27&lt;ProposalToGnatt[[#This Row],[Start Date]]+ProposalToGnatt[[#This Row],[Days]]),$G$5,"")),"")</f>
        <v/>
      </c>
      <c r="BP63" s="36" t="str">
        <f ca="1">IFERROR(+IF(BP$27=ProposalToGnatt[[#This Row],[Start Date]],Milestone_Marker,IF(AND(BP$27&gt;ProposalToGnatt[[#This Row],[Start Date]],BP$27&lt;ProposalToGnatt[[#This Row],[Start Date]]+ProposalToGnatt[[#This Row],[Days]]),$G$5,"")),"")</f>
        <v/>
      </c>
      <c r="BQ63" s="36" t="str">
        <f ca="1">IFERROR(+IF(BQ$27=ProposalToGnatt[[#This Row],[Start Date]],Milestone_Marker,IF(AND(BQ$27&gt;ProposalToGnatt[[#This Row],[Start Date]],BQ$27&lt;ProposalToGnatt[[#This Row],[Start Date]]+ProposalToGnatt[[#This Row],[Days]]),$G$5,"")),"")</f>
        <v/>
      </c>
      <c r="BR63" s="36" t="str">
        <f ca="1">IFERROR(+IF(BR$27=ProposalToGnatt[[#This Row],[Start Date]],Milestone_Marker,IF(AND(BR$27&gt;ProposalToGnatt[[#This Row],[Start Date]],BR$27&lt;ProposalToGnatt[[#This Row],[Start Date]]+ProposalToGnatt[[#This Row],[Days]]),$G$5,"")),"")</f>
        <v/>
      </c>
      <c r="BS63" s="36" t="str">
        <f ca="1">IFERROR(+IF(BS$27=ProposalToGnatt[[#This Row],[Start Date]],Milestone_Marker,IF(AND(BS$27&gt;ProposalToGnatt[[#This Row],[Start Date]],BS$27&lt;ProposalToGnatt[[#This Row],[Start Date]]+ProposalToGnatt[[#This Row],[Days]]),$G$5,"")),"")</f>
        <v/>
      </c>
      <c r="BT63" s="36" t="str">
        <f ca="1">IFERROR(+IF(BT$27=ProposalToGnatt[[#This Row],[Start Date]],Milestone_Marker,IF(AND(BT$27&gt;ProposalToGnatt[[#This Row],[Start Date]],BT$27&lt;ProposalToGnatt[[#This Row],[Start Date]]+ProposalToGnatt[[#This Row],[Days]]),$G$5,"")),"")</f>
        <v/>
      </c>
      <c r="BU63" s="36" t="str">
        <f ca="1">IFERROR(+IF(BU$27=ProposalToGnatt[[#This Row],[Start Date]],Milestone_Marker,IF(AND(BU$27&gt;ProposalToGnatt[[#This Row],[Start Date]],BU$27&lt;ProposalToGnatt[[#This Row],[Start Date]]+ProposalToGnatt[[#This Row],[Days]]),$G$5,"")),"")</f>
        <v/>
      </c>
      <c r="BV63" s="36" t="str">
        <f ca="1">IFERROR(+IF(BV$27=ProposalToGnatt[[#This Row],[Start Date]],Milestone_Marker,IF(AND(BV$27&gt;ProposalToGnatt[[#This Row],[Start Date]],BV$27&lt;ProposalToGnatt[[#This Row],[Start Date]]+ProposalToGnatt[[#This Row],[Days]]),$G$5,"")),"")</f>
        <v/>
      </c>
      <c r="BW63" s="36" t="str">
        <f ca="1">IFERROR(+IF(BW$27=ProposalToGnatt[[#This Row],[Start Date]],Milestone_Marker,IF(AND(BW$27&gt;ProposalToGnatt[[#This Row],[Start Date]],BW$27&lt;ProposalToGnatt[[#This Row],[Start Date]]+ProposalToGnatt[[#This Row],[Days]]),$G$5,"")),"")</f>
        <v/>
      </c>
      <c r="BX63" s="36" t="str">
        <f ca="1">IFERROR(+IF(BX$27=ProposalToGnatt[[#This Row],[Start Date]],Milestone_Marker,IF(AND(BX$27&gt;ProposalToGnatt[[#This Row],[Start Date]],BX$27&lt;ProposalToGnatt[[#This Row],[Start Date]]+ProposalToGnatt[[#This Row],[Days]]),$G$5,"")),"")</f>
        <v/>
      </c>
      <c r="BY63" s="36" t="str">
        <f ca="1">IFERROR(+IF(BY$27=ProposalToGnatt[[#This Row],[Start Date]],Milestone_Marker,IF(AND(BY$27&gt;ProposalToGnatt[[#This Row],[Start Date]],BY$27&lt;ProposalToGnatt[[#This Row],[Start Date]]+ProposalToGnatt[[#This Row],[Days]]),$G$5,"")),"")</f>
        <v/>
      </c>
      <c r="BZ63" s="36" t="str">
        <f ca="1">IFERROR(+IF(BZ$27=ProposalToGnatt[[#This Row],[Start Date]],Milestone_Marker,IF(AND(BZ$27&gt;ProposalToGnatt[[#This Row],[Start Date]],BZ$27&lt;ProposalToGnatt[[#This Row],[Start Date]]+ProposalToGnatt[[#This Row],[Days]]),$G$5,"")),"")</f>
        <v/>
      </c>
      <c r="CA63" s="36" t="str">
        <f ca="1">IFERROR(+IF(CA$27=ProposalToGnatt[[#This Row],[Start Date]],Milestone_Marker,IF(AND(CA$27&gt;ProposalToGnatt[[#This Row],[Start Date]],CA$27&lt;ProposalToGnatt[[#This Row],[Start Date]]+ProposalToGnatt[[#This Row],[Days]]),$G$5,"")),"")</f>
        <v/>
      </c>
      <c r="CB63" s="36" t="str">
        <f ca="1">IFERROR(+IF(CB$27=ProposalToGnatt[[#This Row],[Start Date]],Milestone_Marker,IF(AND(CB$27&gt;ProposalToGnatt[[#This Row],[Start Date]],CB$27&lt;ProposalToGnatt[[#This Row],[Start Date]]+ProposalToGnatt[[#This Row],[Days]]),$G$5,"")),"")</f>
        <v/>
      </c>
      <c r="CC63" s="36" t="str">
        <f ca="1">IFERROR(+IF(CC$27=ProposalToGnatt[[#This Row],[Start Date]],Milestone_Marker,IF(AND(CC$27&gt;ProposalToGnatt[[#This Row],[Start Date]],CC$27&lt;ProposalToGnatt[[#This Row],[Start Date]]+ProposalToGnatt[[#This Row],[Days]]),$G$5,"")),"")</f>
        <v/>
      </c>
      <c r="CD63" s="36" t="str">
        <f ca="1">IFERROR(+IF(CD$27=ProposalToGnatt[[#This Row],[Start Date]],Milestone_Marker,IF(AND(CD$27&gt;ProposalToGnatt[[#This Row],[Start Date]],CD$27&lt;ProposalToGnatt[[#This Row],[Start Date]]+ProposalToGnatt[[#This Row],[Days]]),$G$5,"")),"")</f>
        <v/>
      </c>
      <c r="CE63" s="36" t="str">
        <f ca="1">IFERROR(+IF(CE$27=ProposalToGnatt[[#This Row],[Start Date]],Milestone_Marker,IF(AND(CE$27&gt;ProposalToGnatt[[#This Row],[Start Date]],CE$27&lt;ProposalToGnatt[[#This Row],[Start Date]]+ProposalToGnatt[[#This Row],[Days]]),$G$5,"")),"")</f>
        <v/>
      </c>
      <c r="CF63" s="36" t="str">
        <f ca="1">IFERROR(+IF(CF$27=ProposalToGnatt[[#This Row],[Start Date]],Milestone_Marker,IF(AND(CF$27&gt;ProposalToGnatt[[#This Row],[Start Date]],CF$27&lt;ProposalToGnatt[[#This Row],[Start Date]]+ProposalToGnatt[[#This Row],[Days]]),$G$5,"")),"")</f>
        <v/>
      </c>
      <c r="CG63" s="36" t="str">
        <f ca="1">IFERROR(+IF(CG$27=ProposalToGnatt[[#This Row],[Start Date]],Milestone_Marker,IF(AND(CG$27&gt;ProposalToGnatt[[#This Row],[Start Date]],CG$27&lt;ProposalToGnatt[[#This Row],[Start Date]]+ProposalToGnatt[[#This Row],[Days]]),$G$5,"")),"")</f>
        <v/>
      </c>
      <c r="CH63" s="36" t="str">
        <f ca="1">IFERROR(+IF(CH$27=ProposalToGnatt[[#This Row],[Start Date]],Milestone_Marker,IF(AND(CH$27&gt;ProposalToGnatt[[#This Row],[Start Date]],CH$27&lt;ProposalToGnatt[[#This Row],[Start Date]]+ProposalToGnatt[[#This Row],[Days]]),$G$5,"")),"")</f>
        <v/>
      </c>
      <c r="CI63" s="36" t="str">
        <f ca="1">IFERROR(+IF(CI$27=ProposalToGnatt[[#This Row],[Start Date]],Milestone_Marker,IF(AND(CI$27&gt;ProposalToGnatt[[#This Row],[Start Date]],CI$27&lt;ProposalToGnatt[[#This Row],[Start Date]]+ProposalToGnatt[[#This Row],[Days]]),$G$5,"")),"")</f>
        <v/>
      </c>
      <c r="CJ63" s="36" t="str">
        <f ca="1">IFERROR(+IF(CJ$27=ProposalToGnatt[[#This Row],[Start Date]],Milestone_Marker,IF(AND(CJ$27&gt;ProposalToGnatt[[#This Row],[Start Date]],CJ$27&lt;ProposalToGnatt[[#This Row],[Start Date]]+ProposalToGnatt[[#This Row],[Days]]),$G$5,"")),"")</f>
        <v/>
      </c>
      <c r="CK63" s="36" t="str">
        <f ca="1">IFERROR(+IF(CK$27=ProposalToGnatt[[#This Row],[Start Date]],Milestone_Marker,IF(AND(CK$27&gt;ProposalToGnatt[[#This Row],[Start Date]],CK$27&lt;ProposalToGnatt[[#This Row],[Start Date]]+ProposalToGnatt[[#This Row],[Days]]),$G$5,"")),"")</f>
        <v/>
      </c>
      <c r="CL63" s="36" t="str">
        <f ca="1">IFERROR(+IF(CL$27=ProposalToGnatt[[#This Row],[Start Date]],Milestone_Marker,IF(AND(CL$27&gt;ProposalToGnatt[[#This Row],[Start Date]],CL$27&lt;ProposalToGnatt[[#This Row],[Start Date]]+ProposalToGnatt[[#This Row],[Days]]),$G$5,"")),"")</f>
        <v/>
      </c>
      <c r="CM63" s="36" t="str">
        <f ca="1">IFERROR(+IF(CM$27=ProposalToGnatt[[#This Row],[Start Date]],Milestone_Marker,IF(AND(CM$27&gt;ProposalToGnatt[[#This Row],[Start Date]],CM$27&lt;ProposalToGnatt[[#This Row],[Start Date]]+ProposalToGnatt[[#This Row],[Days]]),$G$5,"")),"")</f>
        <v/>
      </c>
      <c r="CN63" s="36" t="str">
        <f ca="1">IFERROR(+IF(CN$27=ProposalToGnatt[[#This Row],[Start Date]],Milestone_Marker,IF(AND(CN$27&gt;ProposalToGnatt[[#This Row],[Start Date]],CN$27&lt;ProposalToGnatt[[#This Row],[Start Date]]+ProposalToGnatt[[#This Row],[Days]]),$G$5,"")),"")</f>
        <v/>
      </c>
      <c r="CO63" s="36" t="str">
        <f ca="1">IFERROR(+IF(CO$27=ProposalToGnatt[[#This Row],[Start Date]],Milestone_Marker,IF(AND(CO$27&gt;ProposalToGnatt[[#This Row],[Start Date]],CO$27&lt;ProposalToGnatt[[#This Row],[Start Date]]+ProposalToGnatt[[#This Row],[Days]]),$G$5,"")),"")</f>
        <v/>
      </c>
      <c r="CP63" s="36" t="str">
        <f ca="1">IFERROR(+IF(CP$27=ProposalToGnatt[[#This Row],[Start Date]],Milestone_Marker,IF(AND(CP$27&gt;ProposalToGnatt[[#This Row],[Start Date]],CP$27&lt;ProposalToGnatt[[#This Row],[Start Date]]+ProposalToGnatt[[#This Row],[Days]]),$G$5,"")),"")</f>
        <v/>
      </c>
      <c r="CQ63" s="36" t="str">
        <f ca="1">IFERROR(+IF(CQ$27=ProposalToGnatt[[#This Row],[Start Date]],Milestone_Marker,IF(AND(CQ$27&gt;ProposalToGnatt[[#This Row],[Start Date]],CQ$27&lt;ProposalToGnatt[[#This Row],[Start Date]]+ProposalToGnatt[[#This Row],[Days]]),$G$5,"")),"")</f>
        <v/>
      </c>
      <c r="CR63" s="36" t="str">
        <f ca="1">IFERROR(+IF(CR$27=ProposalToGnatt[[#This Row],[Start Date]],Milestone_Marker,IF(AND(CR$27&gt;ProposalToGnatt[[#This Row],[Start Date]],CR$27&lt;ProposalToGnatt[[#This Row],[Start Date]]+ProposalToGnatt[[#This Row],[Days]]),$G$5,"")),"")</f>
        <v/>
      </c>
      <c r="CS63" s="36" t="str">
        <f ca="1">IFERROR(+IF(CS$27=ProposalToGnatt[[#This Row],[Start Date]],Milestone_Marker,IF(AND(CS$27&gt;ProposalToGnatt[[#This Row],[Start Date]],CS$27&lt;ProposalToGnatt[[#This Row],[Start Date]]+ProposalToGnatt[[#This Row],[Days]]),$G$5,"")),"")</f>
        <v/>
      </c>
      <c r="CT63" s="36" t="str">
        <f ca="1">IFERROR(+IF(CT$27=ProposalToGnatt[[#This Row],[Start Date]],Milestone_Marker,IF(AND(CT$27&gt;ProposalToGnatt[[#This Row],[Start Date]],CT$27&lt;ProposalToGnatt[[#This Row],[Start Date]]+ProposalToGnatt[[#This Row],[Days]]),$G$5,"")),"")</f>
        <v/>
      </c>
      <c r="CU63" s="36" t="str">
        <f ca="1">IFERROR(+IF(CU$27=ProposalToGnatt[[#This Row],[Start Date]],Milestone_Marker,IF(AND(CU$27&gt;ProposalToGnatt[[#This Row],[Start Date]],CU$27&lt;ProposalToGnatt[[#This Row],[Start Date]]+ProposalToGnatt[[#This Row],[Days]]),$G$5,"")),"")</f>
        <v/>
      </c>
      <c r="CV63" s="36"/>
      <c r="CW63" s="36"/>
      <c r="CX63" s="36"/>
      <c r="CY63" s="36"/>
      <c r="CZ63" s="36"/>
      <c r="DA63" s="36"/>
      <c r="DB63" s="36"/>
      <c r="DC63" s="36"/>
      <c r="DD63" s="36"/>
      <c r="DE63" s="36"/>
      <c r="DF63" s="36"/>
      <c r="DG63" s="36"/>
      <c r="DH63" s="36"/>
      <c r="DI63" s="36"/>
      <c r="DJ63" s="36"/>
      <c r="DK63" s="36"/>
      <c r="DL63" s="36"/>
      <c r="DM63" s="36"/>
      <c r="DN63" s="36"/>
      <c r="DO63" s="36"/>
      <c r="DP63" s="36"/>
      <c r="DQ63" s="36"/>
      <c r="DR63" s="36"/>
      <c r="DS63" s="36"/>
      <c r="DT63" s="36"/>
      <c r="DU63" s="36"/>
    </row>
    <row r="64" spans="1:125" s="41" customFormat="1" ht="15" x14ac:dyDescent="0.25">
      <c r="A64" t="s">
        <v>267</v>
      </c>
      <c r="B64">
        <v>46</v>
      </c>
      <c r="C64"/>
      <c r="D64" t="s">
        <v>950</v>
      </c>
      <c r="E64" s="568" t="s">
        <v>961</v>
      </c>
      <c r="F64">
        <v>1</v>
      </c>
      <c r="G64" s="14">
        <v>25</v>
      </c>
      <c r="H64" s="14">
        <v>25</v>
      </c>
      <c r="I64" t="s">
        <v>3</v>
      </c>
      <c r="J64">
        <v>1</v>
      </c>
      <c r="K64" s="249"/>
      <c r="L64"/>
      <c r="M64" s="14"/>
      <c r="N64" s="300">
        <v>25</v>
      </c>
      <c r="O64" s="554"/>
      <c r="P64" s="36" t="str">
        <f ca="1">IFERROR(+IF(P$27=ProposalToGnatt[[#This Row],[Start Date]],Milestone_Marker,IF(AND(P$27&gt;ProposalToGnatt[[#This Row],[Start Date]],P$27&lt;ProposalToGnatt[[#This Row],[Start Date]]+ProposalToGnatt[[#This Row],[Days]]),$G$5,"")),"")</f>
        <v/>
      </c>
      <c r="Q64" s="36" t="str">
        <f ca="1">IFERROR(+IF(Q$27=ProposalToGnatt[[#This Row],[Start Date]],Milestone_Marker,IF(AND(Q$27&gt;ProposalToGnatt[[#This Row],[Start Date]],Q$27&lt;ProposalToGnatt[[#This Row],[Start Date]]+ProposalToGnatt[[#This Row],[Days]]),$G$5,"")),"")</f>
        <v/>
      </c>
      <c r="R64" s="36" t="str">
        <f ca="1">IFERROR(+IF(R$27=ProposalToGnatt[[#This Row],[Start Date]],Milestone_Marker,IF(AND(R$27&gt;ProposalToGnatt[[#This Row],[Start Date]],R$27&lt;ProposalToGnatt[[#This Row],[Start Date]]+ProposalToGnatt[[#This Row],[Days]]),$G$5,"")),"")</f>
        <v/>
      </c>
      <c r="S64" s="36" t="str">
        <f ca="1">IFERROR(+IF(S$27=ProposalToGnatt[[#This Row],[Start Date]],Milestone_Marker,IF(AND(S$27&gt;ProposalToGnatt[[#This Row],[Start Date]],S$27&lt;ProposalToGnatt[[#This Row],[Start Date]]+ProposalToGnatt[[#This Row],[Days]]),$G$5,"")),"")</f>
        <v/>
      </c>
      <c r="T64" s="36" t="str">
        <f ca="1">IFERROR(+IF(T$27=ProposalToGnatt[[#This Row],[Start Date]],Milestone_Marker,IF(AND(T$27&gt;ProposalToGnatt[[#This Row],[Start Date]],T$27&lt;ProposalToGnatt[[#This Row],[Start Date]]+ProposalToGnatt[[#This Row],[Days]]),$G$5,"")),"")</f>
        <v/>
      </c>
      <c r="U64" s="36" t="str">
        <f ca="1">IFERROR(+IF(U$27=ProposalToGnatt[[#This Row],[Start Date]],Milestone_Marker,IF(AND(U$27&gt;ProposalToGnatt[[#This Row],[Start Date]],U$27&lt;ProposalToGnatt[[#This Row],[Start Date]]+ProposalToGnatt[[#This Row],[Days]]),$G$5,"")),"")</f>
        <v/>
      </c>
      <c r="V64" s="36" t="str">
        <f ca="1">IFERROR(+IF(V$27=ProposalToGnatt[[#This Row],[Start Date]],Milestone_Marker,IF(AND(V$27&gt;ProposalToGnatt[[#This Row],[Start Date]],V$27&lt;ProposalToGnatt[[#This Row],[Start Date]]+ProposalToGnatt[[#This Row],[Days]]),$G$5,"")),"")</f>
        <v/>
      </c>
      <c r="W64" s="36" t="str">
        <f ca="1">IFERROR(+IF(W$27=ProposalToGnatt[[#This Row],[Start Date]],Milestone_Marker,IF(AND(W$27&gt;ProposalToGnatt[[#This Row],[Start Date]],W$27&lt;ProposalToGnatt[[#This Row],[Start Date]]+ProposalToGnatt[[#This Row],[Days]]),$G$5,"")),"")</f>
        <v/>
      </c>
      <c r="X64" s="36" t="str">
        <f ca="1">IFERROR(+IF(X$27=ProposalToGnatt[[#This Row],[Start Date]],Milestone_Marker,IF(AND(X$27&gt;ProposalToGnatt[[#This Row],[Start Date]],X$27&lt;ProposalToGnatt[[#This Row],[Start Date]]+ProposalToGnatt[[#This Row],[Days]]),$G$5,"")),"")</f>
        <v/>
      </c>
      <c r="Y64" s="36" t="str">
        <f ca="1">IFERROR(+IF(Y$27=ProposalToGnatt[[#This Row],[Start Date]],Milestone_Marker,IF(AND(Y$27&gt;ProposalToGnatt[[#This Row],[Start Date]],Y$27&lt;ProposalToGnatt[[#This Row],[Start Date]]+ProposalToGnatt[[#This Row],[Days]]),$G$5,"")),"")</f>
        <v/>
      </c>
      <c r="Z64" s="36" t="str">
        <f ca="1">IFERROR(+IF(Z$27=ProposalToGnatt[[#This Row],[Start Date]],Milestone_Marker,IF(AND(Z$27&gt;ProposalToGnatt[[#This Row],[Start Date]],Z$27&lt;ProposalToGnatt[[#This Row],[Start Date]]+ProposalToGnatt[[#This Row],[Days]]),$G$5,"")),"")</f>
        <v/>
      </c>
      <c r="AA64" s="36" t="str">
        <f ca="1">IFERROR(+IF(AA$27=ProposalToGnatt[[#This Row],[Start Date]],Milestone_Marker,IF(AND(AA$27&gt;ProposalToGnatt[[#This Row],[Start Date]],AA$27&lt;ProposalToGnatt[[#This Row],[Start Date]]+ProposalToGnatt[[#This Row],[Days]]),$G$5,"")),"")</f>
        <v/>
      </c>
      <c r="AB64" s="36" t="str">
        <f ca="1">IFERROR(+IF(AB$27=ProposalToGnatt[[#This Row],[Start Date]],Milestone_Marker,IF(AND(AB$27&gt;ProposalToGnatt[[#This Row],[Start Date]],AB$27&lt;ProposalToGnatt[[#This Row],[Start Date]]+ProposalToGnatt[[#This Row],[Days]]),$G$5,"")),"")</f>
        <v/>
      </c>
      <c r="AC64" s="36" t="str">
        <f ca="1">IFERROR(+IF(AC$27=ProposalToGnatt[[#This Row],[Start Date]],Milestone_Marker,IF(AND(AC$27&gt;ProposalToGnatt[[#This Row],[Start Date]],AC$27&lt;ProposalToGnatt[[#This Row],[Start Date]]+ProposalToGnatt[[#This Row],[Days]]),$G$5,"")),"")</f>
        <v/>
      </c>
      <c r="AD64" s="36" t="str">
        <f ca="1">IFERROR(+IF(AD$27=ProposalToGnatt[[#This Row],[Start Date]],Milestone_Marker,IF(AND(AD$27&gt;ProposalToGnatt[[#This Row],[Start Date]],AD$27&lt;ProposalToGnatt[[#This Row],[Start Date]]+ProposalToGnatt[[#This Row],[Days]]),$G$5,"")),"")</f>
        <v/>
      </c>
      <c r="AE64" s="36" t="str">
        <f ca="1">IFERROR(+IF(AE$27=ProposalToGnatt[[#This Row],[Start Date]],Milestone_Marker,IF(AND(AE$27&gt;ProposalToGnatt[[#This Row],[Start Date]],AE$27&lt;ProposalToGnatt[[#This Row],[Start Date]]+ProposalToGnatt[[#This Row],[Days]]),$G$5,"")),"")</f>
        <v/>
      </c>
      <c r="AF64" s="36" t="str">
        <f ca="1">IFERROR(+IF(AF$27=ProposalToGnatt[[#This Row],[Start Date]],Milestone_Marker,IF(AND(AF$27&gt;ProposalToGnatt[[#This Row],[Start Date]],AF$27&lt;ProposalToGnatt[[#This Row],[Start Date]]+ProposalToGnatt[[#This Row],[Days]]),$G$5,"")),"")</f>
        <v/>
      </c>
      <c r="AG64" s="36" t="str">
        <f ca="1">IFERROR(+IF(AG$27=ProposalToGnatt[[#This Row],[Start Date]],Milestone_Marker,IF(AND(AG$27&gt;ProposalToGnatt[[#This Row],[Start Date]],AG$27&lt;ProposalToGnatt[[#This Row],[Start Date]]+ProposalToGnatt[[#This Row],[Days]]),$G$5,"")),"")</f>
        <v/>
      </c>
      <c r="AH64" s="36" t="str">
        <f ca="1">IFERROR(+IF(AH$27=ProposalToGnatt[[#This Row],[Start Date]],Milestone_Marker,IF(AND(AH$27&gt;ProposalToGnatt[[#This Row],[Start Date]],AH$27&lt;ProposalToGnatt[[#This Row],[Start Date]]+ProposalToGnatt[[#This Row],[Days]]),$G$5,"")),"")</f>
        <v/>
      </c>
      <c r="AI64" s="36" t="str">
        <f ca="1">IFERROR(+IF(AI$27=ProposalToGnatt[[#This Row],[Start Date]],Milestone_Marker,IF(AND(AI$27&gt;ProposalToGnatt[[#This Row],[Start Date]],AI$27&lt;ProposalToGnatt[[#This Row],[Start Date]]+ProposalToGnatt[[#This Row],[Days]]),$G$5,"")),"")</f>
        <v/>
      </c>
      <c r="AJ64" s="36" t="str">
        <f ca="1">IFERROR(+IF(AJ$27=ProposalToGnatt[[#This Row],[Start Date]],Milestone_Marker,IF(AND(AJ$27&gt;ProposalToGnatt[[#This Row],[Start Date]],AJ$27&lt;ProposalToGnatt[[#This Row],[Start Date]]+ProposalToGnatt[[#This Row],[Days]]),$G$5,"")),"")</f>
        <v/>
      </c>
      <c r="AK64" s="36" t="str">
        <f ca="1">IFERROR(+IF(AK$27=ProposalToGnatt[[#This Row],[Start Date]],Milestone_Marker,IF(AND(AK$27&gt;ProposalToGnatt[[#This Row],[Start Date]],AK$27&lt;ProposalToGnatt[[#This Row],[Start Date]]+ProposalToGnatt[[#This Row],[Days]]),$G$5,"")),"")</f>
        <v/>
      </c>
      <c r="AL64" s="36" t="str">
        <f ca="1">IFERROR(+IF(AL$27=ProposalToGnatt[[#This Row],[Start Date]],Milestone_Marker,IF(AND(AL$27&gt;ProposalToGnatt[[#This Row],[Start Date]],AL$27&lt;ProposalToGnatt[[#This Row],[Start Date]]+ProposalToGnatt[[#This Row],[Days]]),$G$5,"")),"")</f>
        <v/>
      </c>
      <c r="AM64" s="36" t="str">
        <f ca="1">IFERROR(+IF(AM$27=ProposalToGnatt[[#This Row],[Start Date]],Milestone_Marker,IF(AND(AM$27&gt;ProposalToGnatt[[#This Row],[Start Date]],AM$27&lt;ProposalToGnatt[[#This Row],[Start Date]]+ProposalToGnatt[[#This Row],[Days]]),$G$5,"")),"")</f>
        <v/>
      </c>
      <c r="AN64" s="36" t="str">
        <f ca="1">IFERROR(+IF(AN$27=ProposalToGnatt[[#This Row],[Start Date]],Milestone_Marker,IF(AND(AN$27&gt;ProposalToGnatt[[#This Row],[Start Date]],AN$27&lt;ProposalToGnatt[[#This Row],[Start Date]]+ProposalToGnatt[[#This Row],[Days]]),$G$5,"")),"")</f>
        <v/>
      </c>
      <c r="AO64" s="36" t="str">
        <f ca="1">IFERROR(+IF(AO$27=ProposalToGnatt[[#This Row],[Start Date]],Milestone_Marker,IF(AND(AO$27&gt;ProposalToGnatt[[#This Row],[Start Date]],AO$27&lt;ProposalToGnatt[[#This Row],[Start Date]]+ProposalToGnatt[[#This Row],[Days]]),$G$5,"")),"")</f>
        <v/>
      </c>
      <c r="AP64" s="36" t="str">
        <f ca="1">IFERROR(+IF(AP$27=ProposalToGnatt[[#This Row],[Start Date]],Milestone_Marker,IF(AND(AP$27&gt;ProposalToGnatt[[#This Row],[Start Date]],AP$27&lt;ProposalToGnatt[[#This Row],[Start Date]]+ProposalToGnatt[[#This Row],[Days]]),$G$5,"")),"")</f>
        <v/>
      </c>
      <c r="AQ64" s="36" t="str">
        <f ca="1">IFERROR(+IF(AQ$27=ProposalToGnatt[[#This Row],[Start Date]],Milestone_Marker,IF(AND(AQ$27&gt;ProposalToGnatt[[#This Row],[Start Date]],AQ$27&lt;ProposalToGnatt[[#This Row],[Start Date]]+ProposalToGnatt[[#This Row],[Days]]),$G$5,"")),"")</f>
        <v/>
      </c>
      <c r="AR64" s="36" t="str">
        <f ca="1">IFERROR(+IF(AR$27=ProposalToGnatt[[#This Row],[Start Date]],Milestone_Marker,IF(AND(AR$27&gt;ProposalToGnatt[[#This Row],[Start Date]],AR$27&lt;ProposalToGnatt[[#This Row],[Start Date]]+ProposalToGnatt[[#This Row],[Days]]),$G$5,"")),"")</f>
        <v/>
      </c>
      <c r="AS64" s="36" t="str">
        <f ca="1">IFERROR(+IF(AS$27=ProposalToGnatt[[#This Row],[Start Date]],Milestone_Marker,IF(AND(AS$27&gt;ProposalToGnatt[[#This Row],[Start Date]],AS$27&lt;ProposalToGnatt[[#This Row],[Start Date]]+ProposalToGnatt[[#This Row],[Days]]),$G$5,"")),"")</f>
        <v/>
      </c>
      <c r="AT64" s="36" t="str">
        <f ca="1">IFERROR(+IF(AT$27=ProposalToGnatt[[#This Row],[Start Date]],Milestone_Marker,IF(AND(AT$27&gt;ProposalToGnatt[[#This Row],[Start Date]],AT$27&lt;ProposalToGnatt[[#This Row],[Start Date]]+ProposalToGnatt[[#This Row],[Days]]),$G$5,"")),"")</f>
        <v/>
      </c>
      <c r="AU64" s="36" t="str">
        <f ca="1">IFERROR(+IF(AU$27=ProposalToGnatt[[#This Row],[Start Date]],Milestone_Marker,IF(AND(AU$27&gt;ProposalToGnatt[[#This Row],[Start Date]],AU$27&lt;ProposalToGnatt[[#This Row],[Start Date]]+ProposalToGnatt[[#This Row],[Days]]),$G$5,"")),"")</f>
        <v/>
      </c>
      <c r="AV64" s="36" t="str">
        <f ca="1">IFERROR(+IF(AV$27=ProposalToGnatt[[#This Row],[Start Date]],Milestone_Marker,IF(AND(AV$27&gt;ProposalToGnatt[[#This Row],[Start Date]],AV$27&lt;ProposalToGnatt[[#This Row],[Start Date]]+ProposalToGnatt[[#This Row],[Days]]),$G$5,"")),"")</f>
        <v/>
      </c>
      <c r="AW64" s="36" t="str">
        <f ca="1">IFERROR(+IF(AW$27=ProposalToGnatt[[#This Row],[Start Date]],Milestone_Marker,IF(AND(AW$27&gt;ProposalToGnatt[[#This Row],[Start Date]],AW$27&lt;ProposalToGnatt[[#This Row],[Start Date]]+ProposalToGnatt[[#This Row],[Days]]),$G$5,"")),"")</f>
        <v/>
      </c>
      <c r="AX64" s="36" t="str">
        <f ca="1">IFERROR(+IF(AX$27=ProposalToGnatt[[#This Row],[Start Date]],Milestone_Marker,IF(AND(AX$27&gt;ProposalToGnatt[[#This Row],[Start Date]],AX$27&lt;ProposalToGnatt[[#This Row],[Start Date]]+ProposalToGnatt[[#This Row],[Days]]),$G$5,"")),"")</f>
        <v/>
      </c>
      <c r="AY64" s="36" t="str">
        <f ca="1">IFERROR(+IF(AY$27=ProposalToGnatt[[#This Row],[Start Date]],Milestone_Marker,IF(AND(AY$27&gt;ProposalToGnatt[[#This Row],[Start Date]],AY$27&lt;ProposalToGnatt[[#This Row],[Start Date]]+ProposalToGnatt[[#This Row],[Days]]),$G$5,"")),"")</f>
        <v/>
      </c>
      <c r="AZ64" s="36" t="str">
        <f ca="1">IFERROR(+IF(AZ$27=ProposalToGnatt[[#This Row],[Start Date]],Milestone_Marker,IF(AND(AZ$27&gt;ProposalToGnatt[[#This Row],[Start Date]],AZ$27&lt;ProposalToGnatt[[#This Row],[Start Date]]+ProposalToGnatt[[#This Row],[Days]]),$G$5,"")),"")</f>
        <v/>
      </c>
      <c r="BA64" s="36" t="str">
        <f ca="1">IFERROR(+IF(BA$27=ProposalToGnatt[[#This Row],[Start Date]],Milestone_Marker,IF(AND(BA$27&gt;ProposalToGnatt[[#This Row],[Start Date]],BA$27&lt;ProposalToGnatt[[#This Row],[Start Date]]+ProposalToGnatt[[#This Row],[Days]]),$G$5,"")),"")</f>
        <v/>
      </c>
      <c r="BB64" s="36" t="str">
        <f ca="1">IFERROR(+IF(BB$27=ProposalToGnatt[[#This Row],[Start Date]],Milestone_Marker,IF(AND(BB$27&gt;ProposalToGnatt[[#This Row],[Start Date]],BB$27&lt;ProposalToGnatt[[#This Row],[Start Date]]+ProposalToGnatt[[#This Row],[Days]]),$G$5,"")),"")</f>
        <v/>
      </c>
      <c r="BC64" s="36" t="str">
        <f ca="1">IFERROR(+IF(BC$27=ProposalToGnatt[[#This Row],[Start Date]],Milestone_Marker,IF(AND(BC$27&gt;ProposalToGnatt[[#This Row],[Start Date]],BC$27&lt;ProposalToGnatt[[#This Row],[Start Date]]+ProposalToGnatt[[#This Row],[Days]]),$G$5,"")),"")</f>
        <v/>
      </c>
      <c r="BD64" s="36" t="str">
        <f ca="1">IFERROR(+IF(BD$27=ProposalToGnatt[[#This Row],[Start Date]],Milestone_Marker,IF(AND(BD$27&gt;ProposalToGnatt[[#This Row],[Start Date]],BD$27&lt;ProposalToGnatt[[#This Row],[Start Date]]+ProposalToGnatt[[#This Row],[Days]]),$G$5,"")),"")</f>
        <v/>
      </c>
      <c r="BE64" s="36" t="str">
        <f ca="1">IFERROR(+IF(BE$27=ProposalToGnatt[[#This Row],[Start Date]],Milestone_Marker,IF(AND(BE$27&gt;ProposalToGnatt[[#This Row],[Start Date]],BE$27&lt;ProposalToGnatt[[#This Row],[Start Date]]+ProposalToGnatt[[#This Row],[Days]]),$G$5,"")),"")</f>
        <v/>
      </c>
      <c r="BF64" s="36" t="str">
        <f ca="1">IFERROR(+IF(BF$27=ProposalToGnatt[[#This Row],[Start Date]],Milestone_Marker,IF(AND(BF$27&gt;ProposalToGnatt[[#This Row],[Start Date]],BF$27&lt;ProposalToGnatt[[#This Row],[Start Date]]+ProposalToGnatt[[#This Row],[Days]]),$G$5,"")),"")</f>
        <v/>
      </c>
      <c r="BG64" s="36" t="str">
        <f ca="1">IFERROR(+IF(BG$27=ProposalToGnatt[[#This Row],[Start Date]],Milestone_Marker,IF(AND(BG$27&gt;ProposalToGnatt[[#This Row],[Start Date]],BG$27&lt;ProposalToGnatt[[#This Row],[Start Date]]+ProposalToGnatt[[#This Row],[Days]]),$G$5,"")),"")</f>
        <v/>
      </c>
      <c r="BH64" s="36" t="str">
        <f ca="1">IFERROR(+IF(BH$27=ProposalToGnatt[[#This Row],[Start Date]],Milestone_Marker,IF(AND(BH$27&gt;ProposalToGnatt[[#This Row],[Start Date]],BH$27&lt;ProposalToGnatt[[#This Row],[Start Date]]+ProposalToGnatt[[#This Row],[Days]]),$G$5,"")),"")</f>
        <v/>
      </c>
      <c r="BI64" s="36" t="str">
        <f ca="1">IFERROR(+IF(BI$27=ProposalToGnatt[[#This Row],[Start Date]],Milestone_Marker,IF(AND(BI$27&gt;ProposalToGnatt[[#This Row],[Start Date]],BI$27&lt;ProposalToGnatt[[#This Row],[Start Date]]+ProposalToGnatt[[#This Row],[Days]]),$G$5,"")),"")</f>
        <v/>
      </c>
      <c r="BJ64" s="36" t="str">
        <f ca="1">IFERROR(+IF(BJ$27=ProposalToGnatt[[#This Row],[Start Date]],Milestone_Marker,IF(AND(BJ$27&gt;ProposalToGnatt[[#This Row],[Start Date]],BJ$27&lt;ProposalToGnatt[[#This Row],[Start Date]]+ProposalToGnatt[[#This Row],[Days]]),$G$5,"")),"")</f>
        <v/>
      </c>
      <c r="BK64" s="36" t="str">
        <f ca="1">IFERROR(+IF(BK$27=ProposalToGnatt[[#This Row],[Start Date]],Milestone_Marker,IF(AND(BK$27&gt;ProposalToGnatt[[#This Row],[Start Date]],BK$27&lt;ProposalToGnatt[[#This Row],[Start Date]]+ProposalToGnatt[[#This Row],[Days]]),$G$5,"")),"")</f>
        <v/>
      </c>
      <c r="BL64" s="36" t="str">
        <f ca="1">IFERROR(+IF(BL$27=ProposalToGnatt[[#This Row],[Start Date]],Milestone_Marker,IF(AND(BL$27&gt;ProposalToGnatt[[#This Row],[Start Date]],BL$27&lt;ProposalToGnatt[[#This Row],[Start Date]]+ProposalToGnatt[[#This Row],[Days]]),$G$5,"")),"")</f>
        <v/>
      </c>
      <c r="BM64" s="36" t="str">
        <f ca="1">IFERROR(+IF(BM$27=ProposalToGnatt[[#This Row],[Start Date]],Milestone_Marker,IF(AND(BM$27&gt;ProposalToGnatt[[#This Row],[Start Date]],BM$27&lt;ProposalToGnatt[[#This Row],[Start Date]]+ProposalToGnatt[[#This Row],[Days]]),$G$5,"")),"")</f>
        <v/>
      </c>
      <c r="BN64" s="36" t="str">
        <f ca="1">IFERROR(+IF(BN$27=ProposalToGnatt[[#This Row],[Start Date]],Milestone_Marker,IF(AND(BN$27&gt;ProposalToGnatt[[#This Row],[Start Date]],BN$27&lt;ProposalToGnatt[[#This Row],[Start Date]]+ProposalToGnatt[[#This Row],[Days]]),$G$5,"")),"")</f>
        <v/>
      </c>
      <c r="BO64" s="36" t="str">
        <f ca="1">IFERROR(+IF(BO$27=ProposalToGnatt[[#This Row],[Start Date]],Milestone_Marker,IF(AND(BO$27&gt;ProposalToGnatt[[#This Row],[Start Date]],BO$27&lt;ProposalToGnatt[[#This Row],[Start Date]]+ProposalToGnatt[[#This Row],[Days]]),$G$5,"")),"")</f>
        <v/>
      </c>
      <c r="BP64" s="36" t="str">
        <f ca="1">IFERROR(+IF(BP$27=ProposalToGnatt[[#This Row],[Start Date]],Milestone_Marker,IF(AND(BP$27&gt;ProposalToGnatt[[#This Row],[Start Date]],BP$27&lt;ProposalToGnatt[[#This Row],[Start Date]]+ProposalToGnatt[[#This Row],[Days]]),$G$5,"")),"")</f>
        <v/>
      </c>
      <c r="BQ64" s="36" t="str">
        <f ca="1">IFERROR(+IF(BQ$27=ProposalToGnatt[[#This Row],[Start Date]],Milestone_Marker,IF(AND(BQ$27&gt;ProposalToGnatt[[#This Row],[Start Date]],BQ$27&lt;ProposalToGnatt[[#This Row],[Start Date]]+ProposalToGnatt[[#This Row],[Days]]),$G$5,"")),"")</f>
        <v/>
      </c>
      <c r="BR64" s="36" t="str">
        <f ca="1">IFERROR(+IF(BR$27=ProposalToGnatt[[#This Row],[Start Date]],Milestone_Marker,IF(AND(BR$27&gt;ProposalToGnatt[[#This Row],[Start Date]],BR$27&lt;ProposalToGnatt[[#This Row],[Start Date]]+ProposalToGnatt[[#This Row],[Days]]),$G$5,"")),"")</f>
        <v/>
      </c>
      <c r="BS64" s="36" t="str">
        <f ca="1">IFERROR(+IF(BS$27=ProposalToGnatt[[#This Row],[Start Date]],Milestone_Marker,IF(AND(BS$27&gt;ProposalToGnatt[[#This Row],[Start Date]],BS$27&lt;ProposalToGnatt[[#This Row],[Start Date]]+ProposalToGnatt[[#This Row],[Days]]),$G$5,"")),"")</f>
        <v/>
      </c>
      <c r="BT64" s="36" t="str">
        <f ca="1">IFERROR(+IF(BT$27=ProposalToGnatt[[#This Row],[Start Date]],Milestone_Marker,IF(AND(BT$27&gt;ProposalToGnatt[[#This Row],[Start Date]],BT$27&lt;ProposalToGnatt[[#This Row],[Start Date]]+ProposalToGnatt[[#This Row],[Days]]),$G$5,"")),"")</f>
        <v/>
      </c>
      <c r="BU64" s="36" t="str">
        <f ca="1">IFERROR(+IF(BU$27=ProposalToGnatt[[#This Row],[Start Date]],Milestone_Marker,IF(AND(BU$27&gt;ProposalToGnatt[[#This Row],[Start Date]],BU$27&lt;ProposalToGnatt[[#This Row],[Start Date]]+ProposalToGnatt[[#This Row],[Days]]),$G$5,"")),"")</f>
        <v/>
      </c>
      <c r="BV64" s="36" t="str">
        <f ca="1">IFERROR(+IF(BV$27=ProposalToGnatt[[#This Row],[Start Date]],Milestone_Marker,IF(AND(BV$27&gt;ProposalToGnatt[[#This Row],[Start Date]],BV$27&lt;ProposalToGnatt[[#This Row],[Start Date]]+ProposalToGnatt[[#This Row],[Days]]),$G$5,"")),"")</f>
        <v/>
      </c>
      <c r="BW64" s="36" t="str">
        <f ca="1">IFERROR(+IF(BW$27=ProposalToGnatt[[#This Row],[Start Date]],Milestone_Marker,IF(AND(BW$27&gt;ProposalToGnatt[[#This Row],[Start Date]],BW$27&lt;ProposalToGnatt[[#This Row],[Start Date]]+ProposalToGnatt[[#This Row],[Days]]),$G$5,"")),"")</f>
        <v/>
      </c>
      <c r="BX64" s="36" t="str">
        <f ca="1">IFERROR(+IF(BX$27=ProposalToGnatt[[#This Row],[Start Date]],Milestone_Marker,IF(AND(BX$27&gt;ProposalToGnatt[[#This Row],[Start Date]],BX$27&lt;ProposalToGnatt[[#This Row],[Start Date]]+ProposalToGnatt[[#This Row],[Days]]),$G$5,"")),"")</f>
        <v/>
      </c>
      <c r="BY64" s="36" t="str">
        <f ca="1">IFERROR(+IF(BY$27=ProposalToGnatt[[#This Row],[Start Date]],Milestone_Marker,IF(AND(BY$27&gt;ProposalToGnatt[[#This Row],[Start Date]],BY$27&lt;ProposalToGnatt[[#This Row],[Start Date]]+ProposalToGnatt[[#This Row],[Days]]),$G$5,"")),"")</f>
        <v/>
      </c>
      <c r="BZ64" s="36" t="str">
        <f ca="1">IFERROR(+IF(BZ$27=ProposalToGnatt[[#This Row],[Start Date]],Milestone_Marker,IF(AND(BZ$27&gt;ProposalToGnatt[[#This Row],[Start Date]],BZ$27&lt;ProposalToGnatt[[#This Row],[Start Date]]+ProposalToGnatt[[#This Row],[Days]]),$G$5,"")),"")</f>
        <v/>
      </c>
      <c r="CA64" s="36" t="str">
        <f ca="1">IFERROR(+IF(CA$27=ProposalToGnatt[[#This Row],[Start Date]],Milestone_Marker,IF(AND(CA$27&gt;ProposalToGnatt[[#This Row],[Start Date]],CA$27&lt;ProposalToGnatt[[#This Row],[Start Date]]+ProposalToGnatt[[#This Row],[Days]]),$G$5,"")),"")</f>
        <v/>
      </c>
      <c r="CB64" s="36" t="str">
        <f ca="1">IFERROR(+IF(CB$27=ProposalToGnatt[[#This Row],[Start Date]],Milestone_Marker,IF(AND(CB$27&gt;ProposalToGnatt[[#This Row],[Start Date]],CB$27&lt;ProposalToGnatt[[#This Row],[Start Date]]+ProposalToGnatt[[#This Row],[Days]]),$G$5,"")),"")</f>
        <v/>
      </c>
      <c r="CC64" s="36" t="str">
        <f ca="1">IFERROR(+IF(CC$27=ProposalToGnatt[[#This Row],[Start Date]],Milestone_Marker,IF(AND(CC$27&gt;ProposalToGnatt[[#This Row],[Start Date]],CC$27&lt;ProposalToGnatt[[#This Row],[Start Date]]+ProposalToGnatt[[#This Row],[Days]]),$G$5,"")),"")</f>
        <v/>
      </c>
      <c r="CD64" s="36" t="str">
        <f ca="1">IFERROR(+IF(CD$27=ProposalToGnatt[[#This Row],[Start Date]],Milestone_Marker,IF(AND(CD$27&gt;ProposalToGnatt[[#This Row],[Start Date]],CD$27&lt;ProposalToGnatt[[#This Row],[Start Date]]+ProposalToGnatt[[#This Row],[Days]]),$G$5,"")),"")</f>
        <v/>
      </c>
      <c r="CE64" s="36" t="str">
        <f ca="1">IFERROR(+IF(CE$27=ProposalToGnatt[[#This Row],[Start Date]],Milestone_Marker,IF(AND(CE$27&gt;ProposalToGnatt[[#This Row],[Start Date]],CE$27&lt;ProposalToGnatt[[#This Row],[Start Date]]+ProposalToGnatt[[#This Row],[Days]]),$G$5,"")),"")</f>
        <v/>
      </c>
      <c r="CF64" s="36" t="str">
        <f ca="1">IFERROR(+IF(CF$27=ProposalToGnatt[[#This Row],[Start Date]],Milestone_Marker,IF(AND(CF$27&gt;ProposalToGnatt[[#This Row],[Start Date]],CF$27&lt;ProposalToGnatt[[#This Row],[Start Date]]+ProposalToGnatt[[#This Row],[Days]]),$G$5,"")),"")</f>
        <v/>
      </c>
      <c r="CG64" s="36" t="str">
        <f ca="1">IFERROR(+IF(CG$27=ProposalToGnatt[[#This Row],[Start Date]],Milestone_Marker,IF(AND(CG$27&gt;ProposalToGnatt[[#This Row],[Start Date]],CG$27&lt;ProposalToGnatt[[#This Row],[Start Date]]+ProposalToGnatt[[#This Row],[Days]]),$G$5,"")),"")</f>
        <v/>
      </c>
      <c r="CH64" s="36" t="str">
        <f ca="1">IFERROR(+IF(CH$27=ProposalToGnatt[[#This Row],[Start Date]],Milestone_Marker,IF(AND(CH$27&gt;ProposalToGnatt[[#This Row],[Start Date]],CH$27&lt;ProposalToGnatt[[#This Row],[Start Date]]+ProposalToGnatt[[#This Row],[Days]]),$G$5,"")),"")</f>
        <v/>
      </c>
      <c r="CI64" s="36" t="str">
        <f ca="1">IFERROR(+IF(CI$27=ProposalToGnatt[[#This Row],[Start Date]],Milestone_Marker,IF(AND(CI$27&gt;ProposalToGnatt[[#This Row],[Start Date]],CI$27&lt;ProposalToGnatt[[#This Row],[Start Date]]+ProposalToGnatt[[#This Row],[Days]]),$G$5,"")),"")</f>
        <v/>
      </c>
      <c r="CJ64" s="36" t="str">
        <f ca="1">IFERROR(+IF(CJ$27=ProposalToGnatt[[#This Row],[Start Date]],Milestone_Marker,IF(AND(CJ$27&gt;ProposalToGnatt[[#This Row],[Start Date]],CJ$27&lt;ProposalToGnatt[[#This Row],[Start Date]]+ProposalToGnatt[[#This Row],[Days]]),$G$5,"")),"")</f>
        <v/>
      </c>
      <c r="CK64" s="36" t="str">
        <f ca="1">IFERROR(+IF(CK$27=ProposalToGnatt[[#This Row],[Start Date]],Milestone_Marker,IF(AND(CK$27&gt;ProposalToGnatt[[#This Row],[Start Date]],CK$27&lt;ProposalToGnatt[[#This Row],[Start Date]]+ProposalToGnatt[[#This Row],[Days]]),$G$5,"")),"")</f>
        <v/>
      </c>
      <c r="CL64" s="36" t="str">
        <f ca="1">IFERROR(+IF(CL$27=ProposalToGnatt[[#This Row],[Start Date]],Milestone_Marker,IF(AND(CL$27&gt;ProposalToGnatt[[#This Row],[Start Date]],CL$27&lt;ProposalToGnatt[[#This Row],[Start Date]]+ProposalToGnatt[[#This Row],[Days]]),$G$5,"")),"")</f>
        <v/>
      </c>
      <c r="CM64" s="36" t="str">
        <f ca="1">IFERROR(+IF(CM$27=ProposalToGnatt[[#This Row],[Start Date]],Milestone_Marker,IF(AND(CM$27&gt;ProposalToGnatt[[#This Row],[Start Date]],CM$27&lt;ProposalToGnatt[[#This Row],[Start Date]]+ProposalToGnatt[[#This Row],[Days]]),$G$5,"")),"")</f>
        <v/>
      </c>
      <c r="CN64" s="36" t="str">
        <f ca="1">IFERROR(+IF(CN$27=ProposalToGnatt[[#This Row],[Start Date]],Milestone_Marker,IF(AND(CN$27&gt;ProposalToGnatt[[#This Row],[Start Date]],CN$27&lt;ProposalToGnatt[[#This Row],[Start Date]]+ProposalToGnatt[[#This Row],[Days]]),$G$5,"")),"")</f>
        <v/>
      </c>
      <c r="CO64" s="36" t="str">
        <f ca="1">IFERROR(+IF(CO$27=ProposalToGnatt[[#This Row],[Start Date]],Milestone_Marker,IF(AND(CO$27&gt;ProposalToGnatt[[#This Row],[Start Date]],CO$27&lt;ProposalToGnatt[[#This Row],[Start Date]]+ProposalToGnatt[[#This Row],[Days]]),$G$5,"")),"")</f>
        <v/>
      </c>
      <c r="CP64" s="36" t="str">
        <f ca="1">IFERROR(+IF(CP$27=ProposalToGnatt[[#This Row],[Start Date]],Milestone_Marker,IF(AND(CP$27&gt;ProposalToGnatt[[#This Row],[Start Date]],CP$27&lt;ProposalToGnatt[[#This Row],[Start Date]]+ProposalToGnatt[[#This Row],[Days]]),$G$5,"")),"")</f>
        <v/>
      </c>
      <c r="CQ64" s="36" t="str">
        <f ca="1">IFERROR(+IF(CQ$27=ProposalToGnatt[[#This Row],[Start Date]],Milestone_Marker,IF(AND(CQ$27&gt;ProposalToGnatt[[#This Row],[Start Date]],CQ$27&lt;ProposalToGnatt[[#This Row],[Start Date]]+ProposalToGnatt[[#This Row],[Days]]),$G$5,"")),"")</f>
        <v/>
      </c>
      <c r="CR64" s="36" t="str">
        <f ca="1">IFERROR(+IF(CR$27=ProposalToGnatt[[#This Row],[Start Date]],Milestone_Marker,IF(AND(CR$27&gt;ProposalToGnatt[[#This Row],[Start Date]],CR$27&lt;ProposalToGnatt[[#This Row],[Start Date]]+ProposalToGnatt[[#This Row],[Days]]),$G$5,"")),"")</f>
        <v/>
      </c>
      <c r="CS64" s="36" t="str">
        <f ca="1">IFERROR(+IF(CS$27=ProposalToGnatt[[#This Row],[Start Date]],Milestone_Marker,IF(AND(CS$27&gt;ProposalToGnatt[[#This Row],[Start Date]],CS$27&lt;ProposalToGnatt[[#This Row],[Start Date]]+ProposalToGnatt[[#This Row],[Days]]),$G$5,"")),"")</f>
        <v/>
      </c>
      <c r="CT64" s="36" t="str">
        <f ca="1">IFERROR(+IF(CT$27=ProposalToGnatt[[#This Row],[Start Date]],Milestone_Marker,IF(AND(CT$27&gt;ProposalToGnatt[[#This Row],[Start Date]],CT$27&lt;ProposalToGnatt[[#This Row],[Start Date]]+ProposalToGnatt[[#This Row],[Days]]),$G$5,"")),"")</f>
        <v/>
      </c>
      <c r="CU64" s="36" t="str">
        <f ca="1">IFERROR(+IF(CU$27=ProposalToGnatt[[#This Row],[Start Date]],Milestone_Marker,IF(AND(CU$27&gt;ProposalToGnatt[[#This Row],[Start Date]],CU$27&lt;ProposalToGnatt[[#This Row],[Start Date]]+ProposalToGnatt[[#This Row],[Days]]),$G$5,"")),"")</f>
        <v/>
      </c>
      <c r="CV64" s="36"/>
      <c r="CW64" s="36"/>
      <c r="CX64" s="36"/>
      <c r="CY64" s="36"/>
      <c r="CZ64" s="36"/>
      <c r="DA64" s="36"/>
      <c r="DB64" s="36"/>
      <c r="DC64" s="36"/>
      <c r="DD64" s="36"/>
      <c r="DE64" s="36"/>
      <c r="DF64" s="36"/>
      <c r="DG64" s="36"/>
      <c r="DH64" s="36"/>
      <c r="DI64" s="36"/>
      <c r="DJ64" s="36"/>
      <c r="DK64" s="36"/>
      <c r="DL64" s="36"/>
      <c r="DM64" s="36"/>
      <c r="DN64" s="36"/>
      <c r="DO64" s="36"/>
      <c r="DP64" s="36"/>
      <c r="DQ64" s="36"/>
      <c r="DR64" s="36"/>
      <c r="DS64" s="36"/>
      <c r="DT64" s="36"/>
      <c r="DU64" s="36"/>
    </row>
    <row r="65" spans="1:125" s="41" customFormat="1" ht="15" customHeight="1" x14ac:dyDescent="0.25">
      <c r="A65" t="s">
        <v>267</v>
      </c>
      <c r="B65">
        <v>47</v>
      </c>
      <c r="C65"/>
      <c r="D65" t="s">
        <v>962</v>
      </c>
      <c r="E65" s="568" t="s">
        <v>963</v>
      </c>
      <c r="F65">
        <v>0</v>
      </c>
      <c r="G65" s="14"/>
      <c r="H65" s="14"/>
      <c r="I65"/>
      <c r="J65">
        <v>1</v>
      </c>
      <c r="K65" s="249"/>
      <c r="L65"/>
      <c r="M65" s="14"/>
      <c r="N65" s="300"/>
      <c r="O65" s="554"/>
      <c r="P65" s="36" t="str">
        <f ca="1">IFERROR(+IF(P$27=ProposalToGnatt[[#This Row],[Start Date]],Milestone_Marker,IF(AND(P$27&gt;ProposalToGnatt[[#This Row],[Start Date]],P$27&lt;ProposalToGnatt[[#This Row],[Start Date]]+ProposalToGnatt[[#This Row],[Days]]),$G$5,"")),"")</f>
        <v/>
      </c>
      <c r="Q65" s="36" t="str">
        <f ca="1">IFERROR(+IF(Q$27=ProposalToGnatt[[#This Row],[Start Date]],Milestone_Marker,IF(AND(Q$27&gt;ProposalToGnatt[[#This Row],[Start Date]],Q$27&lt;ProposalToGnatt[[#This Row],[Start Date]]+ProposalToGnatt[[#This Row],[Days]]),$G$5,"")),"")</f>
        <v/>
      </c>
      <c r="R65" s="36" t="str">
        <f ca="1">IFERROR(+IF(R$27=ProposalToGnatt[[#This Row],[Start Date]],Milestone_Marker,IF(AND(R$27&gt;ProposalToGnatt[[#This Row],[Start Date]],R$27&lt;ProposalToGnatt[[#This Row],[Start Date]]+ProposalToGnatt[[#This Row],[Days]]),$G$5,"")),"")</f>
        <v/>
      </c>
      <c r="S65" s="36" t="str">
        <f ca="1">IFERROR(+IF(S$27=ProposalToGnatt[[#This Row],[Start Date]],Milestone_Marker,IF(AND(S$27&gt;ProposalToGnatt[[#This Row],[Start Date]],S$27&lt;ProposalToGnatt[[#This Row],[Start Date]]+ProposalToGnatt[[#This Row],[Days]]),$G$5,"")),"")</f>
        <v/>
      </c>
      <c r="T65" s="36" t="str">
        <f ca="1">IFERROR(+IF(T$27=ProposalToGnatt[[#This Row],[Start Date]],Milestone_Marker,IF(AND(T$27&gt;ProposalToGnatt[[#This Row],[Start Date]],T$27&lt;ProposalToGnatt[[#This Row],[Start Date]]+ProposalToGnatt[[#This Row],[Days]]),$G$5,"")),"")</f>
        <v/>
      </c>
      <c r="U65" s="36" t="str">
        <f ca="1">IFERROR(+IF(U$27=ProposalToGnatt[[#This Row],[Start Date]],Milestone_Marker,IF(AND(U$27&gt;ProposalToGnatt[[#This Row],[Start Date]],U$27&lt;ProposalToGnatt[[#This Row],[Start Date]]+ProposalToGnatt[[#This Row],[Days]]),$G$5,"")),"")</f>
        <v/>
      </c>
      <c r="V65" s="36" t="str">
        <f ca="1">IFERROR(+IF(V$27=ProposalToGnatt[[#This Row],[Start Date]],Milestone_Marker,IF(AND(V$27&gt;ProposalToGnatt[[#This Row],[Start Date]],V$27&lt;ProposalToGnatt[[#This Row],[Start Date]]+ProposalToGnatt[[#This Row],[Days]]),$G$5,"")),"")</f>
        <v/>
      </c>
      <c r="W65" s="36" t="str">
        <f ca="1">IFERROR(+IF(W$27=ProposalToGnatt[[#This Row],[Start Date]],Milestone_Marker,IF(AND(W$27&gt;ProposalToGnatt[[#This Row],[Start Date]],W$27&lt;ProposalToGnatt[[#This Row],[Start Date]]+ProposalToGnatt[[#This Row],[Days]]),$G$5,"")),"")</f>
        <v/>
      </c>
      <c r="X65" s="36" t="str">
        <f ca="1">IFERROR(+IF(X$27=ProposalToGnatt[[#This Row],[Start Date]],Milestone_Marker,IF(AND(X$27&gt;ProposalToGnatt[[#This Row],[Start Date]],X$27&lt;ProposalToGnatt[[#This Row],[Start Date]]+ProposalToGnatt[[#This Row],[Days]]),$G$5,"")),"")</f>
        <v/>
      </c>
      <c r="Y65" s="36" t="str">
        <f ca="1">IFERROR(+IF(Y$27=ProposalToGnatt[[#This Row],[Start Date]],Milestone_Marker,IF(AND(Y$27&gt;ProposalToGnatt[[#This Row],[Start Date]],Y$27&lt;ProposalToGnatt[[#This Row],[Start Date]]+ProposalToGnatt[[#This Row],[Days]]),$G$5,"")),"")</f>
        <v/>
      </c>
      <c r="Z65" s="36" t="str">
        <f ca="1">IFERROR(+IF(Z$27=ProposalToGnatt[[#This Row],[Start Date]],Milestone_Marker,IF(AND(Z$27&gt;ProposalToGnatt[[#This Row],[Start Date]],Z$27&lt;ProposalToGnatt[[#This Row],[Start Date]]+ProposalToGnatt[[#This Row],[Days]]),$G$5,"")),"")</f>
        <v/>
      </c>
      <c r="AA65" s="36" t="str">
        <f ca="1">IFERROR(+IF(AA$27=ProposalToGnatt[[#This Row],[Start Date]],Milestone_Marker,IF(AND(AA$27&gt;ProposalToGnatt[[#This Row],[Start Date]],AA$27&lt;ProposalToGnatt[[#This Row],[Start Date]]+ProposalToGnatt[[#This Row],[Days]]),$G$5,"")),"")</f>
        <v/>
      </c>
      <c r="AB65" s="36" t="str">
        <f ca="1">IFERROR(+IF(AB$27=ProposalToGnatt[[#This Row],[Start Date]],Milestone_Marker,IF(AND(AB$27&gt;ProposalToGnatt[[#This Row],[Start Date]],AB$27&lt;ProposalToGnatt[[#This Row],[Start Date]]+ProposalToGnatt[[#This Row],[Days]]),$G$5,"")),"")</f>
        <v/>
      </c>
      <c r="AC65" s="36" t="str">
        <f ca="1">IFERROR(+IF(AC$27=ProposalToGnatt[[#This Row],[Start Date]],Milestone_Marker,IF(AND(AC$27&gt;ProposalToGnatt[[#This Row],[Start Date]],AC$27&lt;ProposalToGnatt[[#This Row],[Start Date]]+ProposalToGnatt[[#This Row],[Days]]),$G$5,"")),"")</f>
        <v/>
      </c>
      <c r="AD65" s="36" t="str">
        <f ca="1">IFERROR(+IF(AD$27=ProposalToGnatt[[#This Row],[Start Date]],Milestone_Marker,IF(AND(AD$27&gt;ProposalToGnatt[[#This Row],[Start Date]],AD$27&lt;ProposalToGnatt[[#This Row],[Start Date]]+ProposalToGnatt[[#This Row],[Days]]),$G$5,"")),"")</f>
        <v/>
      </c>
      <c r="AE65" s="36" t="str">
        <f ca="1">IFERROR(+IF(AE$27=ProposalToGnatt[[#This Row],[Start Date]],Milestone_Marker,IF(AND(AE$27&gt;ProposalToGnatt[[#This Row],[Start Date]],AE$27&lt;ProposalToGnatt[[#This Row],[Start Date]]+ProposalToGnatt[[#This Row],[Days]]),$G$5,"")),"")</f>
        <v/>
      </c>
      <c r="AF65" s="36" t="str">
        <f ca="1">IFERROR(+IF(AF$27=ProposalToGnatt[[#This Row],[Start Date]],Milestone_Marker,IF(AND(AF$27&gt;ProposalToGnatt[[#This Row],[Start Date]],AF$27&lt;ProposalToGnatt[[#This Row],[Start Date]]+ProposalToGnatt[[#This Row],[Days]]),$G$5,"")),"")</f>
        <v/>
      </c>
      <c r="AG65" s="36" t="str">
        <f ca="1">IFERROR(+IF(AG$27=ProposalToGnatt[[#This Row],[Start Date]],Milestone_Marker,IF(AND(AG$27&gt;ProposalToGnatt[[#This Row],[Start Date]],AG$27&lt;ProposalToGnatt[[#This Row],[Start Date]]+ProposalToGnatt[[#This Row],[Days]]),$G$5,"")),"")</f>
        <v/>
      </c>
      <c r="AH65" s="36" t="str">
        <f ca="1">IFERROR(+IF(AH$27=ProposalToGnatt[[#This Row],[Start Date]],Milestone_Marker,IF(AND(AH$27&gt;ProposalToGnatt[[#This Row],[Start Date]],AH$27&lt;ProposalToGnatt[[#This Row],[Start Date]]+ProposalToGnatt[[#This Row],[Days]]),$G$5,"")),"")</f>
        <v/>
      </c>
      <c r="AI65" s="36" t="str">
        <f ca="1">IFERROR(+IF(AI$27=ProposalToGnatt[[#This Row],[Start Date]],Milestone_Marker,IF(AND(AI$27&gt;ProposalToGnatt[[#This Row],[Start Date]],AI$27&lt;ProposalToGnatt[[#This Row],[Start Date]]+ProposalToGnatt[[#This Row],[Days]]),$G$5,"")),"")</f>
        <v/>
      </c>
      <c r="AJ65" s="36" t="str">
        <f ca="1">IFERROR(+IF(AJ$27=ProposalToGnatt[[#This Row],[Start Date]],Milestone_Marker,IF(AND(AJ$27&gt;ProposalToGnatt[[#This Row],[Start Date]],AJ$27&lt;ProposalToGnatt[[#This Row],[Start Date]]+ProposalToGnatt[[#This Row],[Days]]),$G$5,"")),"")</f>
        <v/>
      </c>
      <c r="AK65" s="36" t="str">
        <f ca="1">IFERROR(+IF(AK$27=ProposalToGnatt[[#This Row],[Start Date]],Milestone_Marker,IF(AND(AK$27&gt;ProposalToGnatt[[#This Row],[Start Date]],AK$27&lt;ProposalToGnatt[[#This Row],[Start Date]]+ProposalToGnatt[[#This Row],[Days]]),$G$5,"")),"")</f>
        <v/>
      </c>
      <c r="AL65" s="36" t="str">
        <f ca="1">IFERROR(+IF(AL$27=ProposalToGnatt[[#This Row],[Start Date]],Milestone_Marker,IF(AND(AL$27&gt;ProposalToGnatt[[#This Row],[Start Date]],AL$27&lt;ProposalToGnatt[[#This Row],[Start Date]]+ProposalToGnatt[[#This Row],[Days]]),$G$5,"")),"")</f>
        <v/>
      </c>
      <c r="AM65" s="36" t="str">
        <f ca="1">IFERROR(+IF(AM$27=ProposalToGnatt[[#This Row],[Start Date]],Milestone_Marker,IF(AND(AM$27&gt;ProposalToGnatt[[#This Row],[Start Date]],AM$27&lt;ProposalToGnatt[[#This Row],[Start Date]]+ProposalToGnatt[[#This Row],[Days]]),$G$5,"")),"")</f>
        <v/>
      </c>
      <c r="AN65" s="36" t="str">
        <f ca="1">IFERROR(+IF(AN$27=ProposalToGnatt[[#This Row],[Start Date]],Milestone_Marker,IF(AND(AN$27&gt;ProposalToGnatt[[#This Row],[Start Date]],AN$27&lt;ProposalToGnatt[[#This Row],[Start Date]]+ProposalToGnatt[[#This Row],[Days]]),$G$5,"")),"")</f>
        <v/>
      </c>
      <c r="AO65" s="36" t="str">
        <f ca="1">IFERROR(+IF(AO$27=ProposalToGnatt[[#This Row],[Start Date]],Milestone_Marker,IF(AND(AO$27&gt;ProposalToGnatt[[#This Row],[Start Date]],AO$27&lt;ProposalToGnatt[[#This Row],[Start Date]]+ProposalToGnatt[[#This Row],[Days]]),$G$5,"")),"")</f>
        <v/>
      </c>
      <c r="AP65" s="36" t="str">
        <f ca="1">IFERROR(+IF(AP$27=ProposalToGnatt[[#This Row],[Start Date]],Milestone_Marker,IF(AND(AP$27&gt;ProposalToGnatt[[#This Row],[Start Date]],AP$27&lt;ProposalToGnatt[[#This Row],[Start Date]]+ProposalToGnatt[[#This Row],[Days]]),$G$5,"")),"")</f>
        <v/>
      </c>
      <c r="AQ65" s="36" t="str">
        <f ca="1">IFERROR(+IF(AQ$27=ProposalToGnatt[[#This Row],[Start Date]],Milestone_Marker,IF(AND(AQ$27&gt;ProposalToGnatt[[#This Row],[Start Date]],AQ$27&lt;ProposalToGnatt[[#This Row],[Start Date]]+ProposalToGnatt[[#This Row],[Days]]),$G$5,"")),"")</f>
        <v/>
      </c>
      <c r="AR65" s="36" t="str">
        <f ca="1">IFERROR(+IF(AR$27=ProposalToGnatt[[#This Row],[Start Date]],Milestone_Marker,IF(AND(AR$27&gt;ProposalToGnatt[[#This Row],[Start Date]],AR$27&lt;ProposalToGnatt[[#This Row],[Start Date]]+ProposalToGnatt[[#This Row],[Days]]),$G$5,"")),"")</f>
        <v/>
      </c>
      <c r="AS65" s="36" t="str">
        <f ca="1">IFERROR(+IF(AS$27=ProposalToGnatt[[#This Row],[Start Date]],Milestone_Marker,IF(AND(AS$27&gt;ProposalToGnatt[[#This Row],[Start Date]],AS$27&lt;ProposalToGnatt[[#This Row],[Start Date]]+ProposalToGnatt[[#This Row],[Days]]),$G$5,"")),"")</f>
        <v/>
      </c>
      <c r="AT65" s="36" t="str">
        <f ca="1">IFERROR(+IF(AT$27=ProposalToGnatt[[#This Row],[Start Date]],Milestone_Marker,IF(AND(AT$27&gt;ProposalToGnatt[[#This Row],[Start Date]],AT$27&lt;ProposalToGnatt[[#This Row],[Start Date]]+ProposalToGnatt[[#This Row],[Days]]),$G$5,"")),"")</f>
        <v/>
      </c>
      <c r="AU65" s="36" t="str">
        <f ca="1">IFERROR(+IF(AU$27=ProposalToGnatt[[#This Row],[Start Date]],Milestone_Marker,IF(AND(AU$27&gt;ProposalToGnatt[[#This Row],[Start Date]],AU$27&lt;ProposalToGnatt[[#This Row],[Start Date]]+ProposalToGnatt[[#This Row],[Days]]),$G$5,"")),"")</f>
        <v/>
      </c>
      <c r="AV65" s="36" t="str">
        <f ca="1">IFERROR(+IF(AV$27=ProposalToGnatt[[#This Row],[Start Date]],Milestone_Marker,IF(AND(AV$27&gt;ProposalToGnatt[[#This Row],[Start Date]],AV$27&lt;ProposalToGnatt[[#This Row],[Start Date]]+ProposalToGnatt[[#This Row],[Days]]),$G$5,"")),"")</f>
        <v/>
      </c>
      <c r="AW65" s="36" t="str">
        <f ca="1">IFERROR(+IF(AW$27=ProposalToGnatt[[#This Row],[Start Date]],Milestone_Marker,IF(AND(AW$27&gt;ProposalToGnatt[[#This Row],[Start Date]],AW$27&lt;ProposalToGnatt[[#This Row],[Start Date]]+ProposalToGnatt[[#This Row],[Days]]),$G$5,"")),"")</f>
        <v/>
      </c>
      <c r="AX65" s="36" t="str">
        <f ca="1">IFERROR(+IF(AX$27=ProposalToGnatt[[#This Row],[Start Date]],Milestone_Marker,IF(AND(AX$27&gt;ProposalToGnatt[[#This Row],[Start Date]],AX$27&lt;ProposalToGnatt[[#This Row],[Start Date]]+ProposalToGnatt[[#This Row],[Days]]),$G$5,"")),"")</f>
        <v/>
      </c>
      <c r="AY65" s="36" t="str">
        <f ca="1">IFERROR(+IF(AY$27=ProposalToGnatt[[#This Row],[Start Date]],Milestone_Marker,IF(AND(AY$27&gt;ProposalToGnatt[[#This Row],[Start Date]],AY$27&lt;ProposalToGnatt[[#This Row],[Start Date]]+ProposalToGnatt[[#This Row],[Days]]),$G$5,"")),"")</f>
        <v/>
      </c>
      <c r="AZ65" s="36" t="str">
        <f ca="1">IFERROR(+IF(AZ$27=ProposalToGnatt[[#This Row],[Start Date]],Milestone_Marker,IF(AND(AZ$27&gt;ProposalToGnatt[[#This Row],[Start Date]],AZ$27&lt;ProposalToGnatt[[#This Row],[Start Date]]+ProposalToGnatt[[#This Row],[Days]]),$G$5,"")),"")</f>
        <v/>
      </c>
      <c r="BA65" s="36" t="str">
        <f ca="1">IFERROR(+IF(BA$27=ProposalToGnatt[[#This Row],[Start Date]],Milestone_Marker,IF(AND(BA$27&gt;ProposalToGnatt[[#This Row],[Start Date]],BA$27&lt;ProposalToGnatt[[#This Row],[Start Date]]+ProposalToGnatt[[#This Row],[Days]]),$G$5,"")),"")</f>
        <v/>
      </c>
      <c r="BB65" s="36" t="str">
        <f ca="1">IFERROR(+IF(BB$27=ProposalToGnatt[[#This Row],[Start Date]],Milestone_Marker,IF(AND(BB$27&gt;ProposalToGnatt[[#This Row],[Start Date]],BB$27&lt;ProposalToGnatt[[#This Row],[Start Date]]+ProposalToGnatt[[#This Row],[Days]]),$G$5,"")),"")</f>
        <v/>
      </c>
      <c r="BC65" s="36" t="str">
        <f ca="1">IFERROR(+IF(BC$27=ProposalToGnatt[[#This Row],[Start Date]],Milestone_Marker,IF(AND(BC$27&gt;ProposalToGnatt[[#This Row],[Start Date]],BC$27&lt;ProposalToGnatt[[#This Row],[Start Date]]+ProposalToGnatt[[#This Row],[Days]]),$G$5,"")),"")</f>
        <v/>
      </c>
      <c r="BD65" s="36" t="str">
        <f ca="1">IFERROR(+IF(BD$27=ProposalToGnatt[[#This Row],[Start Date]],Milestone_Marker,IF(AND(BD$27&gt;ProposalToGnatt[[#This Row],[Start Date]],BD$27&lt;ProposalToGnatt[[#This Row],[Start Date]]+ProposalToGnatt[[#This Row],[Days]]),$G$5,"")),"")</f>
        <v/>
      </c>
      <c r="BE65" s="36" t="str">
        <f ca="1">IFERROR(+IF(BE$27=ProposalToGnatt[[#This Row],[Start Date]],Milestone_Marker,IF(AND(BE$27&gt;ProposalToGnatt[[#This Row],[Start Date]],BE$27&lt;ProposalToGnatt[[#This Row],[Start Date]]+ProposalToGnatt[[#This Row],[Days]]),$G$5,"")),"")</f>
        <v/>
      </c>
      <c r="BF65" s="36" t="str">
        <f ca="1">IFERROR(+IF(BF$27=ProposalToGnatt[[#This Row],[Start Date]],Milestone_Marker,IF(AND(BF$27&gt;ProposalToGnatt[[#This Row],[Start Date]],BF$27&lt;ProposalToGnatt[[#This Row],[Start Date]]+ProposalToGnatt[[#This Row],[Days]]),$G$5,"")),"")</f>
        <v/>
      </c>
      <c r="BG65" s="36" t="str">
        <f ca="1">IFERROR(+IF(BG$27=ProposalToGnatt[[#This Row],[Start Date]],Milestone_Marker,IF(AND(BG$27&gt;ProposalToGnatt[[#This Row],[Start Date]],BG$27&lt;ProposalToGnatt[[#This Row],[Start Date]]+ProposalToGnatt[[#This Row],[Days]]),$G$5,"")),"")</f>
        <v/>
      </c>
      <c r="BH65" s="36" t="str">
        <f ca="1">IFERROR(+IF(BH$27=ProposalToGnatt[[#This Row],[Start Date]],Milestone_Marker,IF(AND(BH$27&gt;ProposalToGnatt[[#This Row],[Start Date]],BH$27&lt;ProposalToGnatt[[#This Row],[Start Date]]+ProposalToGnatt[[#This Row],[Days]]),$G$5,"")),"")</f>
        <v/>
      </c>
      <c r="BI65" s="36" t="str">
        <f ca="1">IFERROR(+IF(BI$27=ProposalToGnatt[[#This Row],[Start Date]],Milestone_Marker,IF(AND(BI$27&gt;ProposalToGnatt[[#This Row],[Start Date]],BI$27&lt;ProposalToGnatt[[#This Row],[Start Date]]+ProposalToGnatt[[#This Row],[Days]]),$G$5,"")),"")</f>
        <v/>
      </c>
      <c r="BJ65" s="36" t="str">
        <f ca="1">IFERROR(+IF(BJ$27=ProposalToGnatt[[#This Row],[Start Date]],Milestone_Marker,IF(AND(BJ$27&gt;ProposalToGnatt[[#This Row],[Start Date]],BJ$27&lt;ProposalToGnatt[[#This Row],[Start Date]]+ProposalToGnatt[[#This Row],[Days]]),$G$5,"")),"")</f>
        <v/>
      </c>
      <c r="BK65" s="36" t="str">
        <f ca="1">IFERROR(+IF(BK$27=ProposalToGnatt[[#This Row],[Start Date]],Milestone_Marker,IF(AND(BK$27&gt;ProposalToGnatt[[#This Row],[Start Date]],BK$27&lt;ProposalToGnatt[[#This Row],[Start Date]]+ProposalToGnatt[[#This Row],[Days]]),$G$5,"")),"")</f>
        <v/>
      </c>
      <c r="BL65" s="36" t="str">
        <f ca="1">IFERROR(+IF(BL$27=ProposalToGnatt[[#This Row],[Start Date]],Milestone_Marker,IF(AND(BL$27&gt;ProposalToGnatt[[#This Row],[Start Date]],BL$27&lt;ProposalToGnatt[[#This Row],[Start Date]]+ProposalToGnatt[[#This Row],[Days]]),$G$5,"")),"")</f>
        <v/>
      </c>
      <c r="BM65" s="36" t="str">
        <f ca="1">IFERROR(+IF(BM$27=ProposalToGnatt[[#This Row],[Start Date]],Milestone_Marker,IF(AND(BM$27&gt;ProposalToGnatt[[#This Row],[Start Date]],BM$27&lt;ProposalToGnatt[[#This Row],[Start Date]]+ProposalToGnatt[[#This Row],[Days]]),$G$5,"")),"")</f>
        <v/>
      </c>
      <c r="BN65" s="36" t="str">
        <f ca="1">IFERROR(+IF(BN$27=ProposalToGnatt[[#This Row],[Start Date]],Milestone_Marker,IF(AND(BN$27&gt;ProposalToGnatt[[#This Row],[Start Date]],BN$27&lt;ProposalToGnatt[[#This Row],[Start Date]]+ProposalToGnatt[[#This Row],[Days]]),$G$5,"")),"")</f>
        <v/>
      </c>
      <c r="BO65" s="36" t="str">
        <f ca="1">IFERROR(+IF(BO$27=ProposalToGnatt[[#This Row],[Start Date]],Milestone_Marker,IF(AND(BO$27&gt;ProposalToGnatt[[#This Row],[Start Date]],BO$27&lt;ProposalToGnatt[[#This Row],[Start Date]]+ProposalToGnatt[[#This Row],[Days]]),$G$5,"")),"")</f>
        <v/>
      </c>
      <c r="BP65" s="36" t="str">
        <f ca="1">IFERROR(+IF(BP$27=ProposalToGnatt[[#This Row],[Start Date]],Milestone_Marker,IF(AND(BP$27&gt;ProposalToGnatt[[#This Row],[Start Date]],BP$27&lt;ProposalToGnatt[[#This Row],[Start Date]]+ProposalToGnatt[[#This Row],[Days]]),$G$5,"")),"")</f>
        <v/>
      </c>
      <c r="BQ65" s="36" t="str">
        <f ca="1">IFERROR(+IF(BQ$27=ProposalToGnatt[[#This Row],[Start Date]],Milestone_Marker,IF(AND(BQ$27&gt;ProposalToGnatt[[#This Row],[Start Date]],BQ$27&lt;ProposalToGnatt[[#This Row],[Start Date]]+ProposalToGnatt[[#This Row],[Days]]),$G$5,"")),"")</f>
        <v/>
      </c>
      <c r="BR65" s="36" t="str">
        <f ca="1">IFERROR(+IF(BR$27=ProposalToGnatt[[#This Row],[Start Date]],Milestone_Marker,IF(AND(BR$27&gt;ProposalToGnatt[[#This Row],[Start Date]],BR$27&lt;ProposalToGnatt[[#This Row],[Start Date]]+ProposalToGnatt[[#This Row],[Days]]),$G$5,"")),"")</f>
        <v/>
      </c>
      <c r="BS65" s="36" t="str">
        <f ca="1">IFERROR(+IF(BS$27=ProposalToGnatt[[#This Row],[Start Date]],Milestone_Marker,IF(AND(BS$27&gt;ProposalToGnatt[[#This Row],[Start Date]],BS$27&lt;ProposalToGnatt[[#This Row],[Start Date]]+ProposalToGnatt[[#This Row],[Days]]),$G$5,"")),"")</f>
        <v/>
      </c>
      <c r="BT65" s="36" t="str">
        <f ca="1">IFERROR(+IF(BT$27=ProposalToGnatt[[#This Row],[Start Date]],Milestone_Marker,IF(AND(BT$27&gt;ProposalToGnatt[[#This Row],[Start Date]],BT$27&lt;ProposalToGnatt[[#This Row],[Start Date]]+ProposalToGnatt[[#This Row],[Days]]),$G$5,"")),"")</f>
        <v/>
      </c>
      <c r="BU65" s="36" t="str">
        <f ca="1">IFERROR(+IF(BU$27=ProposalToGnatt[[#This Row],[Start Date]],Milestone_Marker,IF(AND(BU$27&gt;ProposalToGnatt[[#This Row],[Start Date]],BU$27&lt;ProposalToGnatt[[#This Row],[Start Date]]+ProposalToGnatt[[#This Row],[Days]]),$G$5,"")),"")</f>
        <v/>
      </c>
      <c r="BV65" s="36" t="str">
        <f ca="1">IFERROR(+IF(BV$27=ProposalToGnatt[[#This Row],[Start Date]],Milestone_Marker,IF(AND(BV$27&gt;ProposalToGnatt[[#This Row],[Start Date]],BV$27&lt;ProposalToGnatt[[#This Row],[Start Date]]+ProposalToGnatt[[#This Row],[Days]]),$G$5,"")),"")</f>
        <v/>
      </c>
      <c r="BW65" s="36" t="str">
        <f ca="1">IFERROR(+IF(BW$27=ProposalToGnatt[[#This Row],[Start Date]],Milestone_Marker,IF(AND(BW$27&gt;ProposalToGnatt[[#This Row],[Start Date]],BW$27&lt;ProposalToGnatt[[#This Row],[Start Date]]+ProposalToGnatt[[#This Row],[Days]]),$G$5,"")),"")</f>
        <v/>
      </c>
      <c r="BX65" s="36" t="str">
        <f ca="1">IFERROR(+IF(BX$27=ProposalToGnatt[[#This Row],[Start Date]],Milestone_Marker,IF(AND(BX$27&gt;ProposalToGnatt[[#This Row],[Start Date]],BX$27&lt;ProposalToGnatt[[#This Row],[Start Date]]+ProposalToGnatt[[#This Row],[Days]]),$G$5,"")),"")</f>
        <v/>
      </c>
      <c r="BY65" s="36" t="str">
        <f ca="1">IFERROR(+IF(BY$27=ProposalToGnatt[[#This Row],[Start Date]],Milestone_Marker,IF(AND(BY$27&gt;ProposalToGnatt[[#This Row],[Start Date]],BY$27&lt;ProposalToGnatt[[#This Row],[Start Date]]+ProposalToGnatt[[#This Row],[Days]]),$G$5,"")),"")</f>
        <v/>
      </c>
      <c r="BZ65" s="36" t="str">
        <f ca="1">IFERROR(+IF(BZ$27=ProposalToGnatt[[#This Row],[Start Date]],Milestone_Marker,IF(AND(BZ$27&gt;ProposalToGnatt[[#This Row],[Start Date]],BZ$27&lt;ProposalToGnatt[[#This Row],[Start Date]]+ProposalToGnatt[[#This Row],[Days]]),$G$5,"")),"")</f>
        <v/>
      </c>
      <c r="CA65" s="36" t="str">
        <f ca="1">IFERROR(+IF(CA$27=ProposalToGnatt[[#This Row],[Start Date]],Milestone_Marker,IF(AND(CA$27&gt;ProposalToGnatt[[#This Row],[Start Date]],CA$27&lt;ProposalToGnatt[[#This Row],[Start Date]]+ProposalToGnatt[[#This Row],[Days]]),$G$5,"")),"")</f>
        <v/>
      </c>
      <c r="CB65" s="36" t="str">
        <f ca="1">IFERROR(+IF(CB$27=ProposalToGnatt[[#This Row],[Start Date]],Milestone_Marker,IF(AND(CB$27&gt;ProposalToGnatt[[#This Row],[Start Date]],CB$27&lt;ProposalToGnatt[[#This Row],[Start Date]]+ProposalToGnatt[[#This Row],[Days]]),$G$5,"")),"")</f>
        <v/>
      </c>
      <c r="CC65" s="36" t="str">
        <f ca="1">IFERROR(+IF(CC$27=ProposalToGnatt[[#This Row],[Start Date]],Milestone_Marker,IF(AND(CC$27&gt;ProposalToGnatt[[#This Row],[Start Date]],CC$27&lt;ProposalToGnatt[[#This Row],[Start Date]]+ProposalToGnatt[[#This Row],[Days]]),$G$5,"")),"")</f>
        <v/>
      </c>
      <c r="CD65" s="36" t="str">
        <f ca="1">IFERROR(+IF(CD$27=ProposalToGnatt[[#This Row],[Start Date]],Milestone_Marker,IF(AND(CD$27&gt;ProposalToGnatt[[#This Row],[Start Date]],CD$27&lt;ProposalToGnatt[[#This Row],[Start Date]]+ProposalToGnatt[[#This Row],[Days]]),$G$5,"")),"")</f>
        <v/>
      </c>
      <c r="CE65" s="36" t="str">
        <f ca="1">IFERROR(+IF(CE$27=ProposalToGnatt[[#This Row],[Start Date]],Milestone_Marker,IF(AND(CE$27&gt;ProposalToGnatt[[#This Row],[Start Date]],CE$27&lt;ProposalToGnatt[[#This Row],[Start Date]]+ProposalToGnatt[[#This Row],[Days]]),$G$5,"")),"")</f>
        <v/>
      </c>
      <c r="CF65" s="36" t="str">
        <f ca="1">IFERROR(+IF(CF$27=ProposalToGnatt[[#This Row],[Start Date]],Milestone_Marker,IF(AND(CF$27&gt;ProposalToGnatt[[#This Row],[Start Date]],CF$27&lt;ProposalToGnatt[[#This Row],[Start Date]]+ProposalToGnatt[[#This Row],[Days]]),$G$5,"")),"")</f>
        <v/>
      </c>
      <c r="CG65" s="36" t="str">
        <f ca="1">IFERROR(+IF(CG$27=ProposalToGnatt[[#This Row],[Start Date]],Milestone_Marker,IF(AND(CG$27&gt;ProposalToGnatt[[#This Row],[Start Date]],CG$27&lt;ProposalToGnatt[[#This Row],[Start Date]]+ProposalToGnatt[[#This Row],[Days]]),$G$5,"")),"")</f>
        <v/>
      </c>
      <c r="CH65" s="36" t="str">
        <f ca="1">IFERROR(+IF(CH$27=ProposalToGnatt[[#This Row],[Start Date]],Milestone_Marker,IF(AND(CH$27&gt;ProposalToGnatt[[#This Row],[Start Date]],CH$27&lt;ProposalToGnatt[[#This Row],[Start Date]]+ProposalToGnatt[[#This Row],[Days]]),$G$5,"")),"")</f>
        <v/>
      </c>
      <c r="CI65" s="36" t="str">
        <f ca="1">IFERROR(+IF(CI$27=ProposalToGnatt[[#This Row],[Start Date]],Milestone_Marker,IF(AND(CI$27&gt;ProposalToGnatt[[#This Row],[Start Date]],CI$27&lt;ProposalToGnatt[[#This Row],[Start Date]]+ProposalToGnatt[[#This Row],[Days]]),$G$5,"")),"")</f>
        <v/>
      </c>
      <c r="CJ65" s="36" t="str">
        <f ca="1">IFERROR(+IF(CJ$27=ProposalToGnatt[[#This Row],[Start Date]],Milestone_Marker,IF(AND(CJ$27&gt;ProposalToGnatt[[#This Row],[Start Date]],CJ$27&lt;ProposalToGnatt[[#This Row],[Start Date]]+ProposalToGnatt[[#This Row],[Days]]),$G$5,"")),"")</f>
        <v/>
      </c>
      <c r="CK65" s="36" t="str">
        <f ca="1">IFERROR(+IF(CK$27=ProposalToGnatt[[#This Row],[Start Date]],Milestone_Marker,IF(AND(CK$27&gt;ProposalToGnatt[[#This Row],[Start Date]],CK$27&lt;ProposalToGnatt[[#This Row],[Start Date]]+ProposalToGnatt[[#This Row],[Days]]),$G$5,"")),"")</f>
        <v/>
      </c>
      <c r="CL65" s="36" t="str">
        <f ca="1">IFERROR(+IF(CL$27=ProposalToGnatt[[#This Row],[Start Date]],Milestone_Marker,IF(AND(CL$27&gt;ProposalToGnatt[[#This Row],[Start Date]],CL$27&lt;ProposalToGnatt[[#This Row],[Start Date]]+ProposalToGnatt[[#This Row],[Days]]),$G$5,"")),"")</f>
        <v/>
      </c>
      <c r="CM65" s="36" t="str">
        <f ca="1">IFERROR(+IF(CM$27=ProposalToGnatt[[#This Row],[Start Date]],Milestone_Marker,IF(AND(CM$27&gt;ProposalToGnatt[[#This Row],[Start Date]],CM$27&lt;ProposalToGnatt[[#This Row],[Start Date]]+ProposalToGnatt[[#This Row],[Days]]),$G$5,"")),"")</f>
        <v/>
      </c>
      <c r="CN65" s="36" t="str">
        <f ca="1">IFERROR(+IF(CN$27=ProposalToGnatt[[#This Row],[Start Date]],Milestone_Marker,IF(AND(CN$27&gt;ProposalToGnatt[[#This Row],[Start Date]],CN$27&lt;ProposalToGnatt[[#This Row],[Start Date]]+ProposalToGnatt[[#This Row],[Days]]),$G$5,"")),"")</f>
        <v/>
      </c>
      <c r="CO65" s="36" t="str">
        <f ca="1">IFERROR(+IF(CO$27=ProposalToGnatt[[#This Row],[Start Date]],Milestone_Marker,IF(AND(CO$27&gt;ProposalToGnatt[[#This Row],[Start Date]],CO$27&lt;ProposalToGnatt[[#This Row],[Start Date]]+ProposalToGnatt[[#This Row],[Days]]),$G$5,"")),"")</f>
        <v/>
      </c>
      <c r="CP65" s="36" t="str">
        <f ca="1">IFERROR(+IF(CP$27=ProposalToGnatt[[#This Row],[Start Date]],Milestone_Marker,IF(AND(CP$27&gt;ProposalToGnatt[[#This Row],[Start Date]],CP$27&lt;ProposalToGnatt[[#This Row],[Start Date]]+ProposalToGnatt[[#This Row],[Days]]),$G$5,"")),"")</f>
        <v/>
      </c>
      <c r="CQ65" s="36" t="str">
        <f ca="1">IFERROR(+IF(CQ$27=ProposalToGnatt[[#This Row],[Start Date]],Milestone_Marker,IF(AND(CQ$27&gt;ProposalToGnatt[[#This Row],[Start Date]],CQ$27&lt;ProposalToGnatt[[#This Row],[Start Date]]+ProposalToGnatt[[#This Row],[Days]]),$G$5,"")),"")</f>
        <v/>
      </c>
      <c r="CR65" s="36" t="str">
        <f ca="1">IFERROR(+IF(CR$27=ProposalToGnatt[[#This Row],[Start Date]],Milestone_Marker,IF(AND(CR$27&gt;ProposalToGnatt[[#This Row],[Start Date]],CR$27&lt;ProposalToGnatt[[#This Row],[Start Date]]+ProposalToGnatt[[#This Row],[Days]]),$G$5,"")),"")</f>
        <v/>
      </c>
      <c r="CS65" s="36" t="str">
        <f ca="1">IFERROR(+IF(CS$27=ProposalToGnatt[[#This Row],[Start Date]],Milestone_Marker,IF(AND(CS$27&gt;ProposalToGnatt[[#This Row],[Start Date]],CS$27&lt;ProposalToGnatt[[#This Row],[Start Date]]+ProposalToGnatt[[#This Row],[Days]]),$G$5,"")),"")</f>
        <v/>
      </c>
      <c r="CT65" s="36" t="str">
        <f ca="1">IFERROR(+IF(CT$27=ProposalToGnatt[[#This Row],[Start Date]],Milestone_Marker,IF(AND(CT$27&gt;ProposalToGnatt[[#This Row],[Start Date]],CT$27&lt;ProposalToGnatt[[#This Row],[Start Date]]+ProposalToGnatt[[#This Row],[Days]]),$G$5,"")),"")</f>
        <v/>
      </c>
      <c r="CU65" s="36" t="str">
        <f ca="1">IFERROR(+IF(CU$27=ProposalToGnatt[[#This Row],[Start Date]],Milestone_Marker,IF(AND(CU$27&gt;ProposalToGnatt[[#This Row],[Start Date]],CU$27&lt;ProposalToGnatt[[#This Row],[Start Date]]+ProposalToGnatt[[#This Row],[Days]]),$G$5,"")),"")</f>
        <v/>
      </c>
      <c r="CV65" s="36"/>
      <c r="CW65" s="36"/>
      <c r="CX65" s="36"/>
      <c r="CY65" s="36"/>
      <c r="CZ65" s="36"/>
      <c r="DA65" s="36"/>
      <c r="DB65" s="36"/>
      <c r="DC65" s="36"/>
      <c r="DD65" s="36"/>
      <c r="DE65" s="36"/>
      <c r="DF65" s="36"/>
      <c r="DG65" s="36"/>
      <c r="DH65" s="36"/>
      <c r="DI65" s="36"/>
      <c r="DJ65" s="36"/>
      <c r="DK65" s="36"/>
      <c r="DL65" s="36"/>
      <c r="DM65" s="36"/>
      <c r="DN65" s="36"/>
      <c r="DO65" s="36"/>
      <c r="DP65" s="36"/>
      <c r="DQ65" s="36"/>
      <c r="DR65" s="36"/>
      <c r="DS65" s="36"/>
      <c r="DT65" s="36"/>
      <c r="DU65" s="36"/>
    </row>
    <row r="66" spans="1:125" s="41" customFormat="1" ht="15" x14ac:dyDescent="0.25">
      <c r="A66" t="s">
        <v>267</v>
      </c>
      <c r="B66">
        <v>48</v>
      </c>
      <c r="C66"/>
      <c r="D66" t="s">
        <v>885</v>
      </c>
      <c r="E66" s="568" t="s">
        <v>964</v>
      </c>
      <c r="F66">
        <v>1</v>
      </c>
      <c r="G66" s="14">
        <v>35</v>
      </c>
      <c r="H66" s="14">
        <v>35</v>
      </c>
      <c r="I66" t="s">
        <v>3</v>
      </c>
      <c r="J66">
        <v>1</v>
      </c>
      <c r="K66" s="249"/>
      <c r="L66"/>
      <c r="M66" s="14"/>
      <c r="N66" s="300">
        <v>35</v>
      </c>
      <c r="O66" s="554"/>
      <c r="P66" s="36" t="str">
        <f ca="1">IFERROR(+IF(P$27=ProposalToGnatt[[#This Row],[Start Date]],Milestone_Marker,IF(AND(P$27&gt;ProposalToGnatt[[#This Row],[Start Date]],P$27&lt;ProposalToGnatt[[#This Row],[Start Date]]+ProposalToGnatt[[#This Row],[Days]]),$G$5,"")),"")</f>
        <v/>
      </c>
      <c r="Q66" s="36" t="str">
        <f ca="1">IFERROR(+IF(Q$27=ProposalToGnatt[[#This Row],[Start Date]],Milestone_Marker,IF(AND(Q$27&gt;ProposalToGnatt[[#This Row],[Start Date]],Q$27&lt;ProposalToGnatt[[#This Row],[Start Date]]+ProposalToGnatt[[#This Row],[Days]]),$G$5,"")),"")</f>
        <v/>
      </c>
      <c r="R66" s="36" t="str">
        <f ca="1">IFERROR(+IF(R$27=ProposalToGnatt[[#This Row],[Start Date]],Milestone_Marker,IF(AND(R$27&gt;ProposalToGnatt[[#This Row],[Start Date]],R$27&lt;ProposalToGnatt[[#This Row],[Start Date]]+ProposalToGnatt[[#This Row],[Days]]),$G$5,"")),"")</f>
        <v/>
      </c>
      <c r="S66" s="36" t="str">
        <f ca="1">IFERROR(+IF(S$27=ProposalToGnatt[[#This Row],[Start Date]],Milestone_Marker,IF(AND(S$27&gt;ProposalToGnatt[[#This Row],[Start Date]],S$27&lt;ProposalToGnatt[[#This Row],[Start Date]]+ProposalToGnatt[[#This Row],[Days]]),$G$5,"")),"")</f>
        <v/>
      </c>
      <c r="T66" s="36" t="str">
        <f ca="1">IFERROR(+IF(T$27=ProposalToGnatt[[#This Row],[Start Date]],Milestone_Marker,IF(AND(T$27&gt;ProposalToGnatt[[#This Row],[Start Date]],T$27&lt;ProposalToGnatt[[#This Row],[Start Date]]+ProposalToGnatt[[#This Row],[Days]]),$G$5,"")),"")</f>
        <v/>
      </c>
      <c r="U66" s="36" t="str">
        <f ca="1">IFERROR(+IF(U$27=ProposalToGnatt[[#This Row],[Start Date]],Milestone_Marker,IF(AND(U$27&gt;ProposalToGnatt[[#This Row],[Start Date]],U$27&lt;ProposalToGnatt[[#This Row],[Start Date]]+ProposalToGnatt[[#This Row],[Days]]),$G$5,"")),"")</f>
        <v/>
      </c>
      <c r="V66" s="36" t="str">
        <f ca="1">IFERROR(+IF(V$27=ProposalToGnatt[[#This Row],[Start Date]],Milestone_Marker,IF(AND(V$27&gt;ProposalToGnatt[[#This Row],[Start Date]],V$27&lt;ProposalToGnatt[[#This Row],[Start Date]]+ProposalToGnatt[[#This Row],[Days]]),$G$5,"")),"")</f>
        <v/>
      </c>
      <c r="W66" s="36" t="str">
        <f ca="1">IFERROR(+IF(W$27=ProposalToGnatt[[#This Row],[Start Date]],Milestone_Marker,IF(AND(W$27&gt;ProposalToGnatt[[#This Row],[Start Date]],W$27&lt;ProposalToGnatt[[#This Row],[Start Date]]+ProposalToGnatt[[#This Row],[Days]]),$G$5,"")),"")</f>
        <v/>
      </c>
      <c r="X66" s="36" t="str">
        <f ca="1">IFERROR(+IF(X$27=ProposalToGnatt[[#This Row],[Start Date]],Milestone_Marker,IF(AND(X$27&gt;ProposalToGnatt[[#This Row],[Start Date]],X$27&lt;ProposalToGnatt[[#This Row],[Start Date]]+ProposalToGnatt[[#This Row],[Days]]),$G$5,"")),"")</f>
        <v/>
      </c>
      <c r="Y66" s="36" t="str">
        <f ca="1">IFERROR(+IF(Y$27=ProposalToGnatt[[#This Row],[Start Date]],Milestone_Marker,IF(AND(Y$27&gt;ProposalToGnatt[[#This Row],[Start Date]],Y$27&lt;ProposalToGnatt[[#This Row],[Start Date]]+ProposalToGnatt[[#This Row],[Days]]),$G$5,"")),"")</f>
        <v/>
      </c>
      <c r="Z66" s="36" t="str">
        <f ca="1">IFERROR(+IF(Z$27=ProposalToGnatt[[#This Row],[Start Date]],Milestone_Marker,IF(AND(Z$27&gt;ProposalToGnatt[[#This Row],[Start Date]],Z$27&lt;ProposalToGnatt[[#This Row],[Start Date]]+ProposalToGnatt[[#This Row],[Days]]),$G$5,"")),"")</f>
        <v/>
      </c>
      <c r="AA66" s="36" t="str">
        <f ca="1">IFERROR(+IF(AA$27=ProposalToGnatt[[#This Row],[Start Date]],Milestone_Marker,IF(AND(AA$27&gt;ProposalToGnatt[[#This Row],[Start Date]],AA$27&lt;ProposalToGnatt[[#This Row],[Start Date]]+ProposalToGnatt[[#This Row],[Days]]),$G$5,"")),"")</f>
        <v/>
      </c>
      <c r="AB66" s="36" t="str">
        <f ca="1">IFERROR(+IF(AB$27=ProposalToGnatt[[#This Row],[Start Date]],Milestone_Marker,IF(AND(AB$27&gt;ProposalToGnatt[[#This Row],[Start Date]],AB$27&lt;ProposalToGnatt[[#This Row],[Start Date]]+ProposalToGnatt[[#This Row],[Days]]),$G$5,"")),"")</f>
        <v/>
      </c>
      <c r="AC66" s="36" t="str">
        <f ca="1">IFERROR(+IF(AC$27=ProposalToGnatt[[#This Row],[Start Date]],Milestone_Marker,IF(AND(AC$27&gt;ProposalToGnatt[[#This Row],[Start Date]],AC$27&lt;ProposalToGnatt[[#This Row],[Start Date]]+ProposalToGnatt[[#This Row],[Days]]),$G$5,"")),"")</f>
        <v/>
      </c>
      <c r="AD66" s="36" t="str">
        <f ca="1">IFERROR(+IF(AD$27=ProposalToGnatt[[#This Row],[Start Date]],Milestone_Marker,IF(AND(AD$27&gt;ProposalToGnatt[[#This Row],[Start Date]],AD$27&lt;ProposalToGnatt[[#This Row],[Start Date]]+ProposalToGnatt[[#This Row],[Days]]),$G$5,"")),"")</f>
        <v/>
      </c>
      <c r="AE66" s="36" t="str">
        <f ca="1">IFERROR(+IF(AE$27=ProposalToGnatt[[#This Row],[Start Date]],Milestone_Marker,IF(AND(AE$27&gt;ProposalToGnatt[[#This Row],[Start Date]],AE$27&lt;ProposalToGnatt[[#This Row],[Start Date]]+ProposalToGnatt[[#This Row],[Days]]),$G$5,"")),"")</f>
        <v/>
      </c>
      <c r="AF66" s="36" t="str">
        <f ca="1">IFERROR(+IF(AF$27=ProposalToGnatt[[#This Row],[Start Date]],Milestone_Marker,IF(AND(AF$27&gt;ProposalToGnatt[[#This Row],[Start Date]],AF$27&lt;ProposalToGnatt[[#This Row],[Start Date]]+ProposalToGnatt[[#This Row],[Days]]),$G$5,"")),"")</f>
        <v/>
      </c>
      <c r="AG66" s="36" t="str">
        <f ca="1">IFERROR(+IF(AG$27=ProposalToGnatt[[#This Row],[Start Date]],Milestone_Marker,IF(AND(AG$27&gt;ProposalToGnatt[[#This Row],[Start Date]],AG$27&lt;ProposalToGnatt[[#This Row],[Start Date]]+ProposalToGnatt[[#This Row],[Days]]),$G$5,"")),"")</f>
        <v/>
      </c>
      <c r="AH66" s="36" t="str">
        <f ca="1">IFERROR(+IF(AH$27=ProposalToGnatt[[#This Row],[Start Date]],Milestone_Marker,IF(AND(AH$27&gt;ProposalToGnatt[[#This Row],[Start Date]],AH$27&lt;ProposalToGnatt[[#This Row],[Start Date]]+ProposalToGnatt[[#This Row],[Days]]),$G$5,"")),"")</f>
        <v/>
      </c>
      <c r="AI66" s="36" t="str">
        <f ca="1">IFERROR(+IF(AI$27=ProposalToGnatt[[#This Row],[Start Date]],Milestone_Marker,IF(AND(AI$27&gt;ProposalToGnatt[[#This Row],[Start Date]],AI$27&lt;ProposalToGnatt[[#This Row],[Start Date]]+ProposalToGnatt[[#This Row],[Days]]),$G$5,"")),"")</f>
        <v/>
      </c>
      <c r="AJ66" s="36" t="str">
        <f ca="1">IFERROR(+IF(AJ$27=ProposalToGnatt[[#This Row],[Start Date]],Milestone_Marker,IF(AND(AJ$27&gt;ProposalToGnatt[[#This Row],[Start Date]],AJ$27&lt;ProposalToGnatt[[#This Row],[Start Date]]+ProposalToGnatt[[#This Row],[Days]]),$G$5,"")),"")</f>
        <v/>
      </c>
      <c r="AK66" s="36" t="str">
        <f ca="1">IFERROR(+IF(AK$27=ProposalToGnatt[[#This Row],[Start Date]],Milestone_Marker,IF(AND(AK$27&gt;ProposalToGnatt[[#This Row],[Start Date]],AK$27&lt;ProposalToGnatt[[#This Row],[Start Date]]+ProposalToGnatt[[#This Row],[Days]]),$G$5,"")),"")</f>
        <v/>
      </c>
      <c r="AL66" s="36" t="str">
        <f ca="1">IFERROR(+IF(AL$27=ProposalToGnatt[[#This Row],[Start Date]],Milestone_Marker,IF(AND(AL$27&gt;ProposalToGnatt[[#This Row],[Start Date]],AL$27&lt;ProposalToGnatt[[#This Row],[Start Date]]+ProposalToGnatt[[#This Row],[Days]]),$G$5,"")),"")</f>
        <v/>
      </c>
      <c r="AM66" s="36" t="str">
        <f ca="1">IFERROR(+IF(AM$27=ProposalToGnatt[[#This Row],[Start Date]],Milestone_Marker,IF(AND(AM$27&gt;ProposalToGnatt[[#This Row],[Start Date]],AM$27&lt;ProposalToGnatt[[#This Row],[Start Date]]+ProposalToGnatt[[#This Row],[Days]]),$G$5,"")),"")</f>
        <v/>
      </c>
      <c r="AN66" s="36" t="str">
        <f ca="1">IFERROR(+IF(AN$27=ProposalToGnatt[[#This Row],[Start Date]],Milestone_Marker,IF(AND(AN$27&gt;ProposalToGnatt[[#This Row],[Start Date]],AN$27&lt;ProposalToGnatt[[#This Row],[Start Date]]+ProposalToGnatt[[#This Row],[Days]]),$G$5,"")),"")</f>
        <v/>
      </c>
      <c r="AO66" s="36" t="str">
        <f ca="1">IFERROR(+IF(AO$27=ProposalToGnatt[[#This Row],[Start Date]],Milestone_Marker,IF(AND(AO$27&gt;ProposalToGnatt[[#This Row],[Start Date]],AO$27&lt;ProposalToGnatt[[#This Row],[Start Date]]+ProposalToGnatt[[#This Row],[Days]]),$G$5,"")),"")</f>
        <v/>
      </c>
      <c r="AP66" s="36" t="str">
        <f ca="1">IFERROR(+IF(AP$27=ProposalToGnatt[[#This Row],[Start Date]],Milestone_Marker,IF(AND(AP$27&gt;ProposalToGnatt[[#This Row],[Start Date]],AP$27&lt;ProposalToGnatt[[#This Row],[Start Date]]+ProposalToGnatt[[#This Row],[Days]]),$G$5,"")),"")</f>
        <v/>
      </c>
      <c r="AQ66" s="36" t="str">
        <f ca="1">IFERROR(+IF(AQ$27=ProposalToGnatt[[#This Row],[Start Date]],Milestone_Marker,IF(AND(AQ$27&gt;ProposalToGnatt[[#This Row],[Start Date]],AQ$27&lt;ProposalToGnatt[[#This Row],[Start Date]]+ProposalToGnatt[[#This Row],[Days]]),$G$5,"")),"")</f>
        <v/>
      </c>
      <c r="AR66" s="36" t="str">
        <f ca="1">IFERROR(+IF(AR$27=ProposalToGnatt[[#This Row],[Start Date]],Milestone_Marker,IF(AND(AR$27&gt;ProposalToGnatt[[#This Row],[Start Date]],AR$27&lt;ProposalToGnatt[[#This Row],[Start Date]]+ProposalToGnatt[[#This Row],[Days]]),$G$5,"")),"")</f>
        <v/>
      </c>
      <c r="AS66" s="36" t="str">
        <f ca="1">IFERROR(+IF(AS$27=ProposalToGnatt[[#This Row],[Start Date]],Milestone_Marker,IF(AND(AS$27&gt;ProposalToGnatt[[#This Row],[Start Date]],AS$27&lt;ProposalToGnatt[[#This Row],[Start Date]]+ProposalToGnatt[[#This Row],[Days]]),$G$5,"")),"")</f>
        <v/>
      </c>
      <c r="AT66" s="36" t="str">
        <f ca="1">IFERROR(+IF(AT$27=ProposalToGnatt[[#This Row],[Start Date]],Milestone_Marker,IF(AND(AT$27&gt;ProposalToGnatt[[#This Row],[Start Date]],AT$27&lt;ProposalToGnatt[[#This Row],[Start Date]]+ProposalToGnatt[[#This Row],[Days]]),$G$5,"")),"")</f>
        <v/>
      </c>
      <c r="AU66" s="36" t="str">
        <f ca="1">IFERROR(+IF(AU$27=ProposalToGnatt[[#This Row],[Start Date]],Milestone_Marker,IF(AND(AU$27&gt;ProposalToGnatt[[#This Row],[Start Date]],AU$27&lt;ProposalToGnatt[[#This Row],[Start Date]]+ProposalToGnatt[[#This Row],[Days]]),$G$5,"")),"")</f>
        <v/>
      </c>
      <c r="AV66" s="36" t="str">
        <f ca="1">IFERROR(+IF(AV$27=ProposalToGnatt[[#This Row],[Start Date]],Milestone_Marker,IF(AND(AV$27&gt;ProposalToGnatt[[#This Row],[Start Date]],AV$27&lt;ProposalToGnatt[[#This Row],[Start Date]]+ProposalToGnatt[[#This Row],[Days]]),$G$5,"")),"")</f>
        <v/>
      </c>
      <c r="AW66" s="36" t="str">
        <f ca="1">IFERROR(+IF(AW$27=ProposalToGnatt[[#This Row],[Start Date]],Milestone_Marker,IF(AND(AW$27&gt;ProposalToGnatt[[#This Row],[Start Date]],AW$27&lt;ProposalToGnatt[[#This Row],[Start Date]]+ProposalToGnatt[[#This Row],[Days]]),$G$5,"")),"")</f>
        <v/>
      </c>
      <c r="AX66" s="36" t="str">
        <f ca="1">IFERROR(+IF(AX$27=ProposalToGnatt[[#This Row],[Start Date]],Milestone_Marker,IF(AND(AX$27&gt;ProposalToGnatt[[#This Row],[Start Date]],AX$27&lt;ProposalToGnatt[[#This Row],[Start Date]]+ProposalToGnatt[[#This Row],[Days]]),$G$5,"")),"")</f>
        <v/>
      </c>
      <c r="AY66" s="36" t="str">
        <f ca="1">IFERROR(+IF(AY$27=ProposalToGnatt[[#This Row],[Start Date]],Milestone_Marker,IF(AND(AY$27&gt;ProposalToGnatt[[#This Row],[Start Date]],AY$27&lt;ProposalToGnatt[[#This Row],[Start Date]]+ProposalToGnatt[[#This Row],[Days]]),$G$5,"")),"")</f>
        <v/>
      </c>
      <c r="AZ66" s="36" t="str">
        <f ca="1">IFERROR(+IF(AZ$27=ProposalToGnatt[[#This Row],[Start Date]],Milestone_Marker,IF(AND(AZ$27&gt;ProposalToGnatt[[#This Row],[Start Date]],AZ$27&lt;ProposalToGnatt[[#This Row],[Start Date]]+ProposalToGnatt[[#This Row],[Days]]),$G$5,"")),"")</f>
        <v/>
      </c>
      <c r="BA66" s="36" t="str">
        <f ca="1">IFERROR(+IF(BA$27=ProposalToGnatt[[#This Row],[Start Date]],Milestone_Marker,IF(AND(BA$27&gt;ProposalToGnatt[[#This Row],[Start Date]],BA$27&lt;ProposalToGnatt[[#This Row],[Start Date]]+ProposalToGnatt[[#This Row],[Days]]),$G$5,"")),"")</f>
        <v/>
      </c>
      <c r="BB66" s="36" t="str">
        <f ca="1">IFERROR(+IF(BB$27=ProposalToGnatt[[#This Row],[Start Date]],Milestone_Marker,IF(AND(BB$27&gt;ProposalToGnatt[[#This Row],[Start Date]],BB$27&lt;ProposalToGnatt[[#This Row],[Start Date]]+ProposalToGnatt[[#This Row],[Days]]),$G$5,"")),"")</f>
        <v/>
      </c>
      <c r="BC66" s="36" t="str">
        <f ca="1">IFERROR(+IF(BC$27=ProposalToGnatt[[#This Row],[Start Date]],Milestone_Marker,IF(AND(BC$27&gt;ProposalToGnatt[[#This Row],[Start Date]],BC$27&lt;ProposalToGnatt[[#This Row],[Start Date]]+ProposalToGnatt[[#This Row],[Days]]),$G$5,"")),"")</f>
        <v/>
      </c>
      <c r="BD66" s="36" t="str">
        <f ca="1">IFERROR(+IF(BD$27=ProposalToGnatt[[#This Row],[Start Date]],Milestone_Marker,IF(AND(BD$27&gt;ProposalToGnatt[[#This Row],[Start Date]],BD$27&lt;ProposalToGnatt[[#This Row],[Start Date]]+ProposalToGnatt[[#This Row],[Days]]),$G$5,"")),"")</f>
        <v/>
      </c>
      <c r="BE66" s="36" t="str">
        <f ca="1">IFERROR(+IF(BE$27=ProposalToGnatt[[#This Row],[Start Date]],Milestone_Marker,IF(AND(BE$27&gt;ProposalToGnatt[[#This Row],[Start Date]],BE$27&lt;ProposalToGnatt[[#This Row],[Start Date]]+ProposalToGnatt[[#This Row],[Days]]),$G$5,"")),"")</f>
        <v/>
      </c>
      <c r="BF66" s="36" t="str">
        <f ca="1">IFERROR(+IF(BF$27=ProposalToGnatt[[#This Row],[Start Date]],Milestone_Marker,IF(AND(BF$27&gt;ProposalToGnatt[[#This Row],[Start Date]],BF$27&lt;ProposalToGnatt[[#This Row],[Start Date]]+ProposalToGnatt[[#This Row],[Days]]),$G$5,"")),"")</f>
        <v/>
      </c>
      <c r="BG66" s="36" t="str">
        <f ca="1">IFERROR(+IF(BG$27=ProposalToGnatt[[#This Row],[Start Date]],Milestone_Marker,IF(AND(BG$27&gt;ProposalToGnatt[[#This Row],[Start Date]],BG$27&lt;ProposalToGnatt[[#This Row],[Start Date]]+ProposalToGnatt[[#This Row],[Days]]),$G$5,"")),"")</f>
        <v/>
      </c>
      <c r="BH66" s="36" t="str">
        <f ca="1">IFERROR(+IF(BH$27=ProposalToGnatt[[#This Row],[Start Date]],Milestone_Marker,IF(AND(BH$27&gt;ProposalToGnatt[[#This Row],[Start Date]],BH$27&lt;ProposalToGnatt[[#This Row],[Start Date]]+ProposalToGnatt[[#This Row],[Days]]),$G$5,"")),"")</f>
        <v/>
      </c>
      <c r="BI66" s="36" t="str">
        <f ca="1">IFERROR(+IF(BI$27=ProposalToGnatt[[#This Row],[Start Date]],Milestone_Marker,IF(AND(BI$27&gt;ProposalToGnatt[[#This Row],[Start Date]],BI$27&lt;ProposalToGnatt[[#This Row],[Start Date]]+ProposalToGnatt[[#This Row],[Days]]),$G$5,"")),"")</f>
        <v/>
      </c>
      <c r="BJ66" s="36" t="str">
        <f ca="1">IFERROR(+IF(BJ$27=ProposalToGnatt[[#This Row],[Start Date]],Milestone_Marker,IF(AND(BJ$27&gt;ProposalToGnatt[[#This Row],[Start Date]],BJ$27&lt;ProposalToGnatt[[#This Row],[Start Date]]+ProposalToGnatt[[#This Row],[Days]]),$G$5,"")),"")</f>
        <v/>
      </c>
      <c r="BK66" s="36" t="str">
        <f ca="1">IFERROR(+IF(BK$27=ProposalToGnatt[[#This Row],[Start Date]],Milestone_Marker,IF(AND(BK$27&gt;ProposalToGnatt[[#This Row],[Start Date]],BK$27&lt;ProposalToGnatt[[#This Row],[Start Date]]+ProposalToGnatt[[#This Row],[Days]]),$G$5,"")),"")</f>
        <v/>
      </c>
      <c r="BL66" s="36" t="str">
        <f ca="1">IFERROR(+IF(BL$27=ProposalToGnatt[[#This Row],[Start Date]],Milestone_Marker,IF(AND(BL$27&gt;ProposalToGnatt[[#This Row],[Start Date]],BL$27&lt;ProposalToGnatt[[#This Row],[Start Date]]+ProposalToGnatt[[#This Row],[Days]]),$G$5,"")),"")</f>
        <v/>
      </c>
      <c r="BM66" s="36" t="str">
        <f ca="1">IFERROR(+IF(BM$27=ProposalToGnatt[[#This Row],[Start Date]],Milestone_Marker,IF(AND(BM$27&gt;ProposalToGnatt[[#This Row],[Start Date]],BM$27&lt;ProposalToGnatt[[#This Row],[Start Date]]+ProposalToGnatt[[#This Row],[Days]]),$G$5,"")),"")</f>
        <v/>
      </c>
      <c r="BN66" s="36" t="str">
        <f ca="1">IFERROR(+IF(BN$27=ProposalToGnatt[[#This Row],[Start Date]],Milestone_Marker,IF(AND(BN$27&gt;ProposalToGnatt[[#This Row],[Start Date]],BN$27&lt;ProposalToGnatt[[#This Row],[Start Date]]+ProposalToGnatt[[#This Row],[Days]]),$G$5,"")),"")</f>
        <v/>
      </c>
      <c r="BO66" s="36" t="str">
        <f ca="1">IFERROR(+IF(BO$27=ProposalToGnatt[[#This Row],[Start Date]],Milestone_Marker,IF(AND(BO$27&gt;ProposalToGnatt[[#This Row],[Start Date]],BO$27&lt;ProposalToGnatt[[#This Row],[Start Date]]+ProposalToGnatt[[#This Row],[Days]]),$G$5,"")),"")</f>
        <v/>
      </c>
      <c r="BP66" s="36" t="str">
        <f ca="1">IFERROR(+IF(BP$27=ProposalToGnatt[[#This Row],[Start Date]],Milestone_Marker,IF(AND(BP$27&gt;ProposalToGnatt[[#This Row],[Start Date]],BP$27&lt;ProposalToGnatt[[#This Row],[Start Date]]+ProposalToGnatt[[#This Row],[Days]]),$G$5,"")),"")</f>
        <v/>
      </c>
      <c r="BQ66" s="36" t="str">
        <f ca="1">IFERROR(+IF(BQ$27=ProposalToGnatt[[#This Row],[Start Date]],Milestone_Marker,IF(AND(BQ$27&gt;ProposalToGnatt[[#This Row],[Start Date]],BQ$27&lt;ProposalToGnatt[[#This Row],[Start Date]]+ProposalToGnatt[[#This Row],[Days]]),$G$5,"")),"")</f>
        <v/>
      </c>
      <c r="BR66" s="36" t="str">
        <f ca="1">IFERROR(+IF(BR$27=ProposalToGnatt[[#This Row],[Start Date]],Milestone_Marker,IF(AND(BR$27&gt;ProposalToGnatt[[#This Row],[Start Date]],BR$27&lt;ProposalToGnatt[[#This Row],[Start Date]]+ProposalToGnatt[[#This Row],[Days]]),$G$5,"")),"")</f>
        <v/>
      </c>
      <c r="BS66" s="36" t="str">
        <f ca="1">IFERROR(+IF(BS$27=ProposalToGnatt[[#This Row],[Start Date]],Milestone_Marker,IF(AND(BS$27&gt;ProposalToGnatt[[#This Row],[Start Date]],BS$27&lt;ProposalToGnatt[[#This Row],[Start Date]]+ProposalToGnatt[[#This Row],[Days]]),$G$5,"")),"")</f>
        <v/>
      </c>
      <c r="BT66" s="36" t="str">
        <f ca="1">IFERROR(+IF(BT$27=ProposalToGnatt[[#This Row],[Start Date]],Milestone_Marker,IF(AND(BT$27&gt;ProposalToGnatt[[#This Row],[Start Date]],BT$27&lt;ProposalToGnatt[[#This Row],[Start Date]]+ProposalToGnatt[[#This Row],[Days]]),$G$5,"")),"")</f>
        <v/>
      </c>
      <c r="BU66" s="36" t="str">
        <f ca="1">IFERROR(+IF(BU$27=ProposalToGnatt[[#This Row],[Start Date]],Milestone_Marker,IF(AND(BU$27&gt;ProposalToGnatt[[#This Row],[Start Date]],BU$27&lt;ProposalToGnatt[[#This Row],[Start Date]]+ProposalToGnatt[[#This Row],[Days]]),$G$5,"")),"")</f>
        <v/>
      </c>
      <c r="BV66" s="36" t="str">
        <f ca="1">IFERROR(+IF(BV$27=ProposalToGnatt[[#This Row],[Start Date]],Milestone_Marker,IF(AND(BV$27&gt;ProposalToGnatt[[#This Row],[Start Date]],BV$27&lt;ProposalToGnatt[[#This Row],[Start Date]]+ProposalToGnatt[[#This Row],[Days]]),$G$5,"")),"")</f>
        <v/>
      </c>
      <c r="BW66" s="36" t="str">
        <f ca="1">IFERROR(+IF(BW$27=ProposalToGnatt[[#This Row],[Start Date]],Milestone_Marker,IF(AND(BW$27&gt;ProposalToGnatt[[#This Row],[Start Date]],BW$27&lt;ProposalToGnatt[[#This Row],[Start Date]]+ProposalToGnatt[[#This Row],[Days]]),$G$5,"")),"")</f>
        <v/>
      </c>
      <c r="BX66" s="36" t="str">
        <f ca="1">IFERROR(+IF(BX$27=ProposalToGnatt[[#This Row],[Start Date]],Milestone_Marker,IF(AND(BX$27&gt;ProposalToGnatt[[#This Row],[Start Date]],BX$27&lt;ProposalToGnatt[[#This Row],[Start Date]]+ProposalToGnatt[[#This Row],[Days]]),$G$5,"")),"")</f>
        <v/>
      </c>
      <c r="BY66" s="36" t="str">
        <f ca="1">IFERROR(+IF(BY$27=ProposalToGnatt[[#This Row],[Start Date]],Milestone_Marker,IF(AND(BY$27&gt;ProposalToGnatt[[#This Row],[Start Date]],BY$27&lt;ProposalToGnatt[[#This Row],[Start Date]]+ProposalToGnatt[[#This Row],[Days]]),$G$5,"")),"")</f>
        <v/>
      </c>
      <c r="BZ66" s="36" t="str">
        <f ca="1">IFERROR(+IF(BZ$27=ProposalToGnatt[[#This Row],[Start Date]],Milestone_Marker,IF(AND(BZ$27&gt;ProposalToGnatt[[#This Row],[Start Date]],BZ$27&lt;ProposalToGnatt[[#This Row],[Start Date]]+ProposalToGnatt[[#This Row],[Days]]),$G$5,"")),"")</f>
        <v/>
      </c>
      <c r="CA66" s="36" t="str">
        <f ca="1">IFERROR(+IF(CA$27=ProposalToGnatt[[#This Row],[Start Date]],Milestone_Marker,IF(AND(CA$27&gt;ProposalToGnatt[[#This Row],[Start Date]],CA$27&lt;ProposalToGnatt[[#This Row],[Start Date]]+ProposalToGnatt[[#This Row],[Days]]),$G$5,"")),"")</f>
        <v/>
      </c>
      <c r="CB66" s="36" t="str">
        <f ca="1">IFERROR(+IF(CB$27=ProposalToGnatt[[#This Row],[Start Date]],Milestone_Marker,IF(AND(CB$27&gt;ProposalToGnatt[[#This Row],[Start Date]],CB$27&lt;ProposalToGnatt[[#This Row],[Start Date]]+ProposalToGnatt[[#This Row],[Days]]),$G$5,"")),"")</f>
        <v/>
      </c>
      <c r="CC66" s="36" t="str">
        <f ca="1">IFERROR(+IF(CC$27=ProposalToGnatt[[#This Row],[Start Date]],Milestone_Marker,IF(AND(CC$27&gt;ProposalToGnatt[[#This Row],[Start Date]],CC$27&lt;ProposalToGnatt[[#This Row],[Start Date]]+ProposalToGnatt[[#This Row],[Days]]),$G$5,"")),"")</f>
        <v/>
      </c>
      <c r="CD66" s="36" t="str">
        <f ca="1">IFERROR(+IF(CD$27=ProposalToGnatt[[#This Row],[Start Date]],Milestone_Marker,IF(AND(CD$27&gt;ProposalToGnatt[[#This Row],[Start Date]],CD$27&lt;ProposalToGnatt[[#This Row],[Start Date]]+ProposalToGnatt[[#This Row],[Days]]),$G$5,"")),"")</f>
        <v/>
      </c>
      <c r="CE66" s="36" t="str">
        <f ca="1">IFERROR(+IF(CE$27=ProposalToGnatt[[#This Row],[Start Date]],Milestone_Marker,IF(AND(CE$27&gt;ProposalToGnatt[[#This Row],[Start Date]],CE$27&lt;ProposalToGnatt[[#This Row],[Start Date]]+ProposalToGnatt[[#This Row],[Days]]),$G$5,"")),"")</f>
        <v/>
      </c>
      <c r="CF66" s="36" t="str">
        <f ca="1">IFERROR(+IF(CF$27=ProposalToGnatt[[#This Row],[Start Date]],Milestone_Marker,IF(AND(CF$27&gt;ProposalToGnatt[[#This Row],[Start Date]],CF$27&lt;ProposalToGnatt[[#This Row],[Start Date]]+ProposalToGnatt[[#This Row],[Days]]),$G$5,"")),"")</f>
        <v/>
      </c>
      <c r="CG66" s="36" t="str">
        <f ca="1">IFERROR(+IF(CG$27=ProposalToGnatt[[#This Row],[Start Date]],Milestone_Marker,IF(AND(CG$27&gt;ProposalToGnatt[[#This Row],[Start Date]],CG$27&lt;ProposalToGnatt[[#This Row],[Start Date]]+ProposalToGnatt[[#This Row],[Days]]),$G$5,"")),"")</f>
        <v/>
      </c>
      <c r="CH66" s="36" t="str">
        <f ca="1">IFERROR(+IF(CH$27=ProposalToGnatt[[#This Row],[Start Date]],Milestone_Marker,IF(AND(CH$27&gt;ProposalToGnatt[[#This Row],[Start Date]],CH$27&lt;ProposalToGnatt[[#This Row],[Start Date]]+ProposalToGnatt[[#This Row],[Days]]),$G$5,"")),"")</f>
        <v/>
      </c>
      <c r="CI66" s="36" t="str">
        <f ca="1">IFERROR(+IF(CI$27=ProposalToGnatt[[#This Row],[Start Date]],Milestone_Marker,IF(AND(CI$27&gt;ProposalToGnatt[[#This Row],[Start Date]],CI$27&lt;ProposalToGnatt[[#This Row],[Start Date]]+ProposalToGnatt[[#This Row],[Days]]),$G$5,"")),"")</f>
        <v/>
      </c>
      <c r="CJ66" s="36" t="str">
        <f ca="1">IFERROR(+IF(CJ$27=ProposalToGnatt[[#This Row],[Start Date]],Milestone_Marker,IF(AND(CJ$27&gt;ProposalToGnatt[[#This Row],[Start Date]],CJ$27&lt;ProposalToGnatt[[#This Row],[Start Date]]+ProposalToGnatt[[#This Row],[Days]]),$G$5,"")),"")</f>
        <v/>
      </c>
      <c r="CK66" s="36" t="str">
        <f ca="1">IFERROR(+IF(CK$27=ProposalToGnatt[[#This Row],[Start Date]],Milestone_Marker,IF(AND(CK$27&gt;ProposalToGnatt[[#This Row],[Start Date]],CK$27&lt;ProposalToGnatt[[#This Row],[Start Date]]+ProposalToGnatt[[#This Row],[Days]]),$G$5,"")),"")</f>
        <v/>
      </c>
      <c r="CL66" s="36" t="str">
        <f ca="1">IFERROR(+IF(CL$27=ProposalToGnatt[[#This Row],[Start Date]],Milestone_Marker,IF(AND(CL$27&gt;ProposalToGnatt[[#This Row],[Start Date]],CL$27&lt;ProposalToGnatt[[#This Row],[Start Date]]+ProposalToGnatt[[#This Row],[Days]]),$G$5,"")),"")</f>
        <v/>
      </c>
      <c r="CM66" s="36" t="str">
        <f ca="1">IFERROR(+IF(CM$27=ProposalToGnatt[[#This Row],[Start Date]],Milestone_Marker,IF(AND(CM$27&gt;ProposalToGnatt[[#This Row],[Start Date]],CM$27&lt;ProposalToGnatt[[#This Row],[Start Date]]+ProposalToGnatt[[#This Row],[Days]]),$G$5,"")),"")</f>
        <v/>
      </c>
      <c r="CN66" s="36" t="str">
        <f ca="1">IFERROR(+IF(CN$27=ProposalToGnatt[[#This Row],[Start Date]],Milestone_Marker,IF(AND(CN$27&gt;ProposalToGnatt[[#This Row],[Start Date]],CN$27&lt;ProposalToGnatt[[#This Row],[Start Date]]+ProposalToGnatt[[#This Row],[Days]]),$G$5,"")),"")</f>
        <v/>
      </c>
      <c r="CO66" s="36" t="str">
        <f ca="1">IFERROR(+IF(CO$27=ProposalToGnatt[[#This Row],[Start Date]],Milestone_Marker,IF(AND(CO$27&gt;ProposalToGnatt[[#This Row],[Start Date]],CO$27&lt;ProposalToGnatt[[#This Row],[Start Date]]+ProposalToGnatt[[#This Row],[Days]]),$G$5,"")),"")</f>
        <v/>
      </c>
      <c r="CP66" s="36" t="str">
        <f ca="1">IFERROR(+IF(CP$27=ProposalToGnatt[[#This Row],[Start Date]],Milestone_Marker,IF(AND(CP$27&gt;ProposalToGnatt[[#This Row],[Start Date]],CP$27&lt;ProposalToGnatt[[#This Row],[Start Date]]+ProposalToGnatt[[#This Row],[Days]]),$G$5,"")),"")</f>
        <v/>
      </c>
      <c r="CQ66" s="36" t="str">
        <f ca="1">IFERROR(+IF(CQ$27=ProposalToGnatt[[#This Row],[Start Date]],Milestone_Marker,IF(AND(CQ$27&gt;ProposalToGnatt[[#This Row],[Start Date]],CQ$27&lt;ProposalToGnatt[[#This Row],[Start Date]]+ProposalToGnatt[[#This Row],[Days]]),$G$5,"")),"")</f>
        <v/>
      </c>
      <c r="CR66" s="36" t="str">
        <f ca="1">IFERROR(+IF(CR$27=ProposalToGnatt[[#This Row],[Start Date]],Milestone_Marker,IF(AND(CR$27&gt;ProposalToGnatt[[#This Row],[Start Date]],CR$27&lt;ProposalToGnatt[[#This Row],[Start Date]]+ProposalToGnatt[[#This Row],[Days]]),$G$5,"")),"")</f>
        <v/>
      </c>
      <c r="CS66" s="36" t="str">
        <f ca="1">IFERROR(+IF(CS$27=ProposalToGnatt[[#This Row],[Start Date]],Milestone_Marker,IF(AND(CS$27&gt;ProposalToGnatt[[#This Row],[Start Date]],CS$27&lt;ProposalToGnatt[[#This Row],[Start Date]]+ProposalToGnatt[[#This Row],[Days]]),$G$5,"")),"")</f>
        <v/>
      </c>
      <c r="CT66" s="36" t="str">
        <f ca="1">IFERROR(+IF(CT$27=ProposalToGnatt[[#This Row],[Start Date]],Milestone_Marker,IF(AND(CT$27&gt;ProposalToGnatt[[#This Row],[Start Date]],CT$27&lt;ProposalToGnatt[[#This Row],[Start Date]]+ProposalToGnatt[[#This Row],[Days]]),$G$5,"")),"")</f>
        <v/>
      </c>
      <c r="CU66" s="36" t="str">
        <f ca="1">IFERROR(+IF(CU$27=ProposalToGnatt[[#This Row],[Start Date]],Milestone_Marker,IF(AND(CU$27&gt;ProposalToGnatt[[#This Row],[Start Date]],CU$27&lt;ProposalToGnatt[[#This Row],[Start Date]]+ProposalToGnatt[[#This Row],[Days]]),$G$5,"")),"")</f>
        <v/>
      </c>
      <c r="CV66" s="36"/>
      <c r="CW66" s="36"/>
      <c r="CX66" s="36"/>
      <c r="CY66" s="36"/>
      <c r="CZ66" s="36"/>
      <c r="DA66" s="36"/>
      <c r="DB66" s="36"/>
      <c r="DC66" s="36"/>
      <c r="DD66" s="36"/>
      <c r="DE66" s="36"/>
      <c r="DF66" s="36"/>
      <c r="DG66" s="36"/>
      <c r="DH66" s="36"/>
      <c r="DI66" s="36"/>
      <c r="DJ66" s="36"/>
      <c r="DK66" s="36"/>
      <c r="DL66" s="36"/>
      <c r="DM66" s="36"/>
      <c r="DN66" s="36"/>
      <c r="DO66" s="36"/>
      <c r="DP66" s="36"/>
      <c r="DQ66" s="36"/>
      <c r="DR66" s="36"/>
      <c r="DS66" s="36"/>
      <c r="DT66" s="36"/>
      <c r="DU66" s="36"/>
    </row>
    <row r="67" spans="1:125" s="41" customFormat="1" ht="15" x14ac:dyDescent="0.25">
      <c r="A67" t="s">
        <v>267</v>
      </c>
      <c r="B67">
        <v>49</v>
      </c>
      <c r="C67"/>
      <c r="D67" t="s">
        <v>956</v>
      </c>
      <c r="E67" s="568" t="s">
        <v>967</v>
      </c>
      <c r="F67">
        <v>1</v>
      </c>
      <c r="G67" s="14">
        <v>40</v>
      </c>
      <c r="H67" s="14">
        <v>40</v>
      </c>
      <c r="I67" t="s">
        <v>3</v>
      </c>
      <c r="J67">
        <v>1</v>
      </c>
      <c r="K67" s="249"/>
      <c r="L67"/>
      <c r="M67" s="14"/>
      <c r="N67" s="300">
        <v>40</v>
      </c>
      <c r="O67" s="554"/>
      <c r="P67" s="36" t="str">
        <f ca="1">IFERROR(+IF(P$27=ProposalToGnatt[[#This Row],[Start Date]],Milestone_Marker,IF(AND(P$27&gt;ProposalToGnatt[[#This Row],[Start Date]],P$27&lt;ProposalToGnatt[[#This Row],[Start Date]]+ProposalToGnatt[[#This Row],[Days]]),$G$5,"")),"")</f>
        <v/>
      </c>
      <c r="Q67" s="36" t="str">
        <f ca="1">IFERROR(+IF(Q$27=ProposalToGnatt[[#This Row],[Start Date]],Milestone_Marker,IF(AND(Q$27&gt;ProposalToGnatt[[#This Row],[Start Date]],Q$27&lt;ProposalToGnatt[[#This Row],[Start Date]]+ProposalToGnatt[[#This Row],[Days]]),$G$5,"")),"")</f>
        <v/>
      </c>
      <c r="R67" s="36" t="str">
        <f ca="1">IFERROR(+IF(R$27=ProposalToGnatt[[#This Row],[Start Date]],Milestone_Marker,IF(AND(R$27&gt;ProposalToGnatt[[#This Row],[Start Date]],R$27&lt;ProposalToGnatt[[#This Row],[Start Date]]+ProposalToGnatt[[#This Row],[Days]]),$G$5,"")),"")</f>
        <v/>
      </c>
      <c r="S67" s="36" t="str">
        <f ca="1">IFERROR(+IF(S$27=ProposalToGnatt[[#This Row],[Start Date]],Milestone_Marker,IF(AND(S$27&gt;ProposalToGnatt[[#This Row],[Start Date]],S$27&lt;ProposalToGnatt[[#This Row],[Start Date]]+ProposalToGnatt[[#This Row],[Days]]),$G$5,"")),"")</f>
        <v/>
      </c>
      <c r="T67" s="36" t="str">
        <f ca="1">IFERROR(+IF(T$27=ProposalToGnatt[[#This Row],[Start Date]],Milestone_Marker,IF(AND(T$27&gt;ProposalToGnatt[[#This Row],[Start Date]],T$27&lt;ProposalToGnatt[[#This Row],[Start Date]]+ProposalToGnatt[[#This Row],[Days]]),$G$5,"")),"")</f>
        <v/>
      </c>
      <c r="U67" s="36" t="str">
        <f ca="1">IFERROR(+IF(U$27=ProposalToGnatt[[#This Row],[Start Date]],Milestone_Marker,IF(AND(U$27&gt;ProposalToGnatt[[#This Row],[Start Date]],U$27&lt;ProposalToGnatt[[#This Row],[Start Date]]+ProposalToGnatt[[#This Row],[Days]]),$G$5,"")),"")</f>
        <v/>
      </c>
      <c r="V67" s="36" t="str">
        <f ca="1">IFERROR(+IF(V$27=ProposalToGnatt[[#This Row],[Start Date]],Milestone_Marker,IF(AND(V$27&gt;ProposalToGnatt[[#This Row],[Start Date]],V$27&lt;ProposalToGnatt[[#This Row],[Start Date]]+ProposalToGnatt[[#This Row],[Days]]),$G$5,"")),"")</f>
        <v/>
      </c>
      <c r="W67" s="36" t="str">
        <f ca="1">IFERROR(+IF(W$27=ProposalToGnatt[[#This Row],[Start Date]],Milestone_Marker,IF(AND(W$27&gt;ProposalToGnatt[[#This Row],[Start Date]],W$27&lt;ProposalToGnatt[[#This Row],[Start Date]]+ProposalToGnatt[[#This Row],[Days]]),$G$5,"")),"")</f>
        <v/>
      </c>
      <c r="X67" s="36" t="str">
        <f ca="1">IFERROR(+IF(X$27=ProposalToGnatt[[#This Row],[Start Date]],Milestone_Marker,IF(AND(X$27&gt;ProposalToGnatt[[#This Row],[Start Date]],X$27&lt;ProposalToGnatt[[#This Row],[Start Date]]+ProposalToGnatt[[#This Row],[Days]]),$G$5,"")),"")</f>
        <v/>
      </c>
      <c r="Y67" s="36" t="str">
        <f ca="1">IFERROR(+IF(Y$27=ProposalToGnatt[[#This Row],[Start Date]],Milestone_Marker,IF(AND(Y$27&gt;ProposalToGnatt[[#This Row],[Start Date]],Y$27&lt;ProposalToGnatt[[#This Row],[Start Date]]+ProposalToGnatt[[#This Row],[Days]]),$G$5,"")),"")</f>
        <v/>
      </c>
      <c r="Z67" s="36" t="str">
        <f ca="1">IFERROR(+IF(Z$27=ProposalToGnatt[[#This Row],[Start Date]],Milestone_Marker,IF(AND(Z$27&gt;ProposalToGnatt[[#This Row],[Start Date]],Z$27&lt;ProposalToGnatt[[#This Row],[Start Date]]+ProposalToGnatt[[#This Row],[Days]]),$G$5,"")),"")</f>
        <v/>
      </c>
      <c r="AA67" s="36" t="str">
        <f ca="1">IFERROR(+IF(AA$27=ProposalToGnatt[[#This Row],[Start Date]],Milestone_Marker,IF(AND(AA$27&gt;ProposalToGnatt[[#This Row],[Start Date]],AA$27&lt;ProposalToGnatt[[#This Row],[Start Date]]+ProposalToGnatt[[#This Row],[Days]]),$G$5,"")),"")</f>
        <v/>
      </c>
      <c r="AB67" s="36" t="str">
        <f ca="1">IFERROR(+IF(AB$27=ProposalToGnatt[[#This Row],[Start Date]],Milestone_Marker,IF(AND(AB$27&gt;ProposalToGnatt[[#This Row],[Start Date]],AB$27&lt;ProposalToGnatt[[#This Row],[Start Date]]+ProposalToGnatt[[#This Row],[Days]]),$G$5,"")),"")</f>
        <v/>
      </c>
      <c r="AC67" s="36" t="str">
        <f ca="1">IFERROR(+IF(AC$27=ProposalToGnatt[[#This Row],[Start Date]],Milestone_Marker,IF(AND(AC$27&gt;ProposalToGnatt[[#This Row],[Start Date]],AC$27&lt;ProposalToGnatt[[#This Row],[Start Date]]+ProposalToGnatt[[#This Row],[Days]]),$G$5,"")),"")</f>
        <v/>
      </c>
      <c r="AD67" s="36" t="str">
        <f ca="1">IFERROR(+IF(AD$27=ProposalToGnatt[[#This Row],[Start Date]],Milestone_Marker,IF(AND(AD$27&gt;ProposalToGnatt[[#This Row],[Start Date]],AD$27&lt;ProposalToGnatt[[#This Row],[Start Date]]+ProposalToGnatt[[#This Row],[Days]]),$G$5,"")),"")</f>
        <v/>
      </c>
      <c r="AE67" s="36" t="str">
        <f ca="1">IFERROR(+IF(AE$27=ProposalToGnatt[[#This Row],[Start Date]],Milestone_Marker,IF(AND(AE$27&gt;ProposalToGnatt[[#This Row],[Start Date]],AE$27&lt;ProposalToGnatt[[#This Row],[Start Date]]+ProposalToGnatt[[#This Row],[Days]]),$G$5,"")),"")</f>
        <v/>
      </c>
      <c r="AF67" s="36" t="str">
        <f ca="1">IFERROR(+IF(AF$27=ProposalToGnatt[[#This Row],[Start Date]],Milestone_Marker,IF(AND(AF$27&gt;ProposalToGnatt[[#This Row],[Start Date]],AF$27&lt;ProposalToGnatt[[#This Row],[Start Date]]+ProposalToGnatt[[#This Row],[Days]]),$G$5,"")),"")</f>
        <v/>
      </c>
      <c r="AG67" s="36" t="str">
        <f ca="1">IFERROR(+IF(AG$27=ProposalToGnatt[[#This Row],[Start Date]],Milestone_Marker,IF(AND(AG$27&gt;ProposalToGnatt[[#This Row],[Start Date]],AG$27&lt;ProposalToGnatt[[#This Row],[Start Date]]+ProposalToGnatt[[#This Row],[Days]]),$G$5,"")),"")</f>
        <v/>
      </c>
      <c r="AH67" s="36" t="str">
        <f ca="1">IFERROR(+IF(AH$27=ProposalToGnatt[[#This Row],[Start Date]],Milestone_Marker,IF(AND(AH$27&gt;ProposalToGnatt[[#This Row],[Start Date]],AH$27&lt;ProposalToGnatt[[#This Row],[Start Date]]+ProposalToGnatt[[#This Row],[Days]]),$G$5,"")),"")</f>
        <v/>
      </c>
      <c r="AI67" s="36" t="str">
        <f ca="1">IFERROR(+IF(AI$27=ProposalToGnatt[[#This Row],[Start Date]],Milestone_Marker,IF(AND(AI$27&gt;ProposalToGnatt[[#This Row],[Start Date]],AI$27&lt;ProposalToGnatt[[#This Row],[Start Date]]+ProposalToGnatt[[#This Row],[Days]]),$G$5,"")),"")</f>
        <v/>
      </c>
      <c r="AJ67" s="36" t="str">
        <f ca="1">IFERROR(+IF(AJ$27=ProposalToGnatt[[#This Row],[Start Date]],Milestone_Marker,IF(AND(AJ$27&gt;ProposalToGnatt[[#This Row],[Start Date]],AJ$27&lt;ProposalToGnatt[[#This Row],[Start Date]]+ProposalToGnatt[[#This Row],[Days]]),$G$5,"")),"")</f>
        <v/>
      </c>
      <c r="AK67" s="36" t="str">
        <f ca="1">IFERROR(+IF(AK$27=ProposalToGnatt[[#This Row],[Start Date]],Milestone_Marker,IF(AND(AK$27&gt;ProposalToGnatt[[#This Row],[Start Date]],AK$27&lt;ProposalToGnatt[[#This Row],[Start Date]]+ProposalToGnatt[[#This Row],[Days]]),$G$5,"")),"")</f>
        <v/>
      </c>
      <c r="AL67" s="36" t="str">
        <f ca="1">IFERROR(+IF(AL$27=ProposalToGnatt[[#This Row],[Start Date]],Milestone_Marker,IF(AND(AL$27&gt;ProposalToGnatt[[#This Row],[Start Date]],AL$27&lt;ProposalToGnatt[[#This Row],[Start Date]]+ProposalToGnatt[[#This Row],[Days]]),$G$5,"")),"")</f>
        <v/>
      </c>
      <c r="AM67" s="36" t="str">
        <f ca="1">IFERROR(+IF(AM$27=ProposalToGnatt[[#This Row],[Start Date]],Milestone_Marker,IF(AND(AM$27&gt;ProposalToGnatt[[#This Row],[Start Date]],AM$27&lt;ProposalToGnatt[[#This Row],[Start Date]]+ProposalToGnatt[[#This Row],[Days]]),$G$5,"")),"")</f>
        <v/>
      </c>
      <c r="AN67" s="36" t="str">
        <f ca="1">IFERROR(+IF(AN$27=ProposalToGnatt[[#This Row],[Start Date]],Milestone_Marker,IF(AND(AN$27&gt;ProposalToGnatt[[#This Row],[Start Date]],AN$27&lt;ProposalToGnatt[[#This Row],[Start Date]]+ProposalToGnatt[[#This Row],[Days]]),$G$5,"")),"")</f>
        <v/>
      </c>
      <c r="AO67" s="36" t="str">
        <f ca="1">IFERROR(+IF(AO$27=ProposalToGnatt[[#This Row],[Start Date]],Milestone_Marker,IF(AND(AO$27&gt;ProposalToGnatt[[#This Row],[Start Date]],AO$27&lt;ProposalToGnatt[[#This Row],[Start Date]]+ProposalToGnatt[[#This Row],[Days]]),$G$5,"")),"")</f>
        <v/>
      </c>
      <c r="AP67" s="36" t="str">
        <f ca="1">IFERROR(+IF(AP$27=ProposalToGnatt[[#This Row],[Start Date]],Milestone_Marker,IF(AND(AP$27&gt;ProposalToGnatt[[#This Row],[Start Date]],AP$27&lt;ProposalToGnatt[[#This Row],[Start Date]]+ProposalToGnatt[[#This Row],[Days]]),$G$5,"")),"")</f>
        <v/>
      </c>
      <c r="AQ67" s="36" t="str">
        <f ca="1">IFERROR(+IF(AQ$27=ProposalToGnatt[[#This Row],[Start Date]],Milestone_Marker,IF(AND(AQ$27&gt;ProposalToGnatt[[#This Row],[Start Date]],AQ$27&lt;ProposalToGnatt[[#This Row],[Start Date]]+ProposalToGnatt[[#This Row],[Days]]),$G$5,"")),"")</f>
        <v/>
      </c>
      <c r="AR67" s="36" t="str">
        <f ca="1">IFERROR(+IF(AR$27=ProposalToGnatt[[#This Row],[Start Date]],Milestone_Marker,IF(AND(AR$27&gt;ProposalToGnatt[[#This Row],[Start Date]],AR$27&lt;ProposalToGnatt[[#This Row],[Start Date]]+ProposalToGnatt[[#This Row],[Days]]),$G$5,"")),"")</f>
        <v/>
      </c>
      <c r="AS67" s="36" t="str">
        <f ca="1">IFERROR(+IF(AS$27=ProposalToGnatt[[#This Row],[Start Date]],Milestone_Marker,IF(AND(AS$27&gt;ProposalToGnatt[[#This Row],[Start Date]],AS$27&lt;ProposalToGnatt[[#This Row],[Start Date]]+ProposalToGnatt[[#This Row],[Days]]),$G$5,"")),"")</f>
        <v/>
      </c>
      <c r="AT67" s="36" t="str">
        <f ca="1">IFERROR(+IF(AT$27=ProposalToGnatt[[#This Row],[Start Date]],Milestone_Marker,IF(AND(AT$27&gt;ProposalToGnatt[[#This Row],[Start Date]],AT$27&lt;ProposalToGnatt[[#This Row],[Start Date]]+ProposalToGnatt[[#This Row],[Days]]),$G$5,"")),"")</f>
        <v/>
      </c>
      <c r="AU67" s="36" t="str">
        <f ca="1">IFERROR(+IF(AU$27=ProposalToGnatt[[#This Row],[Start Date]],Milestone_Marker,IF(AND(AU$27&gt;ProposalToGnatt[[#This Row],[Start Date]],AU$27&lt;ProposalToGnatt[[#This Row],[Start Date]]+ProposalToGnatt[[#This Row],[Days]]),$G$5,"")),"")</f>
        <v/>
      </c>
      <c r="AV67" s="36" t="str">
        <f ca="1">IFERROR(+IF(AV$27=ProposalToGnatt[[#This Row],[Start Date]],Milestone_Marker,IF(AND(AV$27&gt;ProposalToGnatt[[#This Row],[Start Date]],AV$27&lt;ProposalToGnatt[[#This Row],[Start Date]]+ProposalToGnatt[[#This Row],[Days]]),$G$5,"")),"")</f>
        <v/>
      </c>
      <c r="AW67" s="36" t="str">
        <f ca="1">IFERROR(+IF(AW$27=ProposalToGnatt[[#This Row],[Start Date]],Milestone_Marker,IF(AND(AW$27&gt;ProposalToGnatt[[#This Row],[Start Date]],AW$27&lt;ProposalToGnatt[[#This Row],[Start Date]]+ProposalToGnatt[[#This Row],[Days]]),$G$5,"")),"")</f>
        <v/>
      </c>
      <c r="AX67" s="36" t="str">
        <f ca="1">IFERROR(+IF(AX$27=ProposalToGnatt[[#This Row],[Start Date]],Milestone_Marker,IF(AND(AX$27&gt;ProposalToGnatt[[#This Row],[Start Date]],AX$27&lt;ProposalToGnatt[[#This Row],[Start Date]]+ProposalToGnatt[[#This Row],[Days]]),$G$5,"")),"")</f>
        <v/>
      </c>
      <c r="AY67" s="36" t="str">
        <f ca="1">IFERROR(+IF(AY$27=ProposalToGnatt[[#This Row],[Start Date]],Milestone_Marker,IF(AND(AY$27&gt;ProposalToGnatt[[#This Row],[Start Date]],AY$27&lt;ProposalToGnatt[[#This Row],[Start Date]]+ProposalToGnatt[[#This Row],[Days]]),$G$5,"")),"")</f>
        <v/>
      </c>
      <c r="AZ67" s="36" t="str">
        <f ca="1">IFERROR(+IF(AZ$27=ProposalToGnatt[[#This Row],[Start Date]],Milestone_Marker,IF(AND(AZ$27&gt;ProposalToGnatt[[#This Row],[Start Date]],AZ$27&lt;ProposalToGnatt[[#This Row],[Start Date]]+ProposalToGnatt[[#This Row],[Days]]),$G$5,"")),"")</f>
        <v/>
      </c>
      <c r="BA67" s="36" t="str">
        <f ca="1">IFERROR(+IF(BA$27=ProposalToGnatt[[#This Row],[Start Date]],Milestone_Marker,IF(AND(BA$27&gt;ProposalToGnatt[[#This Row],[Start Date]],BA$27&lt;ProposalToGnatt[[#This Row],[Start Date]]+ProposalToGnatt[[#This Row],[Days]]),$G$5,"")),"")</f>
        <v/>
      </c>
      <c r="BB67" s="36" t="str">
        <f ca="1">IFERROR(+IF(BB$27=ProposalToGnatt[[#This Row],[Start Date]],Milestone_Marker,IF(AND(BB$27&gt;ProposalToGnatt[[#This Row],[Start Date]],BB$27&lt;ProposalToGnatt[[#This Row],[Start Date]]+ProposalToGnatt[[#This Row],[Days]]),$G$5,"")),"")</f>
        <v/>
      </c>
      <c r="BC67" s="36" t="str">
        <f ca="1">IFERROR(+IF(BC$27=ProposalToGnatt[[#This Row],[Start Date]],Milestone_Marker,IF(AND(BC$27&gt;ProposalToGnatt[[#This Row],[Start Date]],BC$27&lt;ProposalToGnatt[[#This Row],[Start Date]]+ProposalToGnatt[[#This Row],[Days]]),$G$5,"")),"")</f>
        <v/>
      </c>
      <c r="BD67" s="36" t="str">
        <f ca="1">IFERROR(+IF(BD$27=ProposalToGnatt[[#This Row],[Start Date]],Milestone_Marker,IF(AND(BD$27&gt;ProposalToGnatt[[#This Row],[Start Date]],BD$27&lt;ProposalToGnatt[[#This Row],[Start Date]]+ProposalToGnatt[[#This Row],[Days]]),$G$5,"")),"")</f>
        <v/>
      </c>
      <c r="BE67" s="36" t="str">
        <f ca="1">IFERROR(+IF(BE$27=ProposalToGnatt[[#This Row],[Start Date]],Milestone_Marker,IF(AND(BE$27&gt;ProposalToGnatt[[#This Row],[Start Date]],BE$27&lt;ProposalToGnatt[[#This Row],[Start Date]]+ProposalToGnatt[[#This Row],[Days]]),$G$5,"")),"")</f>
        <v/>
      </c>
      <c r="BF67" s="36" t="str">
        <f ca="1">IFERROR(+IF(BF$27=ProposalToGnatt[[#This Row],[Start Date]],Milestone_Marker,IF(AND(BF$27&gt;ProposalToGnatt[[#This Row],[Start Date]],BF$27&lt;ProposalToGnatt[[#This Row],[Start Date]]+ProposalToGnatt[[#This Row],[Days]]),$G$5,"")),"")</f>
        <v/>
      </c>
      <c r="BG67" s="36" t="str">
        <f ca="1">IFERROR(+IF(BG$27=ProposalToGnatt[[#This Row],[Start Date]],Milestone_Marker,IF(AND(BG$27&gt;ProposalToGnatt[[#This Row],[Start Date]],BG$27&lt;ProposalToGnatt[[#This Row],[Start Date]]+ProposalToGnatt[[#This Row],[Days]]),$G$5,"")),"")</f>
        <v/>
      </c>
      <c r="BH67" s="36" t="str">
        <f ca="1">IFERROR(+IF(BH$27=ProposalToGnatt[[#This Row],[Start Date]],Milestone_Marker,IF(AND(BH$27&gt;ProposalToGnatt[[#This Row],[Start Date]],BH$27&lt;ProposalToGnatt[[#This Row],[Start Date]]+ProposalToGnatt[[#This Row],[Days]]),$G$5,"")),"")</f>
        <v/>
      </c>
      <c r="BI67" s="36" t="str">
        <f ca="1">IFERROR(+IF(BI$27=ProposalToGnatt[[#This Row],[Start Date]],Milestone_Marker,IF(AND(BI$27&gt;ProposalToGnatt[[#This Row],[Start Date]],BI$27&lt;ProposalToGnatt[[#This Row],[Start Date]]+ProposalToGnatt[[#This Row],[Days]]),$G$5,"")),"")</f>
        <v/>
      </c>
      <c r="BJ67" s="36" t="str">
        <f ca="1">IFERROR(+IF(BJ$27=ProposalToGnatt[[#This Row],[Start Date]],Milestone_Marker,IF(AND(BJ$27&gt;ProposalToGnatt[[#This Row],[Start Date]],BJ$27&lt;ProposalToGnatt[[#This Row],[Start Date]]+ProposalToGnatt[[#This Row],[Days]]),$G$5,"")),"")</f>
        <v/>
      </c>
      <c r="BK67" s="36" t="str">
        <f ca="1">IFERROR(+IF(BK$27=ProposalToGnatt[[#This Row],[Start Date]],Milestone_Marker,IF(AND(BK$27&gt;ProposalToGnatt[[#This Row],[Start Date]],BK$27&lt;ProposalToGnatt[[#This Row],[Start Date]]+ProposalToGnatt[[#This Row],[Days]]),$G$5,"")),"")</f>
        <v/>
      </c>
      <c r="BL67" s="36" t="str">
        <f ca="1">IFERROR(+IF(BL$27=ProposalToGnatt[[#This Row],[Start Date]],Milestone_Marker,IF(AND(BL$27&gt;ProposalToGnatt[[#This Row],[Start Date]],BL$27&lt;ProposalToGnatt[[#This Row],[Start Date]]+ProposalToGnatt[[#This Row],[Days]]),$G$5,"")),"")</f>
        <v/>
      </c>
      <c r="BM67" s="36" t="str">
        <f ca="1">IFERROR(+IF(BM$27=ProposalToGnatt[[#This Row],[Start Date]],Milestone_Marker,IF(AND(BM$27&gt;ProposalToGnatt[[#This Row],[Start Date]],BM$27&lt;ProposalToGnatt[[#This Row],[Start Date]]+ProposalToGnatt[[#This Row],[Days]]),$G$5,"")),"")</f>
        <v/>
      </c>
      <c r="BN67" s="36" t="str">
        <f ca="1">IFERROR(+IF(BN$27=ProposalToGnatt[[#This Row],[Start Date]],Milestone_Marker,IF(AND(BN$27&gt;ProposalToGnatt[[#This Row],[Start Date]],BN$27&lt;ProposalToGnatt[[#This Row],[Start Date]]+ProposalToGnatt[[#This Row],[Days]]),$G$5,"")),"")</f>
        <v/>
      </c>
      <c r="BO67" s="36" t="str">
        <f ca="1">IFERROR(+IF(BO$27=ProposalToGnatt[[#This Row],[Start Date]],Milestone_Marker,IF(AND(BO$27&gt;ProposalToGnatt[[#This Row],[Start Date]],BO$27&lt;ProposalToGnatt[[#This Row],[Start Date]]+ProposalToGnatt[[#This Row],[Days]]),$G$5,"")),"")</f>
        <v/>
      </c>
      <c r="BP67" s="36" t="str">
        <f ca="1">IFERROR(+IF(BP$27=ProposalToGnatt[[#This Row],[Start Date]],Milestone_Marker,IF(AND(BP$27&gt;ProposalToGnatt[[#This Row],[Start Date]],BP$27&lt;ProposalToGnatt[[#This Row],[Start Date]]+ProposalToGnatt[[#This Row],[Days]]),$G$5,"")),"")</f>
        <v/>
      </c>
      <c r="BQ67" s="36" t="str">
        <f ca="1">IFERROR(+IF(BQ$27=ProposalToGnatt[[#This Row],[Start Date]],Milestone_Marker,IF(AND(BQ$27&gt;ProposalToGnatt[[#This Row],[Start Date]],BQ$27&lt;ProposalToGnatt[[#This Row],[Start Date]]+ProposalToGnatt[[#This Row],[Days]]),$G$5,"")),"")</f>
        <v/>
      </c>
      <c r="BR67" s="36" t="str">
        <f ca="1">IFERROR(+IF(BR$27=ProposalToGnatt[[#This Row],[Start Date]],Milestone_Marker,IF(AND(BR$27&gt;ProposalToGnatt[[#This Row],[Start Date]],BR$27&lt;ProposalToGnatt[[#This Row],[Start Date]]+ProposalToGnatt[[#This Row],[Days]]),$G$5,"")),"")</f>
        <v/>
      </c>
      <c r="BS67" s="36" t="str">
        <f ca="1">IFERROR(+IF(BS$27=ProposalToGnatt[[#This Row],[Start Date]],Milestone_Marker,IF(AND(BS$27&gt;ProposalToGnatt[[#This Row],[Start Date]],BS$27&lt;ProposalToGnatt[[#This Row],[Start Date]]+ProposalToGnatt[[#This Row],[Days]]),$G$5,"")),"")</f>
        <v/>
      </c>
      <c r="BT67" s="36" t="str">
        <f ca="1">IFERROR(+IF(BT$27=ProposalToGnatt[[#This Row],[Start Date]],Milestone_Marker,IF(AND(BT$27&gt;ProposalToGnatt[[#This Row],[Start Date]],BT$27&lt;ProposalToGnatt[[#This Row],[Start Date]]+ProposalToGnatt[[#This Row],[Days]]),$G$5,"")),"")</f>
        <v/>
      </c>
      <c r="BU67" s="36" t="str">
        <f ca="1">IFERROR(+IF(BU$27=ProposalToGnatt[[#This Row],[Start Date]],Milestone_Marker,IF(AND(BU$27&gt;ProposalToGnatt[[#This Row],[Start Date]],BU$27&lt;ProposalToGnatt[[#This Row],[Start Date]]+ProposalToGnatt[[#This Row],[Days]]),$G$5,"")),"")</f>
        <v/>
      </c>
      <c r="BV67" s="36" t="str">
        <f ca="1">IFERROR(+IF(BV$27=ProposalToGnatt[[#This Row],[Start Date]],Milestone_Marker,IF(AND(BV$27&gt;ProposalToGnatt[[#This Row],[Start Date]],BV$27&lt;ProposalToGnatt[[#This Row],[Start Date]]+ProposalToGnatt[[#This Row],[Days]]),$G$5,"")),"")</f>
        <v/>
      </c>
      <c r="BW67" s="36" t="str">
        <f ca="1">IFERROR(+IF(BW$27=ProposalToGnatt[[#This Row],[Start Date]],Milestone_Marker,IF(AND(BW$27&gt;ProposalToGnatt[[#This Row],[Start Date]],BW$27&lt;ProposalToGnatt[[#This Row],[Start Date]]+ProposalToGnatt[[#This Row],[Days]]),$G$5,"")),"")</f>
        <v/>
      </c>
      <c r="BX67" s="36" t="str">
        <f ca="1">IFERROR(+IF(BX$27=ProposalToGnatt[[#This Row],[Start Date]],Milestone_Marker,IF(AND(BX$27&gt;ProposalToGnatt[[#This Row],[Start Date]],BX$27&lt;ProposalToGnatt[[#This Row],[Start Date]]+ProposalToGnatt[[#This Row],[Days]]),$G$5,"")),"")</f>
        <v/>
      </c>
      <c r="BY67" s="36" t="str">
        <f ca="1">IFERROR(+IF(BY$27=ProposalToGnatt[[#This Row],[Start Date]],Milestone_Marker,IF(AND(BY$27&gt;ProposalToGnatt[[#This Row],[Start Date]],BY$27&lt;ProposalToGnatt[[#This Row],[Start Date]]+ProposalToGnatt[[#This Row],[Days]]),$G$5,"")),"")</f>
        <v/>
      </c>
      <c r="BZ67" s="36" t="str">
        <f ca="1">IFERROR(+IF(BZ$27=ProposalToGnatt[[#This Row],[Start Date]],Milestone_Marker,IF(AND(BZ$27&gt;ProposalToGnatt[[#This Row],[Start Date]],BZ$27&lt;ProposalToGnatt[[#This Row],[Start Date]]+ProposalToGnatt[[#This Row],[Days]]),$G$5,"")),"")</f>
        <v/>
      </c>
      <c r="CA67" s="36" t="str">
        <f ca="1">IFERROR(+IF(CA$27=ProposalToGnatt[[#This Row],[Start Date]],Milestone_Marker,IF(AND(CA$27&gt;ProposalToGnatt[[#This Row],[Start Date]],CA$27&lt;ProposalToGnatt[[#This Row],[Start Date]]+ProposalToGnatt[[#This Row],[Days]]),$G$5,"")),"")</f>
        <v/>
      </c>
      <c r="CB67" s="36" t="str">
        <f ca="1">IFERROR(+IF(CB$27=ProposalToGnatt[[#This Row],[Start Date]],Milestone_Marker,IF(AND(CB$27&gt;ProposalToGnatt[[#This Row],[Start Date]],CB$27&lt;ProposalToGnatt[[#This Row],[Start Date]]+ProposalToGnatt[[#This Row],[Days]]),$G$5,"")),"")</f>
        <v/>
      </c>
      <c r="CC67" s="36" t="str">
        <f ca="1">IFERROR(+IF(CC$27=ProposalToGnatt[[#This Row],[Start Date]],Milestone_Marker,IF(AND(CC$27&gt;ProposalToGnatt[[#This Row],[Start Date]],CC$27&lt;ProposalToGnatt[[#This Row],[Start Date]]+ProposalToGnatt[[#This Row],[Days]]),$G$5,"")),"")</f>
        <v/>
      </c>
      <c r="CD67" s="36" t="str">
        <f ca="1">IFERROR(+IF(CD$27=ProposalToGnatt[[#This Row],[Start Date]],Milestone_Marker,IF(AND(CD$27&gt;ProposalToGnatt[[#This Row],[Start Date]],CD$27&lt;ProposalToGnatt[[#This Row],[Start Date]]+ProposalToGnatt[[#This Row],[Days]]),$G$5,"")),"")</f>
        <v/>
      </c>
      <c r="CE67" s="36" t="str">
        <f ca="1">IFERROR(+IF(CE$27=ProposalToGnatt[[#This Row],[Start Date]],Milestone_Marker,IF(AND(CE$27&gt;ProposalToGnatt[[#This Row],[Start Date]],CE$27&lt;ProposalToGnatt[[#This Row],[Start Date]]+ProposalToGnatt[[#This Row],[Days]]),$G$5,"")),"")</f>
        <v/>
      </c>
      <c r="CF67" s="36" t="str">
        <f ca="1">IFERROR(+IF(CF$27=ProposalToGnatt[[#This Row],[Start Date]],Milestone_Marker,IF(AND(CF$27&gt;ProposalToGnatt[[#This Row],[Start Date]],CF$27&lt;ProposalToGnatt[[#This Row],[Start Date]]+ProposalToGnatt[[#This Row],[Days]]),$G$5,"")),"")</f>
        <v/>
      </c>
      <c r="CG67" s="36" t="str">
        <f ca="1">IFERROR(+IF(CG$27=ProposalToGnatt[[#This Row],[Start Date]],Milestone_Marker,IF(AND(CG$27&gt;ProposalToGnatt[[#This Row],[Start Date]],CG$27&lt;ProposalToGnatt[[#This Row],[Start Date]]+ProposalToGnatt[[#This Row],[Days]]),$G$5,"")),"")</f>
        <v/>
      </c>
      <c r="CH67" s="36" t="str">
        <f ca="1">IFERROR(+IF(CH$27=ProposalToGnatt[[#This Row],[Start Date]],Milestone_Marker,IF(AND(CH$27&gt;ProposalToGnatt[[#This Row],[Start Date]],CH$27&lt;ProposalToGnatt[[#This Row],[Start Date]]+ProposalToGnatt[[#This Row],[Days]]),$G$5,"")),"")</f>
        <v/>
      </c>
      <c r="CI67" s="36" t="str">
        <f ca="1">IFERROR(+IF(CI$27=ProposalToGnatt[[#This Row],[Start Date]],Milestone_Marker,IF(AND(CI$27&gt;ProposalToGnatt[[#This Row],[Start Date]],CI$27&lt;ProposalToGnatt[[#This Row],[Start Date]]+ProposalToGnatt[[#This Row],[Days]]),$G$5,"")),"")</f>
        <v/>
      </c>
      <c r="CJ67" s="36" t="str">
        <f ca="1">IFERROR(+IF(CJ$27=ProposalToGnatt[[#This Row],[Start Date]],Milestone_Marker,IF(AND(CJ$27&gt;ProposalToGnatt[[#This Row],[Start Date]],CJ$27&lt;ProposalToGnatt[[#This Row],[Start Date]]+ProposalToGnatt[[#This Row],[Days]]),$G$5,"")),"")</f>
        <v/>
      </c>
      <c r="CK67" s="36" t="str">
        <f ca="1">IFERROR(+IF(CK$27=ProposalToGnatt[[#This Row],[Start Date]],Milestone_Marker,IF(AND(CK$27&gt;ProposalToGnatt[[#This Row],[Start Date]],CK$27&lt;ProposalToGnatt[[#This Row],[Start Date]]+ProposalToGnatt[[#This Row],[Days]]),$G$5,"")),"")</f>
        <v/>
      </c>
      <c r="CL67" s="36" t="str">
        <f ca="1">IFERROR(+IF(CL$27=ProposalToGnatt[[#This Row],[Start Date]],Milestone_Marker,IF(AND(CL$27&gt;ProposalToGnatt[[#This Row],[Start Date]],CL$27&lt;ProposalToGnatt[[#This Row],[Start Date]]+ProposalToGnatt[[#This Row],[Days]]),$G$5,"")),"")</f>
        <v/>
      </c>
      <c r="CM67" s="36" t="str">
        <f ca="1">IFERROR(+IF(CM$27=ProposalToGnatt[[#This Row],[Start Date]],Milestone_Marker,IF(AND(CM$27&gt;ProposalToGnatt[[#This Row],[Start Date]],CM$27&lt;ProposalToGnatt[[#This Row],[Start Date]]+ProposalToGnatt[[#This Row],[Days]]),$G$5,"")),"")</f>
        <v/>
      </c>
      <c r="CN67" s="36" t="str">
        <f ca="1">IFERROR(+IF(CN$27=ProposalToGnatt[[#This Row],[Start Date]],Milestone_Marker,IF(AND(CN$27&gt;ProposalToGnatt[[#This Row],[Start Date]],CN$27&lt;ProposalToGnatt[[#This Row],[Start Date]]+ProposalToGnatt[[#This Row],[Days]]),$G$5,"")),"")</f>
        <v/>
      </c>
      <c r="CO67" s="36" t="str">
        <f ca="1">IFERROR(+IF(CO$27=ProposalToGnatt[[#This Row],[Start Date]],Milestone_Marker,IF(AND(CO$27&gt;ProposalToGnatt[[#This Row],[Start Date]],CO$27&lt;ProposalToGnatt[[#This Row],[Start Date]]+ProposalToGnatt[[#This Row],[Days]]),$G$5,"")),"")</f>
        <v/>
      </c>
      <c r="CP67" s="36" t="str">
        <f ca="1">IFERROR(+IF(CP$27=ProposalToGnatt[[#This Row],[Start Date]],Milestone_Marker,IF(AND(CP$27&gt;ProposalToGnatt[[#This Row],[Start Date]],CP$27&lt;ProposalToGnatt[[#This Row],[Start Date]]+ProposalToGnatt[[#This Row],[Days]]),$G$5,"")),"")</f>
        <v/>
      </c>
      <c r="CQ67" s="36" t="str">
        <f ca="1">IFERROR(+IF(CQ$27=ProposalToGnatt[[#This Row],[Start Date]],Milestone_Marker,IF(AND(CQ$27&gt;ProposalToGnatt[[#This Row],[Start Date]],CQ$27&lt;ProposalToGnatt[[#This Row],[Start Date]]+ProposalToGnatt[[#This Row],[Days]]),$G$5,"")),"")</f>
        <v/>
      </c>
      <c r="CR67" s="36" t="str">
        <f ca="1">IFERROR(+IF(CR$27=ProposalToGnatt[[#This Row],[Start Date]],Milestone_Marker,IF(AND(CR$27&gt;ProposalToGnatt[[#This Row],[Start Date]],CR$27&lt;ProposalToGnatt[[#This Row],[Start Date]]+ProposalToGnatt[[#This Row],[Days]]),$G$5,"")),"")</f>
        <v/>
      </c>
      <c r="CS67" s="36" t="str">
        <f ca="1">IFERROR(+IF(CS$27=ProposalToGnatt[[#This Row],[Start Date]],Milestone_Marker,IF(AND(CS$27&gt;ProposalToGnatt[[#This Row],[Start Date]],CS$27&lt;ProposalToGnatt[[#This Row],[Start Date]]+ProposalToGnatt[[#This Row],[Days]]),$G$5,"")),"")</f>
        <v/>
      </c>
      <c r="CT67" s="36" t="str">
        <f ca="1">IFERROR(+IF(CT$27=ProposalToGnatt[[#This Row],[Start Date]],Milestone_Marker,IF(AND(CT$27&gt;ProposalToGnatt[[#This Row],[Start Date]],CT$27&lt;ProposalToGnatt[[#This Row],[Start Date]]+ProposalToGnatt[[#This Row],[Days]]),$G$5,"")),"")</f>
        <v/>
      </c>
      <c r="CU67" s="36" t="str">
        <f ca="1">IFERROR(+IF(CU$27=ProposalToGnatt[[#This Row],[Start Date]],Milestone_Marker,IF(AND(CU$27&gt;ProposalToGnatt[[#This Row],[Start Date]],CU$27&lt;ProposalToGnatt[[#This Row],[Start Date]]+ProposalToGnatt[[#This Row],[Days]]),$G$5,"")),"")</f>
        <v/>
      </c>
      <c r="CV67" s="36"/>
      <c r="CW67" s="36"/>
      <c r="CX67" s="36"/>
      <c r="CY67" s="36"/>
      <c r="CZ67" s="36"/>
      <c r="DA67" s="36"/>
      <c r="DB67" s="36"/>
      <c r="DC67" s="36"/>
      <c r="DD67" s="36"/>
      <c r="DE67" s="36"/>
      <c r="DF67" s="36"/>
      <c r="DG67" s="36"/>
      <c r="DH67" s="36"/>
      <c r="DI67" s="36"/>
      <c r="DJ67" s="36"/>
      <c r="DK67" s="36"/>
      <c r="DL67" s="36"/>
      <c r="DM67" s="36"/>
      <c r="DN67" s="36"/>
      <c r="DO67" s="36"/>
      <c r="DP67" s="36"/>
      <c r="DQ67" s="36"/>
      <c r="DR67" s="36"/>
      <c r="DS67" s="36"/>
      <c r="DT67" s="36"/>
      <c r="DU67" s="36"/>
    </row>
    <row r="68" spans="1:125" s="41" customFormat="1" ht="15" customHeight="1" x14ac:dyDescent="0.25">
      <c r="A68" t="s">
        <v>267</v>
      </c>
      <c r="B68">
        <v>50</v>
      </c>
      <c r="C68"/>
      <c r="D68" t="s">
        <v>885</v>
      </c>
      <c r="E68" s="568" t="s">
        <v>968</v>
      </c>
      <c r="F68">
        <v>1</v>
      </c>
      <c r="G68" s="14">
        <v>95</v>
      </c>
      <c r="H68" s="14">
        <v>95</v>
      </c>
      <c r="I68" t="s">
        <v>3</v>
      </c>
      <c r="J68">
        <v>1</v>
      </c>
      <c r="K68" s="249"/>
      <c r="L68"/>
      <c r="M68" s="14"/>
      <c r="N68" s="300">
        <v>95</v>
      </c>
      <c r="O68" s="554"/>
      <c r="P68" s="36" t="str">
        <f ca="1">IFERROR(+IF(P$27=ProposalToGnatt[[#This Row],[Start Date]],Milestone_Marker,IF(AND(P$27&gt;ProposalToGnatt[[#This Row],[Start Date]],P$27&lt;ProposalToGnatt[[#This Row],[Start Date]]+ProposalToGnatt[[#This Row],[Days]]),$G$5,"")),"")</f>
        <v/>
      </c>
      <c r="Q68" s="36" t="str">
        <f ca="1">IFERROR(+IF(Q$27=ProposalToGnatt[[#This Row],[Start Date]],Milestone_Marker,IF(AND(Q$27&gt;ProposalToGnatt[[#This Row],[Start Date]],Q$27&lt;ProposalToGnatt[[#This Row],[Start Date]]+ProposalToGnatt[[#This Row],[Days]]),$G$5,"")),"")</f>
        <v/>
      </c>
      <c r="R68" s="36" t="str">
        <f ca="1">IFERROR(+IF(R$27=ProposalToGnatt[[#This Row],[Start Date]],Milestone_Marker,IF(AND(R$27&gt;ProposalToGnatt[[#This Row],[Start Date]],R$27&lt;ProposalToGnatt[[#This Row],[Start Date]]+ProposalToGnatt[[#This Row],[Days]]),$G$5,"")),"")</f>
        <v/>
      </c>
      <c r="S68" s="36" t="str">
        <f ca="1">IFERROR(+IF(S$27=ProposalToGnatt[[#This Row],[Start Date]],Milestone_Marker,IF(AND(S$27&gt;ProposalToGnatt[[#This Row],[Start Date]],S$27&lt;ProposalToGnatt[[#This Row],[Start Date]]+ProposalToGnatt[[#This Row],[Days]]),$G$5,"")),"")</f>
        <v/>
      </c>
      <c r="T68" s="36" t="str">
        <f ca="1">IFERROR(+IF(T$27=ProposalToGnatt[[#This Row],[Start Date]],Milestone_Marker,IF(AND(T$27&gt;ProposalToGnatt[[#This Row],[Start Date]],T$27&lt;ProposalToGnatt[[#This Row],[Start Date]]+ProposalToGnatt[[#This Row],[Days]]),$G$5,"")),"")</f>
        <v/>
      </c>
      <c r="U68" s="36" t="str">
        <f ca="1">IFERROR(+IF(U$27=ProposalToGnatt[[#This Row],[Start Date]],Milestone_Marker,IF(AND(U$27&gt;ProposalToGnatt[[#This Row],[Start Date]],U$27&lt;ProposalToGnatt[[#This Row],[Start Date]]+ProposalToGnatt[[#This Row],[Days]]),$G$5,"")),"")</f>
        <v/>
      </c>
      <c r="V68" s="36" t="str">
        <f ca="1">IFERROR(+IF(V$27=ProposalToGnatt[[#This Row],[Start Date]],Milestone_Marker,IF(AND(V$27&gt;ProposalToGnatt[[#This Row],[Start Date]],V$27&lt;ProposalToGnatt[[#This Row],[Start Date]]+ProposalToGnatt[[#This Row],[Days]]),$G$5,"")),"")</f>
        <v/>
      </c>
      <c r="W68" s="36" t="str">
        <f ca="1">IFERROR(+IF(W$27=ProposalToGnatt[[#This Row],[Start Date]],Milestone_Marker,IF(AND(W$27&gt;ProposalToGnatt[[#This Row],[Start Date]],W$27&lt;ProposalToGnatt[[#This Row],[Start Date]]+ProposalToGnatt[[#This Row],[Days]]),$G$5,"")),"")</f>
        <v/>
      </c>
      <c r="X68" s="36" t="str">
        <f ca="1">IFERROR(+IF(X$27=ProposalToGnatt[[#This Row],[Start Date]],Milestone_Marker,IF(AND(X$27&gt;ProposalToGnatt[[#This Row],[Start Date]],X$27&lt;ProposalToGnatt[[#This Row],[Start Date]]+ProposalToGnatt[[#This Row],[Days]]),$G$5,"")),"")</f>
        <v/>
      </c>
      <c r="Y68" s="36" t="str">
        <f ca="1">IFERROR(+IF(Y$27=ProposalToGnatt[[#This Row],[Start Date]],Milestone_Marker,IF(AND(Y$27&gt;ProposalToGnatt[[#This Row],[Start Date]],Y$27&lt;ProposalToGnatt[[#This Row],[Start Date]]+ProposalToGnatt[[#This Row],[Days]]),$G$5,"")),"")</f>
        <v/>
      </c>
      <c r="Z68" s="36" t="str">
        <f ca="1">IFERROR(+IF(Z$27=ProposalToGnatt[[#This Row],[Start Date]],Milestone_Marker,IF(AND(Z$27&gt;ProposalToGnatt[[#This Row],[Start Date]],Z$27&lt;ProposalToGnatt[[#This Row],[Start Date]]+ProposalToGnatt[[#This Row],[Days]]),$G$5,"")),"")</f>
        <v/>
      </c>
      <c r="AA68" s="36" t="str">
        <f ca="1">IFERROR(+IF(AA$27=ProposalToGnatt[[#This Row],[Start Date]],Milestone_Marker,IF(AND(AA$27&gt;ProposalToGnatt[[#This Row],[Start Date]],AA$27&lt;ProposalToGnatt[[#This Row],[Start Date]]+ProposalToGnatt[[#This Row],[Days]]),$G$5,"")),"")</f>
        <v/>
      </c>
      <c r="AB68" s="36" t="str">
        <f ca="1">IFERROR(+IF(AB$27=ProposalToGnatt[[#This Row],[Start Date]],Milestone_Marker,IF(AND(AB$27&gt;ProposalToGnatt[[#This Row],[Start Date]],AB$27&lt;ProposalToGnatt[[#This Row],[Start Date]]+ProposalToGnatt[[#This Row],[Days]]),$G$5,"")),"")</f>
        <v/>
      </c>
      <c r="AC68" s="36" t="str">
        <f ca="1">IFERROR(+IF(AC$27=ProposalToGnatt[[#This Row],[Start Date]],Milestone_Marker,IF(AND(AC$27&gt;ProposalToGnatt[[#This Row],[Start Date]],AC$27&lt;ProposalToGnatt[[#This Row],[Start Date]]+ProposalToGnatt[[#This Row],[Days]]),$G$5,"")),"")</f>
        <v/>
      </c>
      <c r="AD68" s="36" t="str">
        <f ca="1">IFERROR(+IF(AD$27=ProposalToGnatt[[#This Row],[Start Date]],Milestone_Marker,IF(AND(AD$27&gt;ProposalToGnatt[[#This Row],[Start Date]],AD$27&lt;ProposalToGnatt[[#This Row],[Start Date]]+ProposalToGnatt[[#This Row],[Days]]),$G$5,"")),"")</f>
        <v/>
      </c>
      <c r="AE68" s="36" t="str">
        <f ca="1">IFERROR(+IF(AE$27=ProposalToGnatt[[#This Row],[Start Date]],Milestone_Marker,IF(AND(AE$27&gt;ProposalToGnatt[[#This Row],[Start Date]],AE$27&lt;ProposalToGnatt[[#This Row],[Start Date]]+ProposalToGnatt[[#This Row],[Days]]),$G$5,"")),"")</f>
        <v/>
      </c>
      <c r="AF68" s="36" t="str">
        <f ca="1">IFERROR(+IF(AF$27=ProposalToGnatt[[#This Row],[Start Date]],Milestone_Marker,IF(AND(AF$27&gt;ProposalToGnatt[[#This Row],[Start Date]],AF$27&lt;ProposalToGnatt[[#This Row],[Start Date]]+ProposalToGnatt[[#This Row],[Days]]),$G$5,"")),"")</f>
        <v/>
      </c>
      <c r="AG68" s="36" t="str">
        <f ca="1">IFERROR(+IF(AG$27=ProposalToGnatt[[#This Row],[Start Date]],Milestone_Marker,IF(AND(AG$27&gt;ProposalToGnatt[[#This Row],[Start Date]],AG$27&lt;ProposalToGnatt[[#This Row],[Start Date]]+ProposalToGnatt[[#This Row],[Days]]),$G$5,"")),"")</f>
        <v/>
      </c>
      <c r="AH68" s="36" t="str">
        <f ca="1">IFERROR(+IF(AH$27=ProposalToGnatt[[#This Row],[Start Date]],Milestone_Marker,IF(AND(AH$27&gt;ProposalToGnatt[[#This Row],[Start Date]],AH$27&lt;ProposalToGnatt[[#This Row],[Start Date]]+ProposalToGnatt[[#This Row],[Days]]),$G$5,"")),"")</f>
        <v/>
      </c>
      <c r="AI68" s="36" t="str">
        <f ca="1">IFERROR(+IF(AI$27=ProposalToGnatt[[#This Row],[Start Date]],Milestone_Marker,IF(AND(AI$27&gt;ProposalToGnatt[[#This Row],[Start Date]],AI$27&lt;ProposalToGnatt[[#This Row],[Start Date]]+ProposalToGnatt[[#This Row],[Days]]),$G$5,"")),"")</f>
        <v/>
      </c>
      <c r="AJ68" s="36" t="str">
        <f ca="1">IFERROR(+IF(AJ$27=ProposalToGnatt[[#This Row],[Start Date]],Milestone_Marker,IF(AND(AJ$27&gt;ProposalToGnatt[[#This Row],[Start Date]],AJ$27&lt;ProposalToGnatt[[#This Row],[Start Date]]+ProposalToGnatt[[#This Row],[Days]]),$G$5,"")),"")</f>
        <v/>
      </c>
      <c r="AK68" s="36" t="str">
        <f ca="1">IFERROR(+IF(AK$27=ProposalToGnatt[[#This Row],[Start Date]],Milestone_Marker,IF(AND(AK$27&gt;ProposalToGnatt[[#This Row],[Start Date]],AK$27&lt;ProposalToGnatt[[#This Row],[Start Date]]+ProposalToGnatt[[#This Row],[Days]]),$G$5,"")),"")</f>
        <v/>
      </c>
      <c r="AL68" s="36" t="str">
        <f ca="1">IFERROR(+IF(AL$27=ProposalToGnatt[[#This Row],[Start Date]],Milestone_Marker,IF(AND(AL$27&gt;ProposalToGnatt[[#This Row],[Start Date]],AL$27&lt;ProposalToGnatt[[#This Row],[Start Date]]+ProposalToGnatt[[#This Row],[Days]]),$G$5,"")),"")</f>
        <v/>
      </c>
      <c r="AM68" s="36" t="str">
        <f ca="1">IFERROR(+IF(AM$27=ProposalToGnatt[[#This Row],[Start Date]],Milestone_Marker,IF(AND(AM$27&gt;ProposalToGnatt[[#This Row],[Start Date]],AM$27&lt;ProposalToGnatt[[#This Row],[Start Date]]+ProposalToGnatt[[#This Row],[Days]]),$G$5,"")),"")</f>
        <v/>
      </c>
      <c r="AN68" s="36" t="str">
        <f ca="1">IFERROR(+IF(AN$27=ProposalToGnatt[[#This Row],[Start Date]],Milestone_Marker,IF(AND(AN$27&gt;ProposalToGnatt[[#This Row],[Start Date]],AN$27&lt;ProposalToGnatt[[#This Row],[Start Date]]+ProposalToGnatt[[#This Row],[Days]]),$G$5,"")),"")</f>
        <v/>
      </c>
      <c r="AO68" s="36" t="str">
        <f ca="1">IFERROR(+IF(AO$27=ProposalToGnatt[[#This Row],[Start Date]],Milestone_Marker,IF(AND(AO$27&gt;ProposalToGnatt[[#This Row],[Start Date]],AO$27&lt;ProposalToGnatt[[#This Row],[Start Date]]+ProposalToGnatt[[#This Row],[Days]]),$G$5,"")),"")</f>
        <v/>
      </c>
      <c r="AP68" s="36" t="str">
        <f ca="1">IFERROR(+IF(AP$27=ProposalToGnatt[[#This Row],[Start Date]],Milestone_Marker,IF(AND(AP$27&gt;ProposalToGnatt[[#This Row],[Start Date]],AP$27&lt;ProposalToGnatt[[#This Row],[Start Date]]+ProposalToGnatt[[#This Row],[Days]]),$G$5,"")),"")</f>
        <v/>
      </c>
      <c r="AQ68" s="36" t="str">
        <f ca="1">IFERROR(+IF(AQ$27=ProposalToGnatt[[#This Row],[Start Date]],Milestone_Marker,IF(AND(AQ$27&gt;ProposalToGnatt[[#This Row],[Start Date]],AQ$27&lt;ProposalToGnatt[[#This Row],[Start Date]]+ProposalToGnatt[[#This Row],[Days]]),$G$5,"")),"")</f>
        <v/>
      </c>
      <c r="AR68" s="36" t="str">
        <f ca="1">IFERROR(+IF(AR$27=ProposalToGnatt[[#This Row],[Start Date]],Milestone_Marker,IF(AND(AR$27&gt;ProposalToGnatt[[#This Row],[Start Date]],AR$27&lt;ProposalToGnatt[[#This Row],[Start Date]]+ProposalToGnatt[[#This Row],[Days]]),$G$5,"")),"")</f>
        <v/>
      </c>
      <c r="AS68" s="36" t="str">
        <f ca="1">IFERROR(+IF(AS$27=ProposalToGnatt[[#This Row],[Start Date]],Milestone_Marker,IF(AND(AS$27&gt;ProposalToGnatt[[#This Row],[Start Date]],AS$27&lt;ProposalToGnatt[[#This Row],[Start Date]]+ProposalToGnatt[[#This Row],[Days]]),$G$5,"")),"")</f>
        <v/>
      </c>
      <c r="AT68" s="36" t="str">
        <f ca="1">IFERROR(+IF(AT$27=ProposalToGnatt[[#This Row],[Start Date]],Milestone_Marker,IF(AND(AT$27&gt;ProposalToGnatt[[#This Row],[Start Date]],AT$27&lt;ProposalToGnatt[[#This Row],[Start Date]]+ProposalToGnatt[[#This Row],[Days]]),$G$5,"")),"")</f>
        <v/>
      </c>
      <c r="AU68" s="36" t="str">
        <f ca="1">IFERROR(+IF(AU$27=ProposalToGnatt[[#This Row],[Start Date]],Milestone_Marker,IF(AND(AU$27&gt;ProposalToGnatt[[#This Row],[Start Date]],AU$27&lt;ProposalToGnatt[[#This Row],[Start Date]]+ProposalToGnatt[[#This Row],[Days]]),$G$5,"")),"")</f>
        <v/>
      </c>
      <c r="AV68" s="36" t="str">
        <f ca="1">IFERROR(+IF(AV$27=ProposalToGnatt[[#This Row],[Start Date]],Milestone_Marker,IF(AND(AV$27&gt;ProposalToGnatt[[#This Row],[Start Date]],AV$27&lt;ProposalToGnatt[[#This Row],[Start Date]]+ProposalToGnatt[[#This Row],[Days]]),$G$5,"")),"")</f>
        <v/>
      </c>
      <c r="AW68" s="36" t="str">
        <f ca="1">IFERROR(+IF(AW$27=ProposalToGnatt[[#This Row],[Start Date]],Milestone_Marker,IF(AND(AW$27&gt;ProposalToGnatt[[#This Row],[Start Date]],AW$27&lt;ProposalToGnatt[[#This Row],[Start Date]]+ProposalToGnatt[[#This Row],[Days]]),$G$5,"")),"")</f>
        <v/>
      </c>
      <c r="AX68" s="36" t="str">
        <f ca="1">IFERROR(+IF(AX$27=ProposalToGnatt[[#This Row],[Start Date]],Milestone_Marker,IF(AND(AX$27&gt;ProposalToGnatt[[#This Row],[Start Date]],AX$27&lt;ProposalToGnatt[[#This Row],[Start Date]]+ProposalToGnatt[[#This Row],[Days]]),$G$5,"")),"")</f>
        <v/>
      </c>
      <c r="AY68" s="36" t="str">
        <f ca="1">IFERROR(+IF(AY$27=ProposalToGnatt[[#This Row],[Start Date]],Milestone_Marker,IF(AND(AY$27&gt;ProposalToGnatt[[#This Row],[Start Date]],AY$27&lt;ProposalToGnatt[[#This Row],[Start Date]]+ProposalToGnatt[[#This Row],[Days]]),$G$5,"")),"")</f>
        <v/>
      </c>
      <c r="AZ68" s="36" t="str">
        <f ca="1">IFERROR(+IF(AZ$27=ProposalToGnatt[[#This Row],[Start Date]],Milestone_Marker,IF(AND(AZ$27&gt;ProposalToGnatt[[#This Row],[Start Date]],AZ$27&lt;ProposalToGnatt[[#This Row],[Start Date]]+ProposalToGnatt[[#This Row],[Days]]),$G$5,"")),"")</f>
        <v/>
      </c>
      <c r="BA68" s="36" t="str">
        <f ca="1">IFERROR(+IF(BA$27=ProposalToGnatt[[#This Row],[Start Date]],Milestone_Marker,IF(AND(BA$27&gt;ProposalToGnatt[[#This Row],[Start Date]],BA$27&lt;ProposalToGnatt[[#This Row],[Start Date]]+ProposalToGnatt[[#This Row],[Days]]),$G$5,"")),"")</f>
        <v/>
      </c>
      <c r="BB68" s="36" t="str">
        <f ca="1">IFERROR(+IF(BB$27=ProposalToGnatt[[#This Row],[Start Date]],Milestone_Marker,IF(AND(BB$27&gt;ProposalToGnatt[[#This Row],[Start Date]],BB$27&lt;ProposalToGnatt[[#This Row],[Start Date]]+ProposalToGnatt[[#This Row],[Days]]),$G$5,"")),"")</f>
        <v/>
      </c>
      <c r="BC68" s="36" t="str">
        <f ca="1">IFERROR(+IF(BC$27=ProposalToGnatt[[#This Row],[Start Date]],Milestone_Marker,IF(AND(BC$27&gt;ProposalToGnatt[[#This Row],[Start Date]],BC$27&lt;ProposalToGnatt[[#This Row],[Start Date]]+ProposalToGnatt[[#This Row],[Days]]),$G$5,"")),"")</f>
        <v/>
      </c>
      <c r="BD68" s="36" t="str">
        <f ca="1">IFERROR(+IF(BD$27=ProposalToGnatt[[#This Row],[Start Date]],Milestone_Marker,IF(AND(BD$27&gt;ProposalToGnatt[[#This Row],[Start Date]],BD$27&lt;ProposalToGnatt[[#This Row],[Start Date]]+ProposalToGnatt[[#This Row],[Days]]),$G$5,"")),"")</f>
        <v/>
      </c>
      <c r="BE68" s="36" t="str">
        <f ca="1">IFERROR(+IF(BE$27=ProposalToGnatt[[#This Row],[Start Date]],Milestone_Marker,IF(AND(BE$27&gt;ProposalToGnatt[[#This Row],[Start Date]],BE$27&lt;ProposalToGnatt[[#This Row],[Start Date]]+ProposalToGnatt[[#This Row],[Days]]),$G$5,"")),"")</f>
        <v/>
      </c>
      <c r="BF68" s="36" t="str">
        <f ca="1">IFERROR(+IF(BF$27=ProposalToGnatt[[#This Row],[Start Date]],Milestone_Marker,IF(AND(BF$27&gt;ProposalToGnatt[[#This Row],[Start Date]],BF$27&lt;ProposalToGnatt[[#This Row],[Start Date]]+ProposalToGnatt[[#This Row],[Days]]),$G$5,"")),"")</f>
        <v/>
      </c>
      <c r="BG68" s="36" t="str">
        <f ca="1">IFERROR(+IF(BG$27=ProposalToGnatt[[#This Row],[Start Date]],Milestone_Marker,IF(AND(BG$27&gt;ProposalToGnatt[[#This Row],[Start Date]],BG$27&lt;ProposalToGnatt[[#This Row],[Start Date]]+ProposalToGnatt[[#This Row],[Days]]),$G$5,"")),"")</f>
        <v/>
      </c>
      <c r="BH68" s="36" t="str">
        <f ca="1">IFERROR(+IF(BH$27=ProposalToGnatt[[#This Row],[Start Date]],Milestone_Marker,IF(AND(BH$27&gt;ProposalToGnatt[[#This Row],[Start Date]],BH$27&lt;ProposalToGnatt[[#This Row],[Start Date]]+ProposalToGnatt[[#This Row],[Days]]),$G$5,"")),"")</f>
        <v/>
      </c>
      <c r="BI68" s="36" t="str">
        <f ca="1">IFERROR(+IF(BI$27=ProposalToGnatt[[#This Row],[Start Date]],Milestone_Marker,IF(AND(BI$27&gt;ProposalToGnatt[[#This Row],[Start Date]],BI$27&lt;ProposalToGnatt[[#This Row],[Start Date]]+ProposalToGnatt[[#This Row],[Days]]),$G$5,"")),"")</f>
        <v/>
      </c>
      <c r="BJ68" s="36" t="str">
        <f ca="1">IFERROR(+IF(BJ$27=ProposalToGnatt[[#This Row],[Start Date]],Milestone_Marker,IF(AND(BJ$27&gt;ProposalToGnatt[[#This Row],[Start Date]],BJ$27&lt;ProposalToGnatt[[#This Row],[Start Date]]+ProposalToGnatt[[#This Row],[Days]]),$G$5,"")),"")</f>
        <v/>
      </c>
      <c r="BK68" s="36" t="str">
        <f ca="1">IFERROR(+IF(BK$27=ProposalToGnatt[[#This Row],[Start Date]],Milestone_Marker,IF(AND(BK$27&gt;ProposalToGnatt[[#This Row],[Start Date]],BK$27&lt;ProposalToGnatt[[#This Row],[Start Date]]+ProposalToGnatt[[#This Row],[Days]]),$G$5,"")),"")</f>
        <v/>
      </c>
      <c r="BL68" s="36" t="str">
        <f ca="1">IFERROR(+IF(BL$27=ProposalToGnatt[[#This Row],[Start Date]],Milestone_Marker,IF(AND(BL$27&gt;ProposalToGnatt[[#This Row],[Start Date]],BL$27&lt;ProposalToGnatt[[#This Row],[Start Date]]+ProposalToGnatt[[#This Row],[Days]]),$G$5,"")),"")</f>
        <v/>
      </c>
      <c r="BM68" s="36" t="str">
        <f ca="1">IFERROR(+IF(BM$27=ProposalToGnatt[[#This Row],[Start Date]],Milestone_Marker,IF(AND(BM$27&gt;ProposalToGnatt[[#This Row],[Start Date]],BM$27&lt;ProposalToGnatt[[#This Row],[Start Date]]+ProposalToGnatt[[#This Row],[Days]]),$G$5,"")),"")</f>
        <v/>
      </c>
      <c r="BN68" s="36" t="str">
        <f ca="1">IFERROR(+IF(BN$27=ProposalToGnatt[[#This Row],[Start Date]],Milestone_Marker,IF(AND(BN$27&gt;ProposalToGnatt[[#This Row],[Start Date]],BN$27&lt;ProposalToGnatt[[#This Row],[Start Date]]+ProposalToGnatt[[#This Row],[Days]]),$G$5,"")),"")</f>
        <v/>
      </c>
      <c r="BO68" s="36" t="str">
        <f ca="1">IFERROR(+IF(BO$27=ProposalToGnatt[[#This Row],[Start Date]],Milestone_Marker,IF(AND(BO$27&gt;ProposalToGnatt[[#This Row],[Start Date]],BO$27&lt;ProposalToGnatt[[#This Row],[Start Date]]+ProposalToGnatt[[#This Row],[Days]]),$G$5,"")),"")</f>
        <v/>
      </c>
      <c r="BP68" s="36" t="str">
        <f ca="1">IFERROR(+IF(BP$27=ProposalToGnatt[[#This Row],[Start Date]],Milestone_Marker,IF(AND(BP$27&gt;ProposalToGnatt[[#This Row],[Start Date]],BP$27&lt;ProposalToGnatt[[#This Row],[Start Date]]+ProposalToGnatt[[#This Row],[Days]]),$G$5,"")),"")</f>
        <v/>
      </c>
      <c r="BQ68" s="36" t="str">
        <f ca="1">IFERROR(+IF(BQ$27=ProposalToGnatt[[#This Row],[Start Date]],Milestone_Marker,IF(AND(BQ$27&gt;ProposalToGnatt[[#This Row],[Start Date]],BQ$27&lt;ProposalToGnatt[[#This Row],[Start Date]]+ProposalToGnatt[[#This Row],[Days]]),$G$5,"")),"")</f>
        <v/>
      </c>
      <c r="BR68" s="36" t="str">
        <f ca="1">IFERROR(+IF(BR$27=ProposalToGnatt[[#This Row],[Start Date]],Milestone_Marker,IF(AND(BR$27&gt;ProposalToGnatt[[#This Row],[Start Date]],BR$27&lt;ProposalToGnatt[[#This Row],[Start Date]]+ProposalToGnatt[[#This Row],[Days]]),$G$5,"")),"")</f>
        <v/>
      </c>
      <c r="BS68" s="36" t="str">
        <f ca="1">IFERROR(+IF(BS$27=ProposalToGnatt[[#This Row],[Start Date]],Milestone_Marker,IF(AND(BS$27&gt;ProposalToGnatt[[#This Row],[Start Date]],BS$27&lt;ProposalToGnatt[[#This Row],[Start Date]]+ProposalToGnatt[[#This Row],[Days]]),$G$5,"")),"")</f>
        <v/>
      </c>
      <c r="BT68" s="36" t="str">
        <f ca="1">IFERROR(+IF(BT$27=ProposalToGnatt[[#This Row],[Start Date]],Milestone_Marker,IF(AND(BT$27&gt;ProposalToGnatt[[#This Row],[Start Date]],BT$27&lt;ProposalToGnatt[[#This Row],[Start Date]]+ProposalToGnatt[[#This Row],[Days]]),$G$5,"")),"")</f>
        <v/>
      </c>
      <c r="BU68" s="36" t="str">
        <f ca="1">IFERROR(+IF(BU$27=ProposalToGnatt[[#This Row],[Start Date]],Milestone_Marker,IF(AND(BU$27&gt;ProposalToGnatt[[#This Row],[Start Date]],BU$27&lt;ProposalToGnatt[[#This Row],[Start Date]]+ProposalToGnatt[[#This Row],[Days]]),$G$5,"")),"")</f>
        <v/>
      </c>
      <c r="BV68" s="36" t="str">
        <f ca="1">IFERROR(+IF(BV$27=ProposalToGnatt[[#This Row],[Start Date]],Milestone_Marker,IF(AND(BV$27&gt;ProposalToGnatt[[#This Row],[Start Date]],BV$27&lt;ProposalToGnatt[[#This Row],[Start Date]]+ProposalToGnatt[[#This Row],[Days]]),$G$5,"")),"")</f>
        <v/>
      </c>
      <c r="BW68" s="36" t="str">
        <f ca="1">IFERROR(+IF(BW$27=ProposalToGnatt[[#This Row],[Start Date]],Milestone_Marker,IF(AND(BW$27&gt;ProposalToGnatt[[#This Row],[Start Date]],BW$27&lt;ProposalToGnatt[[#This Row],[Start Date]]+ProposalToGnatt[[#This Row],[Days]]),$G$5,"")),"")</f>
        <v/>
      </c>
      <c r="BX68" s="36" t="str">
        <f ca="1">IFERROR(+IF(BX$27=ProposalToGnatt[[#This Row],[Start Date]],Milestone_Marker,IF(AND(BX$27&gt;ProposalToGnatt[[#This Row],[Start Date]],BX$27&lt;ProposalToGnatt[[#This Row],[Start Date]]+ProposalToGnatt[[#This Row],[Days]]),$G$5,"")),"")</f>
        <v/>
      </c>
      <c r="BY68" s="36" t="str">
        <f ca="1">IFERROR(+IF(BY$27=ProposalToGnatt[[#This Row],[Start Date]],Milestone_Marker,IF(AND(BY$27&gt;ProposalToGnatt[[#This Row],[Start Date]],BY$27&lt;ProposalToGnatt[[#This Row],[Start Date]]+ProposalToGnatt[[#This Row],[Days]]),$G$5,"")),"")</f>
        <v/>
      </c>
      <c r="BZ68" s="36" t="str">
        <f ca="1">IFERROR(+IF(BZ$27=ProposalToGnatt[[#This Row],[Start Date]],Milestone_Marker,IF(AND(BZ$27&gt;ProposalToGnatt[[#This Row],[Start Date]],BZ$27&lt;ProposalToGnatt[[#This Row],[Start Date]]+ProposalToGnatt[[#This Row],[Days]]),$G$5,"")),"")</f>
        <v/>
      </c>
      <c r="CA68" s="36" t="str">
        <f ca="1">IFERROR(+IF(CA$27=ProposalToGnatt[[#This Row],[Start Date]],Milestone_Marker,IF(AND(CA$27&gt;ProposalToGnatt[[#This Row],[Start Date]],CA$27&lt;ProposalToGnatt[[#This Row],[Start Date]]+ProposalToGnatt[[#This Row],[Days]]),$G$5,"")),"")</f>
        <v/>
      </c>
      <c r="CB68" s="36" t="str">
        <f ca="1">IFERROR(+IF(CB$27=ProposalToGnatt[[#This Row],[Start Date]],Milestone_Marker,IF(AND(CB$27&gt;ProposalToGnatt[[#This Row],[Start Date]],CB$27&lt;ProposalToGnatt[[#This Row],[Start Date]]+ProposalToGnatt[[#This Row],[Days]]),$G$5,"")),"")</f>
        <v/>
      </c>
      <c r="CC68" s="36" t="str">
        <f ca="1">IFERROR(+IF(CC$27=ProposalToGnatt[[#This Row],[Start Date]],Milestone_Marker,IF(AND(CC$27&gt;ProposalToGnatt[[#This Row],[Start Date]],CC$27&lt;ProposalToGnatt[[#This Row],[Start Date]]+ProposalToGnatt[[#This Row],[Days]]),$G$5,"")),"")</f>
        <v/>
      </c>
      <c r="CD68" s="36" t="str">
        <f ca="1">IFERROR(+IF(CD$27=ProposalToGnatt[[#This Row],[Start Date]],Milestone_Marker,IF(AND(CD$27&gt;ProposalToGnatt[[#This Row],[Start Date]],CD$27&lt;ProposalToGnatt[[#This Row],[Start Date]]+ProposalToGnatt[[#This Row],[Days]]),$G$5,"")),"")</f>
        <v/>
      </c>
      <c r="CE68" s="36" t="str">
        <f ca="1">IFERROR(+IF(CE$27=ProposalToGnatt[[#This Row],[Start Date]],Milestone_Marker,IF(AND(CE$27&gt;ProposalToGnatt[[#This Row],[Start Date]],CE$27&lt;ProposalToGnatt[[#This Row],[Start Date]]+ProposalToGnatt[[#This Row],[Days]]),$G$5,"")),"")</f>
        <v/>
      </c>
      <c r="CF68" s="36" t="str">
        <f ca="1">IFERROR(+IF(CF$27=ProposalToGnatt[[#This Row],[Start Date]],Milestone_Marker,IF(AND(CF$27&gt;ProposalToGnatt[[#This Row],[Start Date]],CF$27&lt;ProposalToGnatt[[#This Row],[Start Date]]+ProposalToGnatt[[#This Row],[Days]]),$G$5,"")),"")</f>
        <v/>
      </c>
      <c r="CG68" s="36" t="str">
        <f ca="1">IFERROR(+IF(CG$27=ProposalToGnatt[[#This Row],[Start Date]],Milestone_Marker,IF(AND(CG$27&gt;ProposalToGnatt[[#This Row],[Start Date]],CG$27&lt;ProposalToGnatt[[#This Row],[Start Date]]+ProposalToGnatt[[#This Row],[Days]]),$G$5,"")),"")</f>
        <v/>
      </c>
      <c r="CH68" s="36" t="str">
        <f ca="1">IFERROR(+IF(CH$27=ProposalToGnatt[[#This Row],[Start Date]],Milestone_Marker,IF(AND(CH$27&gt;ProposalToGnatt[[#This Row],[Start Date]],CH$27&lt;ProposalToGnatt[[#This Row],[Start Date]]+ProposalToGnatt[[#This Row],[Days]]),$G$5,"")),"")</f>
        <v/>
      </c>
      <c r="CI68" s="36" t="str">
        <f ca="1">IFERROR(+IF(CI$27=ProposalToGnatt[[#This Row],[Start Date]],Milestone_Marker,IF(AND(CI$27&gt;ProposalToGnatt[[#This Row],[Start Date]],CI$27&lt;ProposalToGnatt[[#This Row],[Start Date]]+ProposalToGnatt[[#This Row],[Days]]),$G$5,"")),"")</f>
        <v/>
      </c>
      <c r="CJ68" s="36" t="str">
        <f ca="1">IFERROR(+IF(CJ$27=ProposalToGnatt[[#This Row],[Start Date]],Milestone_Marker,IF(AND(CJ$27&gt;ProposalToGnatt[[#This Row],[Start Date]],CJ$27&lt;ProposalToGnatt[[#This Row],[Start Date]]+ProposalToGnatt[[#This Row],[Days]]),$G$5,"")),"")</f>
        <v/>
      </c>
      <c r="CK68" s="36" t="str">
        <f ca="1">IFERROR(+IF(CK$27=ProposalToGnatt[[#This Row],[Start Date]],Milestone_Marker,IF(AND(CK$27&gt;ProposalToGnatt[[#This Row],[Start Date]],CK$27&lt;ProposalToGnatt[[#This Row],[Start Date]]+ProposalToGnatt[[#This Row],[Days]]),$G$5,"")),"")</f>
        <v/>
      </c>
      <c r="CL68" s="36" t="str">
        <f ca="1">IFERROR(+IF(CL$27=ProposalToGnatt[[#This Row],[Start Date]],Milestone_Marker,IF(AND(CL$27&gt;ProposalToGnatt[[#This Row],[Start Date]],CL$27&lt;ProposalToGnatt[[#This Row],[Start Date]]+ProposalToGnatt[[#This Row],[Days]]),$G$5,"")),"")</f>
        <v/>
      </c>
      <c r="CM68" s="36" t="str">
        <f ca="1">IFERROR(+IF(CM$27=ProposalToGnatt[[#This Row],[Start Date]],Milestone_Marker,IF(AND(CM$27&gt;ProposalToGnatt[[#This Row],[Start Date]],CM$27&lt;ProposalToGnatt[[#This Row],[Start Date]]+ProposalToGnatt[[#This Row],[Days]]),$G$5,"")),"")</f>
        <v/>
      </c>
      <c r="CN68" s="36" t="str">
        <f ca="1">IFERROR(+IF(CN$27=ProposalToGnatt[[#This Row],[Start Date]],Milestone_Marker,IF(AND(CN$27&gt;ProposalToGnatt[[#This Row],[Start Date]],CN$27&lt;ProposalToGnatt[[#This Row],[Start Date]]+ProposalToGnatt[[#This Row],[Days]]),$G$5,"")),"")</f>
        <v/>
      </c>
      <c r="CO68" s="36" t="str">
        <f ca="1">IFERROR(+IF(CO$27=ProposalToGnatt[[#This Row],[Start Date]],Milestone_Marker,IF(AND(CO$27&gt;ProposalToGnatt[[#This Row],[Start Date]],CO$27&lt;ProposalToGnatt[[#This Row],[Start Date]]+ProposalToGnatt[[#This Row],[Days]]),$G$5,"")),"")</f>
        <v/>
      </c>
      <c r="CP68" s="36" t="str">
        <f ca="1">IFERROR(+IF(CP$27=ProposalToGnatt[[#This Row],[Start Date]],Milestone_Marker,IF(AND(CP$27&gt;ProposalToGnatt[[#This Row],[Start Date]],CP$27&lt;ProposalToGnatt[[#This Row],[Start Date]]+ProposalToGnatt[[#This Row],[Days]]),$G$5,"")),"")</f>
        <v/>
      </c>
      <c r="CQ68" s="36" t="str">
        <f ca="1">IFERROR(+IF(CQ$27=ProposalToGnatt[[#This Row],[Start Date]],Milestone_Marker,IF(AND(CQ$27&gt;ProposalToGnatt[[#This Row],[Start Date]],CQ$27&lt;ProposalToGnatt[[#This Row],[Start Date]]+ProposalToGnatt[[#This Row],[Days]]),$G$5,"")),"")</f>
        <v/>
      </c>
      <c r="CR68" s="36" t="str">
        <f ca="1">IFERROR(+IF(CR$27=ProposalToGnatt[[#This Row],[Start Date]],Milestone_Marker,IF(AND(CR$27&gt;ProposalToGnatt[[#This Row],[Start Date]],CR$27&lt;ProposalToGnatt[[#This Row],[Start Date]]+ProposalToGnatt[[#This Row],[Days]]),$G$5,"")),"")</f>
        <v/>
      </c>
      <c r="CS68" s="36" t="str">
        <f ca="1">IFERROR(+IF(CS$27=ProposalToGnatt[[#This Row],[Start Date]],Milestone_Marker,IF(AND(CS$27&gt;ProposalToGnatt[[#This Row],[Start Date]],CS$27&lt;ProposalToGnatt[[#This Row],[Start Date]]+ProposalToGnatt[[#This Row],[Days]]),$G$5,"")),"")</f>
        <v/>
      </c>
      <c r="CT68" s="36" t="str">
        <f ca="1">IFERROR(+IF(CT$27=ProposalToGnatt[[#This Row],[Start Date]],Milestone_Marker,IF(AND(CT$27&gt;ProposalToGnatt[[#This Row],[Start Date]],CT$27&lt;ProposalToGnatt[[#This Row],[Start Date]]+ProposalToGnatt[[#This Row],[Days]]),$G$5,"")),"")</f>
        <v/>
      </c>
      <c r="CU68" s="36" t="str">
        <f ca="1">IFERROR(+IF(CU$27=ProposalToGnatt[[#This Row],[Start Date]],Milestone_Marker,IF(AND(CU$27&gt;ProposalToGnatt[[#This Row],[Start Date]],CU$27&lt;ProposalToGnatt[[#This Row],[Start Date]]+ProposalToGnatt[[#This Row],[Days]]),$G$5,"")),"")</f>
        <v/>
      </c>
      <c r="CV68" s="36"/>
      <c r="CW68" s="36"/>
      <c r="CX68" s="36"/>
      <c r="CY68" s="36"/>
      <c r="CZ68" s="36"/>
      <c r="DA68" s="36"/>
      <c r="DB68" s="36"/>
      <c r="DC68" s="36"/>
      <c r="DD68" s="36"/>
      <c r="DE68" s="36"/>
      <c r="DF68" s="36"/>
      <c r="DG68" s="36"/>
      <c r="DH68" s="36"/>
      <c r="DI68" s="36"/>
      <c r="DJ68" s="36"/>
      <c r="DK68" s="36"/>
      <c r="DL68" s="36"/>
      <c r="DM68" s="36"/>
      <c r="DN68" s="36"/>
      <c r="DO68" s="36"/>
      <c r="DP68" s="36"/>
      <c r="DQ68" s="36"/>
      <c r="DR68" s="36"/>
      <c r="DS68" s="36"/>
      <c r="DT68" s="36"/>
      <c r="DU68" s="36"/>
    </row>
    <row r="69" spans="1:125" s="41" customFormat="1" ht="15" x14ac:dyDescent="0.25">
      <c r="A69" t="s">
        <v>267</v>
      </c>
      <c r="B69">
        <v>51</v>
      </c>
      <c r="C69"/>
      <c r="D69" t="s">
        <v>969</v>
      </c>
      <c r="E69" s="568" t="s">
        <v>970</v>
      </c>
      <c r="F69">
        <v>1</v>
      </c>
      <c r="G69" s="14">
        <v>59.97</v>
      </c>
      <c r="H69" s="14">
        <v>59.97</v>
      </c>
      <c r="I69" t="s">
        <v>3</v>
      </c>
      <c r="J69">
        <v>1</v>
      </c>
      <c r="K69" s="249"/>
      <c r="L69"/>
      <c r="M69" s="14"/>
      <c r="N69" s="300">
        <v>59.97</v>
      </c>
      <c r="O69" s="554"/>
      <c r="P69" s="36" t="str">
        <f ca="1">IFERROR(+IF(P$27=ProposalToGnatt[[#This Row],[Start Date]],Milestone_Marker,IF(AND(P$27&gt;ProposalToGnatt[[#This Row],[Start Date]],P$27&lt;ProposalToGnatt[[#This Row],[Start Date]]+ProposalToGnatt[[#This Row],[Days]]),$G$5,"")),"")</f>
        <v/>
      </c>
      <c r="Q69" s="36" t="str">
        <f ca="1">IFERROR(+IF(Q$27=ProposalToGnatt[[#This Row],[Start Date]],Milestone_Marker,IF(AND(Q$27&gt;ProposalToGnatt[[#This Row],[Start Date]],Q$27&lt;ProposalToGnatt[[#This Row],[Start Date]]+ProposalToGnatt[[#This Row],[Days]]),$G$5,"")),"")</f>
        <v/>
      </c>
      <c r="R69" s="36" t="str">
        <f ca="1">IFERROR(+IF(R$27=ProposalToGnatt[[#This Row],[Start Date]],Milestone_Marker,IF(AND(R$27&gt;ProposalToGnatt[[#This Row],[Start Date]],R$27&lt;ProposalToGnatt[[#This Row],[Start Date]]+ProposalToGnatt[[#This Row],[Days]]),$G$5,"")),"")</f>
        <v/>
      </c>
      <c r="S69" s="36" t="str">
        <f ca="1">IFERROR(+IF(S$27=ProposalToGnatt[[#This Row],[Start Date]],Milestone_Marker,IF(AND(S$27&gt;ProposalToGnatt[[#This Row],[Start Date]],S$27&lt;ProposalToGnatt[[#This Row],[Start Date]]+ProposalToGnatt[[#This Row],[Days]]),$G$5,"")),"")</f>
        <v/>
      </c>
      <c r="T69" s="36" t="str">
        <f ca="1">IFERROR(+IF(T$27=ProposalToGnatt[[#This Row],[Start Date]],Milestone_Marker,IF(AND(T$27&gt;ProposalToGnatt[[#This Row],[Start Date]],T$27&lt;ProposalToGnatt[[#This Row],[Start Date]]+ProposalToGnatt[[#This Row],[Days]]),$G$5,"")),"")</f>
        <v/>
      </c>
      <c r="U69" s="36" t="str">
        <f ca="1">IFERROR(+IF(U$27=ProposalToGnatt[[#This Row],[Start Date]],Milestone_Marker,IF(AND(U$27&gt;ProposalToGnatt[[#This Row],[Start Date]],U$27&lt;ProposalToGnatt[[#This Row],[Start Date]]+ProposalToGnatt[[#This Row],[Days]]),$G$5,"")),"")</f>
        <v/>
      </c>
      <c r="V69" s="36" t="str">
        <f ca="1">IFERROR(+IF(V$27=ProposalToGnatt[[#This Row],[Start Date]],Milestone_Marker,IF(AND(V$27&gt;ProposalToGnatt[[#This Row],[Start Date]],V$27&lt;ProposalToGnatt[[#This Row],[Start Date]]+ProposalToGnatt[[#This Row],[Days]]),$G$5,"")),"")</f>
        <v/>
      </c>
      <c r="W69" s="36" t="str">
        <f ca="1">IFERROR(+IF(W$27=ProposalToGnatt[[#This Row],[Start Date]],Milestone_Marker,IF(AND(W$27&gt;ProposalToGnatt[[#This Row],[Start Date]],W$27&lt;ProposalToGnatt[[#This Row],[Start Date]]+ProposalToGnatt[[#This Row],[Days]]),$G$5,"")),"")</f>
        <v/>
      </c>
      <c r="X69" s="36" t="str">
        <f ca="1">IFERROR(+IF(X$27=ProposalToGnatt[[#This Row],[Start Date]],Milestone_Marker,IF(AND(X$27&gt;ProposalToGnatt[[#This Row],[Start Date]],X$27&lt;ProposalToGnatt[[#This Row],[Start Date]]+ProposalToGnatt[[#This Row],[Days]]),$G$5,"")),"")</f>
        <v/>
      </c>
      <c r="Y69" s="36" t="str">
        <f ca="1">IFERROR(+IF(Y$27=ProposalToGnatt[[#This Row],[Start Date]],Milestone_Marker,IF(AND(Y$27&gt;ProposalToGnatt[[#This Row],[Start Date]],Y$27&lt;ProposalToGnatt[[#This Row],[Start Date]]+ProposalToGnatt[[#This Row],[Days]]),$G$5,"")),"")</f>
        <v/>
      </c>
      <c r="Z69" s="36" t="str">
        <f ca="1">IFERROR(+IF(Z$27=ProposalToGnatt[[#This Row],[Start Date]],Milestone_Marker,IF(AND(Z$27&gt;ProposalToGnatt[[#This Row],[Start Date]],Z$27&lt;ProposalToGnatt[[#This Row],[Start Date]]+ProposalToGnatt[[#This Row],[Days]]),$G$5,"")),"")</f>
        <v/>
      </c>
      <c r="AA69" s="36" t="str">
        <f ca="1">IFERROR(+IF(AA$27=ProposalToGnatt[[#This Row],[Start Date]],Milestone_Marker,IF(AND(AA$27&gt;ProposalToGnatt[[#This Row],[Start Date]],AA$27&lt;ProposalToGnatt[[#This Row],[Start Date]]+ProposalToGnatt[[#This Row],[Days]]),$G$5,"")),"")</f>
        <v/>
      </c>
      <c r="AB69" s="36" t="str">
        <f ca="1">IFERROR(+IF(AB$27=ProposalToGnatt[[#This Row],[Start Date]],Milestone_Marker,IF(AND(AB$27&gt;ProposalToGnatt[[#This Row],[Start Date]],AB$27&lt;ProposalToGnatt[[#This Row],[Start Date]]+ProposalToGnatt[[#This Row],[Days]]),$G$5,"")),"")</f>
        <v/>
      </c>
      <c r="AC69" s="36" t="str">
        <f ca="1">IFERROR(+IF(AC$27=ProposalToGnatt[[#This Row],[Start Date]],Milestone_Marker,IF(AND(AC$27&gt;ProposalToGnatt[[#This Row],[Start Date]],AC$27&lt;ProposalToGnatt[[#This Row],[Start Date]]+ProposalToGnatt[[#This Row],[Days]]),$G$5,"")),"")</f>
        <v/>
      </c>
      <c r="AD69" s="36" t="str">
        <f ca="1">IFERROR(+IF(AD$27=ProposalToGnatt[[#This Row],[Start Date]],Milestone_Marker,IF(AND(AD$27&gt;ProposalToGnatt[[#This Row],[Start Date]],AD$27&lt;ProposalToGnatt[[#This Row],[Start Date]]+ProposalToGnatt[[#This Row],[Days]]),$G$5,"")),"")</f>
        <v/>
      </c>
      <c r="AE69" s="36" t="str">
        <f ca="1">IFERROR(+IF(AE$27=ProposalToGnatt[[#This Row],[Start Date]],Milestone_Marker,IF(AND(AE$27&gt;ProposalToGnatt[[#This Row],[Start Date]],AE$27&lt;ProposalToGnatt[[#This Row],[Start Date]]+ProposalToGnatt[[#This Row],[Days]]),$G$5,"")),"")</f>
        <v/>
      </c>
      <c r="AF69" s="36" t="str">
        <f ca="1">IFERROR(+IF(AF$27=ProposalToGnatt[[#This Row],[Start Date]],Milestone_Marker,IF(AND(AF$27&gt;ProposalToGnatt[[#This Row],[Start Date]],AF$27&lt;ProposalToGnatt[[#This Row],[Start Date]]+ProposalToGnatt[[#This Row],[Days]]),$G$5,"")),"")</f>
        <v/>
      </c>
      <c r="AG69" s="36" t="str">
        <f ca="1">IFERROR(+IF(AG$27=ProposalToGnatt[[#This Row],[Start Date]],Milestone_Marker,IF(AND(AG$27&gt;ProposalToGnatt[[#This Row],[Start Date]],AG$27&lt;ProposalToGnatt[[#This Row],[Start Date]]+ProposalToGnatt[[#This Row],[Days]]),$G$5,"")),"")</f>
        <v/>
      </c>
      <c r="AH69" s="36" t="str">
        <f ca="1">IFERROR(+IF(AH$27=ProposalToGnatt[[#This Row],[Start Date]],Milestone_Marker,IF(AND(AH$27&gt;ProposalToGnatt[[#This Row],[Start Date]],AH$27&lt;ProposalToGnatt[[#This Row],[Start Date]]+ProposalToGnatt[[#This Row],[Days]]),$G$5,"")),"")</f>
        <v/>
      </c>
      <c r="AI69" s="36" t="str">
        <f ca="1">IFERROR(+IF(AI$27=ProposalToGnatt[[#This Row],[Start Date]],Milestone_Marker,IF(AND(AI$27&gt;ProposalToGnatt[[#This Row],[Start Date]],AI$27&lt;ProposalToGnatt[[#This Row],[Start Date]]+ProposalToGnatt[[#This Row],[Days]]),$G$5,"")),"")</f>
        <v/>
      </c>
      <c r="AJ69" s="36" t="str">
        <f ca="1">IFERROR(+IF(AJ$27=ProposalToGnatt[[#This Row],[Start Date]],Milestone_Marker,IF(AND(AJ$27&gt;ProposalToGnatt[[#This Row],[Start Date]],AJ$27&lt;ProposalToGnatt[[#This Row],[Start Date]]+ProposalToGnatt[[#This Row],[Days]]),$G$5,"")),"")</f>
        <v/>
      </c>
      <c r="AK69" s="36" t="str">
        <f ca="1">IFERROR(+IF(AK$27=ProposalToGnatt[[#This Row],[Start Date]],Milestone_Marker,IF(AND(AK$27&gt;ProposalToGnatt[[#This Row],[Start Date]],AK$27&lt;ProposalToGnatt[[#This Row],[Start Date]]+ProposalToGnatt[[#This Row],[Days]]),$G$5,"")),"")</f>
        <v/>
      </c>
      <c r="AL69" s="36" t="str">
        <f ca="1">IFERROR(+IF(AL$27=ProposalToGnatt[[#This Row],[Start Date]],Milestone_Marker,IF(AND(AL$27&gt;ProposalToGnatt[[#This Row],[Start Date]],AL$27&lt;ProposalToGnatt[[#This Row],[Start Date]]+ProposalToGnatt[[#This Row],[Days]]),$G$5,"")),"")</f>
        <v/>
      </c>
      <c r="AM69" s="36" t="str">
        <f ca="1">IFERROR(+IF(AM$27=ProposalToGnatt[[#This Row],[Start Date]],Milestone_Marker,IF(AND(AM$27&gt;ProposalToGnatt[[#This Row],[Start Date]],AM$27&lt;ProposalToGnatt[[#This Row],[Start Date]]+ProposalToGnatt[[#This Row],[Days]]),$G$5,"")),"")</f>
        <v/>
      </c>
      <c r="AN69" s="36" t="str">
        <f ca="1">IFERROR(+IF(AN$27=ProposalToGnatt[[#This Row],[Start Date]],Milestone_Marker,IF(AND(AN$27&gt;ProposalToGnatt[[#This Row],[Start Date]],AN$27&lt;ProposalToGnatt[[#This Row],[Start Date]]+ProposalToGnatt[[#This Row],[Days]]),$G$5,"")),"")</f>
        <v/>
      </c>
      <c r="AO69" s="36" t="str">
        <f ca="1">IFERROR(+IF(AO$27=ProposalToGnatt[[#This Row],[Start Date]],Milestone_Marker,IF(AND(AO$27&gt;ProposalToGnatt[[#This Row],[Start Date]],AO$27&lt;ProposalToGnatt[[#This Row],[Start Date]]+ProposalToGnatt[[#This Row],[Days]]),$G$5,"")),"")</f>
        <v/>
      </c>
      <c r="AP69" s="36" t="str">
        <f ca="1">IFERROR(+IF(AP$27=ProposalToGnatt[[#This Row],[Start Date]],Milestone_Marker,IF(AND(AP$27&gt;ProposalToGnatt[[#This Row],[Start Date]],AP$27&lt;ProposalToGnatt[[#This Row],[Start Date]]+ProposalToGnatt[[#This Row],[Days]]),$G$5,"")),"")</f>
        <v/>
      </c>
      <c r="AQ69" s="36" t="str">
        <f ca="1">IFERROR(+IF(AQ$27=ProposalToGnatt[[#This Row],[Start Date]],Milestone_Marker,IF(AND(AQ$27&gt;ProposalToGnatt[[#This Row],[Start Date]],AQ$27&lt;ProposalToGnatt[[#This Row],[Start Date]]+ProposalToGnatt[[#This Row],[Days]]),$G$5,"")),"")</f>
        <v/>
      </c>
      <c r="AR69" s="36" t="str">
        <f ca="1">IFERROR(+IF(AR$27=ProposalToGnatt[[#This Row],[Start Date]],Milestone_Marker,IF(AND(AR$27&gt;ProposalToGnatt[[#This Row],[Start Date]],AR$27&lt;ProposalToGnatt[[#This Row],[Start Date]]+ProposalToGnatt[[#This Row],[Days]]),$G$5,"")),"")</f>
        <v/>
      </c>
      <c r="AS69" s="36" t="str">
        <f ca="1">IFERROR(+IF(AS$27=ProposalToGnatt[[#This Row],[Start Date]],Milestone_Marker,IF(AND(AS$27&gt;ProposalToGnatt[[#This Row],[Start Date]],AS$27&lt;ProposalToGnatt[[#This Row],[Start Date]]+ProposalToGnatt[[#This Row],[Days]]),$G$5,"")),"")</f>
        <v/>
      </c>
      <c r="AT69" s="36" t="str">
        <f ca="1">IFERROR(+IF(AT$27=ProposalToGnatt[[#This Row],[Start Date]],Milestone_Marker,IF(AND(AT$27&gt;ProposalToGnatt[[#This Row],[Start Date]],AT$27&lt;ProposalToGnatt[[#This Row],[Start Date]]+ProposalToGnatt[[#This Row],[Days]]),$G$5,"")),"")</f>
        <v/>
      </c>
      <c r="AU69" s="36" t="str">
        <f ca="1">IFERROR(+IF(AU$27=ProposalToGnatt[[#This Row],[Start Date]],Milestone_Marker,IF(AND(AU$27&gt;ProposalToGnatt[[#This Row],[Start Date]],AU$27&lt;ProposalToGnatt[[#This Row],[Start Date]]+ProposalToGnatt[[#This Row],[Days]]),$G$5,"")),"")</f>
        <v/>
      </c>
      <c r="AV69" s="36" t="str">
        <f ca="1">IFERROR(+IF(AV$27=ProposalToGnatt[[#This Row],[Start Date]],Milestone_Marker,IF(AND(AV$27&gt;ProposalToGnatt[[#This Row],[Start Date]],AV$27&lt;ProposalToGnatt[[#This Row],[Start Date]]+ProposalToGnatt[[#This Row],[Days]]),$G$5,"")),"")</f>
        <v/>
      </c>
      <c r="AW69" s="36" t="str">
        <f ca="1">IFERROR(+IF(AW$27=ProposalToGnatt[[#This Row],[Start Date]],Milestone_Marker,IF(AND(AW$27&gt;ProposalToGnatt[[#This Row],[Start Date]],AW$27&lt;ProposalToGnatt[[#This Row],[Start Date]]+ProposalToGnatt[[#This Row],[Days]]),$G$5,"")),"")</f>
        <v/>
      </c>
      <c r="AX69" s="36" t="str">
        <f ca="1">IFERROR(+IF(AX$27=ProposalToGnatt[[#This Row],[Start Date]],Milestone_Marker,IF(AND(AX$27&gt;ProposalToGnatt[[#This Row],[Start Date]],AX$27&lt;ProposalToGnatt[[#This Row],[Start Date]]+ProposalToGnatt[[#This Row],[Days]]),$G$5,"")),"")</f>
        <v/>
      </c>
      <c r="AY69" s="36" t="str">
        <f ca="1">IFERROR(+IF(AY$27=ProposalToGnatt[[#This Row],[Start Date]],Milestone_Marker,IF(AND(AY$27&gt;ProposalToGnatt[[#This Row],[Start Date]],AY$27&lt;ProposalToGnatt[[#This Row],[Start Date]]+ProposalToGnatt[[#This Row],[Days]]),$G$5,"")),"")</f>
        <v/>
      </c>
      <c r="AZ69" s="36" t="str">
        <f ca="1">IFERROR(+IF(AZ$27=ProposalToGnatt[[#This Row],[Start Date]],Milestone_Marker,IF(AND(AZ$27&gt;ProposalToGnatt[[#This Row],[Start Date]],AZ$27&lt;ProposalToGnatt[[#This Row],[Start Date]]+ProposalToGnatt[[#This Row],[Days]]),$G$5,"")),"")</f>
        <v/>
      </c>
      <c r="BA69" s="36" t="str">
        <f ca="1">IFERROR(+IF(BA$27=ProposalToGnatt[[#This Row],[Start Date]],Milestone_Marker,IF(AND(BA$27&gt;ProposalToGnatt[[#This Row],[Start Date]],BA$27&lt;ProposalToGnatt[[#This Row],[Start Date]]+ProposalToGnatt[[#This Row],[Days]]),$G$5,"")),"")</f>
        <v/>
      </c>
      <c r="BB69" s="36" t="str">
        <f ca="1">IFERROR(+IF(BB$27=ProposalToGnatt[[#This Row],[Start Date]],Milestone_Marker,IF(AND(BB$27&gt;ProposalToGnatt[[#This Row],[Start Date]],BB$27&lt;ProposalToGnatt[[#This Row],[Start Date]]+ProposalToGnatt[[#This Row],[Days]]),$G$5,"")),"")</f>
        <v/>
      </c>
      <c r="BC69" s="36" t="str">
        <f ca="1">IFERROR(+IF(BC$27=ProposalToGnatt[[#This Row],[Start Date]],Milestone_Marker,IF(AND(BC$27&gt;ProposalToGnatt[[#This Row],[Start Date]],BC$27&lt;ProposalToGnatt[[#This Row],[Start Date]]+ProposalToGnatt[[#This Row],[Days]]),$G$5,"")),"")</f>
        <v/>
      </c>
      <c r="BD69" s="36" t="str">
        <f ca="1">IFERROR(+IF(BD$27=ProposalToGnatt[[#This Row],[Start Date]],Milestone_Marker,IF(AND(BD$27&gt;ProposalToGnatt[[#This Row],[Start Date]],BD$27&lt;ProposalToGnatt[[#This Row],[Start Date]]+ProposalToGnatt[[#This Row],[Days]]),$G$5,"")),"")</f>
        <v/>
      </c>
      <c r="BE69" s="36" t="str">
        <f ca="1">IFERROR(+IF(BE$27=ProposalToGnatt[[#This Row],[Start Date]],Milestone_Marker,IF(AND(BE$27&gt;ProposalToGnatt[[#This Row],[Start Date]],BE$27&lt;ProposalToGnatt[[#This Row],[Start Date]]+ProposalToGnatt[[#This Row],[Days]]),$G$5,"")),"")</f>
        <v/>
      </c>
      <c r="BF69" s="36" t="str">
        <f ca="1">IFERROR(+IF(BF$27=ProposalToGnatt[[#This Row],[Start Date]],Milestone_Marker,IF(AND(BF$27&gt;ProposalToGnatt[[#This Row],[Start Date]],BF$27&lt;ProposalToGnatt[[#This Row],[Start Date]]+ProposalToGnatt[[#This Row],[Days]]),$G$5,"")),"")</f>
        <v/>
      </c>
      <c r="BG69" s="36" t="str">
        <f ca="1">IFERROR(+IF(BG$27=ProposalToGnatt[[#This Row],[Start Date]],Milestone_Marker,IF(AND(BG$27&gt;ProposalToGnatt[[#This Row],[Start Date]],BG$27&lt;ProposalToGnatt[[#This Row],[Start Date]]+ProposalToGnatt[[#This Row],[Days]]),$G$5,"")),"")</f>
        <v/>
      </c>
      <c r="BH69" s="36" t="str">
        <f ca="1">IFERROR(+IF(BH$27=ProposalToGnatt[[#This Row],[Start Date]],Milestone_Marker,IF(AND(BH$27&gt;ProposalToGnatt[[#This Row],[Start Date]],BH$27&lt;ProposalToGnatt[[#This Row],[Start Date]]+ProposalToGnatt[[#This Row],[Days]]),$G$5,"")),"")</f>
        <v/>
      </c>
      <c r="BI69" s="36" t="str">
        <f ca="1">IFERROR(+IF(BI$27=ProposalToGnatt[[#This Row],[Start Date]],Milestone_Marker,IF(AND(BI$27&gt;ProposalToGnatt[[#This Row],[Start Date]],BI$27&lt;ProposalToGnatt[[#This Row],[Start Date]]+ProposalToGnatt[[#This Row],[Days]]),$G$5,"")),"")</f>
        <v/>
      </c>
      <c r="BJ69" s="36" t="str">
        <f ca="1">IFERROR(+IF(BJ$27=ProposalToGnatt[[#This Row],[Start Date]],Milestone_Marker,IF(AND(BJ$27&gt;ProposalToGnatt[[#This Row],[Start Date]],BJ$27&lt;ProposalToGnatt[[#This Row],[Start Date]]+ProposalToGnatt[[#This Row],[Days]]),$G$5,"")),"")</f>
        <v/>
      </c>
      <c r="BK69" s="36" t="str">
        <f ca="1">IFERROR(+IF(BK$27=ProposalToGnatt[[#This Row],[Start Date]],Milestone_Marker,IF(AND(BK$27&gt;ProposalToGnatt[[#This Row],[Start Date]],BK$27&lt;ProposalToGnatt[[#This Row],[Start Date]]+ProposalToGnatt[[#This Row],[Days]]),$G$5,"")),"")</f>
        <v/>
      </c>
      <c r="BL69" s="36" t="str">
        <f ca="1">IFERROR(+IF(BL$27=ProposalToGnatt[[#This Row],[Start Date]],Milestone_Marker,IF(AND(BL$27&gt;ProposalToGnatt[[#This Row],[Start Date]],BL$27&lt;ProposalToGnatt[[#This Row],[Start Date]]+ProposalToGnatt[[#This Row],[Days]]),$G$5,"")),"")</f>
        <v/>
      </c>
      <c r="BM69" s="36" t="str">
        <f ca="1">IFERROR(+IF(BM$27=ProposalToGnatt[[#This Row],[Start Date]],Milestone_Marker,IF(AND(BM$27&gt;ProposalToGnatt[[#This Row],[Start Date]],BM$27&lt;ProposalToGnatt[[#This Row],[Start Date]]+ProposalToGnatt[[#This Row],[Days]]),$G$5,"")),"")</f>
        <v/>
      </c>
      <c r="BN69" s="36" t="str">
        <f ca="1">IFERROR(+IF(BN$27=ProposalToGnatt[[#This Row],[Start Date]],Milestone_Marker,IF(AND(BN$27&gt;ProposalToGnatt[[#This Row],[Start Date]],BN$27&lt;ProposalToGnatt[[#This Row],[Start Date]]+ProposalToGnatt[[#This Row],[Days]]),$G$5,"")),"")</f>
        <v/>
      </c>
      <c r="BO69" s="36" t="str">
        <f ca="1">IFERROR(+IF(BO$27=ProposalToGnatt[[#This Row],[Start Date]],Milestone_Marker,IF(AND(BO$27&gt;ProposalToGnatt[[#This Row],[Start Date]],BO$27&lt;ProposalToGnatt[[#This Row],[Start Date]]+ProposalToGnatt[[#This Row],[Days]]),$G$5,"")),"")</f>
        <v/>
      </c>
      <c r="BP69" s="36" t="str">
        <f ca="1">IFERROR(+IF(BP$27=ProposalToGnatt[[#This Row],[Start Date]],Milestone_Marker,IF(AND(BP$27&gt;ProposalToGnatt[[#This Row],[Start Date]],BP$27&lt;ProposalToGnatt[[#This Row],[Start Date]]+ProposalToGnatt[[#This Row],[Days]]),$G$5,"")),"")</f>
        <v/>
      </c>
      <c r="BQ69" s="36" t="str">
        <f ca="1">IFERROR(+IF(BQ$27=ProposalToGnatt[[#This Row],[Start Date]],Milestone_Marker,IF(AND(BQ$27&gt;ProposalToGnatt[[#This Row],[Start Date]],BQ$27&lt;ProposalToGnatt[[#This Row],[Start Date]]+ProposalToGnatt[[#This Row],[Days]]),$G$5,"")),"")</f>
        <v/>
      </c>
      <c r="BR69" s="36" t="str">
        <f ca="1">IFERROR(+IF(BR$27=ProposalToGnatt[[#This Row],[Start Date]],Milestone_Marker,IF(AND(BR$27&gt;ProposalToGnatt[[#This Row],[Start Date]],BR$27&lt;ProposalToGnatt[[#This Row],[Start Date]]+ProposalToGnatt[[#This Row],[Days]]),$G$5,"")),"")</f>
        <v/>
      </c>
      <c r="BS69" s="36" t="str">
        <f ca="1">IFERROR(+IF(BS$27=ProposalToGnatt[[#This Row],[Start Date]],Milestone_Marker,IF(AND(BS$27&gt;ProposalToGnatt[[#This Row],[Start Date]],BS$27&lt;ProposalToGnatt[[#This Row],[Start Date]]+ProposalToGnatt[[#This Row],[Days]]),$G$5,"")),"")</f>
        <v/>
      </c>
      <c r="BT69" s="36" t="str">
        <f ca="1">IFERROR(+IF(BT$27=ProposalToGnatt[[#This Row],[Start Date]],Milestone_Marker,IF(AND(BT$27&gt;ProposalToGnatt[[#This Row],[Start Date]],BT$27&lt;ProposalToGnatt[[#This Row],[Start Date]]+ProposalToGnatt[[#This Row],[Days]]),$G$5,"")),"")</f>
        <v/>
      </c>
      <c r="BU69" s="36" t="str">
        <f ca="1">IFERROR(+IF(BU$27=ProposalToGnatt[[#This Row],[Start Date]],Milestone_Marker,IF(AND(BU$27&gt;ProposalToGnatt[[#This Row],[Start Date]],BU$27&lt;ProposalToGnatt[[#This Row],[Start Date]]+ProposalToGnatt[[#This Row],[Days]]),$G$5,"")),"")</f>
        <v/>
      </c>
      <c r="BV69" s="36" t="str">
        <f ca="1">IFERROR(+IF(BV$27=ProposalToGnatt[[#This Row],[Start Date]],Milestone_Marker,IF(AND(BV$27&gt;ProposalToGnatt[[#This Row],[Start Date]],BV$27&lt;ProposalToGnatt[[#This Row],[Start Date]]+ProposalToGnatt[[#This Row],[Days]]),$G$5,"")),"")</f>
        <v/>
      </c>
      <c r="BW69" s="36" t="str">
        <f ca="1">IFERROR(+IF(BW$27=ProposalToGnatt[[#This Row],[Start Date]],Milestone_Marker,IF(AND(BW$27&gt;ProposalToGnatt[[#This Row],[Start Date]],BW$27&lt;ProposalToGnatt[[#This Row],[Start Date]]+ProposalToGnatt[[#This Row],[Days]]),$G$5,"")),"")</f>
        <v/>
      </c>
      <c r="BX69" s="36" t="str">
        <f ca="1">IFERROR(+IF(BX$27=ProposalToGnatt[[#This Row],[Start Date]],Milestone_Marker,IF(AND(BX$27&gt;ProposalToGnatt[[#This Row],[Start Date]],BX$27&lt;ProposalToGnatt[[#This Row],[Start Date]]+ProposalToGnatt[[#This Row],[Days]]),$G$5,"")),"")</f>
        <v/>
      </c>
      <c r="BY69" s="36" t="str">
        <f ca="1">IFERROR(+IF(BY$27=ProposalToGnatt[[#This Row],[Start Date]],Milestone_Marker,IF(AND(BY$27&gt;ProposalToGnatt[[#This Row],[Start Date]],BY$27&lt;ProposalToGnatt[[#This Row],[Start Date]]+ProposalToGnatt[[#This Row],[Days]]),$G$5,"")),"")</f>
        <v/>
      </c>
      <c r="BZ69" s="36" t="str">
        <f ca="1">IFERROR(+IF(BZ$27=ProposalToGnatt[[#This Row],[Start Date]],Milestone_Marker,IF(AND(BZ$27&gt;ProposalToGnatt[[#This Row],[Start Date]],BZ$27&lt;ProposalToGnatt[[#This Row],[Start Date]]+ProposalToGnatt[[#This Row],[Days]]),$G$5,"")),"")</f>
        <v/>
      </c>
      <c r="CA69" s="36" t="str">
        <f ca="1">IFERROR(+IF(CA$27=ProposalToGnatt[[#This Row],[Start Date]],Milestone_Marker,IF(AND(CA$27&gt;ProposalToGnatt[[#This Row],[Start Date]],CA$27&lt;ProposalToGnatt[[#This Row],[Start Date]]+ProposalToGnatt[[#This Row],[Days]]),$G$5,"")),"")</f>
        <v/>
      </c>
      <c r="CB69" s="36" t="str">
        <f ca="1">IFERROR(+IF(CB$27=ProposalToGnatt[[#This Row],[Start Date]],Milestone_Marker,IF(AND(CB$27&gt;ProposalToGnatt[[#This Row],[Start Date]],CB$27&lt;ProposalToGnatt[[#This Row],[Start Date]]+ProposalToGnatt[[#This Row],[Days]]),$G$5,"")),"")</f>
        <v/>
      </c>
      <c r="CC69" s="36" t="str">
        <f ca="1">IFERROR(+IF(CC$27=ProposalToGnatt[[#This Row],[Start Date]],Milestone_Marker,IF(AND(CC$27&gt;ProposalToGnatt[[#This Row],[Start Date]],CC$27&lt;ProposalToGnatt[[#This Row],[Start Date]]+ProposalToGnatt[[#This Row],[Days]]),$G$5,"")),"")</f>
        <v/>
      </c>
      <c r="CD69" s="36" t="str">
        <f ca="1">IFERROR(+IF(CD$27=ProposalToGnatt[[#This Row],[Start Date]],Milestone_Marker,IF(AND(CD$27&gt;ProposalToGnatt[[#This Row],[Start Date]],CD$27&lt;ProposalToGnatt[[#This Row],[Start Date]]+ProposalToGnatt[[#This Row],[Days]]),$G$5,"")),"")</f>
        <v/>
      </c>
      <c r="CE69" s="36" t="str">
        <f ca="1">IFERROR(+IF(CE$27=ProposalToGnatt[[#This Row],[Start Date]],Milestone_Marker,IF(AND(CE$27&gt;ProposalToGnatt[[#This Row],[Start Date]],CE$27&lt;ProposalToGnatt[[#This Row],[Start Date]]+ProposalToGnatt[[#This Row],[Days]]),$G$5,"")),"")</f>
        <v/>
      </c>
      <c r="CF69" s="36" t="str">
        <f ca="1">IFERROR(+IF(CF$27=ProposalToGnatt[[#This Row],[Start Date]],Milestone_Marker,IF(AND(CF$27&gt;ProposalToGnatt[[#This Row],[Start Date]],CF$27&lt;ProposalToGnatt[[#This Row],[Start Date]]+ProposalToGnatt[[#This Row],[Days]]),$G$5,"")),"")</f>
        <v/>
      </c>
      <c r="CG69" s="36" t="str">
        <f ca="1">IFERROR(+IF(CG$27=ProposalToGnatt[[#This Row],[Start Date]],Milestone_Marker,IF(AND(CG$27&gt;ProposalToGnatt[[#This Row],[Start Date]],CG$27&lt;ProposalToGnatt[[#This Row],[Start Date]]+ProposalToGnatt[[#This Row],[Days]]),$G$5,"")),"")</f>
        <v/>
      </c>
      <c r="CH69" s="36" t="str">
        <f ca="1">IFERROR(+IF(CH$27=ProposalToGnatt[[#This Row],[Start Date]],Milestone_Marker,IF(AND(CH$27&gt;ProposalToGnatt[[#This Row],[Start Date]],CH$27&lt;ProposalToGnatt[[#This Row],[Start Date]]+ProposalToGnatt[[#This Row],[Days]]),$G$5,"")),"")</f>
        <v/>
      </c>
      <c r="CI69" s="36" t="str">
        <f ca="1">IFERROR(+IF(CI$27=ProposalToGnatt[[#This Row],[Start Date]],Milestone_Marker,IF(AND(CI$27&gt;ProposalToGnatt[[#This Row],[Start Date]],CI$27&lt;ProposalToGnatt[[#This Row],[Start Date]]+ProposalToGnatt[[#This Row],[Days]]),$G$5,"")),"")</f>
        <v/>
      </c>
      <c r="CJ69" s="36" t="str">
        <f ca="1">IFERROR(+IF(CJ$27=ProposalToGnatt[[#This Row],[Start Date]],Milestone_Marker,IF(AND(CJ$27&gt;ProposalToGnatt[[#This Row],[Start Date]],CJ$27&lt;ProposalToGnatt[[#This Row],[Start Date]]+ProposalToGnatt[[#This Row],[Days]]),$G$5,"")),"")</f>
        <v/>
      </c>
      <c r="CK69" s="36" t="str">
        <f ca="1">IFERROR(+IF(CK$27=ProposalToGnatt[[#This Row],[Start Date]],Milestone_Marker,IF(AND(CK$27&gt;ProposalToGnatt[[#This Row],[Start Date]],CK$27&lt;ProposalToGnatt[[#This Row],[Start Date]]+ProposalToGnatt[[#This Row],[Days]]),$G$5,"")),"")</f>
        <v/>
      </c>
      <c r="CL69" s="36" t="str">
        <f ca="1">IFERROR(+IF(CL$27=ProposalToGnatt[[#This Row],[Start Date]],Milestone_Marker,IF(AND(CL$27&gt;ProposalToGnatt[[#This Row],[Start Date]],CL$27&lt;ProposalToGnatt[[#This Row],[Start Date]]+ProposalToGnatt[[#This Row],[Days]]),$G$5,"")),"")</f>
        <v/>
      </c>
      <c r="CM69" s="36" t="str">
        <f ca="1">IFERROR(+IF(CM$27=ProposalToGnatt[[#This Row],[Start Date]],Milestone_Marker,IF(AND(CM$27&gt;ProposalToGnatt[[#This Row],[Start Date]],CM$27&lt;ProposalToGnatt[[#This Row],[Start Date]]+ProposalToGnatt[[#This Row],[Days]]),$G$5,"")),"")</f>
        <v/>
      </c>
      <c r="CN69" s="36" t="str">
        <f ca="1">IFERROR(+IF(CN$27=ProposalToGnatt[[#This Row],[Start Date]],Milestone_Marker,IF(AND(CN$27&gt;ProposalToGnatt[[#This Row],[Start Date]],CN$27&lt;ProposalToGnatt[[#This Row],[Start Date]]+ProposalToGnatt[[#This Row],[Days]]),$G$5,"")),"")</f>
        <v/>
      </c>
      <c r="CO69" s="36" t="str">
        <f ca="1">IFERROR(+IF(CO$27=ProposalToGnatt[[#This Row],[Start Date]],Milestone_Marker,IF(AND(CO$27&gt;ProposalToGnatt[[#This Row],[Start Date]],CO$27&lt;ProposalToGnatt[[#This Row],[Start Date]]+ProposalToGnatt[[#This Row],[Days]]),$G$5,"")),"")</f>
        <v/>
      </c>
      <c r="CP69" s="36" t="str">
        <f ca="1">IFERROR(+IF(CP$27=ProposalToGnatt[[#This Row],[Start Date]],Milestone_Marker,IF(AND(CP$27&gt;ProposalToGnatt[[#This Row],[Start Date]],CP$27&lt;ProposalToGnatt[[#This Row],[Start Date]]+ProposalToGnatt[[#This Row],[Days]]),$G$5,"")),"")</f>
        <v/>
      </c>
      <c r="CQ69" s="36" t="str">
        <f ca="1">IFERROR(+IF(CQ$27=ProposalToGnatt[[#This Row],[Start Date]],Milestone_Marker,IF(AND(CQ$27&gt;ProposalToGnatt[[#This Row],[Start Date]],CQ$27&lt;ProposalToGnatt[[#This Row],[Start Date]]+ProposalToGnatt[[#This Row],[Days]]),$G$5,"")),"")</f>
        <v/>
      </c>
      <c r="CR69" s="36" t="str">
        <f ca="1">IFERROR(+IF(CR$27=ProposalToGnatt[[#This Row],[Start Date]],Milestone_Marker,IF(AND(CR$27&gt;ProposalToGnatt[[#This Row],[Start Date]],CR$27&lt;ProposalToGnatt[[#This Row],[Start Date]]+ProposalToGnatt[[#This Row],[Days]]),$G$5,"")),"")</f>
        <v/>
      </c>
      <c r="CS69" s="36" t="str">
        <f ca="1">IFERROR(+IF(CS$27=ProposalToGnatt[[#This Row],[Start Date]],Milestone_Marker,IF(AND(CS$27&gt;ProposalToGnatt[[#This Row],[Start Date]],CS$27&lt;ProposalToGnatt[[#This Row],[Start Date]]+ProposalToGnatt[[#This Row],[Days]]),$G$5,"")),"")</f>
        <v/>
      </c>
      <c r="CT69" s="36" t="str">
        <f ca="1">IFERROR(+IF(CT$27=ProposalToGnatt[[#This Row],[Start Date]],Milestone_Marker,IF(AND(CT$27&gt;ProposalToGnatt[[#This Row],[Start Date]],CT$27&lt;ProposalToGnatt[[#This Row],[Start Date]]+ProposalToGnatt[[#This Row],[Days]]),$G$5,"")),"")</f>
        <v/>
      </c>
      <c r="CU69" s="36" t="str">
        <f ca="1">IFERROR(+IF(CU$27=ProposalToGnatt[[#This Row],[Start Date]],Milestone_Marker,IF(AND(CU$27&gt;ProposalToGnatt[[#This Row],[Start Date]],CU$27&lt;ProposalToGnatt[[#This Row],[Start Date]]+ProposalToGnatt[[#This Row],[Days]]),$G$5,"")),"")</f>
        <v/>
      </c>
      <c r="CV69" s="36"/>
      <c r="CW69" s="36"/>
      <c r="CX69" s="36"/>
      <c r="CY69" s="36"/>
      <c r="CZ69" s="36"/>
      <c r="DA69" s="36"/>
      <c r="DB69" s="36"/>
      <c r="DC69" s="36"/>
      <c r="DD69" s="36"/>
      <c r="DE69" s="36"/>
      <c r="DF69" s="36"/>
      <c r="DG69" s="36"/>
      <c r="DH69" s="36"/>
      <c r="DI69" s="36"/>
      <c r="DJ69" s="36"/>
      <c r="DK69" s="36"/>
      <c r="DL69" s="36"/>
      <c r="DM69" s="36"/>
      <c r="DN69" s="36"/>
      <c r="DO69" s="36"/>
      <c r="DP69" s="36"/>
      <c r="DQ69" s="36"/>
      <c r="DR69" s="36"/>
      <c r="DS69" s="36"/>
      <c r="DT69" s="36"/>
      <c r="DU69" s="36"/>
    </row>
    <row r="70" spans="1:125" s="41" customFormat="1" ht="15" x14ac:dyDescent="0.25">
      <c r="A70" t="s">
        <v>267</v>
      </c>
      <c r="B70">
        <v>52</v>
      </c>
      <c r="C70"/>
      <c r="D70" t="s">
        <v>969</v>
      </c>
      <c r="E70" s="568" t="s">
        <v>978</v>
      </c>
      <c r="F70">
        <v>1</v>
      </c>
      <c r="G70" s="14">
        <v>47.13</v>
      </c>
      <c r="H70" s="14">
        <v>47.13</v>
      </c>
      <c r="I70" t="s">
        <v>3</v>
      </c>
      <c r="J70">
        <v>1</v>
      </c>
      <c r="K70" s="249"/>
      <c r="L70"/>
      <c r="M70" s="14"/>
      <c r="N70" s="300">
        <v>47.13</v>
      </c>
      <c r="O70" s="554"/>
      <c r="P70" s="36" t="str">
        <f ca="1">IFERROR(+IF(P$27=ProposalToGnatt[[#This Row],[Start Date]],Milestone_Marker,IF(AND(P$27&gt;ProposalToGnatt[[#This Row],[Start Date]],P$27&lt;ProposalToGnatt[[#This Row],[Start Date]]+ProposalToGnatt[[#This Row],[Days]]),$G$5,"")),"")</f>
        <v/>
      </c>
      <c r="Q70" s="36" t="str">
        <f ca="1">IFERROR(+IF(Q$27=ProposalToGnatt[[#This Row],[Start Date]],Milestone_Marker,IF(AND(Q$27&gt;ProposalToGnatt[[#This Row],[Start Date]],Q$27&lt;ProposalToGnatt[[#This Row],[Start Date]]+ProposalToGnatt[[#This Row],[Days]]),$G$5,"")),"")</f>
        <v/>
      </c>
      <c r="R70" s="36" t="str">
        <f ca="1">IFERROR(+IF(R$27=ProposalToGnatt[[#This Row],[Start Date]],Milestone_Marker,IF(AND(R$27&gt;ProposalToGnatt[[#This Row],[Start Date]],R$27&lt;ProposalToGnatt[[#This Row],[Start Date]]+ProposalToGnatt[[#This Row],[Days]]),$G$5,"")),"")</f>
        <v/>
      </c>
      <c r="S70" s="36" t="str">
        <f ca="1">IFERROR(+IF(S$27=ProposalToGnatt[[#This Row],[Start Date]],Milestone_Marker,IF(AND(S$27&gt;ProposalToGnatt[[#This Row],[Start Date]],S$27&lt;ProposalToGnatt[[#This Row],[Start Date]]+ProposalToGnatt[[#This Row],[Days]]),$G$5,"")),"")</f>
        <v/>
      </c>
      <c r="T70" s="36" t="str">
        <f ca="1">IFERROR(+IF(T$27=ProposalToGnatt[[#This Row],[Start Date]],Milestone_Marker,IF(AND(T$27&gt;ProposalToGnatt[[#This Row],[Start Date]],T$27&lt;ProposalToGnatt[[#This Row],[Start Date]]+ProposalToGnatt[[#This Row],[Days]]),$G$5,"")),"")</f>
        <v/>
      </c>
      <c r="U70" s="36" t="str">
        <f ca="1">IFERROR(+IF(U$27=ProposalToGnatt[[#This Row],[Start Date]],Milestone_Marker,IF(AND(U$27&gt;ProposalToGnatt[[#This Row],[Start Date]],U$27&lt;ProposalToGnatt[[#This Row],[Start Date]]+ProposalToGnatt[[#This Row],[Days]]),$G$5,"")),"")</f>
        <v/>
      </c>
      <c r="V70" s="36" t="str">
        <f ca="1">IFERROR(+IF(V$27=ProposalToGnatt[[#This Row],[Start Date]],Milestone_Marker,IF(AND(V$27&gt;ProposalToGnatt[[#This Row],[Start Date]],V$27&lt;ProposalToGnatt[[#This Row],[Start Date]]+ProposalToGnatt[[#This Row],[Days]]),$G$5,"")),"")</f>
        <v/>
      </c>
      <c r="W70" s="36" t="str">
        <f ca="1">IFERROR(+IF(W$27=ProposalToGnatt[[#This Row],[Start Date]],Milestone_Marker,IF(AND(W$27&gt;ProposalToGnatt[[#This Row],[Start Date]],W$27&lt;ProposalToGnatt[[#This Row],[Start Date]]+ProposalToGnatt[[#This Row],[Days]]),$G$5,"")),"")</f>
        <v/>
      </c>
      <c r="X70" s="36" t="str">
        <f ca="1">IFERROR(+IF(X$27=ProposalToGnatt[[#This Row],[Start Date]],Milestone_Marker,IF(AND(X$27&gt;ProposalToGnatt[[#This Row],[Start Date]],X$27&lt;ProposalToGnatt[[#This Row],[Start Date]]+ProposalToGnatt[[#This Row],[Days]]),$G$5,"")),"")</f>
        <v/>
      </c>
      <c r="Y70" s="36" t="str">
        <f ca="1">IFERROR(+IF(Y$27=ProposalToGnatt[[#This Row],[Start Date]],Milestone_Marker,IF(AND(Y$27&gt;ProposalToGnatt[[#This Row],[Start Date]],Y$27&lt;ProposalToGnatt[[#This Row],[Start Date]]+ProposalToGnatt[[#This Row],[Days]]),$G$5,"")),"")</f>
        <v/>
      </c>
      <c r="Z70" s="36" t="str">
        <f ca="1">IFERROR(+IF(Z$27=ProposalToGnatt[[#This Row],[Start Date]],Milestone_Marker,IF(AND(Z$27&gt;ProposalToGnatt[[#This Row],[Start Date]],Z$27&lt;ProposalToGnatt[[#This Row],[Start Date]]+ProposalToGnatt[[#This Row],[Days]]),$G$5,"")),"")</f>
        <v/>
      </c>
      <c r="AA70" s="36" t="str">
        <f ca="1">IFERROR(+IF(AA$27=ProposalToGnatt[[#This Row],[Start Date]],Milestone_Marker,IF(AND(AA$27&gt;ProposalToGnatt[[#This Row],[Start Date]],AA$27&lt;ProposalToGnatt[[#This Row],[Start Date]]+ProposalToGnatt[[#This Row],[Days]]),$G$5,"")),"")</f>
        <v/>
      </c>
      <c r="AB70" s="36" t="str">
        <f ca="1">IFERROR(+IF(AB$27=ProposalToGnatt[[#This Row],[Start Date]],Milestone_Marker,IF(AND(AB$27&gt;ProposalToGnatt[[#This Row],[Start Date]],AB$27&lt;ProposalToGnatt[[#This Row],[Start Date]]+ProposalToGnatt[[#This Row],[Days]]),$G$5,"")),"")</f>
        <v/>
      </c>
      <c r="AC70" s="36" t="str">
        <f ca="1">IFERROR(+IF(AC$27=ProposalToGnatt[[#This Row],[Start Date]],Milestone_Marker,IF(AND(AC$27&gt;ProposalToGnatt[[#This Row],[Start Date]],AC$27&lt;ProposalToGnatt[[#This Row],[Start Date]]+ProposalToGnatt[[#This Row],[Days]]),$G$5,"")),"")</f>
        <v/>
      </c>
      <c r="AD70" s="36" t="str">
        <f ca="1">IFERROR(+IF(AD$27=ProposalToGnatt[[#This Row],[Start Date]],Milestone_Marker,IF(AND(AD$27&gt;ProposalToGnatt[[#This Row],[Start Date]],AD$27&lt;ProposalToGnatt[[#This Row],[Start Date]]+ProposalToGnatt[[#This Row],[Days]]),$G$5,"")),"")</f>
        <v/>
      </c>
      <c r="AE70" s="36" t="str">
        <f ca="1">IFERROR(+IF(AE$27=ProposalToGnatt[[#This Row],[Start Date]],Milestone_Marker,IF(AND(AE$27&gt;ProposalToGnatt[[#This Row],[Start Date]],AE$27&lt;ProposalToGnatt[[#This Row],[Start Date]]+ProposalToGnatt[[#This Row],[Days]]),$G$5,"")),"")</f>
        <v/>
      </c>
      <c r="AF70" s="36" t="str">
        <f ca="1">IFERROR(+IF(AF$27=ProposalToGnatt[[#This Row],[Start Date]],Milestone_Marker,IF(AND(AF$27&gt;ProposalToGnatt[[#This Row],[Start Date]],AF$27&lt;ProposalToGnatt[[#This Row],[Start Date]]+ProposalToGnatt[[#This Row],[Days]]),$G$5,"")),"")</f>
        <v/>
      </c>
      <c r="AG70" s="36" t="str">
        <f ca="1">IFERROR(+IF(AG$27=ProposalToGnatt[[#This Row],[Start Date]],Milestone_Marker,IF(AND(AG$27&gt;ProposalToGnatt[[#This Row],[Start Date]],AG$27&lt;ProposalToGnatt[[#This Row],[Start Date]]+ProposalToGnatt[[#This Row],[Days]]),$G$5,"")),"")</f>
        <v/>
      </c>
      <c r="AH70" s="36" t="str">
        <f ca="1">IFERROR(+IF(AH$27=ProposalToGnatt[[#This Row],[Start Date]],Milestone_Marker,IF(AND(AH$27&gt;ProposalToGnatt[[#This Row],[Start Date]],AH$27&lt;ProposalToGnatt[[#This Row],[Start Date]]+ProposalToGnatt[[#This Row],[Days]]),$G$5,"")),"")</f>
        <v/>
      </c>
      <c r="AI70" s="36" t="str">
        <f ca="1">IFERROR(+IF(AI$27=ProposalToGnatt[[#This Row],[Start Date]],Milestone_Marker,IF(AND(AI$27&gt;ProposalToGnatt[[#This Row],[Start Date]],AI$27&lt;ProposalToGnatt[[#This Row],[Start Date]]+ProposalToGnatt[[#This Row],[Days]]),$G$5,"")),"")</f>
        <v/>
      </c>
      <c r="AJ70" s="36" t="str">
        <f ca="1">IFERROR(+IF(AJ$27=ProposalToGnatt[[#This Row],[Start Date]],Milestone_Marker,IF(AND(AJ$27&gt;ProposalToGnatt[[#This Row],[Start Date]],AJ$27&lt;ProposalToGnatt[[#This Row],[Start Date]]+ProposalToGnatt[[#This Row],[Days]]),$G$5,"")),"")</f>
        <v/>
      </c>
      <c r="AK70" s="36" t="str">
        <f ca="1">IFERROR(+IF(AK$27=ProposalToGnatt[[#This Row],[Start Date]],Milestone_Marker,IF(AND(AK$27&gt;ProposalToGnatt[[#This Row],[Start Date]],AK$27&lt;ProposalToGnatt[[#This Row],[Start Date]]+ProposalToGnatt[[#This Row],[Days]]),$G$5,"")),"")</f>
        <v/>
      </c>
      <c r="AL70" s="36" t="str">
        <f ca="1">IFERROR(+IF(AL$27=ProposalToGnatt[[#This Row],[Start Date]],Milestone_Marker,IF(AND(AL$27&gt;ProposalToGnatt[[#This Row],[Start Date]],AL$27&lt;ProposalToGnatt[[#This Row],[Start Date]]+ProposalToGnatt[[#This Row],[Days]]),$G$5,"")),"")</f>
        <v/>
      </c>
      <c r="AM70" s="36" t="str">
        <f ca="1">IFERROR(+IF(AM$27=ProposalToGnatt[[#This Row],[Start Date]],Milestone_Marker,IF(AND(AM$27&gt;ProposalToGnatt[[#This Row],[Start Date]],AM$27&lt;ProposalToGnatt[[#This Row],[Start Date]]+ProposalToGnatt[[#This Row],[Days]]),$G$5,"")),"")</f>
        <v/>
      </c>
      <c r="AN70" s="36" t="str">
        <f ca="1">IFERROR(+IF(AN$27=ProposalToGnatt[[#This Row],[Start Date]],Milestone_Marker,IF(AND(AN$27&gt;ProposalToGnatt[[#This Row],[Start Date]],AN$27&lt;ProposalToGnatt[[#This Row],[Start Date]]+ProposalToGnatt[[#This Row],[Days]]),$G$5,"")),"")</f>
        <v/>
      </c>
      <c r="AO70" s="36" t="str">
        <f ca="1">IFERROR(+IF(AO$27=ProposalToGnatt[[#This Row],[Start Date]],Milestone_Marker,IF(AND(AO$27&gt;ProposalToGnatt[[#This Row],[Start Date]],AO$27&lt;ProposalToGnatt[[#This Row],[Start Date]]+ProposalToGnatt[[#This Row],[Days]]),$G$5,"")),"")</f>
        <v/>
      </c>
      <c r="AP70" s="36" t="str">
        <f ca="1">IFERROR(+IF(AP$27=ProposalToGnatt[[#This Row],[Start Date]],Milestone_Marker,IF(AND(AP$27&gt;ProposalToGnatt[[#This Row],[Start Date]],AP$27&lt;ProposalToGnatt[[#This Row],[Start Date]]+ProposalToGnatt[[#This Row],[Days]]),$G$5,"")),"")</f>
        <v/>
      </c>
      <c r="AQ70" s="36" t="str">
        <f ca="1">IFERROR(+IF(AQ$27=ProposalToGnatt[[#This Row],[Start Date]],Milestone_Marker,IF(AND(AQ$27&gt;ProposalToGnatt[[#This Row],[Start Date]],AQ$27&lt;ProposalToGnatt[[#This Row],[Start Date]]+ProposalToGnatt[[#This Row],[Days]]),$G$5,"")),"")</f>
        <v/>
      </c>
      <c r="AR70" s="36" t="str">
        <f ca="1">IFERROR(+IF(AR$27=ProposalToGnatt[[#This Row],[Start Date]],Milestone_Marker,IF(AND(AR$27&gt;ProposalToGnatt[[#This Row],[Start Date]],AR$27&lt;ProposalToGnatt[[#This Row],[Start Date]]+ProposalToGnatt[[#This Row],[Days]]),$G$5,"")),"")</f>
        <v/>
      </c>
      <c r="AS70" s="36" t="str">
        <f ca="1">IFERROR(+IF(AS$27=ProposalToGnatt[[#This Row],[Start Date]],Milestone_Marker,IF(AND(AS$27&gt;ProposalToGnatt[[#This Row],[Start Date]],AS$27&lt;ProposalToGnatt[[#This Row],[Start Date]]+ProposalToGnatt[[#This Row],[Days]]),$G$5,"")),"")</f>
        <v/>
      </c>
      <c r="AT70" s="36" t="str">
        <f ca="1">IFERROR(+IF(AT$27=ProposalToGnatt[[#This Row],[Start Date]],Milestone_Marker,IF(AND(AT$27&gt;ProposalToGnatt[[#This Row],[Start Date]],AT$27&lt;ProposalToGnatt[[#This Row],[Start Date]]+ProposalToGnatt[[#This Row],[Days]]),$G$5,"")),"")</f>
        <v/>
      </c>
      <c r="AU70" s="36" t="str">
        <f ca="1">IFERROR(+IF(AU$27=ProposalToGnatt[[#This Row],[Start Date]],Milestone_Marker,IF(AND(AU$27&gt;ProposalToGnatt[[#This Row],[Start Date]],AU$27&lt;ProposalToGnatt[[#This Row],[Start Date]]+ProposalToGnatt[[#This Row],[Days]]),$G$5,"")),"")</f>
        <v/>
      </c>
      <c r="AV70" s="36" t="str">
        <f ca="1">IFERROR(+IF(AV$27=ProposalToGnatt[[#This Row],[Start Date]],Milestone_Marker,IF(AND(AV$27&gt;ProposalToGnatt[[#This Row],[Start Date]],AV$27&lt;ProposalToGnatt[[#This Row],[Start Date]]+ProposalToGnatt[[#This Row],[Days]]),$G$5,"")),"")</f>
        <v/>
      </c>
      <c r="AW70" s="36" t="str">
        <f ca="1">IFERROR(+IF(AW$27=ProposalToGnatt[[#This Row],[Start Date]],Milestone_Marker,IF(AND(AW$27&gt;ProposalToGnatt[[#This Row],[Start Date]],AW$27&lt;ProposalToGnatt[[#This Row],[Start Date]]+ProposalToGnatt[[#This Row],[Days]]),$G$5,"")),"")</f>
        <v/>
      </c>
      <c r="AX70" s="36" t="str">
        <f ca="1">IFERROR(+IF(AX$27=ProposalToGnatt[[#This Row],[Start Date]],Milestone_Marker,IF(AND(AX$27&gt;ProposalToGnatt[[#This Row],[Start Date]],AX$27&lt;ProposalToGnatt[[#This Row],[Start Date]]+ProposalToGnatt[[#This Row],[Days]]),$G$5,"")),"")</f>
        <v/>
      </c>
      <c r="AY70" s="36" t="str">
        <f ca="1">IFERROR(+IF(AY$27=ProposalToGnatt[[#This Row],[Start Date]],Milestone_Marker,IF(AND(AY$27&gt;ProposalToGnatt[[#This Row],[Start Date]],AY$27&lt;ProposalToGnatt[[#This Row],[Start Date]]+ProposalToGnatt[[#This Row],[Days]]),$G$5,"")),"")</f>
        <v/>
      </c>
      <c r="AZ70" s="36" t="str">
        <f ca="1">IFERROR(+IF(AZ$27=ProposalToGnatt[[#This Row],[Start Date]],Milestone_Marker,IF(AND(AZ$27&gt;ProposalToGnatt[[#This Row],[Start Date]],AZ$27&lt;ProposalToGnatt[[#This Row],[Start Date]]+ProposalToGnatt[[#This Row],[Days]]),$G$5,"")),"")</f>
        <v/>
      </c>
      <c r="BA70" s="36" t="str">
        <f ca="1">IFERROR(+IF(BA$27=ProposalToGnatt[[#This Row],[Start Date]],Milestone_Marker,IF(AND(BA$27&gt;ProposalToGnatt[[#This Row],[Start Date]],BA$27&lt;ProposalToGnatt[[#This Row],[Start Date]]+ProposalToGnatt[[#This Row],[Days]]),$G$5,"")),"")</f>
        <v/>
      </c>
      <c r="BB70" s="36" t="str">
        <f ca="1">IFERROR(+IF(BB$27=ProposalToGnatt[[#This Row],[Start Date]],Milestone_Marker,IF(AND(BB$27&gt;ProposalToGnatt[[#This Row],[Start Date]],BB$27&lt;ProposalToGnatt[[#This Row],[Start Date]]+ProposalToGnatt[[#This Row],[Days]]),$G$5,"")),"")</f>
        <v/>
      </c>
      <c r="BC70" s="36" t="str">
        <f ca="1">IFERROR(+IF(BC$27=ProposalToGnatt[[#This Row],[Start Date]],Milestone_Marker,IF(AND(BC$27&gt;ProposalToGnatt[[#This Row],[Start Date]],BC$27&lt;ProposalToGnatt[[#This Row],[Start Date]]+ProposalToGnatt[[#This Row],[Days]]),$G$5,"")),"")</f>
        <v/>
      </c>
      <c r="BD70" s="36" t="str">
        <f ca="1">IFERROR(+IF(BD$27=ProposalToGnatt[[#This Row],[Start Date]],Milestone_Marker,IF(AND(BD$27&gt;ProposalToGnatt[[#This Row],[Start Date]],BD$27&lt;ProposalToGnatt[[#This Row],[Start Date]]+ProposalToGnatt[[#This Row],[Days]]),$G$5,"")),"")</f>
        <v/>
      </c>
      <c r="BE70" s="36" t="str">
        <f ca="1">IFERROR(+IF(BE$27=ProposalToGnatt[[#This Row],[Start Date]],Milestone_Marker,IF(AND(BE$27&gt;ProposalToGnatt[[#This Row],[Start Date]],BE$27&lt;ProposalToGnatt[[#This Row],[Start Date]]+ProposalToGnatt[[#This Row],[Days]]),$G$5,"")),"")</f>
        <v/>
      </c>
      <c r="BF70" s="36" t="str">
        <f ca="1">IFERROR(+IF(BF$27=ProposalToGnatt[[#This Row],[Start Date]],Milestone_Marker,IF(AND(BF$27&gt;ProposalToGnatt[[#This Row],[Start Date]],BF$27&lt;ProposalToGnatt[[#This Row],[Start Date]]+ProposalToGnatt[[#This Row],[Days]]),$G$5,"")),"")</f>
        <v/>
      </c>
      <c r="BG70" s="36" t="str">
        <f ca="1">IFERROR(+IF(BG$27=ProposalToGnatt[[#This Row],[Start Date]],Milestone_Marker,IF(AND(BG$27&gt;ProposalToGnatt[[#This Row],[Start Date]],BG$27&lt;ProposalToGnatt[[#This Row],[Start Date]]+ProposalToGnatt[[#This Row],[Days]]),$G$5,"")),"")</f>
        <v/>
      </c>
      <c r="BH70" s="36" t="str">
        <f ca="1">IFERROR(+IF(BH$27=ProposalToGnatt[[#This Row],[Start Date]],Milestone_Marker,IF(AND(BH$27&gt;ProposalToGnatt[[#This Row],[Start Date]],BH$27&lt;ProposalToGnatt[[#This Row],[Start Date]]+ProposalToGnatt[[#This Row],[Days]]),$G$5,"")),"")</f>
        <v/>
      </c>
      <c r="BI70" s="36" t="str">
        <f ca="1">IFERROR(+IF(BI$27=ProposalToGnatt[[#This Row],[Start Date]],Milestone_Marker,IF(AND(BI$27&gt;ProposalToGnatt[[#This Row],[Start Date]],BI$27&lt;ProposalToGnatt[[#This Row],[Start Date]]+ProposalToGnatt[[#This Row],[Days]]),$G$5,"")),"")</f>
        <v/>
      </c>
      <c r="BJ70" s="36" t="str">
        <f ca="1">IFERROR(+IF(BJ$27=ProposalToGnatt[[#This Row],[Start Date]],Milestone_Marker,IF(AND(BJ$27&gt;ProposalToGnatt[[#This Row],[Start Date]],BJ$27&lt;ProposalToGnatt[[#This Row],[Start Date]]+ProposalToGnatt[[#This Row],[Days]]),$G$5,"")),"")</f>
        <v/>
      </c>
      <c r="BK70" s="36" t="str">
        <f ca="1">IFERROR(+IF(BK$27=ProposalToGnatt[[#This Row],[Start Date]],Milestone_Marker,IF(AND(BK$27&gt;ProposalToGnatt[[#This Row],[Start Date]],BK$27&lt;ProposalToGnatt[[#This Row],[Start Date]]+ProposalToGnatt[[#This Row],[Days]]),$G$5,"")),"")</f>
        <v/>
      </c>
      <c r="BL70" s="36" t="str">
        <f ca="1">IFERROR(+IF(BL$27=ProposalToGnatt[[#This Row],[Start Date]],Milestone_Marker,IF(AND(BL$27&gt;ProposalToGnatt[[#This Row],[Start Date]],BL$27&lt;ProposalToGnatt[[#This Row],[Start Date]]+ProposalToGnatt[[#This Row],[Days]]),$G$5,"")),"")</f>
        <v/>
      </c>
      <c r="BM70" s="36" t="str">
        <f ca="1">IFERROR(+IF(BM$27=ProposalToGnatt[[#This Row],[Start Date]],Milestone_Marker,IF(AND(BM$27&gt;ProposalToGnatt[[#This Row],[Start Date]],BM$27&lt;ProposalToGnatt[[#This Row],[Start Date]]+ProposalToGnatt[[#This Row],[Days]]),$G$5,"")),"")</f>
        <v/>
      </c>
      <c r="BN70" s="36" t="str">
        <f ca="1">IFERROR(+IF(BN$27=ProposalToGnatt[[#This Row],[Start Date]],Milestone_Marker,IF(AND(BN$27&gt;ProposalToGnatt[[#This Row],[Start Date]],BN$27&lt;ProposalToGnatt[[#This Row],[Start Date]]+ProposalToGnatt[[#This Row],[Days]]),$G$5,"")),"")</f>
        <v/>
      </c>
      <c r="BO70" s="36" t="str">
        <f ca="1">IFERROR(+IF(BO$27=ProposalToGnatt[[#This Row],[Start Date]],Milestone_Marker,IF(AND(BO$27&gt;ProposalToGnatt[[#This Row],[Start Date]],BO$27&lt;ProposalToGnatt[[#This Row],[Start Date]]+ProposalToGnatt[[#This Row],[Days]]),$G$5,"")),"")</f>
        <v/>
      </c>
      <c r="BP70" s="36" t="str">
        <f ca="1">IFERROR(+IF(BP$27=ProposalToGnatt[[#This Row],[Start Date]],Milestone_Marker,IF(AND(BP$27&gt;ProposalToGnatt[[#This Row],[Start Date]],BP$27&lt;ProposalToGnatt[[#This Row],[Start Date]]+ProposalToGnatt[[#This Row],[Days]]),$G$5,"")),"")</f>
        <v/>
      </c>
      <c r="BQ70" s="36" t="str">
        <f ca="1">IFERROR(+IF(BQ$27=ProposalToGnatt[[#This Row],[Start Date]],Milestone_Marker,IF(AND(BQ$27&gt;ProposalToGnatt[[#This Row],[Start Date]],BQ$27&lt;ProposalToGnatt[[#This Row],[Start Date]]+ProposalToGnatt[[#This Row],[Days]]),$G$5,"")),"")</f>
        <v/>
      </c>
      <c r="BR70" s="36" t="str">
        <f ca="1">IFERROR(+IF(BR$27=ProposalToGnatt[[#This Row],[Start Date]],Milestone_Marker,IF(AND(BR$27&gt;ProposalToGnatt[[#This Row],[Start Date]],BR$27&lt;ProposalToGnatt[[#This Row],[Start Date]]+ProposalToGnatt[[#This Row],[Days]]),$G$5,"")),"")</f>
        <v/>
      </c>
      <c r="BS70" s="36" t="str">
        <f ca="1">IFERROR(+IF(BS$27=ProposalToGnatt[[#This Row],[Start Date]],Milestone_Marker,IF(AND(BS$27&gt;ProposalToGnatt[[#This Row],[Start Date]],BS$27&lt;ProposalToGnatt[[#This Row],[Start Date]]+ProposalToGnatt[[#This Row],[Days]]),$G$5,"")),"")</f>
        <v/>
      </c>
      <c r="BT70" s="36" t="str">
        <f ca="1">IFERROR(+IF(BT$27=ProposalToGnatt[[#This Row],[Start Date]],Milestone_Marker,IF(AND(BT$27&gt;ProposalToGnatt[[#This Row],[Start Date]],BT$27&lt;ProposalToGnatt[[#This Row],[Start Date]]+ProposalToGnatt[[#This Row],[Days]]),$G$5,"")),"")</f>
        <v/>
      </c>
      <c r="BU70" s="36" t="str">
        <f ca="1">IFERROR(+IF(BU$27=ProposalToGnatt[[#This Row],[Start Date]],Milestone_Marker,IF(AND(BU$27&gt;ProposalToGnatt[[#This Row],[Start Date]],BU$27&lt;ProposalToGnatt[[#This Row],[Start Date]]+ProposalToGnatt[[#This Row],[Days]]),$G$5,"")),"")</f>
        <v/>
      </c>
      <c r="BV70" s="36" t="str">
        <f ca="1">IFERROR(+IF(BV$27=ProposalToGnatt[[#This Row],[Start Date]],Milestone_Marker,IF(AND(BV$27&gt;ProposalToGnatt[[#This Row],[Start Date]],BV$27&lt;ProposalToGnatt[[#This Row],[Start Date]]+ProposalToGnatt[[#This Row],[Days]]),$G$5,"")),"")</f>
        <v/>
      </c>
      <c r="BW70" s="36" t="str">
        <f ca="1">IFERROR(+IF(BW$27=ProposalToGnatt[[#This Row],[Start Date]],Milestone_Marker,IF(AND(BW$27&gt;ProposalToGnatt[[#This Row],[Start Date]],BW$27&lt;ProposalToGnatt[[#This Row],[Start Date]]+ProposalToGnatt[[#This Row],[Days]]),$G$5,"")),"")</f>
        <v/>
      </c>
      <c r="BX70" s="36" t="str">
        <f ca="1">IFERROR(+IF(BX$27=ProposalToGnatt[[#This Row],[Start Date]],Milestone_Marker,IF(AND(BX$27&gt;ProposalToGnatt[[#This Row],[Start Date]],BX$27&lt;ProposalToGnatt[[#This Row],[Start Date]]+ProposalToGnatt[[#This Row],[Days]]),$G$5,"")),"")</f>
        <v/>
      </c>
      <c r="BY70" s="36" t="str">
        <f ca="1">IFERROR(+IF(BY$27=ProposalToGnatt[[#This Row],[Start Date]],Milestone_Marker,IF(AND(BY$27&gt;ProposalToGnatt[[#This Row],[Start Date]],BY$27&lt;ProposalToGnatt[[#This Row],[Start Date]]+ProposalToGnatt[[#This Row],[Days]]),$G$5,"")),"")</f>
        <v/>
      </c>
      <c r="BZ70" s="36" t="str">
        <f ca="1">IFERROR(+IF(BZ$27=ProposalToGnatt[[#This Row],[Start Date]],Milestone_Marker,IF(AND(BZ$27&gt;ProposalToGnatt[[#This Row],[Start Date]],BZ$27&lt;ProposalToGnatt[[#This Row],[Start Date]]+ProposalToGnatt[[#This Row],[Days]]),$G$5,"")),"")</f>
        <v/>
      </c>
      <c r="CA70" s="36" t="str">
        <f ca="1">IFERROR(+IF(CA$27=ProposalToGnatt[[#This Row],[Start Date]],Milestone_Marker,IF(AND(CA$27&gt;ProposalToGnatt[[#This Row],[Start Date]],CA$27&lt;ProposalToGnatt[[#This Row],[Start Date]]+ProposalToGnatt[[#This Row],[Days]]),$G$5,"")),"")</f>
        <v/>
      </c>
      <c r="CB70" s="36" t="str">
        <f ca="1">IFERROR(+IF(CB$27=ProposalToGnatt[[#This Row],[Start Date]],Milestone_Marker,IF(AND(CB$27&gt;ProposalToGnatt[[#This Row],[Start Date]],CB$27&lt;ProposalToGnatt[[#This Row],[Start Date]]+ProposalToGnatt[[#This Row],[Days]]),$G$5,"")),"")</f>
        <v/>
      </c>
      <c r="CC70" s="36" t="str">
        <f ca="1">IFERROR(+IF(CC$27=ProposalToGnatt[[#This Row],[Start Date]],Milestone_Marker,IF(AND(CC$27&gt;ProposalToGnatt[[#This Row],[Start Date]],CC$27&lt;ProposalToGnatt[[#This Row],[Start Date]]+ProposalToGnatt[[#This Row],[Days]]),$G$5,"")),"")</f>
        <v/>
      </c>
      <c r="CD70" s="36" t="str">
        <f ca="1">IFERROR(+IF(CD$27=ProposalToGnatt[[#This Row],[Start Date]],Milestone_Marker,IF(AND(CD$27&gt;ProposalToGnatt[[#This Row],[Start Date]],CD$27&lt;ProposalToGnatt[[#This Row],[Start Date]]+ProposalToGnatt[[#This Row],[Days]]),$G$5,"")),"")</f>
        <v/>
      </c>
      <c r="CE70" s="36" t="str">
        <f ca="1">IFERROR(+IF(CE$27=ProposalToGnatt[[#This Row],[Start Date]],Milestone_Marker,IF(AND(CE$27&gt;ProposalToGnatt[[#This Row],[Start Date]],CE$27&lt;ProposalToGnatt[[#This Row],[Start Date]]+ProposalToGnatt[[#This Row],[Days]]),$G$5,"")),"")</f>
        <v/>
      </c>
      <c r="CF70" s="36" t="str">
        <f ca="1">IFERROR(+IF(CF$27=ProposalToGnatt[[#This Row],[Start Date]],Milestone_Marker,IF(AND(CF$27&gt;ProposalToGnatt[[#This Row],[Start Date]],CF$27&lt;ProposalToGnatt[[#This Row],[Start Date]]+ProposalToGnatt[[#This Row],[Days]]),$G$5,"")),"")</f>
        <v/>
      </c>
      <c r="CG70" s="36" t="str">
        <f ca="1">IFERROR(+IF(CG$27=ProposalToGnatt[[#This Row],[Start Date]],Milestone_Marker,IF(AND(CG$27&gt;ProposalToGnatt[[#This Row],[Start Date]],CG$27&lt;ProposalToGnatt[[#This Row],[Start Date]]+ProposalToGnatt[[#This Row],[Days]]),$G$5,"")),"")</f>
        <v/>
      </c>
      <c r="CH70" s="36" t="str">
        <f ca="1">IFERROR(+IF(CH$27=ProposalToGnatt[[#This Row],[Start Date]],Milestone_Marker,IF(AND(CH$27&gt;ProposalToGnatt[[#This Row],[Start Date]],CH$27&lt;ProposalToGnatt[[#This Row],[Start Date]]+ProposalToGnatt[[#This Row],[Days]]),$G$5,"")),"")</f>
        <v/>
      </c>
      <c r="CI70" s="36" t="str">
        <f ca="1">IFERROR(+IF(CI$27=ProposalToGnatt[[#This Row],[Start Date]],Milestone_Marker,IF(AND(CI$27&gt;ProposalToGnatt[[#This Row],[Start Date]],CI$27&lt;ProposalToGnatt[[#This Row],[Start Date]]+ProposalToGnatt[[#This Row],[Days]]),$G$5,"")),"")</f>
        <v/>
      </c>
      <c r="CJ70" s="36" t="str">
        <f ca="1">IFERROR(+IF(CJ$27=ProposalToGnatt[[#This Row],[Start Date]],Milestone_Marker,IF(AND(CJ$27&gt;ProposalToGnatt[[#This Row],[Start Date]],CJ$27&lt;ProposalToGnatt[[#This Row],[Start Date]]+ProposalToGnatt[[#This Row],[Days]]),$G$5,"")),"")</f>
        <v/>
      </c>
      <c r="CK70" s="36" t="str">
        <f ca="1">IFERROR(+IF(CK$27=ProposalToGnatt[[#This Row],[Start Date]],Milestone_Marker,IF(AND(CK$27&gt;ProposalToGnatt[[#This Row],[Start Date]],CK$27&lt;ProposalToGnatt[[#This Row],[Start Date]]+ProposalToGnatt[[#This Row],[Days]]),$G$5,"")),"")</f>
        <v/>
      </c>
      <c r="CL70" s="36" t="str">
        <f ca="1">IFERROR(+IF(CL$27=ProposalToGnatt[[#This Row],[Start Date]],Milestone_Marker,IF(AND(CL$27&gt;ProposalToGnatt[[#This Row],[Start Date]],CL$27&lt;ProposalToGnatt[[#This Row],[Start Date]]+ProposalToGnatt[[#This Row],[Days]]),$G$5,"")),"")</f>
        <v/>
      </c>
      <c r="CM70" s="36" t="str">
        <f ca="1">IFERROR(+IF(CM$27=ProposalToGnatt[[#This Row],[Start Date]],Milestone_Marker,IF(AND(CM$27&gt;ProposalToGnatt[[#This Row],[Start Date]],CM$27&lt;ProposalToGnatt[[#This Row],[Start Date]]+ProposalToGnatt[[#This Row],[Days]]),$G$5,"")),"")</f>
        <v/>
      </c>
      <c r="CN70" s="36" t="str">
        <f ca="1">IFERROR(+IF(CN$27=ProposalToGnatt[[#This Row],[Start Date]],Milestone_Marker,IF(AND(CN$27&gt;ProposalToGnatt[[#This Row],[Start Date]],CN$27&lt;ProposalToGnatt[[#This Row],[Start Date]]+ProposalToGnatt[[#This Row],[Days]]),$G$5,"")),"")</f>
        <v/>
      </c>
      <c r="CO70" s="36" t="str">
        <f ca="1">IFERROR(+IF(CO$27=ProposalToGnatt[[#This Row],[Start Date]],Milestone_Marker,IF(AND(CO$27&gt;ProposalToGnatt[[#This Row],[Start Date]],CO$27&lt;ProposalToGnatt[[#This Row],[Start Date]]+ProposalToGnatt[[#This Row],[Days]]),$G$5,"")),"")</f>
        <v/>
      </c>
      <c r="CP70" s="36" t="str">
        <f ca="1">IFERROR(+IF(CP$27=ProposalToGnatt[[#This Row],[Start Date]],Milestone_Marker,IF(AND(CP$27&gt;ProposalToGnatt[[#This Row],[Start Date]],CP$27&lt;ProposalToGnatt[[#This Row],[Start Date]]+ProposalToGnatt[[#This Row],[Days]]),$G$5,"")),"")</f>
        <v/>
      </c>
      <c r="CQ70" s="36" t="str">
        <f ca="1">IFERROR(+IF(CQ$27=ProposalToGnatt[[#This Row],[Start Date]],Milestone_Marker,IF(AND(CQ$27&gt;ProposalToGnatt[[#This Row],[Start Date]],CQ$27&lt;ProposalToGnatt[[#This Row],[Start Date]]+ProposalToGnatt[[#This Row],[Days]]),$G$5,"")),"")</f>
        <v/>
      </c>
      <c r="CR70" s="36" t="str">
        <f ca="1">IFERROR(+IF(CR$27=ProposalToGnatt[[#This Row],[Start Date]],Milestone_Marker,IF(AND(CR$27&gt;ProposalToGnatt[[#This Row],[Start Date]],CR$27&lt;ProposalToGnatt[[#This Row],[Start Date]]+ProposalToGnatt[[#This Row],[Days]]),$G$5,"")),"")</f>
        <v/>
      </c>
      <c r="CS70" s="36" t="str">
        <f ca="1">IFERROR(+IF(CS$27=ProposalToGnatt[[#This Row],[Start Date]],Milestone_Marker,IF(AND(CS$27&gt;ProposalToGnatt[[#This Row],[Start Date]],CS$27&lt;ProposalToGnatt[[#This Row],[Start Date]]+ProposalToGnatt[[#This Row],[Days]]),$G$5,"")),"")</f>
        <v/>
      </c>
      <c r="CT70" s="36" t="str">
        <f ca="1">IFERROR(+IF(CT$27=ProposalToGnatt[[#This Row],[Start Date]],Milestone_Marker,IF(AND(CT$27&gt;ProposalToGnatt[[#This Row],[Start Date]],CT$27&lt;ProposalToGnatt[[#This Row],[Start Date]]+ProposalToGnatt[[#This Row],[Days]]),$G$5,"")),"")</f>
        <v/>
      </c>
      <c r="CU70" s="36" t="str">
        <f ca="1">IFERROR(+IF(CU$27=ProposalToGnatt[[#This Row],[Start Date]],Milestone_Marker,IF(AND(CU$27&gt;ProposalToGnatt[[#This Row],[Start Date]],CU$27&lt;ProposalToGnatt[[#This Row],[Start Date]]+ProposalToGnatt[[#This Row],[Days]]),$G$5,"")),"")</f>
        <v/>
      </c>
      <c r="CV70" s="36"/>
      <c r="CW70" s="36"/>
      <c r="CX70" s="36"/>
      <c r="CY70" s="36"/>
      <c r="CZ70" s="36"/>
      <c r="DA70" s="36"/>
      <c r="DB70" s="36"/>
      <c r="DC70" s="36"/>
      <c r="DD70" s="36"/>
      <c r="DE70" s="36"/>
      <c r="DF70" s="36"/>
      <c r="DG70" s="36"/>
      <c r="DH70" s="36"/>
      <c r="DI70" s="36"/>
      <c r="DJ70" s="36"/>
      <c r="DK70" s="36"/>
      <c r="DL70" s="36"/>
      <c r="DM70" s="36"/>
      <c r="DN70" s="36"/>
      <c r="DO70" s="36"/>
      <c r="DP70" s="36"/>
      <c r="DQ70" s="36"/>
      <c r="DR70" s="36"/>
      <c r="DS70" s="36"/>
      <c r="DT70" s="36"/>
      <c r="DU70" s="36"/>
    </row>
    <row r="71" spans="1:125" s="41" customFormat="1" ht="15" x14ac:dyDescent="0.25">
      <c r="A71" t="s">
        <v>267</v>
      </c>
      <c r="B71">
        <v>53</v>
      </c>
      <c r="C71"/>
      <c r="D71" t="s">
        <v>969</v>
      </c>
      <c r="E71" s="568" t="s">
        <v>971</v>
      </c>
      <c r="F71">
        <v>1</v>
      </c>
      <c r="G71" s="14">
        <v>82</v>
      </c>
      <c r="H71" s="14">
        <v>82</v>
      </c>
      <c r="I71" t="s">
        <v>3</v>
      </c>
      <c r="J71">
        <v>1</v>
      </c>
      <c r="K71" s="249"/>
      <c r="L71"/>
      <c r="M71" s="14"/>
      <c r="N71" s="300">
        <v>82</v>
      </c>
      <c r="O71" s="554"/>
      <c r="P71" s="36" t="str">
        <f ca="1">IFERROR(+IF(P$27=ProposalToGnatt[[#This Row],[Start Date]],Milestone_Marker,IF(AND(P$27&gt;ProposalToGnatt[[#This Row],[Start Date]],P$27&lt;ProposalToGnatt[[#This Row],[Start Date]]+ProposalToGnatt[[#This Row],[Days]]),$G$5,"")),"")</f>
        <v/>
      </c>
      <c r="Q71" s="36" t="str">
        <f ca="1">IFERROR(+IF(Q$27=ProposalToGnatt[[#This Row],[Start Date]],Milestone_Marker,IF(AND(Q$27&gt;ProposalToGnatt[[#This Row],[Start Date]],Q$27&lt;ProposalToGnatt[[#This Row],[Start Date]]+ProposalToGnatt[[#This Row],[Days]]),$G$5,"")),"")</f>
        <v/>
      </c>
      <c r="R71" s="36" t="str">
        <f ca="1">IFERROR(+IF(R$27=ProposalToGnatt[[#This Row],[Start Date]],Milestone_Marker,IF(AND(R$27&gt;ProposalToGnatt[[#This Row],[Start Date]],R$27&lt;ProposalToGnatt[[#This Row],[Start Date]]+ProposalToGnatt[[#This Row],[Days]]),$G$5,"")),"")</f>
        <v/>
      </c>
      <c r="S71" s="36" t="str">
        <f ca="1">IFERROR(+IF(S$27=ProposalToGnatt[[#This Row],[Start Date]],Milestone_Marker,IF(AND(S$27&gt;ProposalToGnatt[[#This Row],[Start Date]],S$27&lt;ProposalToGnatt[[#This Row],[Start Date]]+ProposalToGnatt[[#This Row],[Days]]),$G$5,"")),"")</f>
        <v/>
      </c>
      <c r="T71" s="36" t="str">
        <f ca="1">IFERROR(+IF(T$27=ProposalToGnatt[[#This Row],[Start Date]],Milestone_Marker,IF(AND(T$27&gt;ProposalToGnatt[[#This Row],[Start Date]],T$27&lt;ProposalToGnatt[[#This Row],[Start Date]]+ProposalToGnatt[[#This Row],[Days]]),$G$5,"")),"")</f>
        <v/>
      </c>
      <c r="U71" s="36" t="str">
        <f ca="1">IFERROR(+IF(U$27=ProposalToGnatt[[#This Row],[Start Date]],Milestone_Marker,IF(AND(U$27&gt;ProposalToGnatt[[#This Row],[Start Date]],U$27&lt;ProposalToGnatt[[#This Row],[Start Date]]+ProposalToGnatt[[#This Row],[Days]]),$G$5,"")),"")</f>
        <v/>
      </c>
      <c r="V71" s="36" t="str">
        <f ca="1">IFERROR(+IF(V$27=ProposalToGnatt[[#This Row],[Start Date]],Milestone_Marker,IF(AND(V$27&gt;ProposalToGnatt[[#This Row],[Start Date]],V$27&lt;ProposalToGnatt[[#This Row],[Start Date]]+ProposalToGnatt[[#This Row],[Days]]),$G$5,"")),"")</f>
        <v/>
      </c>
      <c r="W71" s="36" t="str">
        <f ca="1">IFERROR(+IF(W$27=ProposalToGnatt[[#This Row],[Start Date]],Milestone_Marker,IF(AND(W$27&gt;ProposalToGnatt[[#This Row],[Start Date]],W$27&lt;ProposalToGnatt[[#This Row],[Start Date]]+ProposalToGnatt[[#This Row],[Days]]),$G$5,"")),"")</f>
        <v/>
      </c>
      <c r="X71" s="36" t="str">
        <f ca="1">IFERROR(+IF(X$27=ProposalToGnatt[[#This Row],[Start Date]],Milestone_Marker,IF(AND(X$27&gt;ProposalToGnatt[[#This Row],[Start Date]],X$27&lt;ProposalToGnatt[[#This Row],[Start Date]]+ProposalToGnatt[[#This Row],[Days]]),$G$5,"")),"")</f>
        <v/>
      </c>
      <c r="Y71" s="36" t="str">
        <f ca="1">IFERROR(+IF(Y$27=ProposalToGnatt[[#This Row],[Start Date]],Milestone_Marker,IF(AND(Y$27&gt;ProposalToGnatt[[#This Row],[Start Date]],Y$27&lt;ProposalToGnatt[[#This Row],[Start Date]]+ProposalToGnatt[[#This Row],[Days]]),$G$5,"")),"")</f>
        <v/>
      </c>
      <c r="Z71" s="36" t="str">
        <f ca="1">IFERROR(+IF(Z$27=ProposalToGnatt[[#This Row],[Start Date]],Milestone_Marker,IF(AND(Z$27&gt;ProposalToGnatt[[#This Row],[Start Date]],Z$27&lt;ProposalToGnatt[[#This Row],[Start Date]]+ProposalToGnatt[[#This Row],[Days]]),$G$5,"")),"")</f>
        <v/>
      </c>
      <c r="AA71" s="36" t="str">
        <f ca="1">IFERROR(+IF(AA$27=ProposalToGnatt[[#This Row],[Start Date]],Milestone_Marker,IF(AND(AA$27&gt;ProposalToGnatt[[#This Row],[Start Date]],AA$27&lt;ProposalToGnatt[[#This Row],[Start Date]]+ProposalToGnatt[[#This Row],[Days]]),$G$5,"")),"")</f>
        <v/>
      </c>
      <c r="AB71" s="36" t="str">
        <f ca="1">IFERROR(+IF(AB$27=ProposalToGnatt[[#This Row],[Start Date]],Milestone_Marker,IF(AND(AB$27&gt;ProposalToGnatt[[#This Row],[Start Date]],AB$27&lt;ProposalToGnatt[[#This Row],[Start Date]]+ProposalToGnatt[[#This Row],[Days]]),$G$5,"")),"")</f>
        <v/>
      </c>
      <c r="AC71" s="36" t="str">
        <f ca="1">IFERROR(+IF(AC$27=ProposalToGnatt[[#This Row],[Start Date]],Milestone_Marker,IF(AND(AC$27&gt;ProposalToGnatt[[#This Row],[Start Date]],AC$27&lt;ProposalToGnatt[[#This Row],[Start Date]]+ProposalToGnatt[[#This Row],[Days]]),$G$5,"")),"")</f>
        <v/>
      </c>
      <c r="AD71" s="36" t="str">
        <f ca="1">IFERROR(+IF(AD$27=ProposalToGnatt[[#This Row],[Start Date]],Milestone_Marker,IF(AND(AD$27&gt;ProposalToGnatt[[#This Row],[Start Date]],AD$27&lt;ProposalToGnatt[[#This Row],[Start Date]]+ProposalToGnatt[[#This Row],[Days]]),$G$5,"")),"")</f>
        <v/>
      </c>
      <c r="AE71" s="36" t="str">
        <f ca="1">IFERROR(+IF(AE$27=ProposalToGnatt[[#This Row],[Start Date]],Milestone_Marker,IF(AND(AE$27&gt;ProposalToGnatt[[#This Row],[Start Date]],AE$27&lt;ProposalToGnatt[[#This Row],[Start Date]]+ProposalToGnatt[[#This Row],[Days]]),$G$5,"")),"")</f>
        <v/>
      </c>
      <c r="AF71" s="36" t="str">
        <f ca="1">IFERROR(+IF(AF$27=ProposalToGnatt[[#This Row],[Start Date]],Milestone_Marker,IF(AND(AF$27&gt;ProposalToGnatt[[#This Row],[Start Date]],AF$27&lt;ProposalToGnatt[[#This Row],[Start Date]]+ProposalToGnatt[[#This Row],[Days]]),$G$5,"")),"")</f>
        <v/>
      </c>
      <c r="AG71" s="36" t="str">
        <f ca="1">IFERROR(+IF(AG$27=ProposalToGnatt[[#This Row],[Start Date]],Milestone_Marker,IF(AND(AG$27&gt;ProposalToGnatt[[#This Row],[Start Date]],AG$27&lt;ProposalToGnatt[[#This Row],[Start Date]]+ProposalToGnatt[[#This Row],[Days]]),$G$5,"")),"")</f>
        <v/>
      </c>
      <c r="AH71" s="36" t="str">
        <f ca="1">IFERROR(+IF(AH$27=ProposalToGnatt[[#This Row],[Start Date]],Milestone_Marker,IF(AND(AH$27&gt;ProposalToGnatt[[#This Row],[Start Date]],AH$27&lt;ProposalToGnatt[[#This Row],[Start Date]]+ProposalToGnatt[[#This Row],[Days]]),$G$5,"")),"")</f>
        <v/>
      </c>
      <c r="AI71" s="36" t="str">
        <f ca="1">IFERROR(+IF(AI$27=ProposalToGnatt[[#This Row],[Start Date]],Milestone_Marker,IF(AND(AI$27&gt;ProposalToGnatt[[#This Row],[Start Date]],AI$27&lt;ProposalToGnatt[[#This Row],[Start Date]]+ProposalToGnatt[[#This Row],[Days]]),$G$5,"")),"")</f>
        <v/>
      </c>
      <c r="AJ71" s="36" t="str">
        <f ca="1">IFERROR(+IF(AJ$27=ProposalToGnatt[[#This Row],[Start Date]],Milestone_Marker,IF(AND(AJ$27&gt;ProposalToGnatt[[#This Row],[Start Date]],AJ$27&lt;ProposalToGnatt[[#This Row],[Start Date]]+ProposalToGnatt[[#This Row],[Days]]),$G$5,"")),"")</f>
        <v/>
      </c>
      <c r="AK71" s="36" t="str">
        <f ca="1">IFERROR(+IF(AK$27=ProposalToGnatt[[#This Row],[Start Date]],Milestone_Marker,IF(AND(AK$27&gt;ProposalToGnatt[[#This Row],[Start Date]],AK$27&lt;ProposalToGnatt[[#This Row],[Start Date]]+ProposalToGnatt[[#This Row],[Days]]),$G$5,"")),"")</f>
        <v/>
      </c>
      <c r="AL71" s="36" t="str">
        <f ca="1">IFERROR(+IF(AL$27=ProposalToGnatt[[#This Row],[Start Date]],Milestone_Marker,IF(AND(AL$27&gt;ProposalToGnatt[[#This Row],[Start Date]],AL$27&lt;ProposalToGnatt[[#This Row],[Start Date]]+ProposalToGnatt[[#This Row],[Days]]),$G$5,"")),"")</f>
        <v/>
      </c>
      <c r="AM71" s="36" t="str">
        <f ca="1">IFERROR(+IF(AM$27=ProposalToGnatt[[#This Row],[Start Date]],Milestone_Marker,IF(AND(AM$27&gt;ProposalToGnatt[[#This Row],[Start Date]],AM$27&lt;ProposalToGnatt[[#This Row],[Start Date]]+ProposalToGnatt[[#This Row],[Days]]),$G$5,"")),"")</f>
        <v/>
      </c>
      <c r="AN71" s="36" t="str">
        <f ca="1">IFERROR(+IF(AN$27=ProposalToGnatt[[#This Row],[Start Date]],Milestone_Marker,IF(AND(AN$27&gt;ProposalToGnatt[[#This Row],[Start Date]],AN$27&lt;ProposalToGnatt[[#This Row],[Start Date]]+ProposalToGnatt[[#This Row],[Days]]),$G$5,"")),"")</f>
        <v/>
      </c>
      <c r="AO71" s="36" t="str">
        <f ca="1">IFERROR(+IF(AO$27=ProposalToGnatt[[#This Row],[Start Date]],Milestone_Marker,IF(AND(AO$27&gt;ProposalToGnatt[[#This Row],[Start Date]],AO$27&lt;ProposalToGnatt[[#This Row],[Start Date]]+ProposalToGnatt[[#This Row],[Days]]),$G$5,"")),"")</f>
        <v/>
      </c>
      <c r="AP71" s="36" t="str">
        <f ca="1">IFERROR(+IF(AP$27=ProposalToGnatt[[#This Row],[Start Date]],Milestone_Marker,IF(AND(AP$27&gt;ProposalToGnatt[[#This Row],[Start Date]],AP$27&lt;ProposalToGnatt[[#This Row],[Start Date]]+ProposalToGnatt[[#This Row],[Days]]),$G$5,"")),"")</f>
        <v/>
      </c>
      <c r="AQ71" s="36" t="str">
        <f ca="1">IFERROR(+IF(AQ$27=ProposalToGnatt[[#This Row],[Start Date]],Milestone_Marker,IF(AND(AQ$27&gt;ProposalToGnatt[[#This Row],[Start Date]],AQ$27&lt;ProposalToGnatt[[#This Row],[Start Date]]+ProposalToGnatt[[#This Row],[Days]]),$G$5,"")),"")</f>
        <v/>
      </c>
      <c r="AR71" s="36" t="str">
        <f ca="1">IFERROR(+IF(AR$27=ProposalToGnatt[[#This Row],[Start Date]],Milestone_Marker,IF(AND(AR$27&gt;ProposalToGnatt[[#This Row],[Start Date]],AR$27&lt;ProposalToGnatt[[#This Row],[Start Date]]+ProposalToGnatt[[#This Row],[Days]]),$G$5,"")),"")</f>
        <v/>
      </c>
      <c r="AS71" s="36" t="str">
        <f ca="1">IFERROR(+IF(AS$27=ProposalToGnatt[[#This Row],[Start Date]],Milestone_Marker,IF(AND(AS$27&gt;ProposalToGnatt[[#This Row],[Start Date]],AS$27&lt;ProposalToGnatt[[#This Row],[Start Date]]+ProposalToGnatt[[#This Row],[Days]]),$G$5,"")),"")</f>
        <v/>
      </c>
      <c r="AT71" s="36" t="str">
        <f ca="1">IFERROR(+IF(AT$27=ProposalToGnatt[[#This Row],[Start Date]],Milestone_Marker,IF(AND(AT$27&gt;ProposalToGnatt[[#This Row],[Start Date]],AT$27&lt;ProposalToGnatt[[#This Row],[Start Date]]+ProposalToGnatt[[#This Row],[Days]]),$G$5,"")),"")</f>
        <v/>
      </c>
      <c r="AU71" s="36" t="str">
        <f ca="1">IFERROR(+IF(AU$27=ProposalToGnatt[[#This Row],[Start Date]],Milestone_Marker,IF(AND(AU$27&gt;ProposalToGnatt[[#This Row],[Start Date]],AU$27&lt;ProposalToGnatt[[#This Row],[Start Date]]+ProposalToGnatt[[#This Row],[Days]]),$G$5,"")),"")</f>
        <v/>
      </c>
      <c r="AV71" s="36" t="str">
        <f ca="1">IFERROR(+IF(AV$27=ProposalToGnatt[[#This Row],[Start Date]],Milestone_Marker,IF(AND(AV$27&gt;ProposalToGnatt[[#This Row],[Start Date]],AV$27&lt;ProposalToGnatt[[#This Row],[Start Date]]+ProposalToGnatt[[#This Row],[Days]]),$G$5,"")),"")</f>
        <v/>
      </c>
      <c r="AW71" s="36" t="str">
        <f ca="1">IFERROR(+IF(AW$27=ProposalToGnatt[[#This Row],[Start Date]],Milestone_Marker,IF(AND(AW$27&gt;ProposalToGnatt[[#This Row],[Start Date]],AW$27&lt;ProposalToGnatt[[#This Row],[Start Date]]+ProposalToGnatt[[#This Row],[Days]]),$G$5,"")),"")</f>
        <v/>
      </c>
      <c r="AX71" s="36" t="str">
        <f ca="1">IFERROR(+IF(AX$27=ProposalToGnatt[[#This Row],[Start Date]],Milestone_Marker,IF(AND(AX$27&gt;ProposalToGnatt[[#This Row],[Start Date]],AX$27&lt;ProposalToGnatt[[#This Row],[Start Date]]+ProposalToGnatt[[#This Row],[Days]]),$G$5,"")),"")</f>
        <v/>
      </c>
      <c r="AY71" s="36" t="str">
        <f ca="1">IFERROR(+IF(AY$27=ProposalToGnatt[[#This Row],[Start Date]],Milestone_Marker,IF(AND(AY$27&gt;ProposalToGnatt[[#This Row],[Start Date]],AY$27&lt;ProposalToGnatt[[#This Row],[Start Date]]+ProposalToGnatt[[#This Row],[Days]]),$G$5,"")),"")</f>
        <v/>
      </c>
      <c r="AZ71" s="36" t="str">
        <f ca="1">IFERROR(+IF(AZ$27=ProposalToGnatt[[#This Row],[Start Date]],Milestone_Marker,IF(AND(AZ$27&gt;ProposalToGnatt[[#This Row],[Start Date]],AZ$27&lt;ProposalToGnatt[[#This Row],[Start Date]]+ProposalToGnatt[[#This Row],[Days]]),$G$5,"")),"")</f>
        <v/>
      </c>
      <c r="BA71" s="36" t="str">
        <f ca="1">IFERROR(+IF(BA$27=ProposalToGnatt[[#This Row],[Start Date]],Milestone_Marker,IF(AND(BA$27&gt;ProposalToGnatt[[#This Row],[Start Date]],BA$27&lt;ProposalToGnatt[[#This Row],[Start Date]]+ProposalToGnatt[[#This Row],[Days]]),$G$5,"")),"")</f>
        <v/>
      </c>
      <c r="BB71" s="36" t="str">
        <f ca="1">IFERROR(+IF(BB$27=ProposalToGnatt[[#This Row],[Start Date]],Milestone_Marker,IF(AND(BB$27&gt;ProposalToGnatt[[#This Row],[Start Date]],BB$27&lt;ProposalToGnatt[[#This Row],[Start Date]]+ProposalToGnatt[[#This Row],[Days]]),$G$5,"")),"")</f>
        <v/>
      </c>
      <c r="BC71" s="36" t="str">
        <f ca="1">IFERROR(+IF(BC$27=ProposalToGnatt[[#This Row],[Start Date]],Milestone_Marker,IF(AND(BC$27&gt;ProposalToGnatt[[#This Row],[Start Date]],BC$27&lt;ProposalToGnatt[[#This Row],[Start Date]]+ProposalToGnatt[[#This Row],[Days]]),$G$5,"")),"")</f>
        <v/>
      </c>
      <c r="BD71" s="36" t="str">
        <f ca="1">IFERROR(+IF(BD$27=ProposalToGnatt[[#This Row],[Start Date]],Milestone_Marker,IF(AND(BD$27&gt;ProposalToGnatt[[#This Row],[Start Date]],BD$27&lt;ProposalToGnatt[[#This Row],[Start Date]]+ProposalToGnatt[[#This Row],[Days]]),$G$5,"")),"")</f>
        <v/>
      </c>
      <c r="BE71" s="36" t="str">
        <f ca="1">IFERROR(+IF(BE$27=ProposalToGnatt[[#This Row],[Start Date]],Milestone_Marker,IF(AND(BE$27&gt;ProposalToGnatt[[#This Row],[Start Date]],BE$27&lt;ProposalToGnatt[[#This Row],[Start Date]]+ProposalToGnatt[[#This Row],[Days]]),$G$5,"")),"")</f>
        <v/>
      </c>
      <c r="BF71" s="36" t="str">
        <f ca="1">IFERROR(+IF(BF$27=ProposalToGnatt[[#This Row],[Start Date]],Milestone_Marker,IF(AND(BF$27&gt;ProposalToGnatt[[#This Row],[Start Date]],BF$27&lt;ProposalToGnatt[[#This Row],[Start Date]]+ProposalToGnatt[[#This Row],[Days]]),$G$5,"")),"")</f>
        <v/>
      </c>
      <c r="BG71" s="36" t="str">
        <f ca="1">IFERROR(+IF(BG$27=ProposalToGnatt[[#This Row],[Start Date]],Milestone_Marker,IF(AND(BG$27&gt;ProposalToGnatt[[#This Row],[Start Date]],BG$27&lt;ProposalToGnatt[[#This Row],[Start Date]]+ProposalToGnatt[[#This Row],[Days]]),$G$5,"")),"")</f>
        <v/>
      </c>
      <c r="BH71" s="36" t="str">
        <f ca="1">IFERROR(+IF(BH$27=ProposalToGnatt[[#This Row],[Start Date]],Milestone_Marker,IF(AND(BH$27&gt;ProposalToGnatt[[#This Row],[Start Date]],BH$27&lt;ProposalToGnatt[[#This Row],[Start Date]]+ProposalToGnatt[[#This Row],[Days]]),$G$5,"")),"")</f>
        <v/>
      </c>
      <c r="BI71" s="36" t="str">
        <f ca="1">IFERROR(+IF(BI$27=ProposalToGnatt[[#This Row],[Start Date]],Milestone_Marker,IF(AND(BI$27&gt;ProposalToGnatt[[#This Row],[Start Date]],BI$27&lt;ProposalToGnatt[[#This Row],[Start Date]]+ProposalToGnatt[[#This Row],[Days]]),$G$5,"")),"")</f>
        <v/>
      </c>
      <c r="BJ71" s="36" t="str">
        <f ca="1">IFERROR(+IF(BJ$27=ProposalToGnatt[[#This Row],[Start Date]],Milestone_Marker,IF(AND(BJ$27&gt;ProposalToGnatt[[#This Row],[Start Date]],BJ$27&lt;ProposalToGnatt[[#This Row],[Start Date]]+ProposalToGnatt[[#This Row],[Days]]),$G$5,"")),"")</f>
        <v/>
      </c>
      <c r="BK71" s="36" t="str">
        <f ca="1">IFERROR(+IF(BK$27=ProposalToGnatt[[#This Row],[Start Date]],Milestone_Marker,IF(AND(BK$27&gt;ProposalToGnatt[[#This Row],[Start Date]],BK$27&lt;ProposalToGnatt[[#This Row],[Start Date]]+ProposalToGnatt[[#This Row],[Days]]),$G$5,"")),"")</f>
        <v/>
      </c>
      <c r="BL71" s="36" t="str">
        <f ca="1">IFERROR(+IF(BL$27=ProposalToGnatt[[#This Row],[Start Date]],Milestone_Marker,IF(AND(BL$27&gt;ProposalToGnatt[[#This Row],[Start Date]],BL$27&lt;ProposalToGnatt[[#This Row],[Start Date]]+ProposalToGnatt[[#This Row],[Days]]),$G$5,"")),"")</f>
        <v/>
      </c>
      <c r="BM71" s="36" t="str">
        <f ca="1">IFERROR(+IF(BM$27=ProposalToGnatt[[#This Row],[Start Date]],Milestone_Marker,IF(AND(BM$27&gt;ProposalToGnatt[[#This Row],[Start Date]],BM$27&lt;ProposalToGnatt[[#This Row],[Start Date]]+ProposalToGnatt[[#This Row],[Days]]),$G$5,"")),"")</f>
        <v/>
      </c>
      <c r="BN71" s="36" t="str">
        <f ca="1">IFERROR(+IF(BN$27=ProposalToGnatt[[#This Row],[Start Date]],Milestone_Marker,IF(AND(BN$27&gt;ProposalToGnatt[[#This Row],[Start Date]],BN$27&lt;ProposalToGnatt[[#This Row],[Start Date]]+ProposalToGnatt[[#This Row],[Days]]),$G$5,"")),"")</f>
        <v/>
      </c>
      <c r="BO71" s="36" t="str">
        <f ca="1">IFERROR(+IF(BO$27=ProposalToGnatt[[#This Row],[Start Date]],Milestone_Marker,IF(AND(BO$27&gt;ProposalToGnatt[[#This Row],[Start Date]],BO$27&lt;ProposalToGnatt[[#This Row],[Start Date]]+ProposalToGnatt[[#This Row],[Days]]),$G$5,"")),"")</f>
        <v/>
      </c>
      <c r="BP71" s="36" t="str">
        <f ca="1">IFERROR(+IF(BP$27=ProposalToGnatt[[#This Row],[Start Date]],Milestone_Marker,IF(AND(BP$27&gt;ProposalToGnatt[[#This Row],[Start Date]],BP$27&lt;ProposalToGnatt[[#This Row],[Start Date]]+ProposalToGnatt[[#This Row],[Days]]),$G$5,"")),"")</f>
        <v/>
      </c>
      <c r="BQ71" s="36" t="str">
        <f ca="1">IFERROR(+IF(BQ$27=ProposalToGnatt[[#This Row],[Start Date]],Milestone_Marker,IF(AND(BQ$27&gt;ProposalToGnatt[[#This Row],[Start Date]],BQ$27&lt;ProposalToGnatt[[#This Row],[Start Date]]+ProposalToGnatt[[#This Row],[Days]]),$G$5,"")),"")</f>
        <v/>
      </c>
      <c r="BR71" s="36" t="str">
        <f ca="1">IFERROR(+IF(BR$27=ProposalToGnatt[[#This Row],[Start Date]],Milestone_Marker,IF(AND(BR$27&gt;ProposalToGnatt[[#This Row],[Start Date]],BR$27&lt;ProposalToGnatt[[#This Row],[Start Date]]+ProposalToGnatt[[#This Row],[Days]]),$G$5,"")),"")</f>
        <v/>
      </c>
      <c r="BS71" s="36" t="str">
        <f ca="1">IFERROR(+IF(BS$27=ProposalToGnatt[[#This Row],[Start Date]],Milestone_Marker,IF(AND(BS$27&gt;ProposalToGnatt[[#This Row],[Start Date]],BS$27&lt;ProposalToGnatt[[#This Row],[Start Date]]+ProposalToGnatt[[#This Row],[Days]]),$G$5,"")),"")</f>
        <v/>
      </c>
      <c r="BT71" s="36" t="str">
        <f ca="1">IFERROR(+IF(BT$27=ProposalToGnatt[[#This Row],[Start Date]],Milestone_Marker,IF(AND(BT$27&gt;ProposalToGnatt[[#This Row],[Start Date]],BT$27&lt;ProposalToGnatt[[#This Row],[Start Date]]+ProposalToGnatt[[#This Row],[Days]]),$G$5,"")),"")</f>
        <v/>
      </c>
      <c r="BU71" s="36" t="str">
        <f ca="1">IFERROR(+IF(BU$27=ProposalToGnatt[[#This Row],[Start Date]],Milestone_Marker,IF(AND(BU$27&gt;ProposalToGnatt[[#This Row],[Start Date]],BU$27&lt;ProposalToGnatt[[#This Row],[Start Date]]+ProposalToGnatt[[#This Row],[Days]]),$G$5,"")),"")</f>
        <v/>
      </c>
      <c r="BV71" s="36" t="str">
        <f ca="1">IFERROR(+IF(BV$27=ProposalToGnatt[[#This Row],[Start Date]],Milestone_Marker,IF(AND(BV$27&gt;ProposalToGnatt[[#This Row],[Start Date]],BV$27&lt;ProposalToGnatt[[#This Row],[Start Date]]+ProposalToGnatt[[#This Row],[Days]]),$G$5,"")),"")</f>
        <v/>
      </c>
      <c r="BW71" s="36" t="str">
        <f ca="1">IFERROR(+IF(BW$27=ProposalToGnatt[[#This Row],[Start Date]],Milestone_Marker,IF(AND(BW$27&gt;ProposalToGnatt[[#This Row],[Start Date]],BW$27&lt;ProposalToGnatt[[#This Row],[Start Date]]+ProposalToGnatt[[#This Row],[Days]]),$G$5,"")),"")</f>
        <v/>
      </c>
      <c r="BX71" s="36" t="str">
        <f ca="1">IFERROR(+IF(BX$27=ProposalToGnatt[[#This Row],[Start Date]],Milestone_Marker,IF(AND(BX$27&gt;ProposalToGnatt[[#This Row],[Start Date]],BX$27&lt;ProposalToGnatt[[#This Row],[Start Date]]+ProposalToGnatt[[#This Row],[Days]]),$G$5,"")),"")</f>
        <v/>
      </c>
      <c r="BY71" s="36" t="str">
        <f ca="1">IFERROR(+IF(BY$27=ProposalToGnatt[[#This Row],[Start Date]],Milestone_Marker,IF(AND(BY$27&gt;ProposalToGnatt[[#This Row],[Start Date]],BY$27&lt;ProposalToGnatt[[#This Row],[Start Date]]+ProposalToGnatt[[#This Row],[Days]]),$G$5,"")),"")</f>
        <v/>
      </c>
      <c r="BZ71" s="36" t="str">
        <f ca="1">IFERROR(+IF(BZ$27=ProposalToGnatt[[#This Row],[Start Date]],Milestone_Marker,IF(AND(BZ$27&gt;ProposalToGnatt[[#This Row],[Start Date]],BZ$27&lt;ProposalToGnatt[[#This Row],[Start Date]]+ProposalToGnatt[[#This Row],[Days]]),$G$5,"")),"")</f>
        <v/>
      </c>
      <c r="CA71" s="36" t="str">
        <f ca="1">IFERROR(+IF(CA$27=ProposalToGnatt[[#This Row],[Start Date]],Milestone_Marker,IF(AND(CA$27&gt;ProposalToGnatt[[#This Row],[Start Date]],CA$27&lt;ProposalToGnatt[[#This Row],[Start Date]]+ProposalToGnatt[[#This Row],[Days]]),$G$5,"")),"")</f>
        <v/>
      </c>
      <c r="CB71" s="36" t="str">
        <f ca="1">IFERROR(+IF(CB$27=ProposalToGnatt[[#This Row],[Start Date]],Milestone_Marker,IF(AND(CB$27&gt;ProposalToGnatt[[#This Row],[Start Date]],CB$27&lt;ProposalToGnatt[[#This Row],[Start Date]]+ProposalToGnatt[[#This Row],[Days]]),$G$5,"")),"")</f>
        <v/>
      </c>
      <c r="CC71" s="36" t="str">
        <f ca="1">IFERROR(+IF(CC$27=ProposalToGnatt[[#This Row],[Start Date]],Milestone_Marker,IF(AND(CC$27&gt;ProposalToGnatt[[#This Row],[Start Date]],CC$27&lt;ProposalToGnatt[[#This Row],[Start Date]]+ProposalToGnatt[[#This Row],[Days]]),$G$5,"")),"")</f>
        <v/>
      </c>
      <c r="CD71" s="36" t="str">
        <f ca="1">IFERROR(+IF(CD$27=ProposalToGnatt[[#This Row],[Start Date]],Milestone_Marker,IF(AND(CD$27&gt;ProposalToGnatt[[#This Row],[Start Date]],CD$27&lt;ProposalToGnatt[[#This Row],[Start Date]]+ProposalToGnatt[[#This Row],[Days]]),$G$5,"")),"")</f>
        <v/>
      </c>
      <c r="CE71" s="36" t="str">
        <f ca="1">IFERROR(+IF(CE$27=ProposalToGnatt[[#This Row],[Start Date]],Milestone_Marker,IF(AND(CE$27&gt;ProposalToGnatt[[#This Row],[Start Date]],CE$27&lt;ProposalToGnatt[[#This Row],[Start Date]]+ProposalToGnatt[[#This Row],[Days]]),$G$5,"")),"")</f>
        <v/>
      </c>
      <c r="CF71" s="36" t="str">
        <f ca="1">IFERROR(+IF(CF$27=ProposalToGnatt[[#This Row],[Start Date]],Milestone_Marker,IF(AND(CF$27&gt;ProposalToGnatt[[#This Row],[Start Date]],CF$27&lt;ProposalToGnatt[[#This Row],[Start Date]]+ProposalToGnatt[[#This Row],[Days]]),$G$5,"")),"")</f>
        <v/>
      </c>
      <c r="CG71" s="36" t="str">
        <f ca="1">IFERROR(+IF(CG$27=ProposalToGnatt[[#This Row],[Start Date]],Milestone_Marker,IF(AND(CG$27&gt;ProposalToGnatt[[#This Row],[Start Date]],CG$27&lt;ProposalToGnatt[[#This Row],[Start Date]]+ProposalToGnatt[[#This Row],[Days]]),$G$5,"")),"")</f>
        <v/>
      </c>
      <c r="CH71" s="36" t="str">
        <f ca="1">IFERROR(+IF(CH$27=ProposalToGnatt[[#This Row],[Start Date]],Milestone_Marker,IF(AND(CH$27&gt;ProposalToGnatt[[#This Row],[Start Date]],CH$27&lt;ProposalToGnatt[[#This Row],[Start Date]]+ProposalToGnatt[[#This Row],[Days]]),$G$5,"")),"")</f>
        <v/>
      </c>
      <c r="CI71" s="36" t="str">
        <f ca="1">IFERROR(+IF(CI$27=ProposalToGnatt[[#This Row],[Start Date]],Milestone_Marker,IF(AND(CI$27&gt;ProposalToGnatt[[#This Row],[Start Date]],CI$27&lt;ProposalToGnatt[[#This Row],[Start Date]]+ProposalToGnatt[[#This Row],[Days]]),$G$5,"")),"")</f>
        <v/>
      </c>
      <c r="CJ71" s="36" t="str">
        <f ca="1">IFERROR(+IF(CJ$27=ProposalToGnatt[[#This Row],[Start Date]],Milestone_Marker,IF(AND(CJ$27&gt;ProposalToGnatt[[#This Row],[Start Date]],CJ$27&lt;ProposalToGnatt[[#This Row],[Start Date]]+ProposalToGnatt[[#This Row],[Days]]),$G$5,"")),"")</f>
        <v/>
      </c>
      <c r="CK71" s="36" t="str">
        <f ca="1">IFERROR(+IF(CK$27=ProposalToGnatt[[#This Row],[Start Date]],Milestone_Marker,IF(AND(CK$27&gt;ProposalToGnatt[[#This Row],[Start Date]],CK$27&lt;ProposalToGnatt[[#This Row],[Start Date]]+ProposalToGnatt[[#This Row],[Days]]),$G$5,"")),"")</f>
        <v/>
      </c>
      <c r="CL71" s="36" t="str">
        <f ca="1">IFERROR(+IF(CL$27=ProposalToGnatt[[#This Row],[Start Date]],Milestone_Marker,IF(AND(CL$27&gt;ProposalToGnatt[[#This Row],[Start Date]],CL$27&lt;ProposalToGnatt[[#This Row],[Start Date]]+ProposalToGnatt[[#This Row],[Days]]),$G$5,"")),"")</f>
        <v/>
      </c>
      <c r="CM71" s="36" t="str">
        <f ca="1">IFERROR(+IF(CM$27=ProposalToGnatt[[#This Row],[Start Date]],Milestone_Marker,IF(AND(CM$27&gt;ProposalToGnatt[[#This Row],[Start Date]],CM$27&lt;ProposalToGnatt[[#This Row],[Start Date]]+ProposalToGnatt[[#This Row],[Days]]),$G$5,"")),"")</f>
        <v/>
      </c>
      <c r="CN71" s="36" t="str">
        <f ca="1">IFERROR(+IF(CN$27=ProposalToGnatt[[#This Row],[Start Date]],Milestone_Marker,IF(AND(CN$27&gt;ProposalToGnatt[[#This Row],[Start Date]],CN$27&lt;ProposalToGnatt[[#This Row],[Start Date]]+ProposalToGnatt[[#This Row],[Days]]),$G$5,"")),"")</f>
        <v/>
      </c>
      <c r="CO71" s="36" t="str">
        <f ca="1">IFERROR(+IF(CO$27=ProposalToGnatt[[#This Row],[Start Date]],Milestone_Marker,IF(AND(CO$27&gt;ProposalToGnatt[[#This Row],[Start Date]],CO$27&lt;ProposalToGnatt[[#This Row],[Start Date]]+ProposalToGnatt[[#This Row],[Days]]),$G$5,"")),"")</f>
        <v/>
      </c>
      <c r="CP71" s="36" t="str">
        <f ca="1">IFERROR(+IF(CP$27=ProposalToGnatt[[#This Row],[Start Date]],Milestone_Marker,IF(AND(CP$27&gt;ProposalToGnatt[[#This Row],[Start Date]],CP$27&lt;ProposalToGnatt[[#This Row],[Start Date]]+ProposalToGnatt[[#This Row],[Days]]),$G$5,"")),"")</f>
        <v/>
      </c>
      <c r="CQ71" s="36" t="str">
        <f ca="1">IFERROR(+IF(CQ$27=ProposalToGnatt[[#This Row],[Start Date]],Milestone_Marker,IF(AND(CQ$27&gt;ProposalToGnatt[[#This Row],[Start Date]],CQ$27&lt;ProposalToGnatt[[#This Row],[Start Date]]+ProposalToGnatt[[#This Row],[Days]]),$G$5,"")),"")</f>
        <v/>
      </c>
      <c r="CR71" s="36" t="str">
        <f ca="1">IFERROR(+IF(CR$27=ProposalToGnatt[[#This Row],[Start Date]],Milestone_Marker,IF(AND(CR$27&gt;ProposalToGnatt[[#This Row],[Start Date]],CR$27&lt;ProposalToGnatt[[#This Row],[Start Date]]+ProposalToGnatt[[#This Row],[Days]]),$G$5,"")),"")</f>
        <v/>
      </c>
      <c r="CS71" s="36" t="str">
        <f ca="1">IFERROR(+IF(CS$27=ProposalToGnatt[[#This Row],[Start Date]],Milestone_Marker,IF(AND(CS$27&gt;ProposalToGnatt[[#This Row],[Start Date]],CS$27&lt;ProposalToGnatt[[#This Row],[Start Date]]+ProposalToGnatt[[#This Row],[Days]]),$G$5,"")),"")</f>
        <v/>
      </c>
      <c r="CT71" s="36" t="str">
        <f ca="1">IFERROR(+IF(CT$27=ProposalToGnatt[[#This Row],[Start Date]],Milestone_Marker,IF(AND(CT$27&gt;ProposalToGnatt[[#This Row],[Start Date]],CT$27&lt;ProposalToGnatt[[#This Row],[Start Date]]+ProposalToGnatt[[#This Row],[Days]]),$G$5,"")),"")</f>
        <v/>
      </c>
      <c r="CU71" s="36" t="str">
        <f ca="1">IFERROR(+IF(CU$27=ProposalToGnatt[[#This Row],[Start Date]],Milestone_Marker,IF(AND(CU$27&gt;ProposalToGnatt[[#This Row],[Start Date]],CU$27&lt;ProposalToGnatt[[#This Row],[Start Date]]+ProposalToGnatt[[#This Row],[Days]]),$G$5,"")),"")</f>
        <v/>
      </c>
      <c r="CV71" s="36"/>
      <c r="CW71" s="36"/>
      <c r="CX71" s="36"/>
      <c r="CY71" s="36"/>
      <c r="CZ71" s="36"/>
      <c r="DA71" s="36"/>
      <c r="DB71" s="36"/>
      <c r="DC71" s="36"/>
      <c r="DD71" s="36"/>
      <c r="DE71" s="36"/>
      <c r="DF71" s="36"/>
      <c r="DG71" s="36"/>
      <c r="DH71" s="36"/>
      <c r="DI71" s="36"/>
      <c r="DJ71" s="36"/>
      <c r="DK71" s="36"/>
      <c r="DL71" s="36"/>
      <c r="DM71" s="36"/>
      <c r="DN71" s="36"/>
      <c r="DO71" s="36"/>
      <c r="DP71" s="36"/>
      <c r="DQ71" s="36"/>
      <c r="DR71" s="36"/>
      <c r="DS71" s="36"/>
      <c r="DT71" s="36"/>
      <c r="DU71" s="36"/>
    </row>
    <row r="72" spans="1:125" ht="15" x14ac:dyDescent="0.25">
      <c r="A72" t="s">
        <v>267</v>
      </c>
      <c r="B72">
        <v>54</v>
      </c>
      <c r="C72"/>
      <c r="D72" t="s">
        <v>969</v>
      </c>
      <c r="E72" s="568" t="s">
        <v>972</v>
      </c>
      <c r="F72">
        <v>1</v>
      </c>
      <c r="G72" s="14">
        <v>22</v>
      </c>
      <c r="H72" s="14">
        <v>22</v>
      </c>
      <c r="I72" t="s">
        <v>3</v>
      </c>
      <c r="J72">
        <v>1</v>
      </c>
      <c r="K72" s="249"/>
      <c r="L72"/>
      <c r="M72" s="14"/>
      <c r="N72" s="300">
        <v>22</v>
      </c>
      <c r="O72" s="554"/>
      <c r="P72" s="36" t="str">
        <f ca="1">IFERROR(+IF(P$27=ProposalToGnatt[[#This Row],[Start Date]],Milestone_Marker,IF(AND(P$27&gt;ProposalToGnatt[[#This Row],[Start Date]],P$27&lt;ProposalToGnatt[[#This Row],[Start Date]]+ProposalToGnatt[[#This Row],[Days]]),$G$5,"")),"")</f>
        <v/>
      </c>
      <c r="Q72" s="36" t="str">
        <f ca="1">IFERROR(+IF(Q$27=ProposalToGnatt[[#This Row],[Start Date]],Milestone_Marker,IF(AND(Q$27&gt;ProposalToGnatt[[#This Row],[Start Date]],Q$27&lt;ProposalToGnatt[[#This Row],[Start Date]]+ProposalToGnatt[[#This Row],[Days]]),$G$5,"")),"")</f>
        <v/>
      </c>
      <c r="R72" s="36" t="str">
        <f ca="1">IFERROR(+IF(R$27=ProposalToGnatt[[#This Row],[Start Date]],Milestone_Marker,IF(AND(R$27&gt;ProposalToGnatt[[#This Row],[Start Date]],R$27&lt;ProposalToGnatt[[#This Row],[Start Date]]+ProposalToGnatt[[#This Row],[Days]]),$G$5,"")),"")</f>
        <v/>
      </c>
      <c r="S72" s="36" t="str">
        <f ca="1">IFERROR(+IF(S$27=ProposalToGnatt[[#This Row],[Start Date]],Milestone_Marker,IF(AND(S$27&gt;ProposalToGnatt[[#This Row],[Start Date]],S$27&lt;ProposalToGnatt[[#This Row],[Start Date]]+ProposalToGnatt[[#This Row],[Days]]),$G$5,"")),"")</f>
        <v/>
      </c>
      <c r="T72" s="36" t="str">
        <f ca="1">IFERROR(+IF(T$27=ProposalToGnatt[[#This Row],[Start Date]],Milestone_Marker,IF(AND(T$27&gt;ProposalToGnatt[[#This Row],[Start Date]],T$27&lt;ProposalToGnatt[[#This Row],[Start Date]]+ProposalToGnatt[[#This Row],[Days]]),$G$5,"")),"")</f>
        <v/>
      </c>
      <c r="U72" s="36" t="str">
        <f ca="1">IFERROR(+IF(U$27=ProposalToGnatt[[#This Row],[Start Date]],Milestone_Marker,IF(AND(U$27&gt;ProposalToGnatt[[#This Row],[Start Date]],U$27&lt;ProposalToGnatt[[#This Row],[Start Date]]+ProposalToGnatt[[#This Row],[Days]]),$G$5,"")),"")</f>
        <v/>
      </c>
      <c r="V72" s="36" t="str">
        <f ca="1">IFERROR(+IF(V$27=ProposalToGnatt[[#This Row],[Start Date]],Milestone_Marker,IF(AND(V$27&gt;ProposalToGnatt[[#This Row],[Start Date]],V$27&lt;ProposalToGnatt[[#This Row],[Start Date]]+ProposalToGnatt[[#This Row],[Days]]),$G$5,"")),"")</f>
        <v/>
      </c>
      <c r="W72" s="36" t="str">
        <f ca="1">IFERROR(+IF(W$27=ProposalToGnatt[[#This Row],[Start Date]],Milestone_Marker,IF(AND(W$27&gt;ProposalToGnatt[[#This Row],[Start Date]],W$27&lt;ProposalToGnatt[[#This Row],[Start Date]]+ProposalToGnatt[[#This Row],[Days]]),$G$5,"")),"")</f>
        <v/>
      </c>
      <c r="X72" s="36" t="str">
        <f ca="1">IFERROR(+IF(X$27=ProposalToGnatt[[#This Row],[Start Date]],Milestone_Marker,IF(AND(X$27&gt;ProposalToGnatt[[#This Row],[Start Date]],X$27&lt;ProposalToGnatt[[#This Row],[Start Date]]+ProposalToGnatt[[#This Row],[Days]]),$G$5,"")),"")</f>
        <v/>
      </c>
      <c r="Y72" s="36" t="str">
        <f ca="1">IFERROR(+IF(Y$27=ProposalToGnatt[[#This Row],[Start Date]],Milestone_Marker,IF(AND(Y$27&gt;ProposalToGnatt[[#This Row],[Start Date]],Y$27&lt;ProposalToGnatt[[#This Row],[Start Date]]+ProposalToGnatt[[#This Row],[Days]]),$G$5,"")),"")</f>
        <v/>
      </c>
      <c r="Z72" s="36" t="str">
        <f ca="1">IFERROR(+IF(Z$27=ProposalToGnatt[[#This Row],[Start Date]],Milestone_Marker,IF(AND(Z$27&gt;ProposalToGnatt[[#This Row],[Start Date]],Z$27&lt;ProposalToGnatt[[#This Row],[Start Date]]+ProposalToGnatt[[#This Row],[Days]]),$G$5,"")),"")</f>
        <v/>
      </c>
      <c r="AA72" s="36" t="str">
        <f ca="1">IFERROR(+IF(AA$27=ProposalToGnatt[[#This Row],[Start Date]],Milestone_Marker,IF(AND(AA$27&gt;ProposalToGnatt[[#This Row],[Start Date]],AA$27&lt;ProposalToGnatt[[#This Row],[Start Date]]+ProposalToGnatt[[#This Row],[Days]]),$G$5,"")),"")</f>
        <v/>
      </c>
      <c r="AB72" s="36" t="str">
        <f ca="1">IFERROR(+IF(AB$27=ProposalToGnatt[[#This Row],[Start Date]],Milestone_Marker,IF(AND(AB$27&gt;ProposalToGnatt[[#This Row],[Start Date]],AB$27&lt;ProposalToGnatt[[#This Row],[Start Date]]+ProposalToGnatt[[#This Row],[Days]]),$G$5,"")),"")</f>
        <v/>
      </c>
      <c r="AC72" s="36" t="str">
        <f ca="1">IFERROR(+IF(AC$27=ProposalToGnatt[[#This Row],[Start Date]],Milestone_Marker,IF(AND(AC$27&gt;ProposalToGnatt[[#This Row],[Start Date]],AC$27&lt;ProposalToGnatt[[#This Row],[Start Date]]+ProposalToGnatt[[#This Row],[Days]]),$G$5,"")),"")</f>
        <v/>
      </c>
      <c r="AD72" s="36" t="str">
        <f ca="1">IFERROR(+IF(AD$27=ProposalToGnatt[[#This Row],[Start Date]],Milestone_Marker,IF(AND(AD$27&gt;ProposalToGnatt[[#This Row],[Start Date]],AD$27&lt;ProposalToGnatt[[#This Row],[Start Date]]+ProposalToGnatt[[#This Row],[Days]]),$G$5,"")),"")</f>
        <v/>
      </c>
      <c r="AE72" s="36" t="str">
        <f ca="1">IFERROR(+IF(AE$27=ProposalToGnatt[[#This Row],[Start Date]],Milestone_Marker,IF(AND(AE$27&gt;ProposalToGnatt[[#This Row],[Start Date]],AE$27&lt;ProposalToGnatt[[#This Row],[Start Date]]+ProposalToGnatt[[#This Row],[Days]]),$G$5,"")),"")</f>
        <v/>
      </c>
      <c r="AF72" s="36" t="str">
        <f ca="1">IFERROR(+IF(AF$27=ProposalToGnatt[[#This Row],[Start Date]],Milestone_Marker,IF(AND(AF$27&gt;ProposalToGnatt[[#This Row],[Start Date]],AF$27&lt;ProposalToGnatt[[#This Row],[Start Date]]+ProposalToGnatt[[#This Row],[Days]]),$G$5,"")),"")</f>
        <v/>
      </c>
      <c r="AG72" s="36" t="str">
        <f ca="1">IFERROR(+IF(AG$27=ProposalToGnatt[[#This Row],[Start Date]],Milestone_Marker,IF(AND(AG$27&gt;ProposalToGnatt[[#This Row],[Start Date]],AG$27&lt;ProposalToGnatt[[#This Row],[Start Date]]+ProposalToGnatt[[#This Row],[Days]]),$G$5,"")),"")</f>
        <v/>
      </c>
      <c r="AH72" s="36" t="str">
        <f ca="1">IFERROR(+IF(AH$27=ProposalToGnatt[[#This Row],[Start Date]],Milestone_Marker,IF(AND(AH$27&gt;ProposalToGnatt[[#This Row],[Start Date]],AH$27&lt;ProposalToGnatt[[#This Row],[Start Date]]+ProposalToGnatt[[#This Row],[Days]]),$G$5,"")),"")</f>
        <v/>
      </c>
      <c r="AI72" s="36" t="str">
        <f ca="1">IFERROR(+IF(AI$27=ProposalToGnatt[[#This Row],[Start Date]],Milestone_Marker,IF(AND(AI$27&gt;ProposalToGnatt[[#This Row],[Start Date]],AI$27&lt;ProposalToGnatt[[#This Row],[Start Date]]+ProposalToGnatt[[#This Row],[Days]]),$G$5,"")),"")</f>
        <v/>
      </c>
      <c r="AJ72" s="36" t="str">
        <f ca="1">IFERROR(+IF(AJ$27=ProposalToGnatt[[#This Row],[Start Date]],Milestone_Marker,IF(AND(AJ$27&gt;ProposalToGnatt[[#This Row],[Start Date]],AJ$27&lt;ProposalToGnatt[[#This Row],[Start Date]]+ProposalToGnatt[[#This Row],[Days]]),$G$5,"")),"")</f>
        <v/>
      </c>
      <c r="AK72" s="36" t="str">
        <f ca="1">IFERROR(+IF(AK$27=ProposalToGnatt[[#This Row],[Start Date]],Milestone_Marker,IF(AND(AK$27&gt;ProposalToGnatt[[#This Row],[Start Date]],AK$27&lt;ProposalToGnatt[[#This Row],[Start Date]]+ProposalToGnatt[[#This Row],[Days]]),$G$5,"")),"")</f>
        <v/>
      </c>
      <c r="AL72" s="36" t="str">
        <f ca="1">IFERROR(+IF(AL$27=ProposalToGnatt[[#This Row],[Start Date]],Milestone_Marker,IF(AND(AL$27&gt;ProposalToGnatt[[#This Row],[Start Date]],AL$27&lt;ProposalToGnatt[[#This Row],[Start Date]]+ProposalToGnatt[[#This Row],[Days]]),$G$5,"")),"")</f>
        <v/>
      </c>
      <c r="AM72" s="36" t="str">
        <f ca="1">IFERROR(+IF(AM$27=ProposalToGnatt[[#This Row],[Start Date]],Milestone_Marker,IF(AND(AM$27&gt;ProposalToGnatt[[#This Row],[Start Date]],AM$27&lt;ProposalToGnatt[[#This Row],[Start Date]]+ProposalToGnatt[[#This Row],[Days]]),$G$5,"")),"")</f>
        <v/>
      </c>
      <c r="AN72" s="36" t="str">
        <f ca="1">IFERROR(+IF(AN$27=ProposalToGnatt[[#This Row],[Start Date]],Milestone_Marker,IF(AND(AN$27&gt;ProposalToGnatt[[#This Row],[Start Date]],AN$27&lt;ProposalToGnatt[[#This Row],[Start Date]]+ProposalToGnatt[[#This Row],[Days]]),$G$5,"")),"")</f>
        <v/>
      </c>
      <c r="AO72" s="36" t="str">
        <f ca="1">IFERROR(+IF(AO$27=ProposalToGnatt[[#This Row],[Start Date]],Milestone_Marker,IF(AND(AO$27&gt;ProposalToGnatt[[#This Row],[Start Date]],AO$27&lt;ProposalToGnatt[[#This Row],[Start Date]]+ProposalToGnatt[[#This Row],[Days]]),$G$5,"")),"")</f>
        <v/>
      </c>
      <c r="AP72" s="36" t="str">
        <f ca="1">IFERROR(+IF(AP$27=ProposalToGnatt[[#This Row],[Start Date]],Milestone_Marker,IF(AND(AP$27&gt;ProposalToGnatt[[#This Row],[Start Date]],AP$27&lt;ProposalToGnatt[[#This Row],[Start Date]]+ProposalToGnatt[[#This Row],[Days]]),$G$5,"")),"")</f>
        <v/>
      </c>
      <c r="AQ72" s="36" t="str">
        <f ca="1">IFERROR(+IF(AQ$27=ProposalToGnatt[[#This Row],[Start Date]],Milestone_Marker,IF(AND(AQ$27&gt;ProposalToGnatt[[#This Row],[Start Date]],AQ$27&lt;ProposalToGnatt[[#This Row],[Start Date]]+ProposalToGnatt[[#This Row],[Days]]),$G$5,"")),"")</f>
        <v/>
      </c>
      <c r="AR72" s="36" t="str">
        <f ca="1">IFERROR(+IF(AR$27=ProposalToGnatt[[#This Row],[Start Date]],Milestone_Marker,IF(AND(AR$27&gt;ProposalToGnatt[[#This Row],[Start Date]],AR$27&lt;ProposalToGnatt[[#This Row],[Start Date]]+ProposalToGnatt[[#This Row],[Days]]),$G$5,"")),"")</f>
        <v/>
      </c>
      <c r="AS72" s="36" t="str">
        <f ca="1">IFERROR(+IF(AS$27=ProposalToGnatt[[#This Row],[Start Date]],Milestone_Marker,IF(AND(AS$27&gt;ProposalToGnatt[[#This Row],[Start Date]],AS$27&lt;ProposalToGnatt[[#This Row],[Start Date]]+ProposalToGnatt[[#This Row],[Days]]),$G$5,"")),"")</f>
        <v/>
      </c>
      <c r="AT72" s="36" t="str">
        <f ca="1">IFERROR(+IF(AT$27=ProposalToGnatt[[#This Row],[Start Date]],Milestone_Marker,IF(AND(AT$27&gt;ProposalToGnatt[[#This Row],[Start Date]],AT$27&lt;ProposalToGnatt[[#This Row],[Start Date]]+ProposalToGnatt[[#This Row],[Days]]),$G$5,"")),"")</f>
        <v/>
      </c>
      <c r="AU72" s="36" t="str">
        <f ca="1">IFERROR(+IF(AU$27=ProposalToGnatt[[#This Row],[Start Date]],Milestone_Marker,IF(AND(AU$27&gt;ProposalToGnatt[[#This Row],[Start Date]],AU$27&lt;ProposalToGnatt[[#This Row],[Start Date]]+ProposalToGnatt[[#This Row],[Days]]),$G$5,"")),"")</f>
        <v/>
      </c>
      <c r="AV72" s="36" t="str">
        <f ca="1">IFERROR(+IF(AV$27=ProposalToGnatt[[#This Row],[Start Date]],Milestone_Marker,IF(AND(AV$27&gt;ProposalToGnatt[[#This Row],[Start Date]],AV$27&lt;ProposalToGnatt[[#This Row],[Start Date]]+ProposalToGnatt[[#This Row],[Days]]),$G$5,"")),"")</f>
        <v/>
      </c>
      <c r="AW72" s="36" t="str">
        <f ca="1">IFERROR(+IF(AW$27=ProposalToGnatt[[#This Row],[Start Date]],Milestone_Marker,IF(AND(AW$27&gt;ProposalToGnatt[[#This Row],[Start Date]],AW$27&lt;ProposalToGnatt[[#This Row],[Start Date]]+ProposalToGnatt[[#This Row],[Days]]),$G$5,"")),"")</f>
        <v/>
      </c>
      <c r="AX72" s="36" t="str">
        <f ca="1">IFERROR(+IF(AX$27=ProposalToGnatt[[#This Row],[Start Date]],Milestone_Marker,IF(AND(AX$27&gt;ProposalToGnatt[[#This Row],[Start Date]],AX$27&lt;ProposalToGnatt[[#This Row],[Start Date]]+ProposalToGnatt[[#This Row],[Days]]),$G$5,"")),"")</f>
        <v/>
      </c>
      <c r="AY72" s="36" t="str">
        <f ca="1">IFERROR(+IF(AY$27=ProposalToGnatt[[#This Row],[Start Date]],Milestone_Marker,IF(AND(AY$27&gt;ProposalToGnatt[[#This Row],[Start Date]],AY$27&lt;ProposalToGnatt[[#This Row],[Start Date]]+ProposalToGnatt[[#This Row],[Days]]),$G$5,"")),"")</f>
        <v/>
      </c>
      <c r="AZ72" s="36" t="str">
        <f ca="1">IFERROR(+IF(AZ$27=ProposalToGnatt[[#This Row],[Start Date]],Milestone_Marker,IF(AND(AZ$27&gt;ProposalToGnatt[[#This Row],[Start Date]],AZ$27&lt;ProposalToGnatt[[#This Row],[Start Date]]+ProposalToGnatt[[#This Row],[Days]]),$G$5,"")),"")</f>
        <v/>
      </c>
      <c r="BA72" s="36" t="str">
        <f ca="1">IFERROR(+IF(BA$27=ProposalToGnatt[[#This Row],[Start Date]],Milestone_Marker,IF(AND(BA$27&gt;ProposalToGnatt[[#This Row],[Start Date]],BA$27&lt;ProposalToGnatt[[#This Row],[Start Date]]+ProposalToGnatt[[#This Row],[Days]]),$G$5,"")),"")</f>
        <v/>
      </c>
      <c r="BB72" s="36" t="str">
        <f ca="1">IFERROR(+IF(BB$27=ProposalToGnatt[[#This Row],[Start Date]],Milestone_Marker,IF(AND(BB$27&gt;ProposalToGnatt[[#This Row],[Start Date]],BB$27&lt;ProposalToGnatt[[#This Row],[Start Date]]+ProposalToGnatt[[#This Row],[Days]]),$G$5,"")),"")</f>
        <v/>
      </c>
      <c r="BC72" s="36" t="str">
        <f ca="1">IFERROR(+IF(BC$27=ProposalToGnatt[[#This Row],[Start Date]],Milestone_Marker,IF(AND(BC$27&gt;ProposalToGnatt[[#This Row],[Start Date]],BC$27&lt;ProposalToGnatt[[#This Row],[Start Date]]+ProposalToGnatt[[#This Row],[Days]]),$G$5,"")),"")</f>
        <v/>
      </c>
      <c r="BD72" s="36" t="str">
        <f ca="1">IFERROR(+IF(BD$27=ProposalToGnatt[[#This Row],[Start Date]],Milestone_Marker,IF(AND(BD$27&gt;ProposalToGnatt[[#This Row],[Start Date]],BD$27&lt;ProposalToGnatt[[#This Row],[Start Date]]+ProposalToGnatt[[#This Row],[Days]]),$G$5,"")),"")</f>
        <v/>
      </c>
      <c r="BE72" s="36" t="str">
        <f ca="1">IFERROR(+IF(BE$27=ProposalToGnatt[[#This Row],[Start Date]],Milestone_Marker,IF(AND(BE$27&gt;ProposalToGnatt[[#This Row],[Start Date]],BE$27&lt;ProposalToGnatt[[#This Row],[Start Date]]+ProposalToGnatt[[#This Row],[Days]]),$G$5,"")),"")</f>
        <v/>
      </c>
      <c r="BF72" s="36" t="str">
        <f ca="1">IFERROR(+IF(BF$27=ProposalToGnatt[[#This Row],[Start Date]],Milestone_Marker,IF(AND(BF$27&gt;ProposalToGnatt[[#This Row],[Start Date]],BF$27&lt;ProposalToGnatt[[#This Row],[Start Date]]+ProposalToGnatt[[#This Row],[Days]]),$G$5,"")),"")</f>
        <v/>
      </c>
      <c r="BG72" s="36" t="str">
        <f ca="1">IFERROR(+IF(BG$27=ProposalToGnatt[[#This Row],[Start Date]],Milestone_Marker,IF(AND(BG$27&gt;ProposalToGnatt[[#This Row],[Start Date]],BG$27&lt;ProposalToGnatt[[#This Row],[Start Date]]+ProposalToGnatt[[#This Row],[Days]]),$G$5,"")),"")</f>
        <v/>
      </c>
      <c r="BH72" s="36" t="str">
        <f ca="1">IFERROR(+IF(BH$27=ProposalToGnatt[[#This Row],[Start Date]],Milestone_Marker,IF(AND(BH$27&gt;ProposalToGnatt[[#This Row],[Start Date]],BH$27&lt;ProposalToGnatt[[#This Row],[Start Date]]+ProposalToGnatt[[#This Row],[Days]]),$G$5,"")),"")</f>
        <v/>
      </c>
      <c r="BI72" s="36" t="str">
        <f ca="1">IFERROR(+IF(BI$27=ProposalToGnatt[[#This Row],[Start Date]],Milestone_Marker,IF(AND(BI$27&gt;ProposalToGnatt[[#This Row],[Start Date]],BI$27&lt;ProposalToGnatt[[#This Row],[Start Date]]+ProposalToGnatt[[#This Row],[Days]]),$G$5,"")),"")</f>
        <v/>
      </c>
      <c r="BJ72" s="36" t="str">
        <f ca="1">IFERROR(+IF(BJ$27=ProposalToGnatt[[#This Row],[Start Date]],Milestone_Marker,IF(AND(BJ$27&gt;ProposalToGnatt[[#This Row],[Start Date]],BJ$27&lt;ProposalToGnatt[[#This Row],[Start Date]]+ProposalToGnatt[[#This Row],[Days]]),$G$5,"")),"")</f>
        <v/>
      </c>
      <c r="BK72" s="36" t="str">
        <f ca="1">IFERROR(+IF(BK$27=ProposalToGnatt[[#This Row],[Start Date]],Milestone_Marker,IF(AND(BK$27&gt;ProposalToGnatt[[#This Row],[Start Date]],BK$27&lt;ProposalToGnatt[[#This Row],[Start Date]]+ProposalToGnatt[[#This Row],[Days]]),$G$5,"")),"")</f>
        <v/>
      </c>
      <c r="BL72" s="36" t="str">
        <f ca="1">IFERROR(+IF(BL$27=ProposalToGnatt[[#This Row],[Start Date]],Milestone_Marker,IF(AND(BL$27&gt;ProposalToGnatt[[#This Row],[Start Date]],BL$27&lt;ProposalToGnatt[[#This Row],[Start Date]]+ProposalToGnatt[[#This Row],[Days]]),$G$5,"")),"")</f>
        <v/>
      </c>
      <c r="BM72" s="36" t="str">
        <f ca="1">IFERROR(+IF(BM$27=ProposalToGnatt[[#This Row],[Start Date]],Milestone_Marker,IF(AND(BM$27&gt;ProposalToGnatt[[#This Row],[Start Date]],BM$27&lt;ProposalToGnatt[[#This Row],[Start Date]]+ProposalToGnatt[[#This Row],[Days]]),$G$5,"")),"")</f>
        <v/>
      </c>
      <c r="BN72" s="36" t="str">
        <f ca="1">IFERROR(+IF(BN$27=ProposalToGnatt[[#This Row],[Start Date]],Milestone_Marker,IF(AND(BN$27&gt;ProposalToGnatt[[#This Row],[Start Date]],BN$27&lt;ProposalToGnatt[[#This Row],[Start Date]]+ProposalToGnatt[[#This Row],[Days]]),$G$5,"")),"")</f>
        <v/>
      </c>
      <c r="BO72" s="36" t="str">
        <f ca="1">IFERROR(+IF(BO$27=ProposalToGnatt[[#This Row],[Start Date]],Milestone_Marker,IF(AND(BO$27&gt;ProposalToGnatt[[#This Row],[Start Date]],BO$27&lt;ProposalToGnatt[[#This Row],[Start Date]]+ProposalToGnatt[[#This Row],[Days]]),$G$5,"")),"")</f>
        <v/>
      </c>
      <c r="BP72" s="36" t="str">
        <f ca="1">IFERROR(+IF(BP$27=ProposalToGnatt[[#This Row],[Start Date]],Milestone_Marker,IF(AND(BP$27&gt;ProposalToGnatt[[#This Row],[Start Date]],BP$27&lt;ProposalToGnatt[[#This Row],[Start Date]]+ProposalToGnatt[[#This Row],[Days]]),$G$5,"")),"")</f>
        <v/>
      </c>
      <c r="BQ72" s="36" t="str">
        <f ca="1">IFERROR(+IF(BQ$27=ProposalToGnatt[[#This Row],[Start Date]],Milestone_Marker,IF(AND(BQ$27&gt;ProposalToGnatt[[#This Row],[Start Date]],BQ$27&lt;ProposalToGnatt[[#This Row],[Start Date]]+ProposalToGnatt[[#This Row],[Days]]),$G$5,"")),"")</f>
        <v/>
      </c>
      <c r="BR72" s="36" t="str">
        <f ca="1">IFERROR(+IF(BR$27=ProposalToGnatt[[#This Row],[Start Date]],Milestone_Marker,IF(AND(BR$27&gt;ProposalToGnatt[[#This Row],[Start Date]],BR$27&lt;ProposalToGnatt[[#This Row],[Start Date]]+ProposalToGnatt[[#This Row],[Days]]),$G$5,"")),"")</f>
        <v/>
      </c>
      <c r="BS72" s="36" t="str">
        <f ca="1">IFERROR(+IF(BS$27=ProposalToGnatt[[#This Row],[Start Date]],Milestone_Marker,IF(AND(BS$27&gt;ProposalToGnatt[[#This Row],[Start Date]],BS$27&lt;ProposalToGnatt[[#This Row],[Start Date]]+ProposalToGnatt[[#This Row],[Days]]),$G$5,"")),"")</f>
        <v/>
      </c>
      <c r="BT72" s="36" t="str">
        <f ca="1">IFERROR(+IF(BT$27=ProposalToGnatt[[#This Row],[Start Date]],Milestone_Marker,IF(AND(BT$27&gt;ProposalToGnatt[[#This Row],[Start Date]],BT$27&lt;ProposalToGnatt[[#This Row],[Start Date]]+ProposalToGnatt[[#This Row],[Days]]),$G$5,"")),"")</f>
        <v/>
      </c>
      <c r="BU72" s="36" t="str">
        <f ca="1">IFERROR(+IF(BU$27=ProposalToGnatt[[#This Row],[Start Date]],Milestone_Marker,IF(AND(BU$27&gt;ProposalToGnatt[[#This Row],[Start Date]],BU$27&lt;ProposalToGnatt[[#This Row],[Start Date]]+ProposalToGnatt[[#This Row],[Days]]),$G$5,"")),"")</f>
        <v/>
      </c>
      <c r="BV72" s="36" t="str">
        <f ca="1">IFERROR(+IF(BV$27=ProposalToGnatt[[#This Row],[Start Date]],Milestone_Marker,IF(AND(BV$27&gt;ProposalToGnatt[[#This Row],[Start Date]],BV$27&lt;ProposalToGnatt[[#This Row],[Start Date]]+ProposalToGnatt[[#This Row],[Days]]),$G$5,"")),"")</f>
        <v/>
      </c>
      <c r="BW72" s="36" t="str">
        <f ca="1">IFERROR(+IF(BW$27=ProposalToGnatt[[#This Row],[Start Date]],Milestone_Marker,IF(AND(BW$27&gt;ProposalToGnatt[[#This Row],[Start Date]],BW$27&lt;ProposalToGnatt[[#This Row],[Start Date]]+ProposalToGnatt[[#This Row],[Days]]),$G$5,"")),"")</f>
        <v/>
      </c>
      <c r="BX72" s="36" t="str">
        <f ca="1">IFERROR(+IF(BX$27=ProposalToGnatt[[#This Row],[Start Date]],Milestone_Marker,IF(AND(BX$27&gt;ProposalToGnatt[[#This Row],[Start Date]],BX$27&lt;ProposalToGnatt[[#This Row],[Start Date]]+ProposalToGnatt[[#This Row],[Days]]),$G$5,"")),"")</f>
        <v/>
      </c>
      <c r="BY72" s="36" t="str">
        <f ca="1">IFERROR(+IF(BY$27=ProposalToGnatt[[#This Row],[Start Date]],Milestone_Marker,IF(AND(BY$27&gt;ProposalToGnatt[[#This Row],[Start Date]],BY$27&lt;ProposalToGnatt[[#This Row],[Start Date]]+ProposalToGnatt[[#This Row],[Days]]),$G$5,"")),"")</f>
        <v/>
      </c>
      <c r="BZ72" s="36" t="str">
        <f ca="1">IFERROR(+IF(BZ$27=ProposalToGnatt[[#This Row],[Start Date]],Milestone_Marker,IF(AND(BZ$27&gt;ProposalToGnatt[[#This Row],[Start Date]],BZ$27&lt;ProposalToGnatt[[#This Row],[Start Date]]+ProposalToGnatt[[#This Row],[Days]]),$G$5,"")),"")</f>
        <v/>
      </c>
      <c r="CA72" s="36" t="str">
        <f ca="1">IFERROR(+IF(CA$27=ProposalToGnatt[[#This Row],[Start Date]],Milestone_Marker,IF(AND(CA$27&gt;ProposalToGnatt[[#This Row],[Start Date]],CA$27&lt;ProposalToGnatt[[#This Row],[Start Date]]+ProposalToGnatt[[#This Row],[Days]]),$G$5,"")),"")</f>
        <v/>
      </c>
      <c r="CB72" s="36" t="str">
        <f ca="1">IFERROR(+IF(CB$27=ProposalToGnatt[[#This Row],[Start Date]],Milestone_Marker,IF(AND(CB$27&gt;ProposalToGnatt[[#This Row],[Start Date]],CB$27&lt;ProposalToGnatt[[#This Row],[Start Date]]+ProposalToGnatt[[#This Row],[Days]]),$G$5,"")),"")</f>
        <v/>
      </c>
      <c r="CC72" s="36" t="str">
        <f ca="1">IFERROR(+IF(CC$27=ProposalToGnatt[[#This Row],[Start Date]],Milestone_Marker,IF(AND(CC$27&gt;ProposalToGnatt[[#This Row],[Start Date]],CC$27&lt;ProposalToGnatt[[#This Row],[Start Date]]+ProposalToGnatt[[#This Row],[Days]]),$G$5,"")),"")</f>
        <v/>
      </c>
      <c r="CD72" s="36" t="str">
        <f ca="1">IFERROR(+IF(CD$27=ProposalToGnatt[[#This Row],[Start Date]],Milestone_Marker,IF(AND(CD$27&gt;ProposalToGnatt[[#This Row],[Start Date]],CD$27&lt;ProposalToGnatt[[#This Row],[Start Date]]+ProposalToGnatt[[#This Row],[Days]]),$G$5,"")),"")</f>
        <v/>
      </c>
      <c r="CE72" s="36" t="str">
        <f ca="1">IFERROR(+IF(CE$27=ProposalToGnatt[[#This Row],[Start Date]],Milestone_Marker,IF(AND(CE$27&gt;ProposalToGnatt[[#This Row],[Start Date]],CE$27&lt;ProposalToGnatt[[#This Row],[Start Date]]+ProposalToGnatt[[#This Row],[Days]]),$G$5,"")),"")</f>
        <v/>
      </c>
      <c r="CF72" s="36" t="str">
        <f ca="1">IFERROR(+IF(CF$27=ProposalToGnatt[[#This Row],[Start Date]],Milestone_Marker,IF(AND(CF$27&gt;ProposalToGnatt[[#This Row],[Start Date]],CF$27&lt;ProposalToGnatt[[#This Row],[Start Date]]+ProposalToGnatt[[#This Row],[Days]]),$G$5,"")),"")</f>
        <v/>
      </c>
      <c r="CG72" s="36" t="str">
        <f ca="1">IFERROR(+IF(CG$27=ProposalToGnatt[[#This Row],[Start Date]],Milestone_Marker,IF(AND(CG$27&gt;ProposalToGnatt[[#This Row],[Start Date]],CG$27&lt;ProposalToGnatt[[#This Row],[Start Date]]+ProposalToGnatt[[#This Row],[Days]]),$G$5,"")),"")</f>
        <v/>
      </c>
      <c r="CH72" s="36" t="str">
        <f ca="1">IFERROR(+IF(CH$27=ProposalToGnatt[[#This Row],[Start Date]],Milestone_Marker,IF(AND(CH$27&gt;ProposalToGnatt[[#This Row],[Start Date]],CH$27&lt;ProposalToGnatt[[#This Row],[Start Date]]+ProposalToGnatt[[#This Row],[Days]]),$G$5,"")),"")</f>
        <v/>
      </c>
      <c r="CI72" s="36" t="str">
        <f ca="1">IFERROR(+IF(CI$27=ProposalToGnatt[[#This Row],[Start Date]],Milestone_Marker,IF(AND(CI$27&gt;ProposalToGnatt[[#This Row],[Start Date]],CI$27&lt;ProposalToGnatt[[#This Row],[Start Date]]+ProposalToGnatt[[#This Row],[Days]]),$G$5,"")),"")</f>
        <v/>
      </c>
      <c r="CJ72" s="36" t="str">
        <f ca="1">IFERROR(+IF(CJ$27=ProposalToGnatt[[#This Row],[Start Date]],Milestone_Marker,IF(AND(CJ$27&gt;ProposalToGnatt[[#This Row],[Start Date]],CJ$27&lt;ProposalToGnatt[[#This Row],[Start Date]]+ProposalToGnatt[[#This Row],[Days]]),$G$5,"")),"")</f>
        <v/>
      </c>
      <c r="CK72" s="36" t="str">
        <f ca="1">IFERROR(+IF(CK$27=ProposalToGnatt[[#This Row],[Start Date]],Milestone_Marker,IF(AND(CK$27&gt;ProposalToGnatt[[#This Row],[Start Date]],CK$27&lt;ProposalToGnatt[[#This Row],[Start Date]]+ProposalToGnatt[[#This Row],[Days]]),$G$5,"")),"")</f>
        <v/>
      </c>
      <c r="CL72" s="36" t="str">
        <f ca="1">IFERROR(+IF(CL$27=ProposalToGnatt[[#This Row],[Start Date]],Milestone_Marker,IF(AND(CL$27&gt;ProposalToGnatt[[#This Row],[Start Date]],CL$27&lt;ProposalToGnatt[[#This Row],[Start Date]]+ProposalToGnatt[[#This Row],[Days]]),$G$5,"")),"")</f>
        <v/>
      </c>
      <c r="CM72" s="36" t="str">
        <f ca="1">IFERROR(+IF(CM$27=ProposalToGnatt[[#This Row],[Start Date]],Milestone_Marker,IF(AND(CM$27&gt;ProposalToGnatt[[#This Row],[Start Date]],CM$27&lt;ProposalToGnatt[[#This Row],[Start Date]]+ProposalToGnatt[[#This Row],[Days]]),$G$5,"")),"")</f>
        <v/>
      </c>
      <c r="CN72" s="36" t="str">
        <f ca="1">IFERROR(+IF(CN$27=ProposalToGnatt[[#This Row],[Start Date]],Milestone_Marker,IF(AND(CN$27&gt;ProposalToGnatt[[#This Row],[Start Date]],CN$27&lt;ProposalToGnatt[[#This Row],[Start Date]]+ProposalToGnatt[[#This Row],[Days]]),$G$5,"")),"")</f>
        <v/>
      </c>
      <c r="CO72" s="36" t="str">
        <f ca="1">IFERROR(+IF(CO$27=ProposalToGnatt[[#This Row],[Start Date]],Milestone_Marker,IF(AND(CO$27&gt;ProposalToGnatt[[#This Row],[Start Date]],CO$27&lt;ProposalToGnatt[[#This Row],[Start Date]]+ProposalToGnatt[[#This Row],[Days]]),$G$5,"")),"")</f>
        <v/>
      </c>
      <c r="CP72" s="36" t="str">
        <f ca="1">IFERROR(+IF(CP$27=ProposalToGnatt[[#This Row],[Start Date]],Milestone_Marker,IF(AND(CP$27&gt;ProposalToGnatt[[#This Row],[Start Date]],CP$27&lt;ProposalToGnatt[[#This Row],[Start Date]]+ProposalToGnatt[[#This Row],[Days]]),$G$5,"")),"")</f>
        <v/>
      </c>
      <c r="CQ72" s="36" t="str">
        <f ca="1">IFERROR(+IF(CQ$27=ProposalToGnatt[[#This Row],[Start Date]],Milestone_Marker,IF(AND(CQ$27&gt;ProposalToGnatt[[#This Row],[Start Date]],CQ$27&lt;ProposalToGnatt[[#This Row],[Start Date]]+ProposalToGnatt[[#This Row],[Days]]),$G$5,"")),"")</f>
        <v/>
      </c>
      <c r="CR72" s="36" t="str">
        <f ca="1">IFERROR(+IF(CR$27=ProposalToGnatt[[#This Row],[Start Date]],Milestone_Marker,IF(AND(CR$27&gt;ProposalToGnatt[[#This Row],[Start Date]],CR$27&lt;ProposalToGnatt[[#This Row],[Start Date]]+ProposalToGnatt[[#This Row],[Days]]),$G$5,"")),"")</f>
        <v/>
      </c>
      <c r="CS72" s="36" t="str">
        <f ca="1">IFERROR(+IF(CS$27=ProposalToGnatt[[#This Row],[Start Date]],Milestone_Marker,IF(AND(CS$27&gt;ProposalToGnatt[[#This Row],[Start Date]],CS$27&lt;ProposalToGnatt[[#This Row],[Start Date]]+ProposalToGnatt[[#This Row],[Days]]),$G$5,"")),"")</f>
        <v/>
      </c>
      <c r="CT72" s="36" t="str">
        <f ca="1">IFERROR(+IF(CT$27=ProposalToGnatt[[#This Row],[Start Date]],Milestone_Marker,IF(AND(CT$27&gt;ProposalToGnatt[[#This Row],[Start Date]],CT$27&lt;ProposalToGnatt[[#This Row],[Start Date]]+ProposalToGnatt[[#This Row],[Days]]),$G$5,"")),"")</f>
        <v/>
      </c>
      <c r="CU72" s="36" t="str">
        <f ca="1">IFERROR(+IF(CU$27=ProposalToGnatt[[#This Row],[Start Date]],Milestone_Marker,IF(AND(CU$27&gt;ProposalToGnatt[[#This Row],[Start Date]],CU$27&lt;ProposalToGnatt[[#This Row],[Start Date]]+ProposalToGnatt[[#This Row],[Days]]),$G$5,"")),"")</f>
        <v/>
      </c>
      <c r="CV72" s="36"/>
      <c r="CW72" s="36"/>
      <c r="CX72" s="36"/>
      <c r="CY72" s="36"/>
      <c r="CZ72" s="36"/>
      <c r="DA72" s="36"/>
      <c r="DB72" s="36"/>
      <c r="DC72" s="36"/>
      <c r="DD72" s="36"/>
      <c r="DE72" s="36"/>
      <c r="DF72" s="36"/>
      <c r="DG72" s="36"/>
      <c r="DH72" s="36"/>
      <c r="DI72" s="36"/>
      <c r="DJ72" s="36"/>
      <c r="DK72" s="36"/>
      <c r="DL72" s="36"/>
      <c r="DM72" s="36"/>
      <c r="DN72" s="36"/>
      <c r="DO72" s="36"/>
      <c r="DP72" s="36"/>
      <c r="DQ72" s="36"/>
      <c r="DR72" s="36"/>
      <c r="DS72" s="36"/>
      <c r="DT72" s="36"/>
      <c r="DU72" s="36"/>
    </row>
    <row r="73" spans="1:125" ht="15" x14ac:dyDescent="0.25">
      <c r="A73" t="s">
        <v>267</v>
      </c>
      <c r="B73">
        <v>55</v>
      </c>
      <c r="C73"/>
      <c r="D73" t="s">
        <v>910</v>
      </c>
      <c r="E73" s="568" t="s">
        <v>973</v>
      </c>
      <c r="F73">
        <v>1</v>
      </c>
      <c r="G73" s="14"/>
      <c r="H73" s="14"/>
      <c r="I73" t="s">
        <v>3</v>
      </c>
      <c r="J73">
        <v>1</v>
      </c>
      <c r="K73" s="249"/>
      <c r="L73"/>
      <c r="M73" s="14"/>
      <c r="N73" s="300"/>
      <c r="O73" s="554"/>
      <c r="P73" s="36" t="str">
        <f ca="1">IFERROR(+IF(P$27=ProposalToGnatt[[#This Row],[Start Date]],Milestone_Marker,IF(AND(P$27&gt;ProposalToGnatt[[#This Row],[Start Date]],P$27&lt;ProposalToGnatt[[#This Row],[Start Date]]+ProposalToGnatt[[#This Row],[Days]]),$G$5,"")),"")</f>
        <v/>
      </c>
      <c r="Q73" s="36" t="str">
        <f ca="1">IFERROR(+IF(Q$27=ProposalToGnatt[[#This Row],[Start Date]],Milestone_Marker,IF(AND(Q$27&gt;ProposalToGnatt[[#This Row],[Start Date]],Q$27&lt;ProposalToGnatt[[#This Row],[Start Date]]+ProposalToGnatt[[#This Row],[Days]]),$G$5,"")),"")</f>
        <v/>
      </c>
      <c r="R73" s="36" t="str">
        <f ca="1">IFERROR(+IF(R$27=ProposalToGnatt[[#This Row],[Start Date]],Milestone_Marker,IF(AND(R$27&gt;ProposalToGnatt[[#This Row],[Start Date]],R$27&lt;ProposalToGnatt[[#This Row],[Start Date]]+ProposalToGnatt[[#This Row],[Days]]),$G$5,"")),"")</f>
        <v/>
      </c>
      <c r="S73" s="36" t="str">
        <f ca="1">IFERROR(+IF(S$27=ProposalToGnatt[[#This Row],[Start Date]],Milestone_Marker,IF(AND(S$27&gt;ProposalToGnatt[[#This Row],[Start Date]],S$27&lt;ProposalToGnatt[[#This Row],[Start Date]]+ProposalToGnatt[[#This Row],[Days]]),$G$5,"")),"")</f>
        <v/>
      </c>
      <c r="T73" s="36" t="str">
        <f ca="1">IFERROR(+IF(T$27=ProposalToGnatt[[#This Row],[Start Date]],Milestone_Marker,IF(AND(T$27&gt;ProposalToGnatt[[#This Row],[Start Date]],T$27&lt;ProposalToGnatt[[#This Row],[Start Date]]+ProposalToGnatt[[#This Row],[Days]]),$G$5,"")),"")</f>
        <v/>
      </c>
      <c r="U73" s="36" t="str">
        <f ca="1">IFERROR(+IF(U$27=ProposalToGnatt[[#This Row],[Start Date]],Milestone_Marker,IF(AND(U$27&gt;ProposalToGnatt[[#This Row],[Start Date]],U$27&lt;ProposalToGnatt[[#This Row],[Start Date]]+ProposalToGnatt[[#This Row],[Days]]),$G$5,"")),"")</f>
        <v/>
      </c>
      <c r="V73" s="36" t="str">
        <f ca="1">IFERROR(+IF(V$27=ProposalToGnatt[[#This Row],[Start Date]],Milestone_Marker,IF(AND(V$27&gt;ProposalToGnatt[[#This Row],[Start Date]],V$27&lt;ProposalToGnatt[[#This Row],[Start Date]]+ProposalToGnatt[[#This Row],[Days]]),$G$5,"")),"")</f>
        <v/>
      </c>
      <c r="W73" s="36" t="str">
        <f ca="1">IFERROR(+IF(W$27=ProposalToGnatt[[#This Row],[Start Date]],Milestone_Marker,IF(AND(W$27&gt;ProposalToGnatt[[#This Row],[Start Date]],W$27&lt;ProposalToGnatt[[#This Row],[Start Date]]+ProposalToGnatt[[#This Row],[Days]]),$G$5,"")),"")</f>
        <v/>
      </c>
      <c r="X73" s="36" t="str">
        <f ca="1">IFERROR(+IF(X$27=ProposalToGnatt[[#This Row],[Start Date]],Milestone_Marker,IF(AND(X$27&gt;ProposalToGnatt[[#This Row],[Start Date]],X$27&lt;ProposalToGnatt[[#This Row],[Start Date]]+ProposalToGnatt[[#This Row],[Days]]),$G$5,"")),"")</f>
        <v/>
      </c>
      <c r="Y73" s="36" t="str">
        <f ca="1">IFERROR(+IF(Y$27=ProposalToGnatt[[#This Row],[Start Date]],Milestone_Marker,IF(AND(Y$27&gt;ProposalToGnatt[[#This Row],[Start Date]],Y$27&lt;ProposalToGnatt[[#This Row],[Start Date]]+ProposalToGnatt[[#This Row],[Days]]),$G$5,"")),"")</f>
        <v/>
      </c>
      <c r="Z73" s="36" t="str">
        <f ca="1">IFERROR(+IF(Z$27=ProposalToGnatt[[#This Row],[Start Date]],Milestone_Marker,IF(AND(Z$27&gt;ProposalToGnatt[[#This Row],[Start Date]],Z$27&lt;ProposalToGnatt[[#This Row],[Start Date]]+ProposalToGnatt[[#This Row],[Days]]),$G$5,"")),"")</f>
        <v/>
      </c>
      <c r="AA73" s="36" t="str">
        <f ca="1">IFERROR(+IF(AA$27=ProposalToGnatt[[#This Row],[Start Date]],Milestone_Marker,IF(AND(AA$27&gt;ProposalToGnatt[[#This Row],[Start Date]],AA$27&lt;ProposalToGnatt[[#This Row],[Start Date]]+ProposalToGnatt[[#This Row],[Days]]),$G$5,"")),"")</f>
        <v/>
      </c>
      <c r="AB73" s="36" t="str">
        <f ca="1">IFERROR(+IF(AB$27=ProposalToGnatt[[#This Row],[Start Date]],Milestone_Marker,IF(AND(AB$27&gt;ProposalToGnatt[[#This Row],[Start Date]],AB$27&lt;ProposalToGnatt[[#This Row],[Start Date]]+ProposalToGnatt[[#This Row],[Days]]),$G$5,"")),"")</f>
        <v/>
      </c>
      <c r="AC73" s="36" t="str">
        <f ca="1">IFERROR(+IF(AC$27=ProposalToGnatt[[#This Row],[Start Date]],Milestone_Marker,IF(AND(AC$27&gt;ProposalToGnatt[[#This Row],[Start Date]],AC$27&lt;ProposalToGnatt[[#This Row],[Start Date]]+ProposalToGnatt[[#This Row],[Days]]),$G$5,"")),"")</f>
        <v/>
      </c>
      <c r="AD73" s="36" t="str">
        <f ca="1">IFERROR(+IF(AD$27=ProposalToGnatt[[#This Row],[Start Date]],Milestone_Marker,IF(AND(AD$27&gt;ProposalToGnatt[[#This Row],[Start Date]],AD$27&lt;ProposalToGnatt[[#This Row],[Start Date]]+ProposalToGnatt[[#This Row],[Days]]),$G$5,"")),"")</f>
        <v/>
      </c>
      <c r="AE73" s="36" t="str">
        <f ca="1">IFERROR(+IF(AE$27=ProposalToGnatt[[#This Row],[Start Date]],Milestone_Marker,IF(AND(AE$27&gt;ProposalToGnatt[[#This Row],[Start Date]],AE$27&lt;ProposalToGnatt[[#This Row],[Start Date]]+ProposalToGnatt[[#This Row],[Days]]),$G$5,"")),"")</f>
        <v/>
      </c>
      <c r="AF73" s="36" t="str">
        <f ca="1">IFERROR(+IF(AF$27=ProposalToGnatt[[#This Row],[Start Date]],Milestone_Marker,IF(AND(AF$27&gt;ProposalToGnatt[[#This Row],[Start Date]],AF$27&lt;ProposalToGnatt[[#This Row],[Start Date]]+ProposalToGnatt[[#This Row],[Days]]),$G$5,"")),"")</f>
        <v/>
      </c>
      <c r="AG73" s="36" t="str">
        <f ca="1">IFERROR(+IF(AG$27=ProposalToGnatt[[#This Row],[Start Date]],Milestone_Marker,IF(AND(AG$27&gt;ProposalToGnatt[[#This Row],[Start Date]],AG$27&lt;ProposalToGnatt[[#This Row],[Start Date]]+ProposalToGnatt[[#This Row],[Days]]),$G$5,"")),"")</f>
        <v/>
      </c>
      <c r="AH73" s="36" t="str">
        <f ca="1">IFERROR(+IF(AH$27=ProposalToGnatt[[#This Row],[Start Date]],Milestone_Marker,IF(AND(AH$27&gt;ProposalToGnatt[[#This Row],[Start Date]],AH$27&lt;ProposalToGnatt[[#This Row],[Start Date]]+ProposalToGnatt[[#This Row],[Days]]),$G$5,"")),"")</f>
        <v/>
      </c>
      <c r="AI73" s="36" t="str">
        <f ca="1">IFERROR(+IF(AI$27=ProposalToGnatt[[#This Row],[Start Date]],Milestone_Marker,IF(AND(AI$27&gt;ProposalToGnatt[[#This Row],[Start Date]],AI$27&lt;ProposalToGnatt[[#This Row],[Start Date]]+ProposalToGnatt[[#This Row],[Days]]),$G$5,"")),"")</f>
        <v/>
      </c>
      <c r="AJ73" s="36" t="str">
        <f ca="1">IFERROR(+IF(AJ$27=ProposalToGnatt[[#This Row],[Start Date]],Milestone_Marker,IF(AND(AJ$27&gt;ProposalToGnatt[[#This Row],[Start Date]],AJ$27&lt;ProposalToGnatt[[#This Row],[Start Date]]+ProposalToGnatt[[#This Row],[Days]]),$G$5,"")),"")</f>
        <v/>
      </c>
      <c r="AK73" s="36" t="str">
        <f ca="1">IFERROR(+IF(AK$27=ProposalToGnatt[[#This Row],[Start Date]],Milestone_Marker,IF(AND(AK$27&gt;ProposalToGnatt[[#This Row],[Start Date]],AK$27&lt;ProposalToGnatt[[#This Row],[Start Date]]+ProposalToGnatt[[#This Row],[Days]]),$G$5,"")),"")</f>
        <v/>
      </c>
      <c r="AL73" s="36" t="str">
        <f ca="1">IFERROR(+IF(AL$27=ProposalToGnatt[[#This Row],[Start Date]],Milestone_Marker,IF(AND(AL$27&gt;ProposalToGnatt[[#This Row],[Start Date]],AL$27&lt;ProposalToGnatt[[#This Row],[Start Date]]+ProposalToGnatt[[#This Row],[Days]]),$G$5,"")),"")</f>
        <v/>
      </c>
      <c r="AM73" s="36" t="str">
        <f ca="1">IFERROR(+IF(AM$27=ProposalToGnatt[[#This Row],[Start Date]],Milestone_Marker,IF(AND(AM$27&gt;ProposalToGnatt[[#This Row],[Start Date]],AM$27&lt;ProposalToGnatt[[#This Row],[Start Date]]+ProposalToGnatt[[#This Row],[Days]]),$G$5,"")),"")</f>
        <v/>
      </c>
      <c r="AN73" s="36" t="str">
        <f ca="1">IFERROR(+IF(AN$27=ProposalToGnatt[[#This Row],[Start Date]],Milestone_Marker,IF(AND(AN$27&gt;ProposalToGnatt[[#This Row],[Start Date]],AN$27&lt;ProposalToGnatt[[#This Row],[Start Date]]+ProposalToGnatt[[#This Row],[Days]]),$G$5,"")),"")</f>
        <v/>
      </c>
      <c r="AO73" s="36" t="str">
        <f ca="1">IFERROR(+IF(AO$27=ProposalToGnatt[[#This Row],[Start Date]],Milestone_Marker,IF(AND(AO$27&gt;ProposalToGnatt[[#This Row],[Start Date]],AO$27&lt;ProposalToGnatt[[#This Row],[Start Date]]+ProposalToGnatt[[#This Row],[Days]]),$G$5,"")),"")</f>
        <v/>
      </c>
      <c r="AP73" s="36" t="str">
        <f ca="1">IFERROR(+IF(AP$27=ProposalToGnatt[[#This Row],[Start Date]],Milestone_Marker,IF(AND(AP$27&gt;ProposalToGnatt[[#This Row],[Start Date]],AP$27&lt;ProposalToGnatt[[#This Row],[Start Date]]+ProposalToGnatt[[#This Row],[Days]]),$G$5,"")),"")</f>
        <v/>
      </c>
      <c r="AQ73" s="36" t="str">
        <f ca="1">IFERROR(+IF(AQ$27=ProposalToGnatt[[#This Row],[Start Date]],Milestone_Marker,IF(AND(AQ$27&gt;ProposalToGnatt[[#This Row],[Start Date]],AQ$27&lt;ProposalToGnatt[[#This Row],[Start Date]]+ProposalToGnatt[[#This Row],[Days]]),$G$5,"")),"")</f>
        <v/>
      </c>
      <c r="AR73" s="36" t="str">
        <f ca="1">IFERROR(+IF(AR$27=ProposalToGnatt[[#This Row],[Start Date]],Milestone_Marker,IF(AND(AR$27&gt;ProposalToGnatt[[#This Row],[Start Date]],AR$27&lt;ProposalToGnatt[[#This Row],[Start Date]]+ProposalToGnatt[[#This Row],[Days]]),$G$5,"")),"")</f>
        <v/>
      </c>
      <c r="AS73" s="36" t="str">
        <f ca="1">IFERROR(+IF(AS$27=ProposalToGnatt[[#This Row],[Start Date]],Milestone_Marker,IF(AND(AS$27&gt;ProposalToGnatt[[#This Row],[Start Date]],AS$27&lt;ProposalToGnatt[[#This Row],[Start Date]]+ProposalToGnatt[[#This Row],[Days]]),$G$5,"")),"")</f>
        <v/>
      </c>
      <c r="AT73" s="36" t="str">
        <f ca="1">IFERROR(+IF(AT$27=ProposalToGnatt[[#This Row],[Start Date]],Milestone_Marker,IF(AND(AT$27&gt;ProposalToGnatt[[#This Row],[Start Date]],AT$27&lt;ProposalToGnatt[[#This Row],[Start Date]]+ProposalToGnatt[[#This Row],[Days]]),$G$5,"")),"")</f>
        <v/>
      </c>
      <c r="AU73" s="36" t="str">
        <f ca="1">IFERROR(+IF(AU$27=ProposalToGnatt[[#This Row],[Start Date]],Milestone_Marker,IF(AND(AU$27&gt;ProposalToGnatt[[#This Row],[Start Date]],AU$27&lt;ProposalToGnatt[[#This Row],[Start Date]]+ProposalToGnatt[[#This Row],[Days]]),$G$5,"")),"")</f>
        <v/>
      </c>
      <c r="AV73" s="36" t="str">
        <f ca="1">IFERROR(+IF(AV$27=ProposalToGnatt[[#This Row],[Start Date]],Milestone_Marker,IF(AND(AV$27&gt;ProposalToGnatt[[#This Row],[Start Date]],AV$27&lt;ProposalToGnatt[[#This Row],[Start Date]]+ProposalToGnatt[[#This Row],[Days]]),$G$5,"")),"")</f>
        <v/>
      </c>
      <c r="AW73" s="36" t="str">
        <f ca="1">IFERROR(+IF(AW$27=ProposalToGnatt[[#This Row],[Start Date]],Milestone_Marker,IF(AND(AW$27&gt;ProposalToGnatt[[#This Row],[Start Date]],AW$27&lt;ProposalToGnatt[[#This Row],[Start Date]]+ProposalToGnatt[[#This Row],[Days]]),$G$5,"")),"")</f>
        <v/>
      </c>
      <c r="AX73" s="36" t="str">
        <f ca="1">IFERROR(+IF(AX$27=ProposalToGnatt[[#This Row],[Start Date]],Milestone_Marker,IF(AND(AX$27&gt;ProposalToGnatt[[#This Row],[Start Date]],AX$27&lt;ProposalToGnatt[[#This Row],[Start Date]]+ProposalToGnatt[[#This Row],[Days]]),$G$5,"")),"")</f>
        <v/>
      </c>
      <c r="AY73" s="36" t="str">
        <f ca="1">IFERROR(+IF(AY$27=ProposalToGnatt[[#This Row],[Start Date]],Milestone_Marker,IF(AND(AY$27&gt;ProposalToGnatt[[#This Row],[Start Date]],AY$27&lt;ProposalToGnatt[[#This Row],[Start Date]]+ProposalToGnatt[[#This Row],[Days]]),$G$5,"")),"")</f>
        <v/>
      </c>
      <c r="AZ73" s="36" t="str">
        <f ca="1">IFERROR(+IF(AZ$27=ProposalToGnatt[[#This Row],[Start Date]],Milestone_Marker,IF(AND(AZ$27&gt;ProposalToGnatt[[#This Row],[Start Date]],AZ$27&lt;ProposalToGnatt[[#This Row],[Start Date]]+ProposalToGnatt[[#This Row],[Days]]),$G$5,"")),"")</f>
        <v/>
      </c>
      <c r="BA73" s="36" t="str">
        <f ca="1">IFERROR(+IF(BA$27=ProposalToGnatt[[#This Row],[Start Date]],Milestone_Marker,IF(AND(BA$27&gt;ProposalToGnatt[[#This Row],[Start Date]],BA$27&lt;ProposalToGnatt[[#This Row],[Start Date]]+ProposalToGnatt[[#This Row],[Days]]),$G$5,"")),"")</f>
        <v/>
      </c>
      <c r="BB73" s="36" t="str">
        <f ca="1">IFERROR(+IF(BB$27=ProposalToGnatt[[#This Row],[Start Date]],Milestone_Marker,IF(AND(BB$27&gt;ProposalToGnatt[[#This Row],[Start Date]],BB$27&lt;ProposalToGnatt[[#This Row],[Start Date]]+ProposalToGnatt[[#This Row],[Days]]),$G$5,"")),"")</f>
        <v/>
      </c>
      <c r="BC73" s="36" t="str">
        <f ca="1">IFERROR(+IF(BC$27=ProposalToGnatt[[#This Row],[Start Date]],Milestone_Marker,IF(AND(BC$27&gt;ProposalToGnatt[[#This Row],[Start Date]],BC$27&lt;ProposalToGnatt[[#This Row],[Start Date]]+ProposalToGnatt[[#This Row],[Days]]),$G$5,"")),"")</f>
        <v/>
      </c>
      <c r="BD73" s="36" t="str">
        <f ca="1">IFERROR(+IF(BD$27=ProposalToGnatt[[#This Row],[Start Date]],Milestone_Marker,IF(AND(BD$27&gt;ProposalToGnatt[[#This Row],[Start Date]],BD$27&lt;ProposalToGnatt[[#This Row],[Start Date]]+ProposalToGnatt[[#This Row],[Days]]),$G$5,"")),"")</f>
        <v/>
      </c>
      <c r="BE73" s="36" t="str">
        <f ca="1">IFERROR(+IF(BE$27=ProposalToGnatt[[#This Row],[Start Date]],Milestone_Marker,IF(AND(BE$27&gt;ProposalToGnatt[[#This Row],[Start Date]],BE$27&lt;ProposalToGnatt[[#This Row],[Start Date]]+ProposalToGnatt[[#This Row],[Days]]),$G$5,"")),"")</f>
        <v/>
      </c>
      <c r="BF73" s="36" t="str">
        <f ca="1">IFERROR(+IF(BF$27=ProposalToGnatt[[#This Row],[Start Date]],Milestone_Marker,IF(AND(BF$27&gt;ProposalToGnatt[[#This Row],[Start Date]],BF$27&lt;ProposalToGnatt[[#This Row],[Start Date]]+ProposalToGnatt[[#This Row],[Days]]),$G$5,"")),"")</f>
        <v/>
      </c>
      <c r="BG73" s="36" t="str">
        <f ca="1">IFERROR(+IF(BG$27=ProposalToGnatt[[#This Row],[Start Date]],Milestone_Marker,IF(AND(BG$27&gt;ProposalToGnatt[[#This Row],[Start Date]],BG$27&lt;ProposalToGnatt[[#This Row],[Start Date]]+ProposalToGnatt[[#This Row],[Days]]),$G$5,"")),"")</f>
        <v/>
      </c>
      <c r="BH73" s="36" t="str">
        <f ca="1">IFERROR(+IF(BH$27=ProposalToGnatt[[#This Row],[Start Date]],Milestone_Marker,IF(AND(BH$27&gt;ProposalToGnatt[[#This Row],[Start Date]],BH$27&lt;ProposalToGnatt[[#This Row],[Start Date]]+ProposalToGnatt[[#This Row],[Days]]),$G$5,"")),"")</f>
        <v/>
      </c>
      <c r="BI73" s="36" t="str">
        <f ca="1">IFERROR(+IF(BI$27=ProposalToGnatt[[#This Row],[Start Date]],Milestone_Marker,IF(AND(BI$27&gt;ProposalToGnatt[[#This Row],[Start Date]],BI$27&lt;ProposalToGnatt[[#This Row],[Start Date]]+ProposalToGnatt[[#This Row],[Days]]),$G$5,"")),"")</f>
        <v/>
      </c>
      <c r="BJ73" s="36" t="str">
        <f ca="1">IFERROR(+IF(BJ$27=ProposalToGnatt[[#This Row],[Start Date]],Milestone_Marker,IF(AND(BJ$27&gt;ProposalToGnatt[[#This Row],[Start Date]],BJ$27&lt;ProposalToGnatt[[#This Row],[Start Date]]+ProposalToGnatt[[#This Row],[Days]]),$G$5,"")),"")</f>
        <v/>
      </c>
      <c r="BK73" s="36" t="str">
        <f ca="1">IFERROR(+IF(BK$27=ProposalToGnatt[[#This Row],[Start Date]],Milestone_Marker,IF(AND(BK$27&gt;ProposalToGnatt[[#This Row],[Start Date]],BK$27&lt;ProposalToGnatt[[#This Row],[Start Date]]+ProposalToGnatt[[#This Row],[Days]]),$G$5,"")),"")</f>
        <v/>
      </c>
      <c r="BL73" s="36" t="str">
        <f ca="1">IFERROR(+IF(BL$27=ProposalToGnatt[[#This Row],[Start Date]],Milestone_Marker,IF(AND(BL$27&gt;ProposalToGnatt[[#This Row],[Start Date]],BL$27&lt;ProposalToGnatt[[#This Row],[Start Date]]+ProposalToGnatt[[#This Row],[Days]]),$G$5,"")),"")</f>
        <v/>
      </c>
      <c r="BM73" s="36" t="str">
        <f ca="1">IFERROR(+IF(BM$27=ProposalToGnatt[[#This Row],[Start Date]],Milestone_Marker,IF(AND(BM$27&gt;ProposalToGnatt[[#This Row],[Start Date]],BM$27&lt;ProposalToGnatt[[#This Row],[Start Date]]+ProposalToGnatt[[#This Row],[Days]]),$G$5,"")),"")</f>
        <v/>
      </c>
      <c r="BN73" s="36" t="str">
        <f ca="1">IFERROR(+IF(BN$27=ProposalToGnatt[[#This Row],[Start Date]],Milestone_Marker,IF(AND(BN$27&gt;ProposalToGnatt[[#This Row],[Start Date]],BN$27&lt;ProposalToGnatt[[#This Row],[Start Date]]+ProposalToGnatt[[#This Row],[Days]]),$G$5,"")),"")</f>
        <v/>
      </c>
      <c r="BO73" s="36" t="str">
        <f ca="1">IFERROR(+IF(BO$27=ProposalToGnatt[[#This Row],[Start Date]],Milestone_Marker,IF(AND(BO$27&gt;ProposalToGnatt[[#This Row],[Start Date]],BO$27&lt;ProposalToGnatt[[#This Row],[Start Date]]+ProposalToGnatt[[#This Row],[Days]]),$G$5,"")),"")</f>
        <v/>
      </c>
      <c r="BP73" s="36" t="str">
        <f ca="1">IFERROR(+IF(BP$27=ProposalToGnatt[[#This Row],[Start Date]],Milestone_Marker,IF(AND(BP$27&gt;ProposalToGnatt[[#This Row],[Start Date]],BP$27&lt;ProposalToGnatt[[#This Row],[Start Date]]+ProposalToGnatt[[#This Row],[Days]]),$G$5,"")),"")</f>
        <v/>
      </c>
      <c r="BQ73" s="36" t="str">
        <f ca="1">IFERROR(+IF(BQ$27=ProposalToGnatt[[#This Row],[Start Date]],Milestone_Marker,IF(AND(BQ$27&gt;ProposalToGnatt[[#This Row],[Start Date]],BQ$27&lt;ProposalToGnatt[[#This Row],[Start Date]]+ProposalToGnatt[[#This Row],[Days]]),$G$5,"")),"")</f>
        <v/>
      </c>
      <c r="BR73" s="36" t="str">
        <f ca="1">IFERROR(+IF(BR$27=ProposalToGnatt[[#This Row],[Start Date]],Milestone_Marker,IF(AND(BR$27&gt;ProposalToGnatt[[#This Row],[Start Date]],BR$27&lt;ProposalToGnatt[[#This Row],[Start Date]]+ProposalToGnatt[[#This Row],[Days]]),$G$5,"")),"")</f>
        <v/>
      </c>
      <c r="BS73" s="36" t="str">
        <f ca="1">IFERROR(+IF(BS$27=ProposalToGnatt[[#This Row],[Start Date]],Milestone_Marker,IF(AND(BS$27&gt;ProposalToGnatt[[#This Row],[Start Date]],BS$27&lt;ProposalToGnatt[[#This Row],[Start Date]]+ProposalToGnatt[[#This Row],[Days]]),$G$5,"")),"")</f>
        <v/>
      </c>
      <c r="BT73" s="36" t="str">
        <f ca="1">IFERROR(+IF(BT$27=ProposalToGnatt[[#This Row],[Start Date]],Milestone_Marker,IF(AND(BT$27&gt;ProposalToGnatt[[#This Row],[Start Date]],BT$27&lt;ProposalToGnatt[[#This Row],[Start Date]]+ProposalToGnatt[[#This Row],[Days]]),$G$5,"")),"")</f>
        <v/>
      </c>
      <c r="BU73" s="36" t="str">
        <f ca="1">IFERROR(+IF(BU$27=ProposalToGnatt[[#This Row],[Start Date]],Milestone_Marker,IF(AND(BU$27&gt;ProposalToGnatt[[#This Row],[Start Date]],BU$27&lt;ProposalToGnatt[[#This Row],[Start Date]]+ProposalToGnatt[[#This Row],[Days]]),$G$5,"")),"")</f>
        <v/>
      </c>
      <c r="BV73" s="36" t="str">
        <f ca="1">IFERROR(+IF(BV$27=ProposalToGnatt[[#This Row],[Start Date]],Milestone_Marker,IF(AND(BV$27&gt;ProposalToGnatt[[#This Row],[Start Date]],BV$27&lt;ProposalToGnatt[[#This Row],[Start Date]]+ProposalToGnatt[[#This Row],[Days]]),$G$5,"")),"")</f>
        <v/>
      </c>
      <c r="BW73" s="36" t="str">
        <f ca="1">IFERROR(+IF(BW$27=ProposalToGnatt[[#This Row],[Start Date]],Milestone_Marker,IF(AND(BW$27&gt;ProposalToGnatt[[#This Row],[Start Date]],BW$27&lt;ProposalToGnatt[[#This Row],[Start Date]]+ProposalToGnatt[[#This Row],[Days]]),$G$5,"")),"")</f>
        <v/>
      </c>
      <c r="BX73" s="36" t="str">
        <f ca="1">IFERROR(+IF(BX$27=ProposalToGnatt[[#This Row],[Start Date]],Milestone_Marker,IF(AND(BX$27&gt;ProposalToGnatt[[#This Row],[Start Date]],BX$27&lt;ProposalToGnatt[[#This Row],[Start Date]]+ProposalToGnatt[[#This Row],[Days]]),$G$5,"")),"")</f>
        <v/>
      </c>
      <c r="BY73" s="36" t="str">
        <f ca="1">IFERROR(+IF(BY$27=ProposalToGnatt[[#This Row],[Start Date]],Milestone_Marker,IF(AND(BY$27&gt;ProposalToGnatt[[#This Row],[Start Date]],BY$27&lt;ProposalToGnatt[[#This Row],[Start Date]]+ProposalToGnatt[[#This Row],[Days]]),$G$5,"")),"")</f>
        <v/>
      </c>
      <c r="BZ73" s="36" t="str">
        <f ca="1">IFERROR(+IF(BZ$27=ProposalToGnatt[[#This Row],[Start Date]],Milestone_Marker,IF(AND(BZ$27&gt;ProposalToGnatt[[#This Row],[Start Date]],BZ$27&lt;ProposalToGnatt[[#This Row],[Start Date]]+ProposalToGnatt[[#This Row],[Days]]),$G$5,"")),"")</f>
        <v/>
      </c>
      <c r="CA73" s="36" t="str">
        <f ca="1">IFERROR(+IF(CA$27=ProposalToGnatt[[#This Row],[Start Date]],Milestone_Marker,IF(AND(CA$27&gt;ProposalToGnatt[[#This Row],[Start Date]],CA$27&lt;ProposalToGnatt[[#This Row],[Start Date]]+ProposalToGnatt[[#This Row],[Days]]),$G$5,"")),"")</f>
        <v/>
      </c>
      <c r="CB73" s="36" t="str">
        <f ca="1">IFERROR(+IF(CB$27=ProposalToGnatt[[#This Row],[Start Date]],Milestone_Marker,IF(AND(CB$27&gt;ProposalToGnatt[[#This Row],[Start Date]],CB$27&lt;ProposalToGnatt[[#This Row],[Start Date]]+ProposalToGnatt[[#This Row],[Days]]),$G$5,"")),"")</f>
        <v/>
      </c>
      <c r="CC73" s="36" t="str">
        <f ca="1">IFERROR(+IF(CC$27=ProposalToGnatt[[#This Row],[Start Date]],Milestone_Marker,IF(AND(CC$27&gt;ProposalToGnatt[[#This Row],[Start Date]],CC$27&lt;ProposalToGnatt[[#This Row],[Start Date]]+ProposalToGnatt[[#This Row],[Days]]),$G$5,"")),"")</f>
        <v/>
      </c>
      <c r="CD73" s="36" t="str">
        <f ca="1">IFERROR(+IF(CD$27=ProposalToGnatt[[#This Row],[Start Date]],Milestone_Marker,IF(AND(CD$27&gt;ProposalToGnatt[[#This Row],[Start Date]],CD$27&lt;ProposalToGnatt[[#This Row],[Start Date]]+ProposalToGnatt[[#This Row],[Days]]),$G$5,"")),"")</f>
        <v/>
      </c>
      <c r="CE73" s="36" t="str">
        <f ca="1">IFERROR(+IF(CE$27=ProposalToGnatt[[#This Row],[Start Date]],Milestone_Marker,IF(AND(CE$27&gt;ProposalToGnatt[[#This Row],[Start Date]],CE$27&lt;ProposalToGnatt[[#This Row],[Start Date]]+ProposalToGnatt[[#This Row],[Days]]),$G$5,"")),"")</f>
        <v/>
      </c>
      <c r="CF73" s="36" t="str">
        <f ca="1">IFERROR(+IF(CF$27=ProposalToGnatt[[#This Row],[Start Date]],Milestone_Marker,IF(AND(CF$27&gt;ProposalToGnatt[[#This Row],[Start Date]],CF$27&lt;ProposalToGnatt[[#This Row],[Start Date]]+ProposalToGnatt[[#This Row],[Days]]),$G$5,"")),"")</f>
        <v/>
      </c>
      <c r="CG73" s="36" t="str">
        <f ca="1">IFERROR(+IF(CG$27=ProposalToGnatt[[#This Row],[Start Date]],Milestone_Marker,IF(AND(CG$27&gt;ProposalToGnatt[[#This Row],[Start Date]],CG$27&lt;ProposalToGnatt[[#This Row],[Start Date]]+ProposalToGnatt[[#This Row],[Days]]),$G$5,"")),"")</f>
        <v/>
      </c>
      <c r="CH73" s="36" t="str">
        <f ca="1">IFERROR(+IF(CH$27=ProposalToGnatt[[#This Row],[Start Date]],Milestone_Marker,IF(AND(CH$27&gt;ProposalToGnatt[[#This Row],[Start Date]],CH$27&lt;ProposalToGnatt[[#This Row],[Start Date]]+ProposalToGnatt[[#This Row],[Days]]),$G$5,"")),"")</f>
        <v/>
      </c>
      <c r="CI73" s="36" t="str">
        <f ca="1">IFERROR(+IF(CI$27=ProposalToGnatt[[#This Row],[Start Date]],Milestone_Marker,IF(AND(CI$27&gt;ProposalToGnatt[[#This Row],[Start Date]],CI$27&lt;ProposalToGnatt[[#This Row],[Start Date]]+ProposalToGnatt[[#This Row],[Days]]),$G$5,"")),"")</f>
        <v/>
      </c>
      <c r="CJ73" s="36" t="str">
        <f ca="1">IFERROR(+IF(CJ$27=ProposalToGnatt[[#This Row],[Start Date]],Milestone_Marker,IF(AND(CJ$27&gt;ProposalToGnatt[[#This Row],[Start Date]],CJ$27&lt;ProposalToGnatt[[#This Row],[Start Date]]+ProposalToGnatt[[#This Row],[Days]]),$G$5,"")),"")</f>
        <v/>
      </c>
      <c r="CK73" s="36" t="str">
        <f ca="1">IFERROR(+IF(CK$27=ProposalToGnatt[[#This Row],[Start Date]],Milestone_Marker,IF(AND(CK$27&gt;ProposalToGnatt[[#This Row],[Start Date]],CK$27&lt;ProposalToGnatt[[#This Row],[Start Date]]+ProposalToGnatt[[#This Row],[Days]]),$G$5,"")),"")</f>
        <v/>
      </c>
      <c r="CL73" s="36" t="str">
        <f ca="1">IFERROR(+IF(CL$27=ProposalToGnatt[[#This Row],[Start Date]],Milestone_Marker,IF(AND(CL$27&gt;ProposalToGnatt[[#This Row],[Start Date]],CL$27&lt;ProposalToGnatt[[#This Row],[Start Date]]+ProposalToGnatt[[#This Row],[Days]]),$G$5,"")),"")</f>
        <v/>
      </c>
      <c r="CM73" s="36" t="str">
        <f ca="1">IFERROR(+IF(CM$27=ProposalToGnatt[[#This Row],[Start Date]],Milestone_Marker,IF(AND(CM$27&gt;ProposalToGnatt[[#This Row],[Start Date]],CM$27&lt;ProposalToGnatt[[#This Row],[Start Date]]+ProposalToGnatt[[#This Row],[Days]]),$G$5,"")),"")</f>
        <v/>
      </c>
      <c r="CN73" s="36" t="str">
        <f ca="1">IFERROR(+IF(CN$27=ProposalToGnatt[[#This Row],[Start Date]],Milestone_Marker,IF(AND(CN$27&gt;ProposalToGnatt[[#This Row],[Start Date]],CN$27&lt;ProposalToGnatt[[#This Row],[Start Date]]+ProposalToGnatt[[#This Row],[Days]]),$G$5,"")),"")</f>
        <v/>
      </c>
      <c r="CO73" s="36" t="str">
        <f ca="1">IFERROR(+IF(CO$27=ProposalToGnatt[[#This Row],[Start Date]],Milestone_Marker,IF(AND(CO$27&gt;ProposalToGnatt[[#This Row],[Start Date]],CO$27&lt;ProposalToGnatt[[#This Row],[Start Date]]+ProposalToGnatt[[#This Row],[Days]]),$G$5,"")),"")</f>
        <v/>
      </c>
      <c r="CP73" s="36" t="str">
        <f ca="1">IFERROR(+IF(CP$27=ProposalToGnatt[[#This Row],[Start Date]],Milestone_Marker,IF(AND(CP$27&gt;ProposalToGnatt[[#This Row],[Start Date]],CP$27&lt;ProposalToGnatt[[#This Row],[Start Date]]+ProposalToGnatt[[#This Row],[Days]]),$G$5,"")),"")</f>
        <v/>
      </c>
      <c r="CQ73" s="36" t="str">
        <f ca="1">IFERROR(+IF(CQ$27=ProposalToGnatt[[#This Row],[Start Date]],Milestone_Marker,IF(AND(CQ$27&gt;ProposalToGnatt[[#This Row],[Start Date]],CQ$27&lt;ProposalToGnatt[[#This Row],[Start Date]]+ProposalToGnatt[[#This Row],[Days]]),$G$5,"")),"")</f>
        <v/>
      </c>
      <c r="CR73" s="36" t="str">
        <f ca="1">IFERROR(+IF(CR$27=ProposalToGnatt[[#This Row],[Start Date]],Milestone_Marker,IF(AND(CR$27&gt;ProposalToGnatt[[#This Row],[Start Date]],CR$27&lt;ProposalToGnatt[[#This Row],[Start Date]]+ProposalToGnatt[[#This Row],[Days]]),$G$5,"")),"")</f>
        <v/>
      </c>
      <c r="CS73" s="36" t="str">
        <f ca="1">IFERROR(+IF(CS$27=ProposalToGnatt[[#This Row],[Start Date]],Milestone_Marker,IF(AND(CS$27&gt;ProposalToGnatt[[#This Row],[Start Date]],CS$27&lt;ProposalToGnatt[[#This Row],[Start Date]]+ProposalToGnatt[[#This Row],[Days]]),$G$5,"")),"")</f>
        <v/>
      </c>
      <c r="CT73" s="36" t="str">
        <f ca="1">IFERROR(+IF(CT$27=ProposalToGnatt[[#This Row],[Start Date]],Milestone_Marker,IF(AND(CT$27&gt;ProposalToGnatt[[#This Row],[Start Date]],CT$27&lt;ProposalToGnatt[[#This Row],[Start Date]]+ProposalToGnatt[[#This Row],[Days]]),$G$5,"")),"")</f>
        <v/>
      </c>
      <c r="CU73" s="36" t="str">
        <f ca="1">IFERROR(+IF(CU$27=ProposalToGnatt[[#This Row],[Start Date]],Milestone_Marker,IF(AND(CU$27&gt;ProposalToGnatt[[#This Row],[Start Date]],CU$27&lt;ProposalToGnatt[[#This Row],[Start Date]]+ProposalToGnatt[[#This Row],[Days]]),$G$5,"")),"")</f>
        <v/>
      </c>
      <c r="CV73" s="36"/>
      <c r="CW73" s="36"/>
      <c r="CX73" s="36"/>
      <c r="CY73" s="36"/>
      <c r="CZ73" s="36"/>
      <c r="DA73" s="36"/>
      <c r="DB73" s="36"/>
      <c r="DC73" s="36"/>
      <c r="DD73" s="36"/>
      <c r="DE73" s="36"/>
      <c r="DF73" s="36"/>
      <c r="DG73" s="36"/>
      <c r="DH73" s="36"/>
      <c r="DI73" s="36"/>
      <c r="DJ73" s="36"/>
      <c r="DK73" s="36"/>
      <c r="DL73" s="36"/>
      <c r="DM73" s="36"/>
      <c r="DN73" s="36"/>
      <c r="DO73" s="36"/>
      <c r="DP73" s="36"/>
      <c r="DQ73" s="36"/>
      <c r="DR73" s="36"/>
      <c r="DS73" s="36"/>
      <c r="DT73" s="36"/>
      <c r="DU73" s="36"/>
    </row>
    <row r="74" spans="1:125" ht="15" x14ac:dyDescent="0.25">
      <c r="A74" t="s">
        <v>267</v>
      </c>
      <c r="B74">
        <v>56</v>
      </c>
      <c r="C74"/>
      <c r="D74" t="s">
        <v>956</v>
      </c>
      <c r="E74" s="568" t="s">
        <v>974</v>
      </c>
      <c r="F74"/>
      <c r="G74" s="14"/>
      <c r="H74" s="14"/>
      <c r="I74" t="s">
        <v>3</v>
      </c>
      <c r="J74">
        <v>1</v>
      </c>
      <c r="K74" s="249"/>
      <c r="L74"/>
      <c r="M74" s="14"/>
      <c r="N74" s="300"/>
      <c r="O74" s="554"/>
      <c r="P74" s="36" t="str">
        <f ca="1">IFERROR(+IF(P$27=ProposalToGnatt[[#This Row],[Start Date]],Milestone_Marker,IF(AND(P$27&gt;ProposalToGnatt[[#This Row],[Start Date]],P$27&lt;ProposalToGnatt[[#This Row],[Start Date]]+ProposalToGnatt[[#This Row],[Days]]),$G$5,"")),"")</f>
        <v/>
      </c>
      <c r="Q74" s="36" t="str">
        <f ca="1">IFERROR(+IF(Q$27=ProposalToGnatt[[#This Row],[Start Date]],Milestone_Marker,IF(AND(Q$27&gt;ProposalToGnatt[[#This Row],[Start Date]],Q$27&lt;ProposalToGnatt[[#This Row],[Start Date]]+ProposalToGnatt[[#This Row],[Days]]),$G$5,"")),"")</f>
        <v/>
      </c>
      <c r="R74" s="36" t="str">
        <f ca="1">IFERROR(+IF(R$27=ProposalToGnatt[[#This Row],[Start Date]],Milestone_Marker,IF(AND(R$27&gt;ProposalToGnatt[[#This Row],[Start Date]],R$27&lt;ProposalToGnatt[[#This Row],[Start Date]]+ProposalToGnatt[[#This Row],[Days]]),$G$5,"")),"")</f>
        <v/>
      </c>
      <c r="S74" s="36" t="str">
        <f ca="1">IFERROR(+IF(S$27=ProposalToGnatt[[#This Row],[Start Date]],Milestone_Marker,IF(AND(S$27&gt;ProposalToGnatt[[#This Row],[Start Date]],S$27&lt;ProposalToGnatt[[#This Row],[Start Date]]+ProposalToGnatt[[#This Row],[Days]]),$G$5,"")),"")</f>
        <v/>
      </c>
      <c r="T74" s="36" t="str">
        <f ca="1">IFERROR(+IF(T$27=ProposalToGnatt[[#This Row],[Start Date]],Milestone_Marker,IF(AND(T$27&gt;ProposalToGnatt[[#This Row],[Start Date]],T$27&lt;ProposalToGnatt[[#This Row],[Start Date]]+ProposalToGnatt[[#This Row],[Days]]),$G$5,"")),"")</f>
        <v/>
      </c>
      <c r="U74" s="36" t="str">
        <f ca="1">IFERROR(+IF(U$27=ProposalToGnatt[[#This Row],[Start Date]],Milestone_Marker,IF(AND(U$27&gt;ProposalToGnatt[[#This Row],[Start Date]],U$27&lt;ProposalToGnatt[[#This Row],[Start Date]]+ProposalToGnatt[[#This Row],[Days]]),$G$5,"")),"")</f>
        <v/>
      </c>
      <c r="V74" s="36" t="str">
        <f ca="1">IFERROR(+IF(V$27=ProposalToGnatt[[#This Row],[Start Date]],Milestone_Marker,IF(AND(V$27&gt;ProposalToGnatt[[#This Row],[Start Date]],V$27&lt;ProposalToGnatt[[#This Row],[Start Date]]+ProposalToGnatt[[#This Row],[Days]]),$G$5,"")),"")</f>
        <v/>
      </c>
      <c r="W74" s="36" t="str">
        <f ca="1">IFERROR(+IF(W$27=ProposalToGnatt[[#This Row],[Start Date]],Milestone_Marker,IF(AND(W$27&gt;ProposalToGnatt[[#This Row],[Start Date]],W$27&lt;ProposalToGnatt[[#This Row],[Start Date]]+ProposalToGnatt[[#This Row],[Days]]),$G$5,"")),"")</f>
        <v/>
      </c>
      <c r="X74" s="36" t="str">
        <f ca="1">IFERROR(+IF(X$27=ProposalToGnatt[[#This Row],[Start Date]],Milestone_Marker,IF(AND(X$27&gt;ProposalToGnatt[[#This Row],[Start Date]],X$27&lt;ProposalToGnatt[[#This Row],[Start Date]]+ProposalToGnatt[[#This Row],[Days]]),$G$5,"")),"")</f>
        <v/>
      </c>
      <c r="Y74" s="36" t="str">
        <f ca="1">IFERROR(+IF(Y$27=ProposalToGnatt[[#This Row],[Start Date]],Milestone_Marker,IF(AND(Y$27&gt;ProposalToGnatt[[#This Row],[Start Date]],Y$27&lt;ProposalToGnatt[[#This Row],[Start Date]]+ProposalToGnatt[[#This Row],[Days]]),$G$5,"")),"")</f>
        <v/>
      </c>
      <c r="Z74" s="36" t="str">
        <f ca="1">IFERROR(+IF(Z$27=ProposalToGnatt[[#This Row],[Start Date]],Milestone_Marker,IF(AND(Z$27&gt;ProposalToGnatt[[#This Row],[Start Date]],Z$27&lt;ProposalToGnatt[[#This Row],[Start Date]]+ProposalToGnatt[[#This Row],[Days]]),$G$5,"")),"")</f>
        <v/>
      </c>
      <c r="AA74" s="36" t="str">
        <f ca="1">IFERROR(+IF(AA$27=ProposalToGnatt[[#This Row],[Start Date]],Milestone_Marker,IF(AND(AA$27&gt;ProposalToGnatt[[#This Row],[Start Date]],AA$27&lt;ProposalToGnatt[[#This Row],[Start Date]]+ProposalToGnatt[[#This Row],[Days]]),$G$5,"")),"")</f>
        <v/>
      </c>
      <c r="AB74" s="36" t="str">
        <f ca="1">IFERROR(+IF(AB$27=ProposalToGnatt[[#This Row],[Start Date]],Milestone_Marker,IF(AND(AB$27&gt;ProposalToGnatt[[#This Row],[Start Date]],AB$27&lt;ProposalToGnatt[[#This Row],[Start Date]]+ProposalToGnatt[[#This Row],[Days]]),$G$5,"")),"")</f>
        <v/>
      </c>
      <c r="AC74" s="36" t="str">
        <f ca="1">IFERROR(+IF(AC$27=ProposalToGnatt[[#This Row],[Start Date]],Milestone_Marker,IF(AND(AC$27&gt;ProposalToGnatt[[#This Row],[Start Date]],AC$27&lt;ProposalToGnatt[[#This Row],[Start Date]]+ProposalToGnatt[[#This Row],[Days]]),$G$5,"")),"")</f>
        <v/>
      </c>
      <c r="AD74" s="36" t="str">
        <f ca="1">IFERROR(+IF(AD$27=ProposalToGnatt[[#This Row],[Start Date]],Milestone_Marker,IF(AND(AD$27&gt;ProposalToGnatt[[#This Row],[Start Date]],AD$27&lt;ProposalToGnatt[[#This Row],[Start Date]]+ProposalToGnatt[[#This Row],[Days]]),$G$5,"")),"")</f>
        <v/>
      </c>
      <c r="AE74" s="36" t="str">
        <f ca="1">IFERROR(+IF(AE$27=ProposalToGnatt[[#This Row],[Start Date]],Milestone_Marker,IF(AND(AE$27&gt;ProposalToGnatt[[#This Row],[Start Date]],AE$27&lt;ProposalToGnatt[[#This Row],[Start Date]]+ProposalToGnatt[[#This Row],[Days]]),$G$5,"")),"")</f>
        <v/>
      </c>
      <c r="AF74" s="36" t="str">
        <f ca="1">IFERROR(+IF(AF$27=ProposalToGnatt[[#This Row],[Start Date]],Milestone_Marker,IF(AND(AF$27&gt;ProposalToGnatt[[#This Row],[Start Date]],AF$27&lt;ProposalToGnatt[[#This Row],[Start Date]]+ProposalToGnatt[[#This Row],[Days]]),$G$5,"")),"")</f>
        <v/>
      </c>
      <c r="AG74" s="36" t="str">
        <f ca="1">IFERROR(+IF(AG$27=ProposalToGnatt[[#This Row],[Start Date]],Milestone_Marker,IF(AND(AG$27&gt;ProposalToGnatt[[#This Row],[Start Date]],AG$27&lt;ProposalToGnatt[[#This Row],[Start Date]]+ProposalToGnatt[[#This Row],[Days]]),$G$5,"")),"")</f>
        <v/>
      </c>
      <c r="AH74" s="36" t="str">
        <f ca="1">IFERROR(+IF(AH$27=ProposalToGnatt[[#This Row],[Start Date]],Milestone_Marker,IF(AND(AH$27&gt;ProposalToGnatt[[#This Row],[Start Date]],AH$27&lt;ProposalToGnatt[[#This Row],[Start Date]]+ProposalToGnatt[[#This Row],[Days]]),$G$5,"")),"")</f>
        <v/>
      </c>
      <c r="AI74" s="36" t="str">
        <f ca="1">IFERROR(+IF(AI$27=ProposalToGnatt[[#This Row],[Start Date]],Milestone_Marker,IF(AND(AI$27&gt;ProposalToGnatt[[#This Row],[Start Date]],AI$27&lt;ProposalToGnatt[[#This Row],[Start Date]]+ProposalToGnatt[[#This Row],[Days]]),$G$5,"")),"")</f>
        <v/>
      </c>
      <c r="AJ74" s="36" t="str">
        <f ca="1">IFERROR(+IF(AJ$27=ProposalToGnatt[[#This Row],[Start Date]],Milestone_Marker,IF(AND(AJ$27&gt;ProposalToGnatt[[#This Row],[Start Date]],AJ$27&lt;ProposalToGnatt[[#This Row],[Start Date]]+ProposalToGnatt[[#This Row],[Days]]),$G$5,"")),"")</f>
        <v/>
      </c>
      <c r="AK74" s="36" t="str">
        <f ca="1">IFERROR(+IF(AK$27=ProposalToGnatt[[#This Row],[Start Date]],Milestone_Marker,IF(AND(AK$27&gt;ProposalToGnatt[[#This Row],[Start Date]],AK$27&lt;ProposalToGnatt[[#This Row],[Start Date]]+ProposalToGnatt[[#This Row],[Days]]),$G$5,"")),"")</f>
        <v/>
      </c>
      <c r="AL74" s="36" t="str">
        <f ca="1">IFERROR(+IF(AL$27=ProposalToGnatt[[#This Row],[Start Date]],Milestone_Marker,IF(AND(AL$27&gt;ProposalToGnatt[[#This Row],[Start Date]],AL$27&lt;ProposalToGnatt[[#This Row],[Start Date]]+ProposalToGnatt[[#This Row],[Days]]),$G$5,"")),"")</f>
        <v/>
      </c>
      <c r="AM74" s="36" t="str">
        <f ca="1">IFERROR(+IF(AM$27=ProposalToGnatt[[#This Row],[Start Date]],Milestone_Marker,IF(AND(AM$27&gt;ProposalToGnatt[[#This Row],[Start Date]],AM$27&lt;ProposalToGnatt[[#This Row],[Start Date]]+ProposalToGnatt[[#This Row],[Days]]),$G$5,"")),"")</f>
        <v/>
      </c>
      <c r="AN74" s="36" t="str">
        <f ca="1">IFERROR(+IF(AN$27=ProposalToGnatt[[#This Row],[Start Date]],Milestone_Marker,IF(AND(AN$27&gt;ProposalToGnatt[[#This Row],[Start Date]],AN$27&lt;ProposalToGnatt[[#This Row],[Start Date]]+ProposalToGnatt[[#This Row],[Days]]),$G$5,"")),"")</f>
        <v/>
      </c>
      <c r="AO74" s="36" t="str">
        <f ca="1">IFERROR(+IF(AO$27=ProposalToGnatt[[#This Row],[Start Date]],Milestone_Marker,IF(AND(AO$27&gt;ProposalToGnatt[[#This Row],[Start Date]],AO$27&lt;ProposalToGnatt[[#This Row],[Start Date]]+ProposalToGnatt[[#This Row],[Days]]),$G$5,"")),"")</f>
        <v/>
      </c>
      <c r="AP74" s="36" t="str">
        <f ca="1">IFERROR(+IF(AP$27=ProposalToGnatt[[#This Row],[Start Date]],Milestone_Marker,IF(AND(AP$27&gt;ProposalToGnatt[[#This Row],[Start Date]],AP$27&lt;ProposalToGnatt[[#This Row],[Start Date]]+ProposalToGnatt[[#This Row],[Days]]),$G$5,"")),"")</f>
        <v/>
      </c>
      <c r="AQ74" s="36" t="str">
        <f ca="1">IFERROR(+IF(AQ$27=ProposalToGnatt[[#This Row],[Start Date]],Milestone_Marker,IF(AND(AQ$27&gt;ProposalToGnatt[[#This Row],[Start Date]],AQ$27&lt;ProposalToGnatt[[#This Row],[Start Date]]+ProposalToGnatt[[#This Row],[Days]]),$G$5,"")),"")</f>
        <v/>
      </c>
      <c r="AR74" s="36" t="str">
        <f ca="1">IFERROR(+IF(AR$27=ProposalToGnatt[[#This Row],[Start Date]],Milestone_Marker,IF(AND(AR$27&gt;ProposalToGnatt[[#This Row],[Start Date]],AR$27&lt;ProposalToGnatt[[#This Row],[Start Date]]+ProposalToGnatt[[#This Row],[Days]]),$G$5,"")),"")</f>
        <v/>
      </c>
      <c r="AS74" s="36" t="str">
        <f ca="1">IFERROR(+IF(AS$27=ProposalToGnatt[[#This Row],[Start Date]],Milestone_Marker,IF(AND(AS$27&gt;ProposalToGnatt[[#This Row],[Start Date]],AS$27&lt;ProposalToGnatt[[#This Row],[Start Date]]+ProposalToGnatt[[#This Row],[Days]]),$G$5,"")),"")</f>
        <v/>
      </c>
      <c r="AT74" s="36" t="str">
        <f ca="1">IFERROR(+IF(AT$27=ProposalToGnatt[[#This Row],[Start Date]],Milestone_Marker,IF(AND(AT$27&gt;ProposalToGnatt[[#This Row],[Start Date]],AT$27&lt;ProposalToGnatt[[#This Row],[Start Date]]+ProposalToGnatt[[#This Row],[Days]]),$G$5,"")),"")</f>
        <v/>
      </c>
      <c r="AU74" s="36" t="str">
        <f ca="1">IFERROR(+IF(AU$27=ProposalToGnatt[[#This Row],[Start Date]],Milestone_Marker,IF(AND(AU$27&gt;ProposalToGnatt[[#This Row],[Start Date]],AU$27&lt;ProposalToGnatt[[#This Row],[Start Date]]+ProposalToGnatt[[#This Row],[Days]]),$G$5,"")),"")</f>
        <v/>
      </c>
      <c r="AV74" s="36" t="str">
        <f ca="1">IFERROR(+IF(AV$27=ProposalToGnatt[[#This Row],[Start Date]],Milestone_Marker,IF(AND(AV$27&gt;ProposalToGnatt[[#This Row],[Start Date]],AV$27&lt;ProposalToGnatt[[#This Row],[Start Date]]+ProposalToGnatt[[#This Row],[Days]]),$G$5,"")),"")</f>
        <v/>
      </c>
      <c r="AW74" s="36" t="str">
        <f ca="1">IFERROR(+IF(AW$27=ProposalToGnatt[[#This Row],[Start Date]],Milestone_Marker,IF(AND(AW$27&gt;ProposalToGnatt[[#This Row],[Start Date]],AW$27&lt;ProposalToGnatt[[#This Row],[Start Date]]+ProposalToGnatt[[#This Row],[Days]]),$G$5,"")),"")</f>
        <v/>
      </c>
      <c r="AX74" s="36" t="str">
        <f ca="1">IFERROR(+IF(AX$27=ProposalToGnatt[[#This Row],[Start Date]],Milestone_Marker,IF(AND(AX$27&gt;ProposalToGnatt[[#This Row],[Start Date]],AX$27&lt;ProposalToGnatt[[#This Row],[Start Date]]+ProposalToGnatt[[#This Row],[Days]]),$G$5,"")),"")</f>
        <v/>
      </c>
      <c r="AY74" s="36" t="str">
        <f ca="1">IFERROR(+IF(AY$27=ProposalToGnatt[[#This Row],[Start Date]],Milestone_Marker,IF(AND(AY$27&gt;ProposalToGnatt[[#This Row],[Start Date]],AY$27&lt;ProposalToGnatt[[#This Row],[Start Date]]+ProposalToGnatt[[#This Row],[Days]]),$G$5,"")),"")</f>
        <v/>
      </c>
      <c r="AZ74" s="36" t="str">
        <f ca="1">IFERROR(+IF(AZ$27=ProposalToGnatt[[#This Row],[Start Date]],Milestone_Marker,IF(AND(AZ$27&gt;ProposalToGnatt[[#This Row],[Start Date]],AZ$27&lt;ProposalToGnatt[[#This Row],[Start Date]]+ProposalToGnatt[[#This Row],[Days]]),$G$5,"")),"")</f>
        <v/>
      </c>
      <c r="BA74" s="36" t="str">
        <f ca="1">IFERROR(+IF(BA$27=ProposalToGnatt[[#This Row],[Start Date]],Milestone_Marker,IF(AND(BA$27&gt;ProposalToGnatt[[#This Row],[Start Date]],BA$27&lt;ProposalToGnatt[[#This Row],[Start Date]]+ProposalToGnatt[[#This Row],[Days]]),$G$5,"")),"")</f>
        <v/>
      </c>
      <c r="BB74" s="36" t="str">
        <f ca="1">IFERROR(+IF(BB$27=ProposalToGnatt[[#This Row],[Start Date]],Milestone_Marker,IF(AND(BB$27&gt;ProposalToGnatt[[#This Row],[Start Date]],BB$27&lt;ProposalToGnatt[[#This Row],[Start Date]]+ProposalToGnatt[[#This Row],[Days]]),$G$5,"")),"")</f>
        <v/>
      </c>
      <c r="BC74" s="36" t="str">
        <f ca="1">IFERROR(+IF(BC$27=ProposalToGnatt[[#This Row],[Start Date]],Milestone_Marker,IF(AND(BC$27&gt;ProposalToGnatt[[#This Row],[Start Date]],BC$27&lt;ProposalToGnatt[[#This Row],[Start Date]]+ProposalToGnatt[[#This Row],[Days]]),$G$5,"")),"")</f>
        <v/>
      </c>
      <c r="BD74" s="36" t="str">
        <f ca="1">IFERROR(+IF(BD$27=ProposalToGnatt[[#This Row],[Start Date]],Milestone_Marker,IF(AND(BD$27&gt;ProposalToGnatt[[#This Row],[Start Date]],BD$27&lt;ProposalToGnatt[[#This Row],[Start Date]]+ProposalToGnatt[[#This Row],[Days]]),$G$5,"")),"")</f>
        <v/>
      </c>
      <c r="BE74" s="36" t="str">
        <f ca="1">IFERROR(+IF(BE$27=ProposalToGnatt[[#This Row],[Start Date]],Milestone_Marker,IF(AND(BE$27&gt;ProposalToGnatt[[#This Row],[Start Date]],BE$27&lt;ProposalToGnatt[[#This Row],[Start Date]]+ProposalToGnatt[[#This Row],[Days]]),$G$5,"")),"")</f>
        <v/>
      </c>
      <c r="BF74" s="36" t="str">
        <f ca="1">IFERROR(+IF(BF$27=ProposalToGnatt[[#This Row],[Start Date]],Milestone_Marker,IF(AND(BF$27&gt;ProposalToGnatt[[#This Row],[Start Date]],BF$27&lt;ProposalToGnatt[[#This Row],[Start Date]]+ProposalToGnatt[[#This Row],[Days]]),$G$5,"")),"")</f>
        <v/>
      </c>
      <c r="BG74" s="36" t="str">
        <f ca="1">IFERROR(+IF(BG$27=ProposalToGnatt[[#This Row],[Start Date]],Milestone_Marker,IF(AND(BG$27&gt;ProposalToGnatt[[#This Row],[Start Date]],BG$27&lt;ProposalToGnatt[[#This Row],[Start Date]]+ProposalToGnatt[[#This Row],[Days]]),$G$5,"")),"")</f>
        <v/>
      </c>
      <c r="BH74" s="36" t="str">
        <f ca="1">IFERROR(+IF(BH$27=ProposalToGnatt[[#This Row],[Start Date]],Milestone_Marker,IF(AND(BH$27&gt;ProposalToGnatt[[#This Row],[Start Date]],BH$27&lt;ProposalToGnatt[[#This Row],[Start Date]]+ProposalToGnatt[[#This Row],[Days]]),$G$5,"")),"")</f>
        <v/>
      </c>
      <c r="BI74" s="36" t="str">
        <f ca="1">IFERROR(+IF(BI$27=ProposalToGnatt[[#This Row],[Start Date]],Milestone_Marker,IF(AND(BI$27&gt;ProposalToGnatt[[#This Row],[Start Date]],BI$27&lt;ProposalToGnatt[[#This Row],[Start Date]]+ProposalToGnatt[[#This Row],[Days]]),$G$5,"")),"")</f>
        <v/>
      </c>
      <c r="BJ74" s="36" t="str">
        <f ca="1">IFERROR(+IF(BJ$27=ProposalToGnatt[[#This Row],[Start Date]],Milestone_Marker,IF(AND(BJ$27&gt;ProposalToGnatt[[#This Row],[Start Date]],BJ$27&lt;ProposalToGnatt[[#This Row],[Start Date]]+ProposalToGnatt[[#This Row],[Days]]),$G$5,"")),"")</f>
        <v/>
      </c>
      <c r="BK74" s="36" t="str">
        <f ca="1">IFERROR(+IF(BK$27=ProposalToGnatt[[#This Row],[Start Date]],Milestone_Marker,IF(AND(BK$27&gt;ProposalToGnatt[[#This Row],[Start Date]],BK$27&lt;ProposalToGnatt[[#This Row],[Start Date]]+ProposalToGnatt[[#This Row],[Days]]),$G$5,"")),"")</f>
        <v/>
      </c>
      <c r="BL74" s="36" t="str">
        <f ca="1">IFERROR(+IF(BL$27=ProposalToGnatt[[#This Row],[Start Date]],Milestone_Marker,IF(AND(BL$27&gt;ProposalToGnatt[[#This Row],[Start Date]],BL$27&lt;ProposalToGnatt[[#This Row],[Start Date]]+ProposalToGnatt[[#This Row],[Days]]),$G$5,"")),"")</f>
        <v/>
      </c>
      <c r="BM74" s="36" t="str">
        <f ca="1">IFERROR(+IF(BM$27=ProposalToGnatt[[#This Row],[Start Date]],Milestone_Marker,IF(AND(BM$27&gt;ProposalToGnatt[[#This Row],[Start Date]],BM$27&lt;ProposalToGnatt[[#This Row],[Start Date]]+ProposalToGnatt[[#This Row],[Days]]),$G$5,"")),"")</f>
        <v/>
      </c>
      <c r="BN74" s="36" t="str">
        <f ca="1">IFERROR(+IF(BN$27=ProposalToGnatt[[#This Row],[Start Date]],Milestone_Marker,IF(AND(BN$27&gt;ProposalToGnatt[[#This Row],[Start Date]],BN$27&lt;ProposalToGnatt[[#This Row],[Start Date]]+ProposalToGnatt[[#This Row],[Days]]),$G$5,"")),"")</f>
        <v/>
      </c>
      <c r="BO74" s="36" t="str">
        <f ca="1">IFERROR(+IF(BO$27=ProposalToGnatt[[#This Row],[Start Date]],Milestone_Marker,IF(AND(BO$27&gt;ProposalToGnatt[[#This Row],[Start Date]],BO$27&lt;ProposalToGnatt[[#This Row],[Start Date]]+ProposalToGnatt[[#This Row],[Days]]),$G$5,"")),"")</f>
        <v/>
      </c>
      <c r="BP74" s="36" t="str">
        <f ca="1">IFERROR(+IF(BP$27=ProposalToGnatt[[#This Row],[Start Date]],Milestone_Marker,IF(AND(BP$27&gt;ProposalToGnatt[[#This Row],[Start Date]],BP$27&lt;ProposalToGnatt[[#This Row],[Start Date]]+ProposalToGnatt[[#This Row],[Days]]),$G$5,"")),"")</f>
        <v/>
      </c>
      <c r="BQ74" s="36" t="str">
        <f ca="1">IFERROR(+IF(BQ$27=ProposalToGnatt[[#This Row],[Start Date]],Milestone_Marker,IF(AND(BQ$27&gt;ProposalToGnatt[[#This Row],[Start Date]],BQ$27&lt;ProposalToGnatt[[#This Row],[Start Date]]+ProposalToGnatt[[#This Row],[Days]]),$G$5,"")),"")</f>
        <v/>
      </c>
      <c r="BR74" s="36" t="str">
        <f ca="1">IFERROR(+IF(BR$27=ProposalToGnatt[[#This Row],[Start Date]],Milestone_Marker,IF(AND(BR$27&gt;ProposalToGnatt[[#This Row],[Start Date]],BR$27&lt;ProposalToGnatt[[#This Row],[Start Date]]+ProposalToGnatt[[#This Row],[Days]]),$G$5,"")),"")</f>
        <v/>
      </c>
      <c r="BS74" s="36" t="str">
        <f ca="1">IFERROR(+IF(BS$27=ProposalToGnatt[[#This Row],[Start Date]],Milestone_Marker,IF(AND(BS$27&gt;ProposalToGnatt[[#This Row],[Start Date]],BS$27&lt;ProposalToGnatt[[#This Row],[Start Date]]+ProposalToGnatt[[#This Row],[Days]]),$G$5,"")),"")</f>
        <v/>
      </c>
      <c r="BT74" s="36" t="str">
        <f ca="1">IFERROR(+IF(BT$27=ProposalToGnatt[[#This Row],[Start Date]],Milestone_Marker,IF(AND(BT$27&gt;ProposalToGnatt[[#This Row],[Start Date]],BT$27&lt;ProposalToGnatt[[#This Row],[Start Date]]+ProposalToGnatt[[#This Row],[Days]]),$G$5,"")),"")</f>
        <v/>
      </c>
      <c r="BU74" s="36" t="str">
        <f ca="1">IFERROR(+IF(BU$27=ProposalToGnatt[[#This Row],[Start Date]],Milestone_Marker,IF(AND(BU$27&gt;ProposalToGnatt[[#This Row],[Start Date]],BU$27&lt;ProposalToGnatt[[#This Row],[Start Date]]+ProposalToGnatt[[#This Row],[Days]]),$G$5,"")),"")</f>
        <v/>
      </c>
      <c r="BV74" s="36" t="str">
        <f ca="1">IFERROR(+IF(BV$27=ProposalToGnatt[[#This Row],[Start Date]],Milestone_Marker,IF(AND(BV$27&gt;ProposalToGnatt[[#This Row],[Start Date]],BV$27&lt;ProposalToGnatt[[#This Row],[Start Date]]+ProposalToGnatt[[#This Row],[Days]]),$G$5,"")),"")</f>
        <v/>
      </c>
      <c r="BW74" s="36" t="str">
        <f ca="1">IFERROR(+IF(BW$27=ProposalToGnatt[[#This Row],[Start Date]],Milestone_Marker,IF(AND(BW$27&gt;ProposalToGnatt[[#This Row],[Start Date]],BW$27&lt;ProposalToGnatt[[#This Row],[Start Date]]+ProposalToGnatt[[#This Row],[Days]]),$G$5,"")),"")</f>
        <v/>
      </c>
      <c r="BX74" s="36" t="str">
        <f ca="1">IFERROR(+IF(BX$27=ProposalToGnatt[[#This Row],[Start Date]],Milestone_Marker,IF(AND(BX$27&gt;ProposalToGnatt[[#This Row],[Start Date]],BX$27&lt;ProposalToGnatt[[#This Row],[Start Date]]+ProposalToGnatt[[#This Row],[Days]]),$G$5,"")),"")</f>
        <v/>
      </c>
      <c r="BY74" s="36" t="str">
        <f ca="1">IFERROR(+IF(BY$27=ProposalToGnatt[[#This Row],[Start Date]],Milestone_Marker,IF(AND(BY$27&gt;ProposalToGnatt[[#This Row],[Start Date]],BY$27&lt;ProposalToGnatt[[#This Row],[Start Date]]+ProposalToGnatt[[#This Row],[Days]]),$G$5,"")),"")</f>
        <v/>
      </c>
      <c r="BZ74" s="36" t="str">
        <f ca="1">IFERROR(+IF(BZ$27=ProposalToGnatt[[#This Row],[Start Date]],Milestone_Marker,IF(AND(BZ$27&gt;ProposalToGnatt[[#This Row],[Start Date]],BZ$27&lt;ProposalToGnatt[[#This Row],[Start Date]]+ProposalToGnatt[[#This Row],[Days]]),$G$5,"")),"")</f>
        <v/>
      </c>
      <c r="CA74" s="36" t="str">
        <f ca="1">IFERROR(+IF(CA$27=ProposalToGnatt[[#This Row],[Start Date]],Milestone_Marker,IF(AND(CA$27&gt;ProposalToGnatt[[#This Row],[Start Date]],CA$27&lt;ProposalToGnatt[[#This Row],[Start Date]]+ProposalToGnatt[[#This Row],[Days]]),$G$5,"")),"")</f>
        <v/>
      </c>
      <c r="CB74" s="36" t="str">
        <f ca="1">IFERROR(+IF(CB$27=ProposalToGnatt[[#This Row],[Start Date]],Milestone_Marker,IF(AND(CB$27&gt;ProposalToGnatt[[#This Row],[Start Date]],CB$27&lt;ProposalToGnatt[[#This Row],[Start Date]]+ProposalToGnatt[[#This Row],[Days]]),$G$5,"")),"")</f>
        <v/>
      </c>
      <c r="CC74" s="36" t="str">
        <f ca="1">IFERROR(+IF(CC$27=ProposalToGnatt[[#This Row],[Start Date]],Milestone_Marker,IF(AND(CC$27&gt;ProposalToGnatt[[#This Row],[Start Date]],CC$27&lt;ProposalToGnatt[[#This Row],[Start Date]]+ProposalToGnatt[[#This Row],[Days]]),$G$5,"")),"")</f>
        <v/>
      </c>
      <c r="CD74" s="36" t="str">
        <f ca="1">IFERROR(+IF(CD$27=ProposalToGnatt[[#This Row],[Start Date]],Milestone_Marker,IF(AND(CD$27&gt;ProposalToGnatt[[#This Row],[Start Date]],CD$27&lt;ProposalToGnatt[[#This Row],[Start Date]]+ProposalToGnatt[[#This Row],[Days]]),$G$5,"")),"")</f>
        <v/>
      </c>
      <c r="CE74" s="36" t="str">
        <f ca="1">IFERROR(+IF(CE$27=ProposalToGnatt[[#This Row],[Start Date]],Milestone_Marker,IF(AND(CE$27&gt;ProposalToGnatt[[#This Row],[Start Date]],CE$27&lt;ProposalToGnatt[[#This Row],[Start Date]]+ProposalToGnatt[[#This Row],[Days]]),$G$5,"")),"")</f>
        <v/>
      </c>
      <c r="CF74" s="36" t="str">
        <f ca="1">IFERROR(+IF(CF$27=ProposalToGnatt[[#This Row],[Start Date]],Milestone_Marker,IF(AND(CF$27&gt;ProposalToGnatt[[#This Row],[Start Date]],CF$27&lt;ProposalToGnatt[[#This Row],[Start Date]]+ProposalToGnatt[[#This Row],[Days]]),$G$5,"")),"")</f>
        <v/>
      </c>
      <c r="CG74" s="36" t="str">
        <f ca="1">IFERROR(+IF(CG$27=ProposalToGnatt[[#This Row],[Start Date]],Milestone_Marker,IF(AND(CG$27&gt;ProposalToGnatt[[#This Row],[Start Date]],CG$27&lt;ProposalToGnatt[[#This Row],[Start Date]]+ProposalToGnatt[[#This Row],[Days]]),$G$5,"")),"")</f>
        <v/>
      </c>
      <c r="CH74" s="36" t="str">
        <f ca="1">IFERROR(+IF(CH$27=ProposalToGnatt[[#This Row],[Start Date]],Milestone_Marker,IF(AND(CH$27&gt;ProposalToGnatt[[#This Row],[Start Date]],CH$27&lt;ProposalToGnatt[[#This Row],[Start Date]]+ProposalToGnatt[[#This Row],[Days]]),$G$5,"")),"")</f>
        <v/>
      </c>
      <c r="CI74" s="36" t="str">
        <f ca="1">IFERROR(+IF(CI$27=ProposalToGnatt[[#This Row],[Start Date]],Milestone_Marker,IF(AND(CI$27&gt;ProposalToGnatt[[#This Row],[Start Date]],CI$27&lt;ProposalToGnatt[[#This Row],[Start Date]]+ProposalToGnatt[[#This Row],[Days]]),$G$5,"")),"")</f>
        <v/>
      </c>
      <c r="CJ74" s="36" t="str">
        <f ca="1">IFERROR(+IF(CJ$27=ProposalToGnatt[[#This Row],[Start Date]],Milestone_Marker,IF(AND(CJ$27&gt;ProposalToGnatt[[#This Row],[Start Date]],CJ$27&lt;ProposalToGnatt[[#This Row],[Start Date]]+ProposalToGnatt[[#This Row],[Days]]),$G$5,"")),"")</f>
        <v/>
      </c>
      <c r="CK74" s="36" t="str">
        <f ca="1">IFERROR(+IF(CK$27=ProposalToGnatt[[#This Row],[Start Date]],Milestone_Marker,IF(AND(CK$27&gt;ProposalToGnatt[[#This Row],[Start Date]],CK$27&lt;ProposalToGnatt[[#This Row],[Start Date]]+ProposalToGnatt[[#This Row],[Days]]),$G$5,"")),"")</f>
        <v/>
      </c>
      <c r="CL74" s="36" t="str">
        <f ca="1">IFERROR(+IF(CL$27=ProposalToGnatt[[#This Row],[Start Date]],Milestone_Marker,IF(AND(CL$27&gt;ProposalToGnatt[[#This Row],[Start Date]],CL$27&lt;ProposalToGnatt[[#This Row],[Start Date]]+ProposalToGnatt[[#This Row],[Days]]),$G$5,"")),"")</f>
        <v/>
      </c>
      <c r="CM74" s="36" t="str">
        <f ca="1">IFERROR(+IF(CM$27=ProposalToGnatt[[#This Row],[Start Date]],Milestone_Marker,IF(AND(CM$27&gt;ProposalToGnatt[[#This Row],[Start Date]],CM$27&lt;ProposalToGnatt[[#This Row],[Start Date]]+ProposalToGnatt[[#This Row],[Days]]),$G$5,"")),"")</f>
        <v/>
      </c>
      <c r="CN74" s="36" t="str">
        <f ca="1">IFERROR(+IF(CN$27=ProposalToGnatt[[#This Row],[Start Date]],Milestone_Marker,IF(AND(CN$27&gt;ProposalToGnatt[[#This Row],[Start Date]],CN$27&lt;ProposalToGnatt[[#This Row],[Start Date]]+ProposalToGnatt[[#This Row],[Days]]),$G$5,"")),"")</f>
        <v/>
      </c>
      <c r="CO74" s="36" t="str">
        <f ca="1">IFERROR(+IF(CO$27=ProposalToGnatt[[#This Row],[Start Date]],Milestone_Marker,IF(AND(CO$27&gt;ProposalToGnatt[[#This Row],[Start Date]],CO$27&lt;ProposalToGnatt[[#This Row],[Start Date]]+ProposalToGnatt[[#This Row],[Days]]),$G$5,"")),"")</f>
        <v/>
      </c>
      <c r="CP74" s="36" t="str">
        <f ca="1">IFERROR(+IF(CP$27=ProposalToGnatt[[#This Row],[Start Date]],Milestone_Marker,IF(AND(CP$27&gt;ProposalToGnatt[[#This Row],[Start Date]],CP$27&lt;ProposalToGnatt[[#This Row],[Start Date]]+ProposalToGnatt[[#This Row],[Days]]),$G$5,"")),"")</f>
        <v/>
      </c>
      <c r="CQ74" s="36" t="str">
        <f ca="1">IFERROR(+IF(CQ$27=ProposalToGnatt[[#This Row],[Start Date]],Milestone_Marker,IF(AND(CQ$27&gt;ProposalToGnatt[[#This Row],[Start Date]],CQ$27&lt;ProposalToGnatt[[#This Row],[Start Date]]+ProposalToGnatt[[#This Row],[Days]]),$G$5,"")),"")</f>
        <v/>
      </c>
      <c r="CR74" s="36" t="str">
        <f ca="1">IFERROR(+IF(CR$27=ProposalToGnatt[[#This Row],[Start Date]],Milestone_Marker,IF(AND(CR$27&gt;ProposalToGnatt[[#This Row],[Start Date]],CR$27&lt;ProposalToGnatt[[#This Row],[Start Date]]+ProposalToGnatt[[#This Row],[Days]]),$G$5,"")),"")</f>
        <v/>
      </c>
      <c r="CS74" s="36" t="str">
        <f ca="1">IFERROR(+IF(CS$27=ProposalToGnatt[[#This Row],[Start Date]],Milestone_Marker,IF(AND(CS$27&gt;ProposalToGnatt[[#This Row],[Start Date]],CS$27&lt;ProposalToGnatt[[#This Row],[Start Date]]+ProposalToGnatt[[#This Row],[Days]]),$G$5,"")),"")</f>
        <v/>
      </c>
      <c r="CT74" s="36" t="str">
        <f ca="1">IFERROR(+IF(CT$27=ProposalToGnatt[[#This Row],[Start Date]],Milestone_Marker,IF(AND(CT$27&gt;ProposalToGnatt[[#This Row],[Start Date]],CT$27&lt;ProposalToGnatt[[#This Row],[Start Date]]+ProposalToGnatt[[#This Row],[Days]]),$G$5,"")),"")</f>
        <v/>
      </c>
      <c r="CU74" s="36" t="str">
        <f ca="1">IFERROR(+IF(CU$27=ProposalToGnatt[[#This Row],[Start Date]],Milestone_Marker,IF(AND(CU$27&gt;ProposalToGnatt[[#This Row],[Start Date]],CU$27&lt;ProposalToGnatt[[#This Row],[Start Date]]+ProposalToGnatt[[#This Row],[Days]]),$G$5,"")),"")</f>
        <v/>
      </c>
      <c r="CV74" s="36"/>
      <c r="CW74" s="36"/>
      <c r="CX74" s="36"/>
      <c r="CY74" s="36"/>
      <c r="CZ74" s="36"/>
      <c r="DA74" s="36"/>
      <c r="DB74" s="36"/>
      <c r="DC74" s="36"/>
      <c r="DD74" s="36"/>
      <c r="DE74" s="36"/>
      <c r="DF74" s="36"/>
      <c r="DG74" s="36"/>
      <c r="DH74" s="36"/>
      <c r="DI74" s="36"/>
      <c r="DJ74" s="36"/>
      <c r="DK74" s="36"/>
      <c r="DL74" s="36"/>
      <c r="DM74" s="36"/>
      <c r="DN74" s="36"/>
      <c r="DO74" s="36"/>
      <c r="DP74" s="36"/>
      <c r="DQ74" s="36"/>
      <c r="DR74" s="36"/>
      <c r="DS74" s="36"/>
      <c r="DT74" s="36"/>
      <c r="DU74" s="36"/>
    </row>
    <row r="75" spans="1:125" ht="15" x14ac:dyDescent="0.25">
      <c r="A75" t="s">
        <v>267</v>
      </c>
      <c r="B75">
        <v>57</v>
      </c>
      <c r="C75"/>
      <c r="D75" t="s">
        <v>950</v>
      </c>
      <c r="E75" s="568" t="s">
        <v>975</v>
      </c>
      <c r="F75">
        <v>1</v>
      </c>
      <c r="G75" s="14">
        <v>25</v>
      </c>
      <c r="H75" s="14">
        <v>25</v>
      </c>
      <c r="I75" t="s">
        <v>3</v>
      </c>
      <c r="J75">
        <v>1</v>
      </c>
      <c r="K75" s="249"/>
      <c r="L75"/>
      <c r="M75" s="14"/>
      <c r="N75" s="300">
        <v>25</v>
      </c>
      <c r="O75" s="554"/>
      <c r="P75" s="36" t="str">
        <f ca="1">IFERROR(+IF(P$27=ProposalToGnatt[[#This Row],[Start Date]],Milestone_Marker,IF(AND(P$27&gt;ProposalToGnatt[[#This Row],[Start Date]],P$27&lt;ProposalToGnatt[[#This Row],[Start Date]]+ProposalToGnatt[[#This Row],[Days]]),$G$5,"")),"")</f>
        <v/>
      </c>
      <c r="Q75" s="36" t="str">
        <f ca="1">IFERROR(+IF(Q$27=ProposalToGnatt[[#This Row],[Start Date]],Milestone_Marker,IF(AND(Q$27&gt;ProposalToGnatt[[#This Row],[Start Date]],Q$27&lt;ProposalToGnatt[[#This Row],[Start Date]]+ProposalToGnatt[[#This Row],[Days]]),$G$5,"")),"")</f>
        <v/>
      </c>
      <c r="R75" s="36" t="str">
        <f ca="1">IFERROR(+IF(R$27=ProposalToGnatt[[#This Row],[Start Date]],Milestone_Marker,IF(AND(R$27&gt;ProposalToGnatt[[#This Row],[Start Date]],R$27&lt;ProposalToGnatt[[#This Row],[Start Date]]+ProposalToGnatt[[#This Row],[Days]]),$G$5,"")),"")</f>
        <v/>
      </c>
      <c r="S75" s="36" t="str">
        <f ca="1">IFERROR(+IF(S$27=ProposalToGnatt[[#This Row],[Start Date]],Milestone_Marker,IF(AND(S$27&gt;ProposalToGnatt[[#This Row],[Start Date]],S$27&lt;ProposalToGnatt[[#This Row],[Start Date]]+ProposalToGnatt[[#This Row],[Days]]),$G$5,"")),"")</f>
        <v/>
      </c>
      <c r="T75" s="36" t="str">
        <f ca="1">IFERROR(+IF(T$27=ProposalToGnatt[[#This Row],[Start Date]],Milestone_Marker,IF(AND(T$27&gt;ProposalToGnatt[[#This Row],[Start Date]],T$27&lt;ProposalToGnatt[[#This Row],[Start Date]]+ProposalToGnatt[[#This Row],[Days]]),$G$5,"")),"")</f>
        <v/>
      </c>
      <c r="U75" s="36" t="str">
        <f ca="1">IFERROR(+IF(U$27=ProposalToGnatt[[#This Row],[Start Date]],Milestone_Marker,IF(AND(U$27&gt;ProposalToGnatt[[#This Row],[Start Date]],U$27&lt;ProposalToGnatt[[#This Row],[Start Date]]+ProposalToGnatt[[#This Row],[Days]]),$G$5,"")),"")</f>
        <v/>
      </c>
      <c r="V75" s="36" t="str">
        <f ca="1">IFERROR(+IF(V$27=ProposalToGnatt[[#This Row],[Start Date]],Milestone_Marker,IF(AND(V$27&gt;ProposalToGnatt[[#This Row],[Start Date]],V$27&lt;ProposalToGnatt[[#This Row],[Start Date]]+ProposalToGnatt[[#This Row],[Days]]),$G$5,"")),"")</f>
        <v/>
      </c>
      <c r="W75" s="36" t="str">
        <f ca="1">IFERROR(+IF(W$27=ProposalToGnatt[[#This Row],[Start Date]],Milestone_Marker,IF(AND(W$27&gt;ProposalToGnatt[[#This Row],[Start Date]],W$27&lt;ProposalToGnatt[[#This Row],[Start Date]]+ProposalToGnatt[[#This Row],[Days]]),$G$5,"")),"")</f>
        <v/>
      </c>
      <c r="X75" s="36" t="str">
        <f ca="1">IFERROR(+IF(X$27=ProposalToGnatt[[#This Row],[Start Date]],Milestone_Marker,IF(AND(X$27&gt;ProposalToGnatt[[#This Row],[Start Date]],X$27&lt;ProposalToGnatt[[#This Row],[Start Date]]+ProposalToGnatt[[#This Row],[Days]]),$G$5,"")),"")</f>
        <v/>
      </c>
      <c r="Y75" s="36" t="str">
        <f ca="1">IFERROR(+IF(Y$27=ProposalToGnatt[[#This Row],[Start Date]],Milestone_Marker,IF(AND(Y$27&gt;ProposalToGnatt[[#This Row],[Start Date]],Y$27&lt;ProposalToGnatt[[#This Row],[Start Date]]+ProposalToGnatt[[#This Row],[Days]]),$G$5,"")),"")</f>
        <v/>
      </c>
      <c r="Z75" s="36" t="str">
        <f ca="1">IFERROR(+IF(Z$27=ProposalToGnatt[[#This Row],[Start Date]],Milestone_Marker,IF(AND(Z$27&gt;ProposalToGnatt[[#This Row],[Start Date]],Z$27&lt;ProposalToGnatt[[#This Row],[Start Date]]+ProposalToGnatt[[#This Row],[Days]]),$G$5,"")),"")</f>
        <v/>
      </c>
      <c r="AA75" s="36" t="str">
        <f ca="1">IFERROR(+IF(AA$27=ProposalToGnatt[[#This Row],[Start Date]],Milestone_Marker,IF(AND(AA$27&gt;ProposalToGnatt[[#This Row],[Start Date]],AA$27&lt;ProposalToGnatt[[#This Row],[Start Date]]+ProposalToGnatt[[#This Row],[Days]]),$G$5,"")),"")</f>
        <v/>
      </c>
      <c r="AB75" s="36" t="str">
        <f ca="1">IFERROR(+IF(AB$27=ProposalToGnatt[[#This Row],[Start Date]],Milestone_Marker,IF(AND(AB$27&gt;ProposalToGnatt[[#This Row],[Start Date]],AB$27&lt;ProposalToGnatt[[#This Row],[Start Date]]+ProposalToGnatt[[#This Row],[Days]]),$G$5,"")),"")</f>
        <v/>
      </c>
      <c r="AC75" s="36" t="str">
        <f ca="1">IFERROR(+IF(AC$27=ProposalToGnatt[[#This Row],[Start Date]],Milestone_Marker,IF(AND(AC$27&gt;ProposalToGnatt[[#This Row],[Start Date]],AC$27&lt;ProposalToGnatt[[#This Row],[Start Date]]+ProposalToGnatt[[#This Row],[Days]]),$G$5,"")),"")</f>
        <v/>
      </c>
      <c r="AD75" s="36" t="str">
        <f ca="1">IFERROR(+IF(AD$27=ProposalToGnatt[[#This Row],[Start Date]],Milestone_Marker,IF(AND(AD$27&gt;ProposalToGnatt[[#This Row],[Start Date]],AD$27&lt;ProposalToGnatt[[#This Row],[Start Date]]+ProposalToGnatt[[#This Row],[Days]]),$G$5,"")),"")</f>
        <v/>
      </c>
      <c r="AE75" s="36" t="str">
        <f ca="1">IFERROR(+IF(AE$27=ProposalToGnatt[[#This Row],[Start Date]],Milestone_Marker,IF(AND(AE$27&gt;ProposalToGnatt[[#This Row],[Start Date]],AE$27&lt;ProposalToGnatt[[#This Row],[Start Date]]+ProposalToGnatt[[#This Row],[Days]]),$G$5,"")),"")</f>
        <v/>
      </c>
      <c r="AF75" s="36" t="str">
        <f ca="1">IFERROR(+IF(AF$27=ProposalToGnatt[[#This Row],[Start Date]],Milestone_Marker,IF(AND(AF$27&gt;ProposalToGnatt[[#This Row],[Start Date]],AF$27&lt;ProposalToGnatt[[#This Row],[Start Date]]+ProposalToGnatt[[#This Row],[Days]]),$G$5,"")),"")</f>
        <v/>
      </c>
      <c r="AG75" s="36" t="str">
        <f ca="1">IFERROR(+IF(AG$27=ProposalToGnatt[[#This Row],[Start Date]],Milestone_Marker,IF(AND(AG$27&gt;ProposalToGnatt[[#This Row],[Start Date]],AG$27&lt;ProposalToGnatt[[#This Row],[Start Date]]+ProposalToGnatt[[#This Row],[Days]]),$G$5,"")),"")</f>
        <v/>
      </c>
      <c r="AH75" s="36" t="str">
        <f ca="1">IFERROR(+IF(AH$27=ProposalToGnatt[[#This Row],[Start Date]],Milestone_Marker,IF(AND(AH$27&gt;ProposalToGnatt[[#This Row],[Start Date]],AH$27&lt;ProposalToGnatt[[#This Row],[Start Date]]+ProposalToGnatt[[#This Row],[Days]]),$G$5,"")),"")</f>
        <v/>
      </c>
      <c r="AI75" s="36" t="str">
        <f ca="1">IFERROR(+IF(AI$27=ProposalToGnatt[[#This Row],[Start Date]],Milestone_Marker,IF(AND(AI$27&gt;ProposalToGnatt[[#This Row],[Start Date]],AI$27&lt;ProposalToGnatt[[#This Row],[Start Date]]+ProposalToGnatt[[#This Row],[Days]]),$G$5,"")),"")</f>
        <v/>
      </c>
      <c r="AJ75" s="36" t="str">
        <f ca="1">IFERROR(+IF(AJ$27=ProposalToGnatt[[#This Row],[Start Date]],Milestone_Marker,IF(AND(AJ$27&gt;ProposalToGnatt[[#This Row],[Start Date]],AJ$27&lt;ProposalToGnatt[[#This Row],[Start Date]]+ProposalToGnatt[[#This Row],[Days]]),$G$5,"")),"")</f>
        <v/>
      </c>
      <c r="AK75" s="36" t="str">
        <f ca="1">IFERROR(+IF(AK$27=ProposalToGnatt[[#This Row],[Start Date]],Milestone_Marker,IF(AND(AK$27&gt;ProposalToGnatt[[#This Row],[Start Date]],AK$27&lt;ProposalToGnatt[[#This Row],[Start Date]]+ProposalToGnatt[[#This Row],[Days]]),$G$5,"")),"")</f>
        <v/>
      </c>
      <c r="AL75" s="36" t="str">
        <f ca="1">IFERROR(+IF(AL$27=ProposalToGnatt[[#This Row],[Start Date]],Milestone_Marker,IF(AND(AL$27&gt;ProposalToGnatt[[#This Row],[Start Date]],AL$27&lt;ProposalToGnatt[[#This Row],[Start Date]]+ProposalToGnatt[[#This Row],[Days]]),$G$5,"")),"")</f>
        <v/>
      </c>
      <c r="AM75" s="36" t="str">
        <f ca="1">IFERROR(+IF(AM$27=ProposalToGnatt[[#This Row],[Start Date]],Milestone_Marker,IF(AND(AM$27&gt;ProposalToGnatt[[#This Row],[Start Date]],AM$27&lt;ProposalToGnatt[[#This Row],[Start Date]]+ProposalToGnatt[[#This Row],[Days]]),$G$5,"")),"")</f>
        <v/>
      </c>
      <c r="AN75" s="36" t="str">
        <f ca="1">IFERROR(+IF(AN$27=ProposalToGnatt[[#This Row],[Start Date]],Milestone_Marker,IF(AND(AN$27&gt;ProposalToGnatt[[#This Row],[Start Date]],AN$27&lt;ProposalToGnatt[[#This Row],[Start Date]]+ProposalToGnatt[[#This Row],[Days]]),$G$5,"")),"")</f>
        <v/>
      </c>
      <c r="AO75" s="36" t="str">
        <f ca="1">IFERROR(+IF(AO$27=ProposalToGnatt[[#This Row],[Start Date]],Milestone_Marker,IF(AND(AO$27&gt;ProposalToGnatt[[#This Row],[Start Date]],AO$27&lt;ProposalToGnatt[[#This Row],[Start Date]]+ProposalToGnatt[[#This Row],[Days]]),$G$5,"")),"")</f>
        <v/>
      </c>
      <c r="AP75" s="36" t="str">
        <f ca="1">IFERROR(+IF(AP$27=ProposalToGnatt[[#This Row],[Start Date]],Milestone_Marker,IF(AND(AP$27&gt;ProposalToGnatt[[#This Row],[Start Date]],AP$27&lt;ProposalToGnatt[[#This Row],[Start Date]]+ProposalToGnatt[[#This Row],[Days]]),$G$5,"")),"")</f>
        <v/>
      </c>
      <c r="AQ75" s="36" t="str">
        <f ca="1">IFERROR(+IF(AQ$27=ProposalToGnatt[[#This Row],[Start Date]],Milestone_Marker,IF(AND(AQ$27&gt;ProposalToGnatt[[#This Row],[Start Date]],AQ$27&lt;ProposalToGnatt[[#This Row],[Start Date]]+ProposalToGnatt[[#This Row],[Days]]),$G$5,"")),"")</f>
        <v/>
      </c>
      <c r="AR75" s="36" t="str">
        <f ca="1">IFERROR(+IF(AR$27=ProposalToGnatt[[#This Row],[Start Date]],Milestone_Marker,IF(AND(AR$27&gt;ProposalToGnatt[[#This Row],[Start Date]],AR$27&lt;ProposalToGnatt[[#This Row],[Start Date]]+ProposalToGnatt[[#This Row],[Days]]),$G$5,"")),"")</f>
        <v/>
      </c>
      <c r="AS75" s="36" t="str">
        <f ca="1">IFERROR(+IF(AS$27=ProposalToGnatt[[#This Row],[Start Date]],Milestone_Marker,IF(AND(AS$27&gt;ProposalToGnatt[[#This Row],[Start Date]],AS$27&lt;ProposalToGnatt[[#This Row],[Start Date]]+ProposalToGnatt[[#This Row],[Days]]),$G$5,"")),"")</f>
        <v/>
      </c>
      <c r="AT75" s="36" t="str">
        <f ca="1">IFERROR(+IF(AT$27=ProposalToGnatt[[#This Row],[Start Date]],Milestone_Marker,IF(AND(AT$27&gt;ProposalToGnatt[[#This Row],[Start Date]],AT$27&lt;ProposalToGnatt[[#This Row],[Start Date]]+ProposalToGnatt[[#This Row],[Days]]),$G$5,"")),"")</f>
        <v/>
      </c>
      <c r="AU75" s="36" t="str">
        <f ca="1">IFERROR(+IF(AU$27=ProposalToGnatt[[#This Row],[Start Date]],Milestone_Marker,IF(AND(AU$27&gt;ProposalToGnatt[[#This Row],[Start Date]],AU$27&lt;ProposalToGnatt[[#This Row],[Start Date]]+ProposalToGnatt[[#This Row],[Days]]),$G$5,"")),"")</f>
        <v/>
      </c>
      <c r="AV75" s="36" t="str">
        <f ca="1">IFERROR(+IF(AV$27=ProposalToGnatt[[#This Row],[Start Date]],Milestone_Marker,IF(AND(AV$27&gt;ProposalToGnatt[[#This Row],[Start Date]],AV$27&lt;ProposalToGnatt[[#This Row],[Start Date]]+ProposalToGnatt[[#This Row],[Days]]),$G$5,"")),"")</f>
        <v/>
      </c>
      <c r="AW75" s="36" t="str">
        <f ca="1">IFERROR(+IF(AW$27=ProposalToGnatt[[#This Row],[Start Date]],Milestone_Marker,IF(AND(AW$27&gt;ProposalToGnatt[[#This Row],[Start Date]],AW$27&lt;ProposalToGnatt[[#This Row],[Start Date]]+ProposalToGnatt[[#This Row],[Days]]),$G$5,"")),"")</f>
        <v/>
      </c>
      <c r="AX75" s="36" t="str">
        <f ca="1">IFERROR(+IF(AX$27=ProposalToGnatt[[#This Row],[Start Date]],Milestone_Marker,IF(AND(AX$27&gt;ProposalToGnatt[[#This Row],[Start Date]],AX$27&lt;ProposalToGnatt[[#This Row],[Start Date]]+ProposalToGnatt[[#This Row],[Days]]),$G$5,"")),"")</f>
        <v/>
      </c>
      <c r="AY75" s="36" t="str">
        <f ca="1">IFERROR(+IF(AY$27=ProposalToGnatt[[#This Row],[Start Date]],Milestone_Marker,IF(AND(AY$27&gt;ProposalToGnatt[[#This Row],[Start Date]],AY$27&lt;ProposalToGnatt[[#This Row],[Start Date]]+ProposalToGnatt[[#This Row],[Days]]),$G$5,"")),"")</f>
        <v/>
      </c>
      <c r="AZ75" s="36" t="str">
        <f ca="1">IFERROR(+IF(AZ$27=ProposalToGnatt[[#This Row],[Start Date]],Milestone_Marker,IF(AND(AZ$27&gt;ProposalToGnatt[[#This Row],[Start Date]],AZ$27&lt;ProposalToGnatt[[#This Row],[Start Date]]+ProposalToGnatt[[#This Row],[Days]]),$G$5,"")),"")</f>
        <v/>
      </c>
      <c r="BA75" s="36" t="str">
        <f ca="1">IFERROR(+IF(BA$27=ProposalToGnatt[[#This Row],[Start Date]],Milestone_Marker,IF(AND(BA$27&gt;ProposalToGnatt[[#This Row],[Start Date]],BA$27&lt;ProposalToGnatt[[#This Row],[Start Date]]+ProposalToGnatt[[#This Row],[Days]]),$G$5,"")),"")</f>
        <v/>
      </c>
      <c r="BB75" s="36" t="str">
        <f ca="1">IFERROR(+IF(BB$27=ProposalToGnatt[[#This Row],[Start Date]],Milestone_Marker,IF(AND(BB$27&gt;ProposalToGnatt[[#This Row],[Start Date]],BB$27&lt;ProposalToGnatt[[#This Row],[Start Date]]+ProposalToGnatt[[#This Row],[Days]]),$G$5,"")),"")</f>
        <v/>
      </c>
      <c r="BC75" s="36" t="str">
        <f ca="1">IFERROR(+IF(BC$27=ProposalToGnatt[[#This Row],[Start Date]],Milestone_Marker,IF(AND(BC$27&gt;ProposalToGnatt[[#This Row],[Start Date]],BC$27&lt;ProposalToGnatt[[#This Row],[Start Date]]+ProposalToGnatt[[#This Row],[Days]]),$G$5,"")),"")</f>
        <v/>
      </c>
      <c r="BD75" s="36" t="str">
        <f ca="1">IFERROR(+IF(BD$27=ProposalToGnatt[[#This Row],[Start Date]],Milestone_Marker,IF(AND(BD$27&gt;ProposalToGnatt[[#This Row],[Start Date]],BD$27&lt;ProposalToGnatt[[#This Row],[Start Date]]+ProposalToGnatt[[#This Row],[Days]]),$G$5,"")),"")</f>
        <v/>
      </c>
      <c r="BE75" s="36" t="str">
        <f ca="1">IFERROR(+IF(BE$27=ProposalToGnatt[[#This Row],[Start Date]],Milestone_Marker,IF(AND(BE$27&gt;ProposalToGnatt[[#This Row],[Start Date]],BE$27&lt;ProposalToGnatt[[#This Row],[Start Date]]+ProposalToGnatt[[#This Row],[Days]]),$G$5,"")),"")</f>
        <v/>
      </c>
      <c r="BF75" s="36" t="str">
        <f ca="1">IFERROR(+IF(BF$27=ProposalToGnatt[[#This Row],[Start Date]],Milestone_Marker,IF(AND(BF$27&gt;ProposalToGnatt[[#This Row],[Start Date]],BF$27&lt;ProposalToGnatt[[#This Row],[Start Date]]+ProposalToGnatt[[#This Row],[Days]]),$G$5,"")),"")</f>
        <v/>
      </c>
      <c r="BG75" s="36" t="str">
        <f ca="1">IFERROR(+IF(BG$27=ProposalToGnatt[[#This Row],[Start Date]],Milestone_Marker,IF(AND(BG$27&gt;ProposalToGnatt[[#This Row],[Start Date]],BG$27&lt;ProposalToGnatt[[#This Row],[Start Date]]+ProposalToGnatt[[#This Row],[Days]]),$G$5,"")),"")</f>
        <v/>
      </c>
      <c r="BH75" s="36" t="str">
        <f ca="1">IFERROR(+IF(BH$27=ProposalToGnatt[[#This Row],[Start Date]],Milestone_Marker,IF(AND(BH$27&gt;ProposalToGnatt[[#This Row],[Start Date]],BH$27&lt;ProposalToGnatt[[#This Row],[Start Date]]+ProposalToGnatt[[#This Row],[Days]]),$G$5,"")),"")</f>
        <v/>
      </c>
      <c r="BI75" s="36" t="str">
        <f ca="1">IFERROR(+IF(BI$27=ProposalToGnatt[[#This Row],[Start Date]],Milestone_Marker,IF(AND(BI$27&gt;ProposalToGnatt[[#This Row],[Start Date]],BI$27&lt;ProposalToGnatt[[#This Row],[Start Date]]+ProposalToGnatt[[#This Row],[Days]]),$G$5,"")),"")</f>
        <v/>
      </c>
      <c r="BJ75" s="36" t="str">
        <f ca="1">IFERROR(+IF(BJ$27=ProposalToGnatt[[#This Row],[Start Date]],Milestone_Marker,IF(AND(BJ$27&gt;ProposalToGnatt[[#This Row],[Start Date]],BJ$27&lt;ProposalToGnatt[[#This Row],[Start Date]]+ProposalToGnatt[[#This Row],[Days]]),$G$5,"")),"")</f>
        <v/>
      </c>
      <c r="BK75" s="36" t="str">
        <f ca="1">IFERROR(+IF(BK$27=ProposalToGnatt[[#This Row],[Start Date]],Milestone_Marker,IF(AND(BK$27&gt;ProposalToGnatt[[#This Row],[Start Date]],BK$27&lt;ProposalToGnatt[[#This Row],[Start Date]]+ProposalToGnatt[[#This Row],[Days]]),$G$5,"")),"")</f>
        <v/>
      </c>
      <c r="BL75" s="36" t="str">
        <f ca="1">IFERROR(+IF(BL$27=ProposalToGnatt[[#This Row],[Start Date]],Milestone_Marker,IF(AND(BL$27&gt;ProposalToGnatt[[#This Row],[Start Date]],BL$27&lt;ProposalToGnatt[[#This Row],[Start Date]]+ProposalToGnatt[[#This Row],[Days]]),$G$5,"")),"")</f>
        <v/>
      </c>
      <c r="BM75" s="36" t="str">
        <f ca="1">IFERROR(+IF(BM$27=ProposalToGnatt[[#This Row],[Start Date]],Milestone_Marker,IF(AND(BM$27&gt;ProposalToGnatt[[#This Row],[Start Date]],BM$27&lt;ProposalToGnatt[[#This Row],[Start Date]]+ProposalToGnatt[[#This Row],[Days]]),$G$5,"")),"")</f>
        <v/>
      </c>
      <c r="BN75" s="36" t="str">
        <f ca="1">IFERROR(+IF(BN$27=ProposalToGnatt[[#This Row],[Start Date]],Milestone_Marker,IF(AND(BN$27&gt;ProposalToGnatt[[#This Row],[Start Date]],BN$27&lt;ProposalToGnatt[[#This Row],[Start Date]]+ProposalToGnatt[[#This Row],[Days]]),$G$5,"")),"")</f>
        <v/>
      </c>
      <c r="BO75" s="36" t="str">
        <f ca="1">IFERROR(+IF(BO$27=ProposalToGnatt[[#This Row],[Start Date]],Milestone_Marker,IF(AND(BO$27&gt;ProposalToGnatt[[#This Row],[Start Date]],BO$27&lt;ProposalToGnatt[[#This Row],[Start Date]]+ProposalToGnatt[[#This Row],[Days]]),$G$5,"")),"")</f>
        <v/>
      </c>
      <c r="BP75" s="36" t="str">
        <f ca="1">IFERROR(+IF(BP$27=ProposalToGnatt[[#This Row],[Start Date]],Milestone_Marker,IF(AND(BP$27&gt;ProposalToGnatt[[#This Row],[Start Date]],BP$27&lt;ProposalToGnatt[[#This Row],[Start Date]]+ProposalToGnatt[[#This Row],[Days]]),$G$5,"")),"")</f>
        <v/>
      </c>
      <c r="BQ75" s="36" t="str">
        <f ca="1">IFERROR(+IF(BQ$27=ProposalToGnatt[[#This Row],[Start Date]],Milestone_Marker,IF(AND(BQ$27&gt;ProposalToGnatt[[#This Row],[Start Date]],BQ$27&lt;ProposalToGnatt[[#This Row],[Start Date]]+ProposalToGnatt[[#This Row],[Days]]),$G$5,"")),"")</f>
        <v/>
      </c>
      <c r="BR75" s="36" t="str">
        <f ca="1">IFERROR(+IF(BR$27=ProposalToGnatt[[#This Row],[Start Date]],Milestone_Marker,IF(AND(BR$27&gt;ProposalToGnatt[[#This Row],[Start Date]],BR$27&lt;ProposalToGnatt[[#This Row],[Start Date]]+ProposalToGnatt[[#This Row],[Days]]),$G$5,"")),"")</f>
        <v/>
      </c>
      <c r="BS75" s="36" t="str">
        <f ca="1">IFERROR(+IF(BS$27=ProposalToGnatt[[#This Row],[Start Date]],Milestone_Marker,IF(AND(BS$27&gt;ProposalToGnatt[[#This Row],[Start Date]],BS$27&lt;ProposalToGnatt[[#This Row],[Start Date]]+ProposalToGnatt[[#This Row],[Days]]),$G$5,"")),"")</f>
        <v/>
      </c>
      <c r="BT75" s="36" t="str">
        <f ca="1">IFERROR(+IF(BT$27=ProposalToGnatt[[#This Row],[Start Date]],Milestone_Marker,IF(AND(BT$27&gt;ProposalToGnatt[[#This Row],[Start Date]],BT$27&lt;ProposalToGnatt[[#This Row],[Start Date]]+ProposalToGnatt[[#This Row],[Days]]),$G$5,"")),"")</f>
        <v/>
      </c>
      <c r="BU75" s="36" t="str">
        <f ca="1">IFERROR(+IF(BU$27=ProposalToGnatt[[#This Row],[Start Date]],Milestone_Marker,IF(AND(BU$27&gt;ProposalToGnatt[[#This Row],[Start Date]],BU$27&lt;ProposalToGnatt[[#This Row],[Start Date]]+ProposalToGnatt[[#This Row],[Days]]),$G$5,"")),"")</f>
        <v/>
      </c>
      <c r="BV75" s="36" t="str">
        <f ca="1">IFERROR(+IF(BV$27=ProposalToGnatt[[#This Row],[Start Date]],Milestone_Marker,IF(AND(BV$27&gt;ProposalToGnatt[[#This Row],[Start Date]],BV$27&lt;ProposalToGnatt[[#This Row],[Start Date]]+ProposalToGnatt[[#This Row],[Days]]),$G$5,"")),"")</f>
        <v/>
      </c>
      <c r="BW75" s="36" t="str">
        <f ca="1">IFERROR(+IF(BW$27=ProposalToGnatt[[#This Row],[Start Date]],Milestone_Marker,IF(AND(BW$27&gt;ProposalToGnatt[[#This Row],[Start Date]],BW$27&lt;ProposalToGnatt[[#This Row],[Start Date]]+ProposalToGnatt[[#This Row],[Days]]),$G$5,"")),"")</f>
        <v/>
      </c>
      <c r="BX75" s="36" t="str">
        <f ca="1">IFERROR(+IF(BX$27=ProposalToGnatt[[#This Row],[Start Date]],Milestone_Marker,IF(AND(BX$27&gt;ProposalToGnatt[[#This Row],[Start Date]],BX$27&lt;ProposalToGnatt[[#This Row],[Start Date]]+ProposalToGnatt[[#This Row],[Days]]),$G$5,"")),"")</f>
        <v/>
      </c>
      <c r="BY75" s="36" t="str">
        <f ca="1">IFERROR(+IF(BY$27=ProposalToGnatt[[#This Row],[Start Date]],Milestone_Marker,IF(AND(BY$27&gt;ProposalToGnatt[[#This Row],[Start Date]],BY$27&lt;ProposalToGnatt[[#This Row],[Start Date]]+ProposalToGnatt[[#This Row],[Days]]),$G$5,"")),"")</f>
        <v/>
      </c>
      <c r="BZ75" s="36" t="str">
        <f ca="1">IFERROR(+IF(BZ$27=ProposalToGnatt[[#This Row],[Start Date]],Milestone_Marker,IF(AND(BZ$27&gt;ProposalToGnatt[[#This Row],[Start Date]],BZ$27&lt;ProposalToGnatt[[#This Row],[Start Date]]+ProposalToGnatt[[#This Row],[Days]]),$G$5,"")),"")</f>
        <v/>
      </c>
      <c r="CA75" s="36" t="str">
        <f ca="1">IFERROR(+IF(CA$27=ProposalToGnatt[[#This Row],[Start Date]],Milestone_Marker,IF(AND(CA$27&gt;ProposalToGnatt[[#This Row],[Start Date]],CA$27&lt;ProposalToGnatt[[#This Row],[Start Date]]+ProposalToGnatt[[#This Row],[Days]]),$G$5,"")),"")</f>
        <v/>
      </c>
      <c r="CB75" s="36" t="str">
        <f ca="1">IFERROR(+IF(CB$27=ProposalToGnatt[[#This Row],[Start Date]],Milestone_Marker,IF(AND(CB$27&gt;ProposalToGnatt[[#This Row],[Start Date]],CB$27&lt;ProposalToGnatt[[#This Row],[Start Date]]+ProposalToGnatt[[#This Row],[Days]]),$G$5,"")),"")</f>
        <v/>
      </c>
      <c r="CC75" s="36" t="str">
        <f ca="1">IFERROR(+IF(CC$27=ProposalToGnatt[[#This Row],[Start Date]],Milestone_Marker,IF(AND(CC$27&gt;ProposalToGnatt[[#This Row],[Start Date]],CC$27&lt;ProposalToGnatt[[#This Row],[Start Date]]+ProposalToGnatt[[#This Row],[Days]]),$G$5,"")),"")</f>
        <v/>
      </c>
      <c r="CD75" s="36" t="str">
        <f ca="1">IFERROR(+IF(CD$27=ProposalToGnatt[[#This Row],[Start Date]],Milestone_Marker,IF(AND(CD$27&gt;ProposalToGnatt[[#This Row],[Start Date]],CD$27&lt;ProposalToGnatt[[#This Row],[Start Date]]+ProposalToGnatt[[#This Row],[Days]]),$G$5,"")),"")</f>
        <v/>
      </c>
      <c r="CE75" s="36" t="str">
        <f ca="1">IFERROR(+IF(CE$27=ProposalToGnatt[[#This Row],[Start Date]],Milestone_Marker,IF(AND(CE$27&gt;ProposalToGnatt[[#This Row],[Start Date]],CE$27&lt;ProposalToGnatt[[#This Row],[Start Date]]+ProposalToGnatt[[#This Row],[Days]]),$G$5,"")),"")</f>
        <v/>
      </c>
      <c r="CF75" s="36" t="str">
        <f ca="1">IFERROR(+IF(CF$27=ProposalToGnatt[[#This Row],[Start Date]],Milestone_Marker,IF(AND(CF$27&gt;ProposalToGnatt[[#This Row],[Start Date]],CF$27&lt;ProposalToGnatt[[#This Row],[Start Date]]+ProposalToGnatt[[#This Row],[Days]]),$G$5,"")),"")</f>
        <v/>
      </c>
      <c r="CG75" s="36" t="str">
        <f ca="1">IFERROR(+IF(CG$27=ProposalToGnatt[[#This Row],[Start Date]],Milestone_Marker,IF(AND(CG$27&gt;ProposalToGnatt[[#This Row],[Start Date]],CG$27&lt;ProposalToGnatt[[#This Row],[Start Date]]+ProposalToGnatt[[#This Row],[Days]]),$G$5,"")),"")</f>
        <v/>
      </c>
      <c r="CH75" s="36" t="str">
        <f ca="1">IFERROR(+IF(CH$27=ProposalToGnatt[[#This Row],[Start Date]],Milestone_Marker,IF(AND(CH$27&gt;ProposalToGnatt[[#This Row],[Start Date]],CH$27&lt;ProposalToGnatt[[#This Row],[Start Date]]+ProposalToGnatt[[#This Row],[Days]]),$G$5,"")),"")</f>
        <v/>
      </c>
      <c r="CI75" s="36" t="str">
        <f ca="1">IFERROR(+IF(CI$27=ProposalToGnatt[[#This Row],[Start Date]],Milestone_Marker,IF(AND(CI$27&gt;ProposalToGnatt[[#This Row],[Start Date]],CI$27&lt;ProposalToGnatt[[#This Row],[Start Date]]+ProposalToGnatt[[#This Row],[Days]]),$G$5,"")),"")</f>
        <v/>
      </c>
      <c r="CJ75" s="36" t="str">
        <f ca="1">IFERROR(+IF(CJ$27=ProposalToGnatt[[#This Row],[Start Date]],Milestone_Marker,IF(AND(CJ$27&gt;ProposalToGnatt[[#This Row],[Start Date]],CJ$27&lt;ProposalToGnatt[[#This Row],[Start Date]]+ProposalToGnatt[[#This Row],[Days]]),$G$5,"")),"")</f>
        <v/>
      </c>
      <c r="CK75" s="36" t="str">
        <f ca="1">IFERROR(+IF(CK$27=ProposalToGnatt[[#This Row],[Start Date]],Milestone_Marker,IF(AND(CK$27&gt;ProposalToGnatt[[#This Row],[Start Date]],CK$27&lt;ProposalToGnatt[[#This Row],[Start Date]]+ProposalToGnatt[[#This Row],[Days]]),$G$5,"")),"")</f>
        <v/>
      </c>
      <c r="CL75" s="36" t="str">
        <f ca="1">IFERROR(+IF(CL$27=ProposalToGnatt[[#This Row],[Start Date]],Milestone_Marker,IF(AND(CL$27&gt;ProposalToGnatt[[#This Row],[Start Date]],CL$27&lt;ProposalToGnatt[[#This Row],[Start Date]]+ProposalToGnatt[[#This Row],[Days]]),$G$5,"")),"")</f>
        <v/>
      </c>
      <c r="CM75" s="36" t="str">
        <f ca="1">IFERROR(+IF(CM$27=ProposalToGnatt[[#This Row],[Start Date]],Milestone_Marker,IF(AND(CM$27&gt;ProposalToGnatt[[#This Row],[Start Date]],CM$27&lt;ProposalToGnatt[[#This Row],[Start Date]]+ProposalToGnatt[[#This Row],[Days]]),$G$5,"")),"")</f>
        <v/>
      </c>
      <c r="CN75" s="36" t="str">
        <f ca="1">IFERROR(+IF(CN$27=ProposalToGnatt[[#This Row],[Start Date]],Milestone_Marker,IF(AND(CN$27&gt;ProposalToGnatt[[#This Row],[Start Date]],CN$27&lt;ProposalToGnatt[[#This Row],[Start Date]]+ProposalToGnatt[[#This Row],[Days]]),$G$5,"")),"")</f>
        <v/>
      </c>
      <c r="CO75" s="36" t="str">
        <f ca="1">IFERROR(+IF(CO$27=ProposalToGnatt[[#This Row],[Start Date]],Milestone_Marker,IF(AND(CO$27&gt;ProposalToGnatt[[#This Row],[Start Date]],CO$27&lt;ProposalToGnatt[[#This Row],[Start Date]]+ProposalToGnatt[[#This Row],[Days]]),$G$5,"")),"")</f>
        <v/>
      </c>
      <c r="CP75" s="36" t="str">
        <f ca="1">IFERROR(+IF(CP$27=ProposalToGnatt[[#This Row],[Start Date]],Milestone_Marker,IF(AND(CP$27&gt;ProposalToGnatt[[#This Row],[Start Date]],CP$27&lt;ProposalToGnatt[[#This Row],[Start Date]]+ProposalToGnatt[[#This Row],[Days]]),$G$5,"")),"")</f>
        <v/>
      </c>
      <c r="CQ75" s="36" t="str">
        <f ca="1">IFERROR(+IF(CQ$27=ProposalToGnatt[[#This Row],[Start Date]],Milestone_Marker,IF(AND(CQ$27&gt;ProposalToGnatt[[#This Row],[Start Date]],CQ$27&lt;ProposalToGnatt[[#This Row],[Start Date]]+ProposalToGnatt[[#This Row],[Days]]),$G$5,"")),"")</f>
        <v/>
      </c>
      <c r="CR75" s="36" t="str">
        <f ca="1">IFERROR(+IF(CR$27=ProposalToGnatt[[#This Row],[Start Date]],Milestone_Marker,IF(AND(CR$27&gt;ProposalToGnatt[[#This Row],[Start Date]],CR$27&lt;ProposalToGnatt[[#This Row],[Start Date]]+ProposalToGnatt[[#This Row],[Days]]),$G$5,"")),"")</f>
        <v/>
      </c>
      <c r="CS75" s="36" t="str">
        <f ca="1">IFERROR(+IF(CS$27=ProposalToGnatt[[#This Row],[Start Date]],Milestone_Marker,IF(AND(CS$27&gt;ProposalToGnatt[[#This Row],[Start Date]],CS$27&lt;ProposalToGnatt[[#This Row],[Start Date]]+ProposalToGnatt[[#This Row],[Days]]),$G$5,"")),"")</f>
        <v/>
      </c>
      <c r="CT75" s="36" t="str">
        <f ca="1">IFERROR(+IF(CT$27=ProposalToGnatt[[#This Row],[Start Date]],Milestone_Marker,IF(AND(CT$27&gt;ProposalToGnatt[[#This Row],[Start Date]],CT$27&lt;ProposalToGnatt[[#This Row],[Start Date]]+ProposalToGnatt[[#This Row],[Days]]),$G$5,"")),"")</f>
        <v/>
      </c>
      <c r="CU75" s="36" t="str">
        <f ca="1">IFERROR(+IF(CU$27=ProposalToGnatt[[#This Row],[Start Date]],Milestone_Marker,IF(AND(CU$27&gt;ProposalToGnatt[[#This Row],[Start Date]],CU$27&lt;ProposalToGnatt[[#This Row],[Start Date]]+ProposalToGnatt[[#This Row],[Days]]),$G$5,"")),"")</f>
        <v/>
      </c>
      <c r="CV75" s="36"/>
      <c r="CW75" s="36"/>
      <c r="CX75" s="36"/>
      <c r="CY75" s="36"/>
      <c r="CZ75" s="36"/>
      <c r="DA75" s="36"/>
      <c r="DB75" s="36"/>
      <c r="DC75" s="36"/>
      <c r="DD75" s="36"/>
      <c r="DE75" s="36"/>
      <c r="DF75" s="36"/>
      <c r="DG75" s="36"/>
      <c r="DH75" s="36"/>
      <c r="DI75" s="36"/>
      <c r="DJ75" s="36"/>
      <c r="DK75" s="36"/>
      <c r="DL75" s="36"/>
      <c r="DM75" s="36"/>
      <c r="DN75" s="36"/>
      <c r="DO75" s="36"/>
      <c r="DP75" s="36"/>
      <c r="DQ75" s="36"/>
      <c r="DR75" s="36"/>
      <c r="DS75" s="36"/>
      <c r="DT75" s="36"/>
      <c r="DU75" s="36"/>
    </row>
    <row r="76" spans="1:125" ht="15" x14ac:dyDescent="0.25">
      <c r="A76" t="s">
        <v>267</v>
      </c>
      <c r="B76">
        <v>58</v>
      </c>
      <c r="C76"/>
      <c r="D76" t="s">
        <v>977</v>
      </c>
      <c r="E76" s="568" t="s">
        <v>976</v>
      </c>
      <c r="F76">
        <v>1</v>
      </c>
      <c r="G76" s="14"/>
      <c r="H76" s="14"/>
      <c r="I76" t="s">
        <v>3</v>
      </c>
      <c r="J76">
        <v>1</v>
      </c>
      <c r="K76" s="249"/>
      <c r="L76"/>
      <c r="M76" s="14"/>
      <c r="N76" s="300"/>
      <c r="O76" s="554"/>
      <c r="P76" s="36" t="str">
        <f ca="1">IFERROR(+IF(P$27=ProposalToGnatt[[#This Row],[Start Date]],Milestone_Marker,IF(AND(P$27&gt;ProposalToGnatt[[#This Row],[Start Date]],P$27&lt;ProposalToGnatt[[#This Row],[Start Date]]+ProposalToGnatt[[#This Row],[Days]]),$G$5,"")),"")</f>
        <v/>
      </c>
      <c r="Q76" s="36" t="str">
        <f ca="1">IFERROR(+IF(Q$27=ProposalToGnatt[[#This Row],[Start Date]],Milestone_Marker,IF(AND(Q$27&gt;ProposalToGnatt[[#This Row],[Start Date]],Q$27&lt;ProposalToGnatt[[#This Row],[Start Date]]+ProposalToGnatt[[#This Row],[Days]]),$G$5,"")),"")</f>
        <v/>
      </c>
      <c r="R76" s="36" t="str">
        <f ca="1">IFERROR(+IF(R$27=ProposalToGnatt[[#This Row],[Start Date]],Milestone_Marker,IF(AND(R$27&gt;ProposalToGnatt[[#This Row],[Start Date]],R$27&lt;ProposalToGnatt[[#This Row],[Start Date]]+ProposalToGnatt[[#This Row],[Days]]),$G$5,"")),"")</f>
        <v/>
      </c>
      <c r="S76" s="36" t="str">
        <f ca="1">IFERROR(+IF(S$27=ProposalToGnatt[[#This Row],[Start Date]],Milestone_Marker,IF(AND(S$27&gt;ProposalToGnatt[[#This Row],[Start Date]],S$27&lt;ProposalToGnatt[[#This Row],[Start Date]]+ProposalToGnatt[[#This Row],[Days]]),$G$5,"")),"")</f>
        <v/>
      </c>
      <c r="T76" s="36" t="str">
        <f ca="1">IFERROR(+IF(T$27=ProposalToGnatt[[#This Row],[Start Date]],Milestone_Marker,IF(AND(T$27&gt;ProposalToGnatt[[#This Row],[Start Date]],T$27&lt;ProposalToGnatt[[#This Row],[Start Date]]+ProposalToGnatt[[#This Row],[Days]]),$G$5,"")),"")</f>
        <v/>
      </c>
      <c r="U76" s="36" t="str">
        <f ca="1">IFERROR(+IF(U$27=ProposalToGnatt[[#This Row],[Start Date]],Milestone_Marker,IF(AND(U$27&gt;ProposalToGnatt[[#This Row],[Start Date]],U$27&lt;ProposalToGnatt[[#This Row],[Start Date]]+ProposalToGnatt[[#This Row],[Days]]),$G$5,"")),"")</f>
        <v/>
      </c>
      <c r="V76" s="36" t="str">
        <f ca="1">IFERROR(+IF(V$27=ProposalToGnatt[[#This Row],[Start Date]],Milestone_Marker,IF(AND(V$27&gt;ProposalToGnatt[[#This Row],[Start Date]],V$27&lt;ProposalToGnatt[[#This Row],[Start Date]]+ProposalToGnatt[[#This Row],[Days]]),$G$5,"")),"")</f>
        <v/>
      </c>
      <c r="W76" s="36" t="str">
        <f ca="1">IFERROR(+IF(W$27=ProposalToGnatt[[#This Row],[Start Date]],Milestone_Marker,IF(AND(W$27&gt;ProposalToGnatt[[#This Row],[Start Date]],W$27&lt;ProposalToGnatt[[#This Row],[Start Date]]+ProposalToGnatt[[#This Row],[Days]]),$G$5,"")),"")</f>
        <v/>
      </c>
      <c r="X76" s="36" t="str">
        <f ca="1">IFERROR(+IF(X$27=ProposalToGnatt[[#This Row],[Start Date]],Milestone_Marker,IF(AND(X$27&gt;ProposalToGnatt[[#This Row],[Start Date]],X$27&lt;ProposalToGnatt[[#This Row],[Start Date]]+ProposalToGnatt[[#This Row],[Days]]),$G$5,"")),"")</f>
        <v/>
      </c>
      <c r="Y76" s="36" t="str">
        <f ca="1">IFERROR(+IF(Y$27=ProposalToGnatt[[#This Row],[Start Date]],Milestone_Marker,IF(AND(Y$27&gt;ProposalToGnatt[[#This Row],[Start Date]],Y$27&lt;ProposalToGnatt[[#This Row],[Start Date]]+ProposalToGnatt[[#This Row],[Days]]),$G$5,"")),"")</f>
        <v/>
      </c>
      <c r="Z76" s="36" t="str">
        <f ca="1">IFERROR(+IF(Z$27=ProposalToGnatt[[#This Row],[Start Date]],Milestone_Marker,IF(AND(Z$27&gt;ProposalToGnatt[[#This Row],[Start Date]],Z$27&lt;ProposalToGnatt[[#This Row],[Start Date]]+ProposalToGnatt[[#This Row],[Days]]),$G$5,"")),"")</f>
        <v/>
      </c>
      <c r="AA76" s="36" t="str">
        <f ca="1">IFERROR(+IF(AA$27=ProposalToGnatt[[#This Row],[Start Date]],Milestone_Marker,IF(AND(AA$27&gt;ProposalToGnatt[[#This Row],[Start Date]],AA$27&lt;ProposalToGnatt[[#This Row],[Start Date]]+ProposalToGnatt[[#This Row],[Days]]),$G$5,"")),"")</f>
        <v/>
      </c>
      <c r="AB76" s="36" t="str">
        <f ca="1">IFERROR(+IF(AB$27=ProposalToGnatt[[#This Row],[Start Date]],Milestone_Marker,IF(AND(AB$27&gt;ProposalToGnatt[[#This Row],[Start Date]],AB$27&lt;ProposalToGnatt[[#This Row],[Start Date]]+ProposalToGnatt[[#This Row],[Days]]),$G$5,"")),"")</f>
        <v/>
      </c>
      <c r="AC76" s="36" t="str">
        <f ca="1">IFERROR(+IF(AC$27=ProposalToGnatt[[#This Row],[Start Date]],Milestone_Marker,IF(AND(AC$27&gt;ProposalToGnatt[[#This Row],[Start Date]],AC$27&lt;ProposalToGnatt[[#This Row],[Start Date]]+ProposalToGnatt[[#This Row],[Days]]),$G$5,"")),"")</f>
        <v/>
      </c>
      <c r="AD76" s="36" t="str">
        <f ca="1">IFERROR(+IF(AD$27=ProposalToGnatt[[#This Row],[Start Date]],Milestone_Marker,IF(AND(AD$27&gt;ProposalToGnatt[[#This Row],[Start Date]],AD$27&lt;ProposalToGnatt[[#This Row],[Start Date]]+ProposalToGnatt[[#This Row],[Days]]),$G$5,"")),"")</f>
        <v/>
      </c>
      <c r="AE76" s="36" t="str">
        <f ca="1">IFERROR(+IF(AE$27=ProposalToGnatt[[#This Row],[Start Date]],Milestone_Marker,IF(AND(AE$27&gt;ProposalToGnatt[[#This Row],[Start Date]],AE$27&lt;ProposalToGnatt[[#This Row],[Start Date]]+ProposalToGnatt[[#This Row],[Days]]),$G$5,"")),"")</f>
        <v/>
      </c>
      <c r="AF76" s="36" t="str">
        <f ca="1">IFERROR(+IF(AF$27=ProposalToGnatt[[#This Row],[Start Date]],Milestone_Marker,IF(AND(AF$27&gt;ProposalToGnatt[[#This Row],[Start Date]],AF$27&lt;ProposalToGnatt[[#This Row],[Start Date]]+ProposalToGnatt[[#This Row],[Days]]),$G$5,"")),"")</f>
        <v/>
      </c>
      <c r="AG76" s="36" t="str">
        <f ca="1">IFERROR(+IF(AG$27=ProposalToGnatt[[#This Row],[Start Date]],Milestone_Marker,IF(AND(AG$27&gt;ProposalToGnatt[[#This Row],[Start Date]],AG$27&lt;ProposalToGnatt[[#This Row],[Start Date]]+ProposalToGnatt[[#This Row],[Days]]),$G$5,"")),"")</f>
        <v/>
      </c>
      <c r="AH76" s="36" t="str">
        <f ca="1">IFERROR(+IF(AH$27=ProposalToGnatt[[#This Row],[Start Date]],Milestone_Marker,IF(AND(AH$27&gt;ProposalToGnatt[[#This Row],[Start Date]],AH$27&lt;ProposalToGnatt[[#This Row],[Start Date]]+ProposalToGnatt[[#This Row],[Days]]),$G$5,"")),"")</f>
        <v/>
      </c>
      <c r="AI76" s="36" t="str">
        <f ca="1">IFERROR(+IF(AI$27=ProposalToGnatt[[#This Row],[Start Date]],Milestone_Marker,IF(AND(AI$27&gt;ProposalToGnatt[[#This Row],[Start Date]],AI$27&lt;ProposalToGnatt[[#This Row],[Start Date]]+ProposalToGnatt[[#This Row],[Days]]),$G$5,"")),"")</f>
        <v/>
      </c>
      <c r="AJ76" s="36" t="str">
        <f ca="1">IFERROR(+IF(AJ$27=ProposalToGnatt[[#This Row],[Start Date]],Milestone_Marker,IF(AND(AJ$27&gt;ProposalToGnatt[[#This Row],[Start Date]],AJ$27&lt;ProposalToGnatt[[#This Row],[Start Date]]+ProposalToGnatt[[#This Row],[Days]]),$G$5,"")),"")</f>
        <v/>
      </c>
      <c r="AK76" s="36" t="str">
        <f ca="1">IFERROR(+IF(AK$27=ProposalToGnatt[[#This Row],[Start Date]],Milestone_Marker,IF(AND(AK$27&gt;ProposalToGnatt[[#This Row],[Start Date]],AK$27&lt;ProposalToGnatt[[#This Row],[Start Date]]+ProposalToGnatt[[#This Row],[Days]]),$G$5,"")),"")</f>
        <v/>
      </c>
      <c r="AL76" s="36" t="str">
        <f ca="1">IFERROR(+IF(AL$27=ProposalToGnatt[[#This Row],[Start Date]],Milestone_Marker,IF(AND(AL$27&gt;ProposalToGnatt[[#This Row],[Start Date]],AL$27&lt;ProposalToGnatt[[#This Row],[Start Date]]+ProposalToGnatt[[#This Row],[Days]]),$G$5,"")),"")</f>
        <v/>
      </c>
      <c r="AM76" s="36" t="str">
        <f ca="1">IFERROR(+IF(AM$27=ProposalToGnatt[[#This Row],[Start Date]],Milestone_Marker,IF(AND(AM$27&gt;ProposalToGnatt[[#This Row],[Start Date]],AM$27&lt;ProposalToGnatt[[#This Row],[Start Date]]+ProposalToGnatt[[#This Row],[Days]]),$G$5,"")),"")</f>
        <v/>
      </c>
      <c r="AN76" s="36" t="str">
        <f ca="1">IFERROR(+IF(AN$27=ProposalToGnatt[[#This Row],[Start Date]],Milestone_Marker,IF(AND(AN$27&gt;ProposalToGnatt[[#This Row],[Start Date]],AN$27&lt;ProposalToGnatt[[#This Row],[Start Date]]+ProposalToGnatt[[#This Row],[Days]]),$G$5,"")),"")</f>
        <v/>
      </c>
      <c r="AO76" s="36" t="str">
        <f ca="1">IFERROR(+IF(AO$27=ProposalToGnatt[[#This Row],[Start Date]],Milestone_Marker,IF(AND(AO$27&gt;ProposalToGnatt[[#This Row],[Start Date]],AO$27&lt;ProposalToGnatt[[#This Row],[Start Date]]+ProposalToGnatt[[#This Row],[Days]]),$G$5,"")),"")</f>
        <v/>
      </c>
      <c r="AP76" s="36" t="str">
        <f ca="1">IFERROR(+IF(AP$27=ProposalToGnatt[[#This Row],[Start Date]],Milestone_Marker,IF(AND(AP$27&gt;ProposalToGnatt[[#This Row],[Start Date]],AP$27&lt;ProposalToGnatt[[#This Row],[Start Date]]+ProposalToGnatt[[#This Row],[Days]]),$G$5,"")),"")</f>
        <v/>
      </c>
      <c r="AQ76" s="36" t="str">
        <f ca="1">IFERROR(+IF(AQ$27=ProposalToGnatt[[#This Row],[Start Date]],Milestone_Marker,IF(AND(AQ$27&gt;ProposalToGnatt[[#This Row],[Start Date]],AQ$27&lt;ProposalToGnatt[[#This Row],[Start Date]]+ProposalToGnatt[[#This Row],[Days]]),$G$5,"")),"")</f>
        <v/>
      </c>
      <c r="AR76" s="36" t="str">
        <f ca="1">IFERROR(+IF(AR$27=ProposalToGnatt[[#This Row],[Start Date]],Milestone_Marker,IF(AND(AR$27&gt;ProposalToGnatt[[#This Row],[Start Date]],AR$27&lt;ProposalToGnatt[[#This Row],[Start Date]]+ProposalToGnatt[[#This Row],[Days]]),$G$5,"")),"")</f>
        <v/>
      </c>
      <c r="AS76" s="36" t="str">
        <f ca="1">IFERROR(+IF(AS$27=ProposalToGnatt[[#This Row],[Start Date]],Milestone_Marker,IF(AND(AS$27&gt;ProposalToGnatt[[#This Row],[Start Date]],AS$27&lt;ProposalToGnatt[[#This Row],[Start Date]]+ProposalToGnatt[[#This Row],[Days]]),$G$5,"")),"")</f>
        <v/>
      </c>
      <c r="AT76" s="36" t="str">
        <f ca="1">IFERROR(+IF(AT$27=ProposalToGnatt[[#This Row],[Start Date]],Milestone_Marker,IF(AND(AT$27&gt;ProposalToGnatt[[#This Row],[Start Date]],AT$27&lt;ProposalToGnatt[[#This Row],[Start Date]]+ProposalToGnatt[[#This Row],[Days]]),$G$5,"")),"")</f>
        <v/>
      </c>
      <c r="AU76" s="36" t="str">
        <f ca="1">IFERROR(+IF(AU$27=ProposalToGnatt[[#This Row],[Start Date]],Milestone_Marker,IF(AND(AU$27&gt;ProposalToGnatt[[#This Row],[Start Date]],AU$27&lt;ProposalToGnatt[[#This Row],[Start Date]]+ProposalToGnatt[[#This Row],[Days]]),$G$5,"")),"")</f>
        <v/>
      </c>
      <c r="AV76" s="36" t="str">
        <f ca="1">IFERROR(+IF(AV$27=ProposalToGnatt[[#This Row],[Start Date]],Milestone_Marker,IF(AND(AV$27&gt;ProposalToGnatt[[#This Row],[Start Date]],AV$27&lt;ProposalToGnatt[[#This Row],[Start Date]]+ProposalToGnatt[[#This Row],[Days]]),$G$5,"")),"")</f>
        <v/>
      </c>
      <c r="AW76" s="36" t="str">
        <f ca="1">IFERROR(+IF(AW$27=ProposalToGnatt[[#This Row],[Start Date]],Milestone_Marker,IF(AND(AW$27&gt;ProposalToGnatt[[#This Row],[Start Date]],AW$27&lt;ProposalToGnatt[[#This Row],[Start Date]]+ProposalToGnatt[[#This Row],[Days]]),$G$5,"")),"")</f>
        <v/>
      </c>
      <c r="AX76" s="36" t="str">
        <f ca="1">IFERROR(+IF(AX$27=ProposalToGnatt[[#This Row],[Start Date]],Milestone_Marker,IF(AND(AX$27&gt;ProposalToGnatt[[#This Row],[Start Date]],AX$27&lt;ProposalToGnatt[[#This Row],[Start Date]]+ProposalToGnatt[[#This Row],[Days]]),$G$5,"")),"")</f>
        <v/>
      </c>
      <c r="AY76" s="36" t="str">
        <f ca="1">IFERROR(+IF(AY$27=ProposalToGnatt[[#This Row],[Start Date]],Milestone_Marker,IF(AND(AY$27&gt;ProposalToGnatt[[#This Row],[Start Date]],AY$27&lt;ProposalToGnatt[[#This Row],[Start Date]]+ProposalToGnatt[[#This Row],[Days]]),$G$5,"")),"")</f>
        <v/>
      </c>
      <c r="AZ76" s="36" t="str">
        <f ca="1">IFERROR(+IF(AZ$27=ProposalToGnatt[[#This Row],[Start Date]],Milestone_Marker,IF(AND(AZ$27&gt;ProposalToGnatt[[#This Row],[Start Date]],AZ$27&lt;ProposalToGnatt[[#This Row],[Start Date]]+ProposalToGnatt[[#This Row],[Days]]),$G$5,"")),"")</f>
        <v/>
      </c>
      <c r="BA76" s="36" t="str">
        <f ca="1">IFERROR(+IF(BA$27=ProposalToGnatt[[#This Row],[Start Date]],Milestone_Marker,IF(AND(BA$27&gt;ProposalToGnatt[[#This Row],[Start Date]],BA$27&lt;ProposalToGnatt[[#This Row],[Start Date]]+ProposalToGnatt[[#This Row],[Days]]),$G$5,"")),"")</f>
        <v/>
      </c>
      <c r="BB76" s="36" t="str">
        <f ca="1">IFERROR(+IF(BB$27=ProposalToGnatt[[#This Row],[Start Date]],Milestone_Marker,IF(AND(BB$27&gt;ProposalToGnatt[[#This Row],[Start Date]],BB$27&lt;ProposalToGnatt[[#This Row],[Start Date]]+ProposalToGnatt[[#This Row],[Days]]),$G$5,"")),"")</f>
        <v/>
      </c>
      <c r="BC76" s="36" t="str">
        <f ca="1">IFERROR(+IF(BC$27=ProposalToGnatt[[#This Row],[Start Date]],Milestone_Marker,IF(AND(BC$27&gt;ProposalToGnatt[[#This Row],[Start Date]],BC$27&lt;ProposalToGnatt[[#This Row],[Start Date]]+ProposalToGnatt[[#This Row],[Days]]),$G$5,"")),"")</f>
        <v/>
      </c>
      <c r="BD76" s="36" t="str">
        <f ca="1">IFERROR(+IF(BD$27=ProposalToGnatt[[#This Row],[Start Date]],Milestone_Marker,IF(AND(BD$27&gt;ProposalToGnatt[[#This Row],[Start Date]],BD$27&lt;ProposalToGnatt[[#This Row],[Start Date]]+ProposalToGnatt[[#This Row],[Days]]),$G$5,"")),"")</f>
        <v/>
      </c>
      <c r="BE76" s="36" t="str">
        <f ca="1">IFERROR(+IF(BE$27=ProposalToGnatt[[#This Row],[Start Date]],Milestone_Marker,IF(AND(BE$27&gt;ProposalToGnatt[[#This Row],[Start Date]],BE$27&lt;ProposalToGnatt[[#This Row],[Start Date]]+ProposalToGnatt[[#This Row],[Days]]),$G$5,"")),"")</f>
        <v/>
      </c>
      <c r="BF76" s="36" t="str">
        <f ca="1">IFERROR(+IF(BF$27=ProposalToGnatt[[#This Row],[Start Date]],Milestone_Marker,IF(AND(BF$27&gt;ProposalToGnatt[[#This Row],[Start Date]],BF$27&lt;ProposalToGnatt[[#This Row],[Start Date]]+ProposalToGnatt[[#This Row],[Days]]),$G$5,"")),"")</f>
        <v/>
      </c>
      <c r="BG76" s="36" t="str">
        <f ca="1">IFERROR(+IF(BG$27=ProposalToGnatt[[#This Row],[Start Date]],Milestone_Marker,IF(AND(BG$27&gt;ProposalToGnatt[[#This Row],[Start Date]],BG$27&lt;ProposalToGnatt[[#This Row],[Start Date]]+ProposalToGnatt[[#This Row],[Days]]),$G$5,"")),"")</f>
        <v/>
      </c>
      <c r="BH76" s="36" t="str">
        <f ca="1">IFERROR(+IF(BH$27=ProposalToGnatt[[#This Row],[Start Date]],Milestone_Marker,IF(AND(BH$27&gt;ProposalToGnatt[[#This Row],[Start Date]],BH$27&lt;ProposalToGnatt[[#This Row],[Start Date]]+ProposalToGnatt[[#This Row],[Days]]),$G$5,"")),"")</f>
        <v/>
      </c>
      <c r="BI76" s="36" t="str">
        <f ca="1">IFERROR(+IF(BI$27=ProposalToGnatt[[#This Row],[Start Date]],Milestone_Marker,IF(AND(BI$27&gt;ProposalToGnatt[[#This Row],[Start Date]],BI$27&lt;ProposalToGnatt[[#This Row],[Start Date]]+ProposalToGnatt[[#This Row],[Days]]),$G$5,"")),"")</f>
        <v/>
      </c>
      <c r="BJ76" s="36" t="str">
        <f ca="1">IFERROR(+IF(BJ$27=ProposalToGnatt[[#This Row],[Start Date]],Milestone_Marker,IF(AND(BJ$27&gt;ProposalToGnatt[[#This Row],[Start Date]],BJ$27&lt;ProposalToGnatt[[#This Row],[Start Date]]+ProposalToGnatt[[#This Row],[Days]]),$G$5,"")),"")</f>
        <v/>
      </c>
      <c r="BK76" s="36" t="str">
        <f ca="1">IFERROR(+IF(BK$27=ProposalToGnatt[[#This Row],[Start Date]],Milestone_Marker,IF(AND(BK$27&gt;ProposalToGnatt[[#This Row],[Start Date]],BK$27&lt;ProposalToGnatt[[#This Row],[Start Date]]+ProposalToGnatt[[#This Row],[Days]]),$G$5,"")),"")</f>
        <v/>
      </c>
      <c r="BL76" s="36" t="str">
        <f ca="1">IFERROR(+IF(BL$27=ProposalToGnatt[[#This Row],[Start Date]],Milestone_Marker,IF(AND(BL$27&gt;ProposalToGnatt[[#This Row],[Start Date]],BL$27&lt;ProposalToGnatt[[#This Row],[Start Date]]+ProposalToGnatt[[#This Row],[Days]]),$G$5,"")),"")</f>
        <v/>
      </c>
      <c r="BM76" s="36" t="str">
        <f ca="1">IFERROR(+IF(BM$27=ProposalToGnatt[[#This Row],[Start Date]],Milestone_Marker,IF(AND(BM$27&gt;ProposalToGnatt[[#This Row],[Start Date]],BM$27&lt;ProposalToGnatt[[#This Row],[Start Date]]+ProposalToGnatt[[#This Row],[Days]]),$G$5,"")),"")</f>
        <v/>
      </c>
      <c r="BN76" s="36" t="str">
        <f ca="1">IFERROR(+IF(BN$27=ProposalToGnatt[[#This Row],[Start Date]],Milestone_Marker,IF(AND(BN$27&gt;ProposalToGnatt[[#This Row],[Start Date]],BN$27&lt;ProposalToGnatt[[#This Row],[Start Date]]+ProposalToGnatt[[#This Row],[Days]]),$G$5,"")),"")</f>
        <v/>
      </c>
      <c r="BO76" s="36" t="str">
        <f ca="1">IFERROR(+IF(BO$27=ProposalToGnatt[[#This Row],[Start Date]],Milestone_Marker,IF(AND(BO$27&gt;ProposalToGnatt[[#This Row],[Start Date]],BO$27&lt;ProposalToGnatt[[#This Row],[Start Date]]+ProposalToGnatt[[#This Row],[Days]]),$G$5,"")),"")</f>
        <v/>
      </c>
      <c r="BP76" s="36" t="str">
        <f ca="1">IFERROR(+IF(BP$27=ProposalToGnatt[[#This Row],[Start Date]],Milestone_Marker,IF(AND(BP$27&gt;ProposalToGnatt[[#This Row],[Start Date]],BP$27&lt;ProposalToGnatt[[#This Row],[Start Date]]+ProposalToGnatt[[#This Row],[Days]]),$G$5,"")),"")</f>
        <v/>
      </c>
      <c r="BQ76" s="36" t="str">
        <f ca="1">IFERROR(+IF(BQ$27=ProposalToGnatt[[#This Row],[Start Date]],Milestone_Marker,IF(AND(BQ$27&gt;ProposalToGnatt[[#This Row],[Start Date]],BQ$27&lt;ProposalToGnatt[[#This Row],[Start Date]]+ProposalToGnatt[[#This Row],[Days]]),$G$5,"")),"")</f>
        <v/>
      </c>
      <c r="BR76" s="36" t="str">
        <f ca="1">IFERROR(+IF(BR$27=ProposalToGnatt[[#This Row],[Start Date]],Milestone_Marker,IF(AND(BR$27&gt;ProposalToGnatt[[#This Row],[Start Date]],BR$27&lt;ProposalToGnatt[[#This Row],[Start Date]]+ProposalToGnatt[[#This Row],[Days]]),$G$5,"")),"")</f>
        <v/>
      </c>
      <c r="BS76" s="36" t="str">
        <f ca="1">IFERROR(+IF(BS$27=ProposalToGnatt[[#This Row],[Start Date]],Milestone_Marker,IF(AND(BS$27&gt;ProposalToGnatt[[#This Row],[Start Date]],BS$27&lt;ProposalToGnatt[[#This Row],[Start Date]]+ProposalToGnatt[[#This Row],[Days]]),$G$5,"")),"")</f>
        <v/>
      </c>
      <c r="BT76" s="36" t="str">
        <f ca="1">IFERROR(+IF(BT$27=ProposalToGnatt[[#This Row],[Start Date]],Milestone_Marker,IF(AND(BT$27&gt;ProposalToGnatt[[#This Row],[Start Date]],BT$27&lt;ProposalToGnatt[[#This Row],[Start Date]]+ProposalToGnatt[[#This Row],[Days]]),$G$5,"")),"")</f>
        <v/>
      </c>
      <c r="BU76" s="36" t="str">
        <f ca="1">IFERROR(+IF(BU$27=ProposalToGnatt[[#This Row],[Start Date]],Milestone_Marker,IF(AND(BU$27&gt;ProposalToGnatt[[#This Row],[Start Date]],BU$27&lt;ProposalToGnatt[[#This Row],[Start Date]]+ProposalToGnatt[[#This Row],[Days]]),$G$5,"")),"")</f>
        <v/>
      </c>
      <c r="BV76" s="36" t="str">
        <f ca="1">IFERROR(+IF(BV$27=ProposalToGnatt[[#This Row],[Start Date]],Milestone_Marker,IF(AND(BV$27&gt;ProposalToGnatt[[#This Row],[Start Date]],BV$27&lt;ProposalToGnatt[[#This Row],[Start Date]]+ProposalToGnatt[[#This Row],[Days]]),$G$5,"")),"")</f>
        <v/>
      </c>
      <c r="BW76" s="36" t="str">
        <f ca="1">IFERROR(+IF(BW$27=ProposalToGnatt[[#This Row],[Start Date]],Milestone_Marker,IF(AND(BW$27&gt;ProposalToGnatt[[#This Row],[Start Date]],BW$27&lt;ProposalToGnatt[[#This Row],[Start Date]]+ProposalToGnatt[[#This Row],[Days]]),$G$5,"")),"")</f>
        <v/>
      </c>
      <c r="BX76" s="36" t="str">
        <f ca="1">IFERROR(+IF(BX$27=ProposalToGnatt[[#This Row],[Start Date]],Milestone_Marker,IF(AND(BX$27&gt;ProposalToGnatt[[#This Row],[Start Date]],BX$27&lt;ProposalToGnatt[[#This Row],[Start Date]]+ProposalToGnatt[[#This Row],[Days]]),$G$5,"")),"")</f>
        <v/>
      </c>
      <c r="BY76" s="36" t="str">
        <f ca="1">IFERROR(+IF(BY$27=ProposalToGnatt[[#This Row],[Start Date]],Milestone_Marker,IF(AND(BY$27&gt;ProposalToGnatt[[#This Row],[Start Date]],BY$27&lt;ProposalToGnatt[[#This Row],[Start Date]]+ProposalToGnatt[[#This Row],[Days]]),$G$5,"")),"")</f>
        <v/>
      </c>
      <c r="BZ76" s="36" t="str">
        <f ca="1">IFERROR(+IF(BZ$27=ProposalToGnatt[[#This Row],[Start Date]],Milestone_Marker,IF(AND(BZ$27&gt;ProposalToGnatt[[#This Row],[Start Date]],BZ$27&lt;ProposalToGnatt[[#This Row],[Start Date]]+ProposalToGnatt[[#This Row],[Days]]),$G$5,"")),"")</f>
        <v/>
      </c>
      <c r="CA76" s="36" t="str">
        <f ca="1">IFERROR(+IF(CA$27=ProposalToGnatt[[#This Row],[Start Date]],Milestone_Marker,IF(AND(CA$27&gt;ProposalToGnatt[[#This Row],[Start Date]],CA$27&lt;ProposalToGnatt[[#This Row],[Start Date]]+ProposalToGnatt[[#This Row],[Days]]),$G$5,"")),"")</f>
        <v/>
      </c>
      <c r="CB76" s="36" t="str">
        <f ca="1">IFERROR(+IF(CB$27=ProposalToGnatt[[#This Row],[Start Date]],Milestone_Marker,IF(AND(CB$27&gt;ProposalToGnatt[[#This Row],[Start Date]],CB$27&lt;ProposalToGnatt[[#This Row],[Start Date]]+ProposalToGnatt[[#This Row],[Days]]),$G$5,"")),"")</f>
        <v/>
      </c>
      <c r="CC76" s="36" t="str">
        <f ca="1">IFERROR(+IF(CC$27=ProposalToGnatt[[#This Row],[Start Date]],Milestone_Marker,IF(AND(CC$27&gt;ProposalToGnatt[[#This Row],[Start Date]],CC$27&lt;ProposalToGnatt[[#This Row],[Start Date]]+ProposalToGnatt[[#This Row],[Days]]),$G$5,"")),"")</f>
        <v/>
      </c>
      <c r="CD76" s="36" t="str">
        <f ca="1">IFERROR(+IF(CD$27=ProposalToGnatt[[#This Row],[Start Date]],Milestone_Marker,IF(AND(CD$27&gt;ProposalToGnatt[[#This Row],[Start Date]],CD$27&lt;ProposalToGnatt[[#This Row],[Start Date]]+ProposalToGnatt[[#This Row],[Days]]),$G$5,"")),"")</f>
        <v/>
      </c>
      <c r="CE76" s="36" t="str">
        <f ca="1">IFERROR(+IF(CE$27=ProposalToGnatt[[#This Row],[Start Date]],Milestone_Marker,IF(AND(CE$27&gt;ProposalToGnatt[[#This Row],[Start Date]],CE$27&lt;ProposalToGnatt[[#This Row],[Start Date]]+ProposalToGnatt[[#This Row],[Days]]),$G$5,"")),"")</f>
        <v/>
      </c>
      <c r="CF76" s="36" t="str">
        <f ca="1">IFERROR(+IF(CF$27=ProposalToGnatt[[#This Row],[Start Date]],Milestone_Marker,IF(AND(CF$27&gt;ProposalToGnatt[[#This Row],[Start Date]],CF$27&lt;ProposalToGnatt[[#This Row],[Start Date]]+ProposalToGnatt[[#This Row],[Days]]),$G$5,"")),"")</f>
        <v/>
      </c>
      <c r="CG76" s="36" t="str">
        <f ca="1">IFERROR(+IF(CG$27=ProposalToGnatt[[#This Row],[Start Date]],Milestone_Marker,IF(AND(CG$27&gt;ProposalToGnatt[[#This Row],[Start Date]],CG$27&lt;ProposalToGnatt[[#This Row],[Start Date]]+ProposalToGnatt[[#This Row],[Days]]),$G$5,"")),"")</f>
        <v/>
      </c>
      <c r="CH76" s="36" t="str">
        <f ca="1">IFERROR(+IF(CH$27=ProposalToGnatt[[#This Row],[Start Date]],Milestone_Marker,IF(AND(CH$27&gt;ProposalToGnatt[[#This Row],[Start Date]],CH$27&lt;ProposalToGnatt[[#This Row],[Start Date]]+ProposalToGnatt[[#This Row],[Days]]),$G$5,"")),"")</f>
        <v/>
      </c>
      <c r="CI76" s="36" t="str">
        <f ca="1">IFERROR(+IF(CI$27=ProposalToGnatt[[#This Row],[Start Date]],Milestone_Marker,IF(AND(CI$27&gt;ProposalToGnatt[[#This Row],[Start Date]],CI$27&lt;ProposalToGnatt[[#This Row],[Start Date]]+ProposalToGnatt[[#This Row],[Days]]),$G$5,"")),"")</f>
        <v/>
      </c>
      <c r="CJ76" s="36" t="str">
        <f ca="1">IFERROR(+IF(CJ$27=ProposalToGnatt[[#This Row],[Start Date]],Milestone_Marker,IF(AND(CJ$27&gt;ProposalToGnatt[[#This Row],[Start Date]],CJ$27&lt;ProposalToGnatt[[#This Row],[Start Date]]+ProposalToGnatt[[#This Row],[Days]]),$G$5,"")),"")</f>
        <v/>
      </c>
      <c r="CK76" s="36" t="str">
        <f ca="1">IFERROR(+IF(CK$27=ProposalToGnatt[[#This Row],[Start Date]],Milestone_Marker,IF(AND(CK$27&gt;ProposalToGnatt[[#This Row],[Start Date]],CK$27&lt;ProposalToGnatt[[#This Row],[Start Date]]+ProposalToGnatt[[#This Row],[Days]]),$G$5,"")),"")</f>
        <v/>
      </c>
      <c r="CL76" s="36" t="str">
        <f ca="1">IFERROR(+IF(CL$27=ProposalToGnatt[[#This Row],[Start Date]],Milestone_Marker,IF(AND(CL$27&gt;ProposalToGnatt[[#This Row],[Start Date]],CL$27&lt;ProposalToGnatt[[#This Row],[Start Date]]+ProposalToGnatt[[#This Row],[Days]]),$G$5,"")),"")</f>
        <v/>
      </c>
      <c r="CM76" s="36" t="str">
        <f ca="1">IFERROR(+IF(CM$27=ProposalToGnatt[[#This Row],[Start Date]],Milestone_Marker,IF(AND(CM$27&gt;ProposalToGnatt[[#This Row],[Start Date]],CM$27&lt;ProposalToGnatt[[#This Row],[Start Date]]+ProposalToGnatt[[#This Row],[Days]]),$G$5,"")),"")</f>
        <v/>
      </c>
      <c r="CN76" s="36" t="str">
        <f ca="1">IFERROR(+IF(CN$27=ProposalToGnatt[[#This Row],[Start Date]],Milestone_Marker,IF(AND(CN$27&gt;ProposalToGnatt[[#This Row],[Start Date]],CN$27&lt;ProposalToGnatt[[#This Row],[Start Date]]+ProposalToGnatt[[#This Row],[Days]]),$G$5,"")),"")</f>
        <v/>
      </c>
      <c r="CO76" s="36" t="str">
        <f ca="1">IFERROR(+IF(CO$27=ProposalToGnatt[[#This Row],[Start Date]],Milestone_Marker,IF(AND(CO$27&gt;ProposalToGnatt[[#This Row],[Start Date]],CO$27&lt;ProposalToGnatt[[#This Row],[Start Date]]+ProposalToGnatt[[#This Row],[Days]]),$G$5,"")),"")</f>
        <v/>
      </c>
      <c r="CP76" s="36" t="str">
        <f ca="1">IFERROR(+IF(CP$27=ProposalToGnatt[[#This Row],[Start Date]],Milestone_Marker,IF(AND(CP$27&gt;ProposalToGnatt[[#This Row],[Start Date]],CP$27&lt;ProposalToGnatt[[#This Row],[Start Date]]+ProposalToGnatt[[#This Row],[Days]]),$G$5,"")),"")</f>
        <v/>
      </c>
      <c r="CQ76" s="36" t="str">
        <f ca="1">IFERROR(+IF(CQ$27=ProposalToGnatt[[#This Row],[Start Date]],Milestone_Marker,IF(AND(CQ$27&gt;ProposalToGnatt[[#This Row],[Start Date]],CQ$27&lt;ProposalToGnatt[[#This Row],[Start Date]]+ProposalToGnatt[[#This Row],[Days]]),$G$5,"")),"")</f>
        <v/>
      </c>
      <c r="CR76" s="36" t="str">
        <f ca="1">IFERROR(+IF(CR$27=ProposalToGnatt[[#This Row],[Start Date]],Milestone_Marker,IF(AND(CR$27&gt;ProposalToGnatt[[#This Row],[Start Date]],CR$27&lt;ProposalToGnatt[[#This Row],[Start Date]]+ProposalToGnatt[[#This Row],[Days]]),$G$5,"")),"")</f>
        <v/>
      </c>
      <c r="CS76" s="36" t="str">
        <f ca="1">IFERROR(+IF(CS$27=ProposalToGnatt[[#This Row],[Start Date]],Milestone_Marker,IF(AND(CS$27&gt;ProposalToGnatt[[#This Row],[Start Date]],CS$27&lt;ProposalToGnatt[[#This Row],[Start Date]]+ProposalToGnatt[[#This Row],[Days]]),$G$5,"")),"")</f>
        <v/>
      </c>
      <c r="CT76" s="36" t="str">
        <f ca="1">IFERROR(+IF(CT$27=ProposalToGnatt[[#This Row],[Start Date]],Milestone_Marker,IF(AND(CT$27&gt;ProposalToGnatt[[#This Row],[Start Date]],CT$27&lt;ProposalToGnatt[[#This Row],[Start Date]]+ProposalToGnatt[[#This Row],[Days]]),$G$5,"")),"")</f>
        <v/>
      </c>
      <c r="CU76" s="36" t="str">
        <f ca="1">IFERROR(+IF(CU$27=ProposalToGnatt[[#This Row],[Start Date]],Milestone_Marker,IF(AND(CU$27&gt;ProposalToGnatt[[#This Row],[Start Date]],CU$27&lt;ProposalToGnatt[[#This Row],[Start Date]]+ProposalToGnatt[[#This Row],[Days]]),$G$5,"")),"")</f>
        <v/>
      </c>
      <c r="CV76" s="36"/>
      <c r="CW76" s="36"/>
      <c r="CX76" s="36"/>
      <c r="CY76" s="36"/>
      <c r="CZ76" s="36"/>
      <c r="DA76" s="36"/>
      <c r="DB76" s="36"/>
      <c r="DC76" s="36"/>
      <c r="DD76" s="36"/>
      <c r="DE76" s="36"/>
      <c r="DF76" s="36"/>
      <c r="DG76" s="36"/>
      <c r="DH76" s="36"/>
      <c r="DI76" s="36"/>
      <c r="DJ76" s="36"/>
      <c r="DK76" s="36"/>
      <c r="DL76" s="36"/>
      <c r="DM76" s="36"/>
      <c r="DN76" s="36"/>
      <c r="DO76" s="36"/>
      <c r="DP76" s="36"/>
      <c r="DQ76" s="36"/>
      <c r="DR76" s="36"/>
      <c r="DS76" s="36"/>
      <c r="DT76" s="36"/>
      <c r="DU76" s="36"/>
    </row>
    <row r="77" spans="1:125" ht="15" x14ac:dyDescent="0.25">
      <c r="A77" t="s">
        <v>267</v>
      </c>
      <c r="B77">
        <v>59</v>
      </c>
      <c r="C77"/>
      <c r="D77" t="s">
        <v>985</v>
      </c>
      <c r="E77" s="568" t="s">
        <v>993</v>
      </c>
      <c r="F77">
        <v>5</v>
      </c>
      <c r="G77" s="14">
        <v>62.5</v>
      </c>
      <c r="H77" s="14">
        <v>312.5</v>
      </c>
      <c r="I77" t="s">
        <v>3</v>
      </c>
      <c r="J77">
        <v>1</v>
      </c>
      <c r="K77" s="249"/>
      <c r="L77"/>
      <c r="M77" s="14"/>
      <c r="N77" s="300">
        <v>312.5</v>
      </c>
      <c r="O77" s="554"/>
      <c r="P77" s="36" t="str">
        <f ca="1">IFERROR(+IF(P$27=ProposalToGnatt[[#This Row],[Start Date]],Milestone_Marker,IF(AND(P$27&gt;ProposalToGnatt[[#This Row],[Start Date]],P$27&lt;ProposalToGnatt[[#This Row],[Start Date]]+ProposalToGnatt[[#This Row],[Days]]),$G$5,"")),"")</f>
        <v/>
      </c>
      <c r="Q77" s="36" t="str">
        <f ca="1">IFERROR(+IF(Q$27=ProposalToGnatt[[#This Row],[Start Date]],Milestone_Marker,IF(AND(Q$27&gt;ProposalToGnatt[[#This Row],[Start Date]],Q$27&lt;ProposalToGnatt[[#This Row],[Start Date]]+ProposalToGnatt[[#This Row],[Days]]),$G$5,"")),"")</f>
        <v/>
      </c>
      <c r="R77" s="36" t="str">
        <f ca="1">IFERROR(+IF(R$27=ProposalToGnatt[[#This Row],[Start Date]],Milestone_Marker,IF(AND(R$27&gt;ProposalToGnatt[[#This Row],[Start Date]],R$27&lt;ProposalToGnatt[[#This Row],[Start Date]]+ProposalToGnatt[[#This Row],[Days]]),$G$5,"")),"")</f>
        <v/>
      </c>
      <c r="S77" s="36" t="str">
        <f ca="1">IFERROR(+IF(S$27=ProposalToGnatt[[#This Row],[Start Date]],Milestone_Marker,IF(AND(S$27&gt;ProposalToGnatt[[#This Row],[Start Date]],S$27&lt;ProposalToGnatt[[#This Row],[Start Date]]+ProposalToGnatt[[#This Row],[Days]]),$G$5,"")),"")</f>
        <v/>
      </c>
      <c r="T77" s="36" t="str">
        <f ca="1">IFERROR(+IF(T$27=ProposalToGnatt[[#This Row],[Start Date]],Milestone_Marker,IF(AND(T$27&gt;ProposalToGnatt[[#This Row],[Start Date]],T$27&lt;ProposalToGnatt[[#This Row],[Start Date]]+ProposalToGnatt[[#This Row],[Days]]),$G$5,"")),"")</f>
        <v/>
      </c>
      <c r="U77" s="36" t="str">
        <f ca="1">IFERROR(+IF(U$27=ProposalToGnatt[[#This Row],[Start Date]],Milestone_Marker,IF(AND(U$27&gt;ProposalToGnatt[[#This Row],[Start Date]],U$27&lt;ProposalToGnatt[[#This Row],[Start Date]]+ProposalToGnatt[[#This Row],[Days]]),$G$5,"")),"")</f>
        <v/>
      </c>
      <c r="V77" s="36" t="str">
        <f ca="1">IFERROR(+IF(V$27=ProposalToGnatt[[#This Row],[Start Date]],Milestone_Marker,IF(AND(V$27&gt;ProposalToGnatt[[#This Row],[Start Date]],V$27&lt;ProposalToGnatt[[#This Row],[Start Date]]+ProposalToGnatt[[#This Row],[Days]]),$G$5,"")),"")</f>
        <v/>
      </c>
      <c r="W77" s="36" t="str">
        <f ca="1">IFERROR(+IF(W$27=ProposalToGnatt[[#This Row],[Start Date]],Milestone_Marker,IF(AND(W$27&gt;ProposalToGnatt[[#This Row],[Start Date]],W$27&lt;ProposalToGnatt[[#This Row],[Start Date]]+ProposalToGnatt[[#This Row],[Days]]),$G$5,"")),"")</f>
        <v/>
      </c>
      <c r="X77" s="36" t="str">
        <f ca="1">IFERROR(+IF(X$27=ProposalToGnatt[[#This Row],[Start Date]],Milestone_Marker,IF(AND(X$27&gt;ProposalToGnatt[[#This Row],[Start Date]],X$27&lt;ProposalToGnatt[[#This Row],[Start Date]]+ProposalToGnatt[[#This Row],[Days]]),$G$5,"")),"")</f>
        <v/>
      </c>
      <c r="Y77" s="36" t="str">
        <f ca="1">IFERROR(+IF(Y$27=ProposalToGnatt[[#This Row],[Start Date]],Milestone_Marker,IF(AND(Y$27&gt;ProposalToGnatt[[#This Row],[Start Date]],Y$27&lt;ProposalToGnatt[[#This Row],[Start Date]]+ProposalToGnatt[[#This Row],[Days]]),$G$5,"")),"")</f>
        <v/>
      </c>
      <c r="Z77" s="36" t="str">
        <f ca="1">IFERROR(+IF(Z$27=ProposalToGnatt[[#This Row],[Start Date]],Milestone_Marker,IF(AND(Z$27&gt;ProposalToGnatt[[#This Row],[Start Date]],Z$27&lt;ProposalToGnatt[[#This Row],[Start Date]]+ProposalToGnatt[[#This Row],[Days]]),$G$5,"")),"")</f>
        <v/>
      </c>
      <c r="AA77" s="36" t="str">
        <f ca="1">IFERROR(+IF(AA$27=ProposalToGnatt[[#This Row],[Start Date]],Milestone_Marker,IF(AND(AA$27&gt;ProposalToGnatt[[#This Row],[Start Date]],AA$27&lt;ProposalToGnatt[[#This Row],[Start Date]]+ProposalToGnatt[[#This Row],[Days]]),$G$5,"")),"")</f>
        <v/>
      </c>
      <c r="AB77" s="36" t="str">
        <f ca="1">IFERROR(+IF(AB$27=ProposalToGnatt[[#This Row],[Start Date]],Milestone_Marker,IF(AND(AB$27&gt;ProposalToGnatt[[#This Row],[Start Date]],AB$27&lt;ProposalToGnatt[[#This Row],[Start Date]]+ProposalToGnatt[[#This Row],[Days]]),$G$5,"")),"")</f>
        <v/>
      </c>
      <c r="AC77" s="36" t="str">
        <f ca="1">IFERROR(+IF(AC$27=ProposalToGnatt[[#This Row],[Start Date]],Milestone_Marker,IF(AND(AC$27&gt;ProposalToGnatt[[#This Row],[Start Date]],AC$27&lt;ProposalToGnatt[[#This Row],[Start Date]]+ProposalToGnatt[[#This Row],[Days]]),$G$5,"")),"")</f>
        <v/>
      </c>
      <c r="AD77" s="36" t="str">
        <f ca="1">IFERROR(+IF(AD$27=ProposalToGnatt[[#This Row],[Start Date]],Milestone_Marker,IF(AND(AD$27&gt;ProposalToGnatt[[#This Row],[Start Date]],AD$27&lt;ProposalToGnatt[[#This Row],[Start Date]]+ProposalToGnatt[[#This Row],[Days]]),$G$5,"")),"")</f>
        <v/>
      </c>
      <c r="AE77" s="36" t="str">
        <f ca="1">IFERROR(+IF(AE$27=ProposalToGnatt[[#This Row],[Start Date]],Milestone_Marker,IF(AND(AE$27&gt;ProposalToGnatt[[#This Row],[Start Date]],AE$27&lt;ProposalToGnatt[[#This Row],[Start Date]]+ProposalToGnatt[[#This Row],[Days]]),$G$5,"")),"")</f>
        <v/>
      </c>
      <c r="AF77" s="36" t="str">
        <f ca="1">IFERROR(+IF(AF$27=ProposalToGnatt[[#This Row],[Start Date]],Milestone_Marker,IF(AND(AF$27&gt;ProposalToGnatt[[#This Row],[Start Date]],AF$27&lt;ProposalToGnatt[[#This Row],[Start Date]]+ProposalToGnatt[[#This Row],[Days]]),$G$5,"")),"")</f>
        <v/>
      </c>
      <c r="AG77" s="36" t="str">
        <f ca="1">IFERROR(+IF(AG$27=ProposalToGnatt[[#This Row],[Start Date]],Milestone_Marker,IF(AND(AG$27&gt;ProposalToGnatt[[#This Row],[Start Date]],AG$27&lt;ProposalToGnatt[[#This Row],[Start Date]]+ProposalToGnatt[[#This Row],[Days]]),$G$5,"")),"")</f>
        <v/>
      </c>
      <c r="AH77" s="36" t="str">
        <f ca="1">IFERROR(+IF(AH$27=ProposalToGnatt[[#This Row],[Start Date]],Milestone_Marker,IF(AND(AH$27&gt;ProposalToGnatt[[#This Row],[Start Date]],AH$27&lt;ProposalToGnatt[[#This Row],[Start Date]]+ProposalToGnatt[[#This Row],[Days]]),$G$5,"")),"")</f>
        <v/>
      </c>
      <c r="AI77" s="36" t="str">
        <f ca="1">IFERROR(+IF(AI$27=ProposalToGnatt[[#This Row],[Start Date]],Milestone_Marker,IF(AND(AI$27&gt;ProposalToGnatt[[#This Row],[Start Date]],AI$27&lt;ProposalToGnatt[[#This Row],[Start Date]]+ProposalToGnatt[[#This Row],[Days]]),$G$5,"")),"")</f>
        <v/>
      </c>
      <c r="AJ77" s="36" t="str">
        <f ca="1">IFERROR(+IF(AJ$27=ProposalToGnatt[[#This Row],[Start Date]],Milestone_Marker,IF(AND(AJ$27&gt;ProposalToGnatt[[#This Row],[Start Date]],AJ$27&lt;ProposalToGnatt[[#This Row],[Start Date]]+ProposalToGnatt[[#This Row],[Days]]),$G$5,"")),"")</f>
        <v/>
      </c>
      <c r="AK77" s="36" t="str">
        <f ca="1">IFERROR(+IF(AK$27=ProposalToGnatt[[#This Row],[Start Date]],Milestone_Marker,IF(AND(AK$27&gt;ProposalToGnatt[[#This Row],[Start Date]],AK$27&lt;ProposalToGnatt[[#This Row],[Start Date]]+ProposalToGnatt[[#This Row],[Days]]),$G$5,"")),"")</f>
        <v/>
      </c>
      <c r="AL77" s="36" t="str">
        <f ca="1">IFERROR(+IF(AL$27=ProposalToGnatt[[#This Row],[Start Date]],Milestone_Marker,IF(AND(AL$27&gt;ProposalToGnatt[[#This Row],[Start Date]],AL$27&lt;ProposalToGnatt[[#This Row],[Start Date]]+ProposalToGnatt[[#This Row],[Days]]),$G$5,"")),"")</f>
        <v/>
      </c>
      <c r="AM77" s="36" t="str">
        <f ca="1">IFERROR(+IF(AM$27=ProposalToGnatt[[#This Row],[Start Date]],Milestone_Marker,IF(AND(AM$27&gt;ProposalToGnatt[[#This Row],[Start Date]],AM$27&lt;ProposalToGnatt[[#This Row],[Start Date]]+ProposalToGnatt[[#This Row],[Days]]),$G$5,"")),"")</f>
        <v/>
      </c>
      <c r="AN77" s="36" t="str">
        <f ca="1">IFERROR(+IF(AN$27=ProposalToGnatt[[#This Row],[Start Date]],Milestone_Marker,IF(AND(AN$27&gt;ProposalToGnatt[[#This Row],[Start Date]],AN$27&lt;ProposalToGnatt[[#This Row],[Start Date]]+ProposalToGnatt[[#This Row],[Days]]),$G$5,"")),"")</f>
        <v/>
      </c>
      <c r="AO77" s="36" t="str">
        <f ca="1">IFERROR(+IF(AO$27=ProposalToGnatt[[#This Row],[Start Date]],Milestone_Marker,IF(AND(AO$27&gt;ProposalToGnatt[[#This Row],[Start Date]],AO$27&lt;ProposalToGnatt[[#This Row],[Start Date]]+ProposalToGnatt[[#This Row],[Days]]),$G$5,"")),"")</f>
        <v/>
      </c>
      <c r="AP77" s="36" t="str">
        <f ca="1">IFERROR(+IF(AP$27=ProposalToGnatt[[#This Row],[Start Date]],Milestone_Marker,IF(AND(AP$27&gt;ProposalToGnatt[[#This Row],[Start Date]],AP$27&lt;ProposalToGnatt[[#This Row],[Start Date]]+ProposalToGnatt[[#This Row],[Days]]),$G$5,"")),"")</f>
        <v/>
      </c>
      <c r="AQ77" s="36" t="str">
        <f ca="1">IFERROR(+IF(AQ$27=ProposalToGnatt[[#This Row],[Start Date]],Milestone_Marker,IF(AND(AQ$27&gt;ProposalToGnatt[[#This Row],[Start Date]],AQ$27&lt;ProposalToGnatt[[#This Row],[Start Date]]+ProposalToGnatt[[#This Row],[Days]]),$G$5,"")),"")</f>
        <v/>
      </c>
      <c r="AR77" s="36" t="str">
        <f ca="1">IFERROR(+IF(AR$27=ProposalToGnatt[[#This Row],[Start Date]],Milestone_Marker,IF(AND(AR$27&gt;ProposalToGnatt[[#This Row],[Start Date]],AR$27&lt;ProposalToGnatt[[#This Row],[Start Date]]+ProposalToGnatt[[#This Row],[Days]]),$G$5,"")),"")</f>
        <v/>
      </c>
      <c r="AS77" s="36" t="str">
        <f ca="1">IFERROR(+IF(AS$27=ProposalToGnatt[[#This Row],[Start Date]],Milestone_Marker,IF(AND(AS$27&gt;ProposalToGnatt[[#This Row],[Start Date]],AS$27&lt;ProposalToGnatt[[#This Row],[Start Date]]+ProposalToGnatt[[#This Row],[Days]]),$G$5,"")),"")</f>
        <v/>
      </c>
      <c r="AT77" s="36" t="str">
        <f ca="1">IFERROR(+IF(AT$27=ProposalToGnatt[[#This Row],[Start Date]],Milestone_Marker,IF(AND(AT$27&gt;ProposalToGnatt[[#This Row],[Start Date]],AT$27&lt;ProposalToGnatt[[#This Row],[Start Date]]+ProposalToGnatt[[#This Row],[Days]]),$G$5,"")),"")</f>
        <v/>
      </c>
      <c r="AU77" s="36" t="str">
        <f ca="1">IFERROR(+IF(AU$27=ProposalToGnatt[[#This Row],[Start Date]],Milestone_Marker,IF(AND(AU$27&gt;ProposalToGnatt[[#This Row],[Start Date]],AU$27&lt;ProposalToGnatt[[#This Row],[Start Date]]+ProposalToGnatt[[#This Row],[Days]]),$G$5,"")),"")</f>
        <v/>
      </c>
      <c r="AV77" s="36" t="str">
        <f ca="1">IFERROR(+IF(AV$27=ProposalToGnatt[[#This Row],[Start Date]],Milestone_Marker,IF(AND(AV$27&gt;ProposalToGnatt[[#This Row],[Start Date]],AV$27&lt;ProposalToGnatt[[#This Row],[Start Date]]+ProposalToGnatt[[#This Row],[Days]]),$G$5,"")),"")</f>
        <v/>
      </c>
      <c r="AW77" s="36" t="str">
        <f ca="1">IFERROR(+IF(AW$27=ProposalToGnatt[[#This Row],[Start Date]],Milestone_Marker,IF(AND(AW$27&gt;ProposalToGnatt[[#This Row],[Start Date]],AW$27&lt;ProposalToGnatt[[#This Row],[Start Date]]+ProposalToGnatt[[#This Row],[Days]]),$G$5,"")),"")</f>
        <v/>
      </c>
      <c r="AX77" s="36" t="str">
        <f ca="1">IFERROR(+IF(AX$27=ProposalToGnatt[[#This Row],[Start Date]],Milestone_Marker,IF(AND(AX$27&gt;ProposalToGnatt[[#This Row],[Start Date]],AX$27&lt;ProposalToGnatt[[#This Row],[Start Date]]+ProposalToGnatt[[#This Row],[Days]]),$G$5,"")),"")</f>
        <v/>
      </c>
      <c r="AY77" s="36" t="str">
        <f ca="1">IFERROR(+IF(AY$27=ProposalToGnatt[[#This Row],[Start Date]],Milestone_Marker,IF(AND(AY$27&gt;ProposalToGnatt[[#This Row],[Start Date]],AY$27&lt;ProposalToGnatt[[#This Row],[Start Date]]+ProposalToGnatt[[#This Row],[Days]]),$G$5,"")),"")</f>
        <v/>
      </c>
      <c r="AZ77" s="36" t="str">
        <f ca="1">IFERROR(+IF(AZ$27=ProposalToGnatt[[#This Row],[Start Date]],Milestone_Marker,IF(AND(AZ$27&gt;ProposalToGnatt[[#This Row],[Start Date]],AZ$27&lt;ProposalToGnatt[[#This Row],[Start Date]]+ProposalToGnatt[[#This Row],[Days]]),$G$5,"")),"")</f>
        <v/>
      </c>
      <c r="BA77" s="36" t="str">
        <f ca="1">IFERROR(+IF(BA$27=ProposalToGnatt[[#This Row],[Start Date]],Milestone_Marker,IF(AND(BA$27&gt;ProposalToGnatt[[#This Row],[Start Date]],BA$27&lt;ProposalToGnatt[[#This Row],[Start Date]]+ProposalToGnatt[[#This Row],[Days]]),$G$5,"")),"")</f>
        <v/>
      </c>
      <c r="BB77" s="36" t="str">
        <f ca="1">IFERROR(+IF(BB$27=ProposalToGnatt[[#This Row],[Start Date]],Milestone_Marker,IF(AND(BB$27&gt;ProposalToGnatt[[#This Row],[Start Date]],BB$27&lt;ProposalToGnatt[[#This Row],[Start Date]]+ProposalToGnatt[[#This Row],[Days]]),$G$5,"")),"")</f>
        <v/>
      </c>
      <c r="BC77" s="36" t="str">
        <f ca="1">IFERROR(+IF(BC$27=ProposalToGnatt[[#This Row],[Start Date]],Milestone_Marker,IF(AND(BC$27&gt;ProposalToGnatt[[#This Row],[Start Date]],BC$27&lt;ProposalToGnatt[[#This Row],[Start Date]]+ProposalToGnatt[[#This Row],[Days]]),$G$5,"")),"")</f>
        <v/>
      </c>
      <c r="BD77" s="36" t="str">
        <f ca="1">IFERROR(+IF(BD$27=ProposalToGnatt[[#This Row],[Start Date]],Milestone_Marker,IF(AND(BD$27&gt;ProposalToGnatt[[#This Row],[Start Date]],BD$27&lt;ProposalToGnatt[[#This Row],[Start Date]]+ProposalToGnatt[[#This Row],[Days]]),$G$5,"")),"")</f>
        <v/>
      </c>
      <c r="BE77" s="36" t="str">
        <f ca="1">IFERROR(+IF(BE$27=ProposalToGnatt[[#This Row],[Start Date]],Milestone_Marker,IF(AND(BE$27&gt;ProposalToGnatt[[#This Row],[Start Date]],BE$27&lt;ProposalToGnatt[[#This Row],[Start Date]]+ProposalToGnatt[[#This Row],[Days]]),$G$5,"")),"")</f>
        <v/>
      </c>
      <c r="BF77" s="36" t="str">
        <f ca="1">IFERROR(+IF(BF$27=ProposalToGnatt[[#This Row],[Start Date]],Milestone_Marker,IF(AND(BF$27&gt;ProposalToGnatt[[#This Row],[Start Date]],BF$27&lt;ProposalToGnatt[[#This Row],[Start Date]]+ProposalToGnatt[[#This Row],[Days]]),$G$5,"")),"")</f>
        <v/>
      </c>
      <c r="BG77" s="36" t="str">
        <f ca="1">IFERROR(+IF(BG$27=ProposalToGnatt[[#This Row],[Start Date]],Milestone_Marker,IF(AND(BG$27&gt;ProposalToGnatt[[#This Row],[Start Date]],BG$27&lt;ProposalToGnatt[[#This Row],[Start Date]]+ProposalToGnatt[[#This Row],[Days]]),$G$5,"")),"")</f>
        <v/>
      </c>
      <c r="BH77" s="36" t="str">
        <f ca="1">IFERROR(+IF(BH$27=ProposalToGnatt[[#This Row],[Start Date]],Milestone_Marker,IF(AND(BH$27&gt;ProposalToGnatt[[#This Row],[Start Date]],BH$27&lt;ProposalToGnatt[[#This Row],[Start Date]]+ProposalToGnatt[[#This Row],[Days]]),$G$5,"")),"")</f>
        <v/>
      </c>
      <c r="BI77" s="36" t="str">
        <f ca="1">IFERROR(+IF(BI$27=ProposalToGnatt[[#This Row],[Start Date]],Milestone_Marker,IF(AND(BI$27&gt;ProposalToGnatt[[#This Row],[Start Date]],BI$27&lt;ProposalToGnatt[[#This Row],[Start Date]]+ProposalToGnatt[[#This Row],[Days]]),$G$5,"")),"")</f>
        <v/>
      </c>
      <c r="BJ77" s="36" t="str">
        <f ca="1">IFERROR(+IF(BJ$27=ProposalToGnatt[[#This Row],[Start Date]],Milestone_Marker,IF(AND(BJ$27&gt;ProposalToGnatt[[#This Row],[Start Date]],BJ$27&lt;ProposalToGnatt[[#This Row],[Start Date]]+ProposalToGnatt[[#This Row],[Days]]),$G$5,"")),"")</f>
        <v/>
      </c>
      <c r="BK77" s="36" t="str">
        <f ca="1">IFERROR(+IF(BK$27=ProposalToGnatt[[#This Row],[Start Date]],Milestone_Marker,IF(AND(BK$27&gt;ProposalToGnatt[[#This Row],[Start Date]],BK$27&lt;ProposalToGnatt[[#This Row],[Start Date]]+ProposalToGnatt[[#This Row],[Days]]),$G$5,"")),"")</f>
        <v/>
      </c>
      <c r="BL77" s="36" t="str">
        <f ca="1">IFERROR(+IF(BL$27=ProposalToGnatt[[#This Row],[Start Date]],Milestone_Marker,IF(AND(BL$27&gt;ProposalToGnatt[[#This Row],[Start Date]],BL$27&lt;ProposalToGnatt[[#This Row],[Start Date]]+ProposalToGnatt[[#This Row],[Days]]),$G$5,"")),"")</f>
        <v/>
      </c>
      <c r="BM77" s="36" t="str">
        <f ca="1">IFERROR(+IF(BM$27=ProposalToGnatt[[#This Row],[Start Date]],Milestone_Marker,IF(AND(BM$27&gt;ProposalToGnatt[[#This Row],[Start Date]],BM$27&lt;ProposalToGnatt[[#This Row],[Start Date]]+ProposalToGnatt[[#This Row],[Days]]),$G$5,"")),"")</f>
        <v/>
      </c>
      <c r="BN77" s="36" t="str">
        <f ca="1">IFERROR(+IF(BN$27=ProposalToGnatt[[#This Row],[Start Date]],Milestone_Marker,IF(AND(BN$27&gt;ProposalToGnatt[[#This Row],[Start Date]],BN$27&lt;ProposalToGnatt[[#This Row],[Start Date]]+ProposalToGnatt[[#This Row],[Days]]),$G$5,"")),"")</f>
        <v/>
      </c>
      <c r="BO77" s="36" t="str">
        <f ca="1">IFERROR(+IF(BO$27=ProposalToGnatt[[#This Row],[Start Date]],Milestone_Marker,IF(AND(BO$27&gt;ProposalToGnatt[[#This Row],[Start Date]],BO$27&lt;ProposalToGnatt[[#This Row],[Start Date]]+ProposalToGnatt[[#This Row],[Days]]),$G$5,"")),"")</f>
        <v/>
      </c>
      <c r="BP77" s="36" t="str">
        <f ca="1">IFERROR(+IF(BP$27=ProposalToGnatt[[#This Row],[Start Date]],Milestone_Marker,IF(AND(BP$27&gt;ProposalToGnatt[[#This Row],[Start Date]],BP$27&lt;ProposalToGnatt[[#This Row],[Start Date]]+ProposalToGnatt[[#This Row],[Days]]),$G$5,"")),"")</f>
        <v/>
      </c>
      <c r="BQ77" s="36" t="str">
        <f ca="1">IFERROR(+IF(BQ$27=ProposalToGnatt[[#This Row],[Start Date]],Milestone_Marker,IF(AND(BQ$27&gt;ProposalToGnatt[[#This Row],[Start Date]],BQ$27&lt;ProposalToGnatt[[#This Row],[Start Date]]+ProposalToGnatt[[#This Row],[Days]]),$G$5,"")),"")</f>
        <v/>
      </c>
      <c r="BR77" s="36" t="str">
        <f ca="1">IFERROR(+IF(BR$27=ProposalToGnatt[[#This Row],[Start Date]],Milestone_Marker,IF(AND(BR$27&gt;ProposalToGnatt[[#This Row],[Start Date]],BR$27&lt;ProposalToGnatt[[#This Row],[Start Date]]+ProposalToGnatt[[#This Row],[Days]]),$G$5,"")),"")</f>
        <v/>
      </c>
      <c r="BS77" s="36" t="str">
        <f ca="1">IFERROR(+IF(BS$27=ProposalToGnatt[[#This Row],[Start Date]],Milestone_Marker,IF(AND(BS$27&gt;ProposalToGnatt[[#This Row],[Start Date]],BS$27&lt;ProposalToGnatt[[#This Row],[Start Date]]+ProposalToGnatt[[#This Row],[Days]]),$G$5,"")),"")</f>
        <v/>
      </c>
      <c r="BT77" s="36" t="str">
        <f ca="1">IFERROR(+IF(BT$27=ProposalToGnatt[[#This Row],[Start Date]],Milestone_Marker,IF(AND(BT$27&gt;ProposalToGnatt[[#This Row],[Start Date]],BT$27&lt;ProposalToGnatt[[#This Row],[Start Date]]+ProposalToGnatt[[#This Row],[Days]]),$G$5,"")),"")</f>
        <v/>
      </c>
      <c r="BU77" s="36" t="str">
        <f ca="1">IFERROR(+IF(BU$27=ProposalToGnatt[[#This Row],[Start Date]],Milestone_Marker,IF(AND(BU$27&gt;ProposalToGnatt[[#This Row],[Start Date]],BU$27&lt;ProposalToGnatt[[#This Row],[Start Date]]+ProposalToGnatt[[#This Row],[Days]]),$G$5,"")),"")</f>
        <v/>
      </c>
      <c r="BV77" s="36" t="str">
        <f ca="1">IFERROR(+IF(BV$27=ProposalToGnatt[[#This Row],[Start Date]],Milestone_Marker,IF(AND(BV$27&gt;ProposalToGnatt[[#This Row],[Start Date]],BV$27&lt;ProposalToGnatt[[#This Row],[Start Date]]+ProposalToGnatt[[#This Row],[Days]]),$G$5,"")),"")</f>
        <v/>
      </c>
      <c r="BW77" s="36" t="str">
        <f ca="1">IFERROR(+IF(BW$27=ProposalToGnatt[[#This Row],[Start Date]],Milestone_Marker,IF(AND(BW$27&gt;ProposalToGnatt[[#This Row],[Start Date]],BW$27&lt;ProposalToGnatt[[#This Row],[Start Date]]+ProposalToGnatt[[#This Row],[Days]]),$G$5,"")),"")</f>
        <v/>
      </c>
      <c r="BX77" s="36" t="str">
        <f ca="1">IFERROR(+IF(BX$27=ProposalToGnatt[[#This Row],[Start Date]],Milestone_Marker,IF(AND(BX$27&gt;ProposalToGnatt[[#This Row],[Start Date]],BX$27&lt;ProposalToGnatt[[#This Row],[Start Date]]+ProposalToGnatt[[#This Row],[Days]]),$G$5,"")),"")</f>
        <v/>
      </c>
      <c r="BY77" s="36" t="str">
        <f ca="1">IFERROR(+IF(BY$27=ProposalToGnatt[[#This Row],[Start Date]],Milestone_Marker,IF(AND(BY$27&gt;ProposalToGnatt[[#This Row],[Start Date]],BY$27&lt;ProposalToGnatt[[#This Row],[Start Date]]+ProposalToGnatt[[#This Row],[Days]]),$G$5,"")),"")</f>
        <v/>
      </c>
      <c r="BZ77" s="36" t="str">
        <f ca="1">IFERROR(+IF(BZ$27=ProposalToGnatt[[#This Row],[Start Date]],Milestone_Marker,IF(AND(BZ$27&gt;ProposalToGnatt[[#This Row],[Start Date]],BZ$27&lt;ProposalToGnatt[[#This Row],[Start Date]]+ProposalToGnatt[[#This Row],[Days]]),$G$5,"")),"")</f>
        <v/>
      </c>
      <c r="CA77" s="36" t="str">
        <f ca="1">IFERROR(+IF(CA$27=ProposalToGnatt[[#This Row],[Start Date]],Milestone_Marker,IF(AND(CA$27&gt;ProposalToGnatt[[#This Row],[Start Date]],CA$27&lt;ProposalToGnatt[[#This Row],[Start Date]]+ProposalToGnatt[[#This Row],[Days]]),$G$5,"")),"")</f>
        <v/>
      </c>
      <c r="CB77" s="36" t="str">
        <f ca="1">IFERROR(+IF(CB$27=ProposalToGnatt[[#This Row],[Start Date]],Milestone_Marker,IF(AND(CB$27&gt;ProposalToGnatt[[#This Row],[Start Date]],CB$27&lt;ProposalToGnatt[[#This Row],[Start Date]]+ProposalToGnatt[[#This Row],[Days]]),$G$5,"")),"")</f>
        <v/>
      </c>
      <c r="CC77" s="36" t="str">
        <f ca="1">IFERROR(+IF(CC$27=ProposalToGnatt[[#This Row],[Start Date]],Milestone_Marker,IF(AND(CC$27&gt;ProposalToGnatt[[#This Row],[Start Date]],CC$27&lt;ProposalToGnatt[[#This Row],[Start Date]]+ProposalToGnatt[[#This Row],[Days]]),$G$5,"")),"")</f>
        <v/>
      </c>
      <c r="CD77" s="36" t="str">
        <f ca="1">IFERROR(+IF(CD$27=ProposalToGnatt[[#This Row],[Start Date]],Milestone_Marker,IF(AND(CD$27&gt;ProposalToGnatt[[#This Row],[Start Date]],CD$27&lt;ProposalToGnatt[[#This Row],[Start Date]]+ProposalToGnatt[[#This Row],[Days]]),$G$5,"")),"")</f>
        <v/>
      </c>
      <c r="CE77" s="36" t="str">
        <f ca="1">IFERROR(+IF(CE$27=ProposalToGnatt[[#This Row],[Start Date]],Milestone_Marker,IF(AND(CE$27&gt;ProposalToGnatt[[#This Row],[Start Date]],CE$27&lt;ProposalToGnatt[[#This Row],[Start Date]]+ProposalToGnatt[[#This Row],[Days]]),$G$5,"")),"")</f>
        <v/>
      </c>
      <c r="CF77" s="36" t="str">
        <f ca="1">IFERROR(+IF(CF$27=ProposalToGnatt[[#This Row],[Start Date]],Milestone_Marker,IF(AND(CF$27&gt;ProposalToGnatt[[#This Row],[Start Date]],CF$27&lt;ProposalToGnatt[[#This Row],[Start Date]]+ProposalToGnatt[[#This Row],[Days]]),$G$5,"")),"")</f>
        <v/>
      </c>
      <c r="CG77" s="36" t="str">
        <f ca="1">IFERROR(+IF(CG$27=ProposalToGnatt[[#This Row],[Start Date]],Milestone_Marker,IF(AND(CG$27&gt;ProposalToGnatt[[#This Row],[Start Date]],CG$27&lt;ProposalToGnatt[[#This Row],[Start Date]]+ProposalToGnatt[[#This Row],[Days]]),$G$5,"")),"")</f>
        <v/>
      </c>
      <c r="CH77" s="36" t="str">
        <f ca="1">IFERROR(+IF(CH$27=ProposalToGnatt[[#This Row],[Start Date]],Milestone_Marker,IF(AND(CH$27&gt;ProposalToGnatt[[#This Row],[Start Date]],CH$27&lt;ProposalToGnatt[[#This Row],[Start Date]]+ProposalToGnatt[[#This Row],[Days]]),$G$5,"")),"")</f>
        <v/>
      </c>
      <c r="CI77" s="36" t="str">
        <f ca="1">IFERROR(+IF(CI$27=ProposalToGnatt[[#This Row],[Start Date]],Milestone_Marker,IF(AND(CI$27&gt;ProposalToGnatt[[#This Row],[Start Date]],CI$27&lt;ProposalToGnatt[[#This Row],[Start Date]]+ProposalToGnatt[[#This Row],[Days]]),$G$5,"")),"")</f>
        <v/>
      </c>
      <c r="CJ77" s="36" t="str">
        <f ca="1">IFERROR(+IF(CJ$27=ProposalToGnatt[[#This Row],[Start Date]],Milestone_Marker,IF(AND(CJ$27&gt;ProposalToGnatt[[#This Row],[Start Date]],CJ$27&lt;ProposalToGnatt[[#This Row],[Start Date]]+ProposalToGnatt[[#This Row],[Days]]),$G$5,"")),"")</f>
        <v/>
      </c>
      <c r="CK77" s="36" t="str">
        <f ca="1">IFERROR(+IF(CK$27=ProposalToGnatt[[#This Row],[Start Date]],Milestone_Marker,IF(AND(CK$27&gt;ProposalToGnatt[[#This Row],[Start Date]],CK$27&lt;ProposalToGnatt[[#This Row],[Start Date]]+ProposalToGnatt[[#This Row],[Days]]),$G$5,"")),"")</f>
        <v/>
      </c>
      <c r="CL77" s="36" t="str">
        <f ca="1">IFERROR(+IF(CL$27=ProposalToGnatt[[#This Row],[Start Date]],Milestone_Marker,IF(AND(CL$27&gt;ProposalToGnatt[[#This Row],[Start Date]],CL$27&lt;ProposalToGnatt[[#This Row],[Start Date]]+ProposalToGnatt[[#This Row],[Days]]),$G$5,"")),"")</f>
        <v/>
      </c>
      <c r="CM77" s="36" t="str">
        <f ca="1">IFERROR(+IF(CM$27=ProposalToGnatt[[#This Row],[Start Date]],Milestone_Marker,IF(AND(CM$27&gt;ProposalToGnatt[[#This Row],[Start Date]],CM$27&lt;ProposalToGnatt[[#This Row],[Start Date]]+ProposalToGnatt[[#This Row],[Days]]),$G$5,"")),"")</f>
        <v/>
      </c>
      <c r="CN77" s="36" t="str">
        <f ca="1">IFERROR(+IF(CN$27=ProposalToGnatt[[#This Row],[Start Date]],Milestone_Marker,IF(AND(CN$27&gt;ProposalToGnatt[[#This Row],[Start Date]],CN$27&lt;ProposalToGnatt[[#This Row],[Start Date]]+ProposalToGnatt[[#This Row],[Days]]),$G$5,"")),"")</f>
        <v/>
      </c>
      <c r="CO77" s="36" t="str">
        <f ca="1">IFERROR(+IF(CO$27=ProposalToGnatt[[#This Row],[Start Date]],Milestone_Marker,IF(AND(CO$27&gt;ProposalToGnatt[[#This Row],[Start Date]],CO$27&lt;ProposalToGnatt[[#This Row],[Start Date]]+ProposalToGnatt[[#This Row],[Days]]),$G$5,"")),"")</f>
        <v/>
      </c>
      <c r="CP77" s="36" t="str">
        <f ca="1">IFERROR(+IF(CP$27=ProposalToGnatt[[#This Row],[Start Date]],Milestone_Marker,IF(AND(CP$27&gt;ProposalToGnatt[[#This Row],[Start Date]],CP$27&lt;ProposalToGnatt[[#This Row],[Start Date]]+ProposalToGnatt[[#This Row],[Days]]),$G$5,"")),"")</f>
        <v/>
      </c>
      <c r="CQ77" s="36" t="str">
        <f ca="1">IFERROR(+IF(CQ$27=ProposalToGnatt[[#This Row],[Start Date]],Milestone_Marker,IF(AND(CQ$27&gt;ProposalToGnatt[[#This Row],[Start Date]],CQ$27&lt;ProposalToGnatt[[#This Row],[Start Date]]+ProposalToGnatt[[#This Row],[Days]]),$G$5,"")),"")</f>
        <v/>
      </c>
      <c r="CR77" s="36" t="str">
        <f ca="1">IFERROR(+IF(CR$27=ProposalToGnatt[[#This Row],[Start Date]],Milestone_Marker,IF(AND(CR$27&gt;ProposalToGnatt[[#This Row],[Start Date]],CR$27&lt;ProposalToGnatt[[#This Row],[Start Date]]+ProposalToGnatt[[#This Row],[Days]]),$G$5,"")),"")</f>
        <v/>
      </c>
      <c r="CS77" s="36" t="str">
        <f ca="1">IFERROR(+IF(CS$27=ProposalToGnatt[[#This Row],[Start Date]],Milestone_Marker,IF(AND(CS$27&gt;ProposalToGnatt[[#This Row],[Start Date]],CS$27&lt;ProposalToGnatt[[#This Row],[Start Date]]+ProposalToGnatt[[#This Row],[Days]]),$G$5,"")),"")</f>
        <v/>
      </c>
      <c r="CT77" s="36" t="str">
        <f ca="1">IFERROR(+IF(CT$27=ProposalToGnatt[[#This Row],[Start Date]],Milestone_Marker,IF(AND(CT$27&gt;ProposalToGnatt[[#This Row],[Start Date]],CT$27&lt;ProposalToGnatt[[#This Row],[Start Date]]+ProposalToGnatt[[#This Row],[Days]]),$G$5,"")),"")</f>
        <v/>
      </c>
      <c r="CU77" s="36" t="str">
        <f ca="1">IFERROR(+IF(CU$27=ProposalToGnatt[[#This Row],[Start Date]],Milestone_Marker,IF(AND(CU$27&gt;ProposalToGnatt[[#This Row],[Start Date]],CU$27&lt;ProposalToGnatt[[#This Row],[Start Date]]+ProposalToGnatt[[#This Row],[Days]]),$G$5,"")),"")</f>
        <v/>
      </c>
      <c r="CV77" s="36"/>
      <c r="CW77" s="36"/>
      <c r="CX77" s="36"/>
      <c r="CY77" s="36"/>
      <c r="CZ77" s="36"/>
      <c r="DA77" s="36"/>
      <c r="DB77" s="36"/>
      <c r="DC77" s="36"/>
      <c r="DD77" s="36"/>
      <c r="DE77" s="36"/>
      <c r="DF77" s="36"/>
      <c r="DG77" s="36"/>
      <c r="DH77" s="36"/>
      <c r="DI77" s="36"/>
      <c r="DJ77" s="36"/>
      <c r="DK77" s="36"/>
      <c r="DL77" s="36"/>
      <c r="DM77" s="36"/>
      <c r="DN77" s="36"/>
      <c r="DO77" s="36"/>
      <c r="DP77" s="36"/>
      <c r="DQ77" s="36"/>
      <c r="DR77" s="36"/>
      <c r="DS77" s="36"/>
      <c r="DT77" s="36"/>
      <c r="DU77" s="36"/>
    </row>
    <row r="78" spans="1:125" ht="15" x14ac:dyDescent="0.25">
      <c r="A78" t="s">
        <v>523</v>
      </c>
      <c r="B78">
        <v>60</v>
      </c>
      <c r="C78" t="s">
        <v>1077</v>
      </c>
      <c r="D78" t="s">
        <v>679</v>
      </c>
      <c r="E78" s="568" t="s">
        <v>1080</v>
      </c>
      <c r="F78">
        <v>1</v>
      </c>
      <c r="G78" s="14">
        <v>184.22</v>
      </c>
      <c r="H78" s="14">
        <v>184.22</v>
      </c>
      <c r="I78" t="s">
        <v>3</v>
      </c>
      <c r="J78">
        <v>2</v>
      </c>
      <c r="K78" s="249"/>
      <c r="L78"/>
      <c r="M78" s="14">
        <v>184.22</v>
      </c>
      <c r="N78" s="300">
        <v>184.22</v>
      </c>
      <c r="O78" s="554"/>
      <c r="P78" s="36" t="str">
        <f ca="1">IFERROR(+IF(P$27=ProposalToGnatt[[#This Row],[Start Date]],Milestone_Marker,IF(AND(P$27&gt;ProposalToGnatt[[#This Row],[Start Date]],P$27&lt;ProposalToGnatt[[#This Row],[Start Date]]+ProposalToGnatt[[#This Row],[Days]]),$G$5,"")),"")</f>
        <v/>
      </c>
      <c r="Q78" s="36" t="str">
        <f ca="1">IFERROR(+IF(Q$27=ProposalToGnatt[[#This Row],[Start Date]],Milestone_Marker,IF(AND(Q$27&gt;ProposalToGnatt[[#This Row],[Start Date]],Q$27&lt;ProposalToGnatt[[#This Row],[Start Date]]+ProposalToGnatt[[#This Row],[Days]]),$G$5,"")),"")</f>
        <v/>
      </c>
      <c r="R78" s="36" t="str">
        <f ca="1">IFERROR(+IF(R$27=ProposalToGnatt[[#This Row],[Start Date]],Milestone_Marker,IF(AND(R$27&gt;ProposalToGnatt[[#This Row],[Start Date]],R$27&lt;ProposalToGnatt[[#This Row],[Start Date]]+ProposalToGnatt[[#This Row],[Days]]),$G$5,"")),"")</f>
        <v/>
      </c>
      <c r="S78" s="36" t="str">
        <f ca="1">IFERROR(+IF(S$27=ProposalToGnatt[[#This Row],[Start Date]],Milestone_Marker,IF(AND(S$27&gt;ProposalToGnatt[[#This Row],[Start Date]],S$27&lt;ProposalToGnatt[[#This Row],[Start Date]]+ProposalToGnatt[[#This Row],[Days]]),$G$5,"")),"")</f>
        <v/>
      </c>
      <c r="T78" s="36" t="str">
        <f ca="1">IFERROR(+IF(T$27=ProposalToGnatt[[#This Row],[Start Date]],Milestone_Marker,IF(AND(T$27&gt;ProposalToGnatt[[#This Row],[Start Date]],T$27&lt;ProposalToGnatt[[#This Row],[Start Date]]+ProposalToGnatt[[#This Row],[Days]]),$G$5,"")),"")</f>
        <v/>
      </c>
      <c r="U78" s="36" t="str">
        <f ca="1">IFERROR(+IF(U$27=ProposalToGnatt[[#This Row],[Start Date]],Milestone_Marker,IF(AND(U$27&gt;ProposalToGnatt[[#This Row],[Start Date]],U$27&lt;ProposalToGnatt[[#This Row],[Start Date]]+ProposalToGnatt[[#This Row],[Days]]),$G$5,"")),"")</f>
        <v/>
      </c>
      <c r="V78" s="36" t="str">
        <f ca="1">IFERROR(+IF(V$27=ProposalToGnatt[[#This Row],[Start Date]],Milestone_Marker,IF(AND(V$27&gt;ProposalToGnatt[[#This Row],[Start Date]],V$27&lt;ProposalToGnatt[[#This Row],[Start Date]]+ProposalToGnatt[[#This Row],[Days]]),$G$5,"")),"")</f>
        <v/>
      </c>
      <c r="W78" s="36" t="str">
        <f ca="1">IFERROR(+IF(W$27=ProposalToGnatt[[#This Row],[Start Date]],Milestone_Marker,IF(AND(W$27&gt;ProposalToGnatt[[#This Row],[Start Date]],W$27&lt;ProposalToGnatt[[#This Row],[Start Date]]+ProposalToGnatt[[#This Row],[Days]]),$G$5,"")),"")</f>
        <v/>
      </c>
      <c r="X78" s="36" t="str">
        <f ca="1">IFERROR(+IF(X$27=ProposalToGnatt[[#This Row],[Start Date]],Milestone_Marker,IF(AND(X$27&gt;ProposalToGnatt[[#This Row],[Start Date]],X$27&lt;ProposalToGnatt[[#This Row],[Start Date]]+ProposalToGnatt[[#This Row],[Days]]),$G$5,"")),"")</f>
        <v/>
      </c>
      <c r="Y78" s="36" t="str">
        <f ca="1">IFERROR(+IF(Y$27=ProposalToGnatt[[#This Row],[Start Date]],Milestone_Marker,IF(AND(Y$27&gt;ProposalToGnatt[[#This Row],[Start Date]],Y$27&lt;ProposalToGnatt[[#This Row],[Start Date]]+ProposalToGnatt[[#This Row],[Days]]),$G$5,"")),"")</f>
        <v/>
      </c>
      <c r="Z78" s="36" t="str">
        <f ca="1">IFERROR(+IF(Z$27=ProposalToGnatt[[#This Row],[Start Date]],Milestone_Marker,IF(AND(Z$27&gt;ProposalToGnatt[[#This Row],[Start Date]],Z$27&lt;ProposalToGnatt[[#This Row],[Start Date]]+ProposalToGnatt[[#This Row],[Days]]),$G$5,"")),"")</f>
        <v/>
      </c>
      <c r="AA78" s="36" t="str">
        <f ca="1">IFERROR(+IF(AA$27=ProposalToGnatt[[#This Row],[Start Date]],Milestone_Marker,IF(AND(AA$27&gt;ProposalToGnatt[[#This Row],[Start Date]],AA$27&lt;ProposalToGnatt[[#This Row],[Start Date]]+ProposalToGnatt[[#This Row],[Days]]),$G$5,"")),"")</f>
        <v/>
      </c>
      <c r="AB78" s="36" t="str">
        <f ca="1">IFERROR(+IF(AB$27=ProposalToGnatt[[#This Row],[Start Date]],Milestone_Marker,IF(AND(AB$27&gt;ProposalToGnatt[[#This Row],[Start Date]],AB$27&lt;ProposalToGnatt[[#This Row],[Start Date]]+ProposalToGnatt[[#This Row],[Days]]),$G$5,"")),"")</f>
        <v/>
      </c>
      <c r="AC78" s="36" t="str">
        <f ca="1">IFERROR(+IF(AC$27=ProposalToGnatt[[#This Row],[Start Date]],Milestone_Marker,IF(AND(AC$27&gt;ProposalToGnatt[[#This Row],[Start Date]],AC$27&lt;ProposalToGnatt[[#This Row],[Start Date]]+ProposalToGnatt[[#This Row],[Days]]),$G$5,"")),"")</f>
        <v/>
      </c>
      <c r="AD78" s="36" t="str">
        <f ca="1">IFERROR(+IF(AD$27=ProposalToGnatt[[#This Row],[Start Date]],Milestone_Marker,IF(AND(AD$27&gt;ProposalToGnatt[[#This Row],[Start Date]],AD$27&lt;ProposalToGnatt[[#This Row],[Start Date]]+ProposalToGnatt[[#This Row],[Days]]),$G$5,"")),"")</f>
        <v/>
      </c>
      <c r="AE78" s="36" t="str">
        <f ca="1">IFERROR(+IF(AE$27=ProposalToGnatt[[#This Row],[Start Date]],Milestone_Marker,IF(AND(AE$27&gt;ProposalToGnatt[[#This Row],[Start Date]],AE$27&lt;ProposalToGnatt[[#This Row],[Start Date]]+ProposalToGnatt[[#This Row],[Days]]),$G$5,"")),"")</f>
        <v/>
      </c>
      <c r="AF78" s="36" t="str">
        <f ca="1">IFERROR(+IF(AF$27=ProposalToGnatt[[#This Row],[Start Date]],Milestone_Marker,IF(AND(AF$27&gt;ProposalToGnatt[[#This Row],[Start Date]],AF$27&lt;ProposalToGnatt[[#This Row],[Start Date]]+ProposalToGnatt[[#This Row],[Days]]),$G$5,"")),"")</f>
        <v/>
      </c>
      <c r="AG78" s="36" t="str">
        <f ca="1">IFERROR(+IF(AG$27=ProposalToGnatt[[#This Row],[Start Date]],Milestone_Marker,IF(AND(AG$27&gt;ProposalToGnatt[[#This Row],[Start Date]],AG$27&lt;ProposalToGnatt[[#This Row],[Start Date]]+ProposalToGnatt[[#This Row],[Days]]),$G$5,"")),"")</f>
        <v/>
      </c>
      <c r="AH78" s="36" t="str">
        <f ca="1">IFERROR(+IF(AH$27=ProposalToGnatt[[#This Row],[Start Date]],Milestone_Marker,IF(AND(AH$27&gt;ProposalToGnatt[[#This Row],[Start Date]],AH$27&lt;ProposalToGnatt[[#This Row],[Start Date]]+ProposalToGnatt[[#This Row],[Days]]),$G$5,"")),"")</f>
        <v/>
      </c>
      <c r="AI78" s="36" t="str">
        <f ca="1">IFERROR(+IF(AI$27=ProposalToGnatt[[#This Row],[Start Date]],Milestone_Marker,IF(AND(AI$27&gt;ProposalToGnatt[[#This Row],[Start Date]],AI$27&lt;ProposalToGnatt[[#This Row],[Start Date]]+ProposalToGnatt[[#This Row],[Days]]),$G$5,"")),"")</f>
        <v/>
      </c>
      <c r="AJ78" s="36" t="str">
        <f ca="1">IFERROR(+IF(AJ$27=ProposalToGnatt[[#This Row],[Start Date]],Milestone_Marker,IF(AND(AJ$27&gt;ProposalToGnatt[[#This Row],[Start Date]],AJ$27&lt;ProposalToGnatt[[#This Row],[Start Date]]+ProposalToGnatt[[#This Row],[Days]]),$G$5,"")),"")</f>
        <v/>
      </c>
      <c r="AK78" s="36" t="str">
        <f ca="1">IFERROR(+IF(AK$27=ProposalToGnatt[[#This Row],[Start Date]],Milestone_Marker,IF(AND(AK$27&gt;ProposalToGnatt[[#This Row],[Start Date]],AK$27&lt;ProposalToGnatt[[#This Row],[Start Date]]+ProposalToGnatt[[#This Row],[Days]]),$G$5,"")),"")</f>
        <v/>
      </c>
      <c r="AL78" s="36" t="str">
        <f ca="1">IFERROR(+IF(AL$27=ProposalToGnatt[[#This Row],[Start Date]],Milestone_Marker,IF(AND(AL$27&gt;ProposalToGnatt[[#This Row],[Start Date]],AL$27&lt;ProposalToGnatt[[#This Row],[Start Date]]+ProposalToGnatt[[#This Row],[Days]]),$G$5,"")),"")</f>
        <v/>
      </c>
      <c r="AM78" s="36" t="str">
        <f ca="1">IFERROR(+IF(AM$27=ProposalToGnatt[[#This Row],[Start Date]],Milestone_Marker,IF(AND(AM$27&gt;ProposalToGnatt[[#This Row],[Start Date]],AM$27&lt;ProposalToGnatt[[#This Row],[Start Date]]+ProposalToGnatt[[#This Row],[Days]]),$G$5,"")),"")</f>
        <v/>
      </c>
      <c r="AN78" s="36" t="str">
        <f ca="1">IFERROR(+IF(AN$27=ProposalToGnatt[[#This Row],[Start Date]],Milestone_Marker,IF(AND(AN$27&gt;ProposalToGnatt[[#This Row],[Start Date]],AN$27&lt;ProposalToGnatt[[#This Row],[Start Date]]+ProposalToGnatt[[#This Row],[Days]]),$G$5,"")),"")</f>
        <v/>
      </c>
      <c r="AO78" s="36" t="str">
        <f ca="1">IFERROR(+IF(AO$27=ProposalToGnatt[[#This Row],[Start Date]],Milestone_Marker,IF(AND(AO$27&gt;ProposalToGnatt[[#This Row],[Start Date]],AO$27&lt;ProposalToGnatt[[#This Row],[Start Date]]+ProposalToGnatt[[#This Row],[Days]]),$G$5,"")),"")</f>
        <v/>
      </c>
      <c r="AP78" s="36" t="str">
        <f ca="1">IFERROR(+IF(AP$27=ProposalToGnatt[[#This Row],[Start Date]],Milestone_Marker,IF(AND(AP$27&gt;ProposalToGnatt[[#This Row],[Start Date]],AP$27&lt;ProposalToGnatt[[#This Row],[Start Date]]+ProposalToGnatt[[#This Row],[Days]]),$G$5,"")),"")</f>
        <v/>
      </c>
      <c r="AQ78" s="36" t="str">
        <f ca="1">IFERROR(+IF(AQ$27=ProposalToGnatt[[#This Row],[Start Date]],Milestone_Marker,IF(AND(AQ$27&gt;ProposalToGnatt[[#This Row],[Start Date]],AQ$27&lt;ProposalToGnatt[[#This Row],[Start Date]]+ProposalToGnatt[[#This Row],[Days]]),$G$5,"")),"")</f>
        <v/>
      </c>
      <c r="AR78" s="36" t="str">
        <f ca="1">IFERROR(+IF(AR$27=ProposalToGnatt[[#This Row],[Start Date]],Milestone_Marker,IF(AND(AR$27&gt;ProposalToGnatt[[#This Row],[Start Date]],AR$27&lt;ProposalToGnatt[[#This Row],[Start Date]]+ProposalToGnatt[[#This Row],[Days]]),$G$5,"")),"")</f>
        <v/>
      </c>
      <c r="AS78" s="36" t="str">
        <f ca="1">IFERROR(+IF(AS$27=ProposalToGnatt[[#This Row],[Start Date]],Milestone_Marker,IF(AND(AS$27&gt;ProposalToGnatt[[#This Row],[Start Date]],AS$27&lt;ProposalToGnatt[[#This Row],[Start Date]]+ProposalToGnatt[[#This Row],[Days]]),$G$5,"")),"")</f>
        <v/>
      </c>
      <c r="AT78" s="36" t="str">
        <f ca="1">IFERROR(+IF(AT$27=ProposalToGnatt[[#This Row],[Start Date]],Milestone_Marker,IF(AND(AT$27&gt;ProposalToGnatt[[#This Row],[Start Date]],AT$27&lt;ProposalToGnatt[[#This Row],[Start Date]]+ProposalToGnatt[[#This Row],[Days]]),$G$5,"")),"")</f>
        <v/>
      </c>
      <c r="AU78" s="36" t="str">
        <f ca="1">IFERROR(+IF(AU$27=ProposalToGnatt[[#This Row],[Start Date]],Milestone_Marker,IF(AND(AU$27&gt;ProposalToGnatt[[#This Row],[Start Date]],AU$27&lt;ProposalToGnatt[[#This Row],[Start Date]]+ProposalToGnatt[[#This Row],[Days]]),$G$5,"")),"")</f>
        <v/>
      </c>
      <c r="AV78" s="36" t="str">
        <f ca="1">IFERROR(+IF(AV$27=ProposalToGnatt[[#This Row],[Start Date]],Milestone_Marker,IF(AND(AV$27&gt;ProposalToGnatt[[#This Row],[Start Date]],AV$27&lt;ProposalToGnatt[[#This Row],[Start Date]]+ProposalToGnatt[[#This Row],[Days]]),$G$5,"")),"")</f>
        <v/>
      </c>
      <c r="AW78" s="36" t="str">
        <f ca="1">IFERROR(+IF(AW$27=ProposalToGnatt[[#This Row],[Start Date]],Milestone_Marker,IF(AND(AW$27&gt;ProposalToGnatt[[#This Row],[Start Date]],AW$27&lt;ProposalToGnatt[[#This Row],[Start Date]]+ProposalToGnatt[[#This Row],[Days]]),$G$5,"")),"")</f>
        <v/>
      </c>
      <c r="AX78" s="36" t="str">
        <f ca="1">IFERROR(+IF(AX$27=ProposalToGnatt[[#This Row],[Start Date]],Milestone_Marker,IF(AND(AX$27&gt;ProposalToGnatt[[#This Row],[Start Date]],AX$27&lt;ProposalToGnatt[[#This Row],[Start Date]]+ProposalToGnatt[[#This Row],[Days]]),$G$5,"")),"")</f>
        <v/>
      </c>
      <c r="AY78" s="36" t="str">
        <f ca="1">IFERROR(+IF(AY$27=ProposalToGnatt[[#This Row],[Start Date]],Milestone_Marker,IF(AND(AY$27&gt;ProposalToGnatt[[#This Row],[Start Date]],AY$27&lt;ProposalToGnatt[[#This Row],[Start Date]]+ProposalToGnatt[[#This Row],[Days]]),$G$5,"")),"")</f>
        <v/>
      </c>
      <c r="AZ78" s="36" t="str">
        <f ca="1">IFERROR(+IF(AZ$27=ProposalToGnatt[[#This Row],[Start Date]],Milestone_Marker,IF(AND(AZ$27&gt;ProposalToGnatt[[#This Row],[Start Date]],AZ$27&lt;ProposalToGnatt[[#This Row],[Start Date]]+ProposalToGnatt[[#This Row],[Days]]),$G$5,"")),"")</f>
        <v/>
      </c>
      <c r="BA78" s="36" t="str">
        <f ca="1">IFERROR(+IF(BA$27=ProposalToGnatt[[#This Row],[Start Date]],Milestone_Marker,IF(AND(BA$27&gt;ProposalToGnatt[[#This Row],[Start Date]],BA$27&lt;ProposalToGnatt[[#This Row],[Start Date]]+ProposalToGnatt[[#This Row],[Days]]),$G$5,"")),"")</f>
        <v/>
      </c>
      <c r="BB78" s="36" t="str">
        <f ca="1">IFERROR(+IF(BB$27=ProposalToGnatt[[#This Row],[Start Date]],Milestone_Marker,IF(AND(BB$27&gt;ProposalToGnatt[[#This Row],[Start Date]],BB$27&lt;ProposalToGnatt[[#This Row],[Start Date]]+ProposalToGnatt[[#This Row],[Days]]),$G$5,"")),"")</f>
        <v/>
      </c>
      <c r="BC78" s="36" t="str">
        <f ca="1">IFERROR(+IF(BC$27=ProposalToGnatt[[#This Row],[Start Date]],Milestone_Marker,IF(AND(BC$27&gt;ProposalToGnatt[[#This Row],[Start Date]],BC$27&lt;ProposalToGnatt[[#This Row],[Start Date]]+ProposalToGnatt[[#This Row],[Days]]),$G$5,"")),"")</f>
        <v/>
      </c>
      <c r="BD78" s="36" t="str">
        <f ca="1">IFERROR(+IF(BD$27=ProposalToGnatt[[#This Row],[Start Date]],Milestone_Marker,IF(AND(BD$27&gt;ProposalToGnatt[[#This Row],[Start Date]],BD$27&lt;ProposalToGnatt[[#This Row],[Start Date]]+ProposalToGnatt[[#This Row],[Days]]),$G$5,"")),"")</f>
        <v/>
      </c>
      <c r="BE78" s="36" t="str">
        <f ca="1">IFERROR(+IF(BE$27=ProposalToGnatt[[#This Row],[Start Date]],Milestone_Marker,IF(AND(BE$27&gt;ProposalToGnatt[[#This Row],[Start Date]],BE$27&lt;ProposalToGnatt[[#This Row],[Start Date]]+ProposalToGnatt[[#This Row],[Days]]),$G$5,"")),"")</f>
        <v/>
      </c>
      <c r="BF78" s="36" t="str">
        <f ca="1">IFERROR(+IF(BF$27=ProposalToGnatt[[#This Row],[Start Date]],Milestone_Marker,IF(AND(BF$27&gt;ProposalToGnatt[[#This Row],[Start Date]],BF$27&lt;ProposalToGnatt[[#This Row],[Start Date]]+ProposalToGnatt[[#This Row],[Days]]),$G$5,"")),"")</f>
        <v/>
      </c>
      <c r="BG78" s="36" t="str">
        <f ca="1">IFERROR(+IF(BG$27=ProposalToGnatt[[#This Row],[Start Date]],Milestone_Marker,IF(AND(BG$27&gt;ProposalToGnatt[[#This Row],[Start Date]],BG$27&lt;ProposalToGnatt[[#This Row],[Start Date]]+ProposalToGnatt[[#This Row],[Days]]),$G$5,"")),"")</f>
        <v/>
      </c>
      <c r="BH78" s="36" t="str">
        <f ca="1">IFERROR(+IF(BH$27=ProposalToGnatt[[#This Row],[Start Date]],Milestone_Marker,IF(AND(BH$27&gt;ProposalToGnatt[[#This Row],[Start Date]],BH$27&lt;ProposalToGnatt[[#This Row],[Start Date]]+ProposalToGnatt[[#This Row],[Days]]),$G$5,"")),"")</f>
        <v/>
      </c>
      <c r="BI78" s="36" t="str">
        <f ca="1">IFERROR(+IF(BI$27=ProposalToGnatt[[#This Row],[Start Date]],Milestone_Marker,IF(AND(BI$27&gt;ProposalToGnatt[[#This Row],[Start Date]],BI$27&lt;ProposalToGnatt[[#This Row],[Start Date]]+ProposalToGnatt[[#This Row],[Days]]),$G$5,"")),"")</f>
        <v/>
      </c>
      <c r="BJ78" s="36" t="str">
        <f ca="1">IFERROR(+IF(BJ$27=ProposalToGnatt[[#This Row],[Start Date]],Milestone_Marker,IF(AND(BJ$27&gt;ProposalToGnatt[[#This Row],[Start Date]],BJ$27&lt;ProposalToGnatt[[#This Row],[Start Date]]+ProposalToGnatt[[#This Row],[Days]]),$G$5,"")),"")</f>
        <v/>
      </c>
      <c r="BK78" s="36" t="str">
        <f ca="1">IFERROR(+IF(BK$27=ProposalToGnatt[[#This Row],[Start Date]],Milestone_Marker,IF(AND(BK$27&gt;ProposalToGnatt[[#This Row],[Start Date]],BK$27&lt;ProposalToGnatt[[#This Row],[Start Date]]+ProposalToGnatt[[#This Row],[Days]]),$G$5,"")),"")</f>
        <v/>
      </c>
      <c r="BL78" s="36" t="str">
        <f ca="1">IFERROR(+IF(BL$27=ProposalToGnatt[[#This Row],[Start Date]],Milestone_Marker,IF(AND(BL$27&gt;ProposalToGnatt[[#This Row],[Start Date]],BL$27&lt;ProposalToGnatt[[#This Row],[Start Date]]+ProposalToGnatt[[#This Row],[Days]]),$G$5,"")),"")</f>
        <v/>
      </c>
      <c r="BM78" s="36" t="str">
        <f ca="1">IFERROR(+IF(BM$27=ProposalToGnatt[[#This Row],[Start Date]],Milestone_Marker,IF(AND(BM$27&gt;ProposalToGnatt[[#This Row],[Start Date]],BM$27&lt;ProposalToGnatt[[#This Row],[Start Date]]+ProposalToGnatt[[#This Row],[Days]]),$G$5,"")),"")</f>
        <v/>
      </c>
      <c r="BN78" s="36" t="str">
        <f ca="1">IFERROR(+IF(BN$27=ProposalToGnatt[[#This Row],[Start Date]],Milestone_Marker,IF(AND(BN$27&gt;ProposalToGnatt[[#This Row],[Start Date]],BN$27&lt;ProposalToGnatt[[#This Row],[Start Date]]+ProposalToGnatt[[#This Row],[Days]]),$G$5,"")),"")</f>
        <v/>
      </c>
      <c r="BO78" s="36" t="str">
        <f ca="1">IFERROR(+IF(BO$27=ProposalToGnatt[[#This Row],[Start Date]],Milestone_Marker,IF(AND(BO$27&gt;ProposalToGnatt[[#This Row],[Start Date]],BO$27&lt;ProposalToGnatt[[#This Row],[Start Date]]+ProposalToGnatt[[#This Row],[Days]]),$G$5,"")),"")</f>
        <v/>
      </c>
      <c r="BP78" s="36" t="str">
        <f ca="1">IFERROR(+IF(BP$27=ProposalToGnatt[[#This Row],[Start Date]],Milestone_Marker,IF(AND(BP$27&gt;ProposalToGnatt[[#This Row],[Start Date]],BP$27&lt;ProposalToGnatt[[#This Row],[Start Date]]+ProposalToGnatt[[#This Row],[Days]]),$G$5,"")),"")</f>
        <v/>
      </c>
      <c r="BQ78" s="36" t="str">
        <f ca="1">IFERROR(+IF(BQ$27=ProposalToGnatt[[#This Row],[Start Date]],Milestone_Marker,IF(AND(BQ$27&gt;ProposalToGnatt[[#This Row],[Start Date]],BQ$27&lt;ProposalToGnatt[[#This Row],[Start Date]]+ProposalToGnatt[[#This Row],[Days]]),$G$5,"")),"")</f>
        <v/>
      </c>
      <c r="BR78" s="36" t="str">
        <f ca="1">IFERROR(+IF(BR$27=ProposalToGnatt[[#This Row],[Start Date]],Milestone_Marker,IF(AND(BR$27&gt;ProposalToGnatt[[#This Row],[Start Date]],BR$27&lt;ProposalToGnatt[[#This Row],[Start Date]]+ProposalToGnatt[[#This Row],[Days]]),$G$5,"")),"")</f>
        <v/>
      </c>
      <c r="BS78" s="36" t="str">
        <f ca="1">IFERROR(+IF(BS$27=ProposalToGnatt[[#This Row],[Start Date]],Milestone_Marker,IF(AND(BS$27&gt;ProposalToGnatt[[#This Row],[Start Date]],BS$27&lt;ProposalToGnatt[[#This Row],[Start Date]]+ProposalToGnatt[[#This Row],[Days]]),$G$5,"")),"")</f>
        <v/>
      </c>
      <c r="BT78" s="36" t="str">
        <f ca="1">IFERROR(+IF(BT$27=ProposalToGnatt[[#This Row],[Start Date]],Milestone_Marker,IF(AND(BT$27&gt;ProposalToGnatt[[#This Row],[Start Date]],BT$27&lt;ProposalToGnatt[[#This Row],[Start Date]]+ProposalToGnatt[[#This Row],[Days]]),$G$5,"")),"")</f>
        <v/>
      </c>
      <c r="BU78" s="36" t="str">
        <f ca="1">IFERROR(+IF(BU$27=ProposalToGnatt[[#This Row],[Start Date]],Milestone_Marker,IF(AND(BU$27&gt;ProposalToGnatt[[#This Row],[Start Date]],BU$27&lt;ProposalToGnatt[[#This Row],[Start Date]]+ProposalToGnatt[[#This Row],[Days]]),$G$5,"")),"")</f>
        <v/>
      </c>
      <c r="BV78" s="36" t="str">
        <f ca="1">IFERROR(+IF(BV$27=ProposalToGnatt[[#This Row],[Start Date]],Milestone_Marker,IF(AND(BV$27&gt;ProposalToGnatt[[#This Row],[Start Date]],BV$27&lt;ProposalToGnatt[[#This Row],[Start Date]]+ProposalToGnatt[[#This Row],[Days]]),$G$5,"")),"")</f>
        <v/>
      </c>
      <c r="BW78" s="36" t="str">
        <f ca="1">IFERROR(+IF(BW$27=ProposalToGnatt[[#This Row],[Start Date]],Milestone_Marker,IF(AND(BW$27&gt;ProposalToGnatt[[#This Row],[Start Date]],BW$27&lt;ProposalToGnatt[[#This Row],[Start Date]]+ProposalToGnatt[[#This Row],[Days]]),$G$5,"")),"")</f>
        <v/>
      </c>
      <c r="BX78" s="36" t="str">
        <f ca="1">IFERROR(+IF(BX$27=ProposalToGnatt[[#This Row],[Start Date]],Milestone_Marker,IF(AND(BX$27&gt;ProposalToGnatt[[#This Row],[Start Date]],BX$27&lt;ProposalToGnatt[[#This Row],[Start Date]]+ProposalToGnatt[[#This Row],[Days]]),$G$5,"")),"")</f>
        <v/>
      </c>
      <c r="BY78" s="36" t="str">
        <f ca="1">IFERROR(+IF(BY$27=ProposalToGnatt[[#This Row],[Start Date]],Milestone_Marker,IF(AND(BY$27&gt;ProposalToGnatt[[#This Row],[Start Date]],BY$27&lt;ProposalToGnatt[[#This Row],[Start Date]]+ProposalToGnatt[[#This Row],[Days]]),$G$5,"")),"")</f>
        <v/>
      </c>
      <c r="BZ78" s="36" t="str">
        <f ca="1">IFERROR(+IF(BZ$27=ProposalToGnatt[[#This Row],[Start Date]],Milestone_Marker,IF(AND(BZ$27&gt;ProposalToGnatt[[#This Row],[Start Date]],BZ$27&lt;ProposalToGnatt[[#This Row],[Start Date]]+ProposalToGnatt[[#This Row],[Days]]),$G$5,"")),"")</f>
        <v/>
      </c>
      <c r="CA78" s="36" t="str">
        <f ca="1">IFERROR(+IF(CA$27=ProposalToGnatt[[#This Row],[Start Date]],Milestone_Marker,IF(AND(CA$27&gt;ProposalToGnatt[[#This Row],[Start Date]],CA$27&lt;ProposalToGnatt[[#This Row],[Start Date]]+ProposalToGnatt[[#This Row],[Days]]),$G$5,"")),"")</f>
        <v/>
      </c>
      <c r="CB78" s="36" t="str">
        <f ca="1">IFERROR(+IF(CB$27=ProposalToGnatt[[#This Row],[Start Date]],Milestone_Marker,IF(AND(CB$27&gt;ProposalToGnatt[[#This Row],[Start Date]],CB$27&lt;ProposalToGnatt[[#This Row],[Start Date]]+ProposalToGnatt[[#This Row],[Days]]),$G$5,"")),"")</f>
        <v/>
      </c>
      <c r="CC78" s="36" t="str">
        <f ca="1">IFERROR(+IF(CC$27=ProposalToGnatt[[#This Row],[Start Date]],Milestone_Marker,IF(AND(CC$27&gt;ProposalToGnatt[[#This Row],[Start Date]],CC$27&lt;ProposalToGnatt[[#This Row],[Start Date]]+ProposalToGnatt[[#This Row],[Days]]),$G$5,"")),"")</f>
        <v/>
      </c>
      <c r="CD78" s="36" t="str">
        <f ca="1">IFERROR(+IF(CD$27=ProposalToGnatt[[#This Row],[Start Date]],Milestone_Marker,IF(AND(CD$27&gt;ProposalToGnatt[[#This Row],[Start Date]],CD$27&lt;ProposalToGnatt[[#This Row],[Start Date]]+ProposalToGnatt[[#This Row],[Days]]),$G$5,"")),"")</f>
        <v/>
      </c>
      <c r="CE78" s="36" t="str">
        <f ca="1">IFERROR(+IF(CE$27=ProposalToGnatt[[#This Row],[Start Date]],Milestone_Marker,IF(AND(CE$27&gt;ProposalToGnatt[[#This Row],[Start Date]],CE$27&lt;ProposalToGnatt[[#This Row],[Start Date]]+ProposalToGnatt[[#This Row],[Days]]),$G$5,"")),"")</f>
        <v/>
      </c>
      <c r="CF78" s="36" t="str">
        <f ca="1">IFERROR(+IF(CF$27=ProposalToGnatt[[#This Row],[Start Date]],Milestone_Marker,IF(AND(CF$27&gt;ProposalToGnatt[[#This Row],[Start Date]],CF$27&lt;ProposalToGnatt[[#This Row],[Start Date]]+ProposalToGnatt[[#This Row],[Days]]),$G$5,"")),"")</f>
        <v/>
      </c>
      <c r="CG78" s="36" t="str">
        <f ca="1">IFERROR(+IF(CG$27=ProposalToGnatt[[#This Row],[Start Date]],Milestone_Marker,IF(AND(CG$27&gt;ProposalToGnatt[[#This Row],[Start Date]],CG$27&lt;ProposalToGnatt[[#This Row],[Start Date]]+ProposalToGnatt[[#This Row],[Days]]),$G$5,"")),"")</f>
        <v/>
      </c>
      <c r="CH78" s="36" t="str">
        <f ca="1">IFERROR(+IF(CH$27=ProposalToGnatt[[#This Row],[Start Date]],Milestone_Marker,IF(AND(CH$27&gt;ProposalToGnatt[[#This Row],[Start Date]],CH$27&lt;ProposalToGnatt[[#This Row],[Start Date]]+ProposalToGnatt[[#This Row],[Days]]),$G$5,"")),"")</f>
        <v/>
      </c>
      <c r="CI78" s="36" t="str">
        <f ca="1">IFERROR(+IF(CI$27=ProposalToGnatt[[#This Row],[Start Date]],Milestone_Marker,IF(AND(CI$27&gt;ProposalToGnatt[[#This Row],[Start Date]],CI$27&lt;ProposalToGnatt[[#This Row],[Start Date]]+ProposalToGnatt[[#This Row],[Days]]),$G$5,"")),"")</f>
        <v/>
      </c>
      <c r="CJ78" s="36" t="str">
        <f ca="1">IFERROR(+IF(CJ$27=ProposalToGnatt[[#This Row],[Start Date]],Milestone_Marker,IF(AND(CJ$27&gt;ProposalToGnatt[[#This Row],[Start Date]],CJ$27&lt;ProposalToGnatt[[#This Row],[Start Date]]+ProposalToGnatt[[#This Row],[Days]]),$G$5,"")),"")</f>
        <v/>
      </c>
      <c r="CK78" s="36" t="str">
        <f ca="1">IFERROR(+IF(CK$27=ProposalToGnatt[[#This Row],[Start Date]],Milestone_Marker,IF(AND(CK$27&gt;ProposalToGnatt[[#This Row],[Start Date]],CK$27&lt;ProposalToGnatt[[#This Row],[Start Date]]+ProposalToGnatt[[#This Row],[Days]]),$G$5,"")),"")</f>
        <v/>
      </c>
      <c r="CL78" s="36" t="str">
        <f ca="1">IFERROR(+IF(CL$27=ProposalToGnatt[[#This Row],[Start Date]],Milestone_Marker,IF(AND(CL$27&gt;ProposalToGnatt[[#This Row],[Start Date]],CL$27&lt;ProposalToGnatt[[#This Row],[Start Date]]+ProposalToGnatt[[#This Row],[Days]]),$G$5,"")),"")</f>
        <v/>
      </c>
      <c r="CM78" s="36" t="str">
        <f ca="1">IFERROR(+IF(CM$27=ProposalToGnatt[[#This Row],[Start Date]],Milestone_Marker,IF(AND(CM$27&gt;ProposalToGnatt[[#This Row],[Start Date]],CM$27&lt;ProposalToGnatt[[#This Row],[Start Date]]+ProposalToGnatt[[#This Row],[Days]]),$G$5,"")),"")</f>
        <v/>
      </c>
      <c r="CN78" s="36" t="str">
        <f ca="1">IFERROR(+IF(CN$27=ProposalToGnatt[[#This Row],[Start Date]],Milestone_Marker,IF(AND(CN$27&gt;ProposalToGnatt[[#This Row],[Start Date]],CN$27&lt;ProposalToGnatt[[#This Row],[Start Date]]+ProposalToGnatt[[#This Row],[Days]]),$G$5,"")),"")</f>
        <v/>
      </c>
      <c r="CO78" s="36" t="str">
        <f ca="1">IFERROR(+IF(CO$27=ProposalToGnatt[[#This Row],[Start Date]],Milestone_Marker,IF(AND(CO$27&gt;ProposalToGnatt[[#This Row],[Start Date]],CO$27&lt;ProposalToGnatt[[#This Row],[Start Date]]+ProposalToGnatt[[#This Row],[Days]]),$G$5,"")),"")</f>
        <v/>
      </c>
      <c r="CP78" s="36" t="str">
        <f ca="1">IFERROR(+IF(CP$27=ProposalToGnatt[[#This Row],[Start Date]],Milestone_Marker,IF(AND(CP$27&gt;ProposalToGnatt[[#This Row],[Start Date]],CP$27&lt;ProposalToGnatt[[#This Row],[Start Date]]+ProposalToGnatt[[#This Row],[Days]]),$G$5,"")),"")</f>
        <v/>
      </c>
      <c r="CQ78" s="36" t="str">
        <f ca="1">IFERROR(+IF(CQ$27=ProposalToGnatt[[#This Row],[Start Date]],Milestone_Marker,IF(AND(CQ$27&gt;ProposalToGnatt[[#This Row],[Start Date]],CQ$27&lt;ProposalToGnatt[[#This Row],[Start Date]]+ProposalToGnatt[[#This Row],[Days]]),$G$5,"")),"")</f>
        <v/>
      </c>
      <c r="CR78" s="36" t="str">
        <f ca="1">IFERROR(+IF(CR$27=ProposalToGnatt[[#This Row],[Start Date]],Milestone_Marker,IF(AND(CR$27&gt;ProposalToGnatt[[#This Row],[Start Date]],CR$27&lt;ProposalToGnatt[[#This Row],[Start Date]]+ProposalToGnatt[[#This Row],[Days]]),$G$5,"")),"")</f>
        <v/>
      </c>
      <c r="CS78" s="36" t="str">
        <f ca="1">IFERROR(+IF(CS$27=ProposalToGnatt[[#This Row],[Start Date]],Milestone_Marker,IF(AND(CS$27&gt;ProposalToGnatt[[#This Row],[Start Date]],CS$27&lt;ProposalToGnatt[[#This Row],[Start Date]]+ProposalToGnatt[[#This Row],[Days]]),$G$5,"")),"")</f>
        <v/>
      </c>
      <c r="CT78" s="36" t="str">
        <f ca="1">IFERROR(+IF(CT$27=ProposalToGnatt[[#This Row],[Start Date]],Milestone_Marker,IF(AND(CT$27&gt;ProposalToGnatt[[#This Row],[Start Date]],CT$27&lt;ProposalToGnatt[[#This Row],[Start Date]]+ProposalToGnatt[[#This Row],[Days]]),$G$5,"")),"")</f>
        <v/>
      </c>
      <c r="CU78" s="36" t="str">
        <f ca="1">IFERROR(+IF(CU$27=ProposalToGnatt[[#This Row],[Start Date]],Milestone_Marker,IF(AND(CU$27&gt;ProposalToGnatt[[#This Row],[Start Date]],CU$27&lt;ProposalToGnatt[[#This Row],[Start Date]]+ProposalToGnatt[[#This Row],[Days]]),$G$5,"")),"")</f>
        <v/>
      </c>
      <c r="CV78" s="36" t="str">
        <f ca="1">IFERROR(+IF(CT$27=#REF!,Milestone_Marker,IF(AND(CT$27&gt;#REF!,CT$27&lt;=#REF!+#REF!),$G$5,"")),"")</f>
        <v/>
      </c>
      <c r="CW78" s="36" t="str">
        <f ca="1">IFERROR(+IF(CU$27=#REF!,Milestone_Marker,IF(AND(CU$27&gt;#REF!,CU$27&lt;=#REF!+#REF!),$G$5,"")),"")</f>
        <v/>
      </c>
      <c r="CX78" s="36"/>
      <c r="CY78" s="36"/>
      <c r="CZ78" s="36"/>
      <c r="DA78" s="36"/>
      <c r="DB78" s="36"/>
      <c r="DC78" s="36"/>
      <c r="DD78" s="36"/>
      <c r="DE78" s="36"/>
      <c r="DF78" s="36"/>
      <c r="DG78" s="36"/>
      <c r="DH78" s="36"/>
      <c r="DI78" s="36"/>
      <c r="DJ78" s="36"/>
      <c r="DK78" s="36"/>
      <c r="DL78" s="36"/>
      <c r="DM78" s="36"/>
      <c r="DN78" s="36"/>
      <c r="DO78" s="36"/>
      <c r="DP78" s="36"/>
      <c r="DQ78" s="36"/>
      <c r="DR78" s="36"/>
      <c r="DS78" s="36"/>
      <c r="DT78" s="36"/>
      <c r="DU78" s="36"/>
    </row>
    <row r="79" spans="1:125" ht="15" x14ac:dyDescent="0.25">
      <c r="A79" t="s">
        <v>523</v>
      </c>
      <c r="B79">
        <v>61</v>
      </c>
      <c r="C79" t="s">
        <v>1077</v>
      </c>
      <c r="D79" t="s">
        <v>1040</v>
      </c>
      <c r="E79" s="568" t="s">
        <v>1079</v>
      </c>
      <c r="F79">
        <v>1</v>
      </c>
      <c r="G79" s="14">
        <v>54</v>
      </c>
      <c r="H79" s="14">
        <v>54</v>
      </c>
      <c r="I79" t="s">
        <v>3</v>
      </c>
      <c r="J79">
        <v>2</v>
      </c>
      <c r="K79" s="249"/>
      <c r="L79"/>
      <c r="M79" s="14">
        <v>54</v>
      </c>
      <c r="N79" s="300">
        <v>54</v>
      </c>
      <c r="O79" s="554"/>
      <c r="P79" s="36" t="str">
        <f ca="1">IFERROR(+IF(P$27=ProposalToGnatt[[#This Row],[Start Date]],Milestone_Marker,IF(AND(P$27&gt;ProposalToGnatt[[#This Row],[Start Date]],P$27&lt;ProposalToGnatt[[#This Row],[Start Date]]+ProposalToGnatt[[#This Row],[Days]]),$G$5,"")),"")</f>
        <v/>
      </c>
      <c r="Q79" s="36" t="str">
        <f ca="1">IFERROR(+IF(Q$27=ProposalToGnatt[[#This Row],[Start Date]],Milestone_Marker,IF(AND(Q$27&gt;ProposalToGnatt[[#This Row],[Start Date]],Q$27&lt;ProposalToGnatt[[#This Row],[Start Date]]+ProposalToGnatt[[#This Row],[Days]]),$G$5,"")),"")</f>
        <v/>
      </c>
      <c r="R79" s="36" t="str">
        <f ca="1">IFERROR(+IF(R$27=ProposalToGnatt[[#This Row],[Start Date]],Milestone_Marker,IF(AND(R$27&gt;ProposalToGnatt[[#This Row],[Start Date]],R$27&lt;ProposalToGnatt[[#This Row],[Start Date]]+ProposalToGnatt[[#This Row],[Days]]),$G$5,"")),"")</f>
        <v/>
      </c>
      <c r="S79" s="36" t="str">
        <f ca="1">IFERROR(+IF(S$27=ProposalToGnatt[[#This Row],[Start Date]],Milestone_Marker,IF(AND(S$27&gt;ProposalToGnatt[[#This Row],[Start Date]],S$27&lt;ProposalToGnatt[[#This Row],[Start Date]]+ProposalToGnatt[[#This Row],[Days]]),$G$5,"")),"")</f>
        <v/>
      </c>
      <c r="T79" s="36" t="str">
        <f ca="1">IFERROR(+IF(T$27=ProposalToGnatt[[#This Row],[Start Date]],Milestone_Marker,IF(AND(T$27&gt;ProposalToGnatt[[#This Row],[Start Date]],T$27&lt;ProposalToGnatt[[#This Row],[Start Date]]+ProposalToGnatt[[#This Row],[Days]]),$G$5,"")),"")</f>
        <v/>
      </c>
      <c r="U79" s="36" t="str">
        <f ca="1">IFERROR(+IF(U$27=ProposalToGnatt[[#This Row],[Start Date]],Milestone_Marker,IF(AND(U$27&gt;ProposalToGnatt[[#This Row],[Start Date]],U$27&lt;ProposalToGnatt[[#This Row],[Start Date]]+ProposalToGnatt[[#This Row],[Days]]),$G$5,"")),"")</f>
        <v/>
      </c>
      <c r="V79" s="36" t="str">
        <f ca="1">IFERROR(+IF(V$27=ProposalToGnatt[[#This Row],[Start Date]],Milestone_Marker,IF(AND(V$27&gt;ProposalToGnatt[[#This Row],[Start Date]],V$27&lt;ProposalToGnatt[[#This Row],[Start Date]]+ProposalToGnatt[[#This Row],[Days]]),$G$5,"")),"")</f>
        <v/>
      </c>
      <c r="W79" s="36" t="str">
        <f ca="1">IFERROR(+IF(W$27=ProposalToGnatt[[#This Row],[Start Date]],Milestone_Marker,IF(AND(W$27&gt;ProposalToGnatt[[#This Row],[Start Date]],W$27&lt;ProposalToGnatt[[#This Row],[Start Date]]+ProposalToGnatt[[#This Row],[Days]]),$G$5,"")),"")</f>
        <v/>
      </c>
      <c r="X79" s="36" t="str">
        <f ca="1">IFERROR(+IF(X$27=ProposalToGnatt[[#This Row],[Start Date]],Milestone_Marker,IF(AND(X$27&gt;ProposalToGnatt[[#This Row],[Start Date]],X$27&lt;ProposalToGnatt[[#This Row],[Start Date]]+ProposalToGnatt[[#This Row],[Days]]),$G$5,"")),"")</f>
        <v/>
      </c>
      <c r="Y79" s="36" t="str">
        <f ca="1">IFERROR(+IF(Y$27=ProposalToGnatt[[#This Row],[Start Date]],Milestone_Marker,IF(AND(Y$27&gt;ProposalToGnatt[[#This Row],[Start Date]],Y$27&lt;ProposalToGnatt[[#This Row],[Start Date]]+ProposalToGnatt[[#This Row],[Days]]),$G$5,"")),"")</f>
        <v/>
      </c>
      <c r="Z79" s="36" t="str">
        <f ca="1">IFERROR(+IF(Z$27=ProposalToGnatt[[#This Row],[Start Date]],Milestone_Marker,IF(AND(Z$27&gt;ProposalToGnatt[[#This Row],[Start Date]],Z$27&lt;ProposalToGnatt[[#This Row],[Start Date]]+ProposalToGnatt[[#This Row],[Days]]),$G$5,"")),"")</f>
        <v/>
      </c>
      <c r="AA79" s="36" t="str">
        <f ca="1">IFERROR(+IF(AA$27=ProposalToGnatt[[#This Row],[Start Date]],Milestone_Marker,IF(AND(AA$27&gt;ProposalToGnatt[[#This Row],[Start Date]],AA$27&lt;ProposalToGnatt[[#This Row],[Start Date]]+ProposalToGnatt[[#This Row],[Days]]),$G$5,"")),"")</f>
        <v/>
      </c>
      <c r="AB79" s="36" t="str">
        <f ca="1">IFERROR(+IF(AB$27=ProposalToGnatt[[#This Row],[Start Date]],Milestone_Marker,IF(AND(AB$27&gt;ProposalToGnatt[[#This Row],[Start Date]],AB$27&lt;ProposalToGnatt[[#This Row],[Start Date]]+ProposalToGnatt[[#This Row],[Days]]),$G$5,"")),"")</f>
        <v/>
      </c>
      <c r="AC79" s="36" t="str">
        <f ca="1">IFERROR(+IF(AC$27=ProposalToGnatt[[#This Row],[Start Date]],Milestone_Marker,IF(AND(AC$27&gt;ProposalToGnatt[[#This Row],[Start Date]],AC$27&lt;ProposalToGnatt[[#This Row],[Start Date]]+ProposalToGnatt[[#This Row],[Days]]),$G$5,"")),"")</f>
        <v/>
      </c>
      <c r="AD79" s="36" t="str">
        <f ca="1">IFERROR(+IF(AD$27=ProposalToGnatt[[#This Row],[Start Date]],Milestone_Marker,IF(AND(AD$27&gt;ProposalToGnatt[[#This Row],[Start Date]],AD$27&lt;ProposalToGnatt[[#This Row],[Start Date]]+ProposalToGnatt[[#This Row],[Days]]),$G$5,"")),"")</f>
        <v/>
      </c>
      <c r="AE79" s="36" t="str">
        <f ca="1">IFERROR(+IF(AE$27=ProposalToGnatt[[#This Row],[Start Date]],Milestone_Marker,IF(AND(AE$27&gt;ProposalToGnatt[[#This Row],[Start Date]],AE$27&lt;ProposalToGnatt[[#This Row],[Start Date]]+ProposalToGnatt[[#This Row],[Days]]),$G$5,"")),"")</f>
        <v/>
      </c>
      <c r="AF79" s="36" t="str">
        <f ca="1">IFERROR(+IF(AF$27=ProposalToGnatt[[#This Row],[Start Date]],Milestone_Marker,IF(AND(AF$27&gt;ProposalToGnatt[[#This Row],[Start Date]],AF$27&lt;ProposalToGnatt[[#This Row],[Start Date]]+ProposalToGnatt[[#This Row],[Days]]),$G$5,"")),"")</f>
        <v/>
      </c>
      <c r="AG79" s="36" t="str">
        <f ca="1">IFERROR(+IF(AG$27=ProposalToGnatt[[#This Row],[Start Date]],Milestone_Marker,IF(AND(AG$27&gt;ProposalToGnatt[[#This Row],[Start Date]],AG$27&lt;ProposalToGnatt[[#This Row],[Start Date]]+ProposalToGnatt[[#This Row],[Days]]),$G$5,"")),"")</f>
        <v/>
      </c>
      <c r="AH79" s="36" t="str">
        <f ca="1">IFERROR(+IF(AH$27=ProposalToGnatt[[#This Row],[Start Date]],Milestone_Marker,IF(AND(AH$27&gt;ProposalToGnatt[[#This Row],[Start Date]],AH$27&lt;ProposalToGnatt[[#This Row],[Start Date]]+ProposalToGnatt[[#This Row],[Days]]),$G$5,"")),"")</f>
        <v/>
      </c>
      <c r="AI79" s="36" t="str">
        <f ca="1">IFERROR(+IF(AI$27=ProposalToGnatt[[#This Row],[Start Date]],Milestone_Marker,IF(AND(AI$27&gt;ProposalToGnatt[[#This Row],[Start Date]],AI$27&lt;ProposalToGnatt[[#This Row],[Start Date]]+ProposalToGnatt[[#This Row],[Days]]),$G$5,"")),"")</f>
        <v/>
      </c>
      <c r="AJ79" s="36" t="str">
        <f ca="1">IFERROR(+IF(AJ$27=ProposalToGnatt[[#This Row],[Start Date]],Milestone_Marker,IF(AND(AJ$27&gt;ProposalToGnatt[[#This Row],[Start Date]],AJ$27&lt;ProposalToGnatt[[#This Row],[Start Date]]+ProposalToGnatt[[#This Row],[Days]]),$G$5,"")),"")</f>
        <v/>
      </c>
      <c r="AK79" s="36" t="str">
        <f ca="1">IFERROR(+IF(AK$27=ProposalToGnatt[[#This Row],[Start Date]],Milestone_Marker,IF(AND(AK$27&gt;ProposalToGnatt[[#This Row],[Start Date]],AK$27&lt;ProposalToGnatt[[#This Row],[Start Date]]+ProposalToGnatt[[#This Row],[Days]]),$G$5,"")),"")</f>
        <v/>
      </c>
      <c r="AL79" s="36" t="str">
        <f ca="1">IFERROR(+IF(AL$27=ProposalToGnatt[[#This Row],[Start Date]],Milestone_Marker,IF(AND(AL$27&gt;ProposalToGnatt[[#This Row],[Start Date]],AL$27&lt;ProposalToGnatt[[#This Row],[Start Date]]+ProposalToGnatt[[#This Row],[Days]]),$G$5,"")),"")</f>
        <v/>
      </c>
      <c r="AM79" s="36" t="str">
        <f ca="1">IFERROR(+IF(AM$27=ProposalToGnatt[[#This Row],[Start Date]],Milestone_Marker,IF(AND(AM$27&gt;ProposalToGnatt[[#This Row],[Start Date]],AM$27&lt;ProposalToGnatt[[#This Row],[Start Date]]+ProposalToGnatt[[#This Row],[Days]]),$G$5,"")),"")</f>
        <v/>
      </c>
      <c r="AN79" s="36" t="str">
        <f ca="1">IFERROR(+IF(AN$27=ProposalToGnatt[[#This Row],[Start Date]],Milestone_Marker,IF(AND(AN$27&gt;ProposalToGnatt[[#This Row],[Start Date]],AN$27&lt;ProposalToGnatt[[#This Row],[Start Date]]+ProposalToGnatt[[#This Row],[Days]]),$G$5,"")),"")</f>
        <v/>
      </c>
      <c r="AO79" s="36" t="str">
        <f ca="1">IFERROR(+IF(AO$27=ProposalToGnatt[[#This Row],[Start Date]],Milestone_Marker,IF(AND(AO$27&gt;ProposalToGnatt[[#This Row],[Start Date]],AO$27&lt;ProposalToGnatt[[#This Row],[Start Date]]+ProposalToGnatt[[#This Row],[Days]]),$G$5,"")),"")</f>
        <v/>
      </c>
      <c r="AP79" s="36" t="str">
        <f ca="1">IFERROR(+IF(AP$27=ProposalToGnatt[[#This Row],[Start Date]],Milestone_Marker,IF(AND(AP$27&gt;ProposalToGnatt[[#This Row],[Start Date]],AP$27&lt;ProposalToGnatt[[#This Row],[Start Date]]+ProposalToGnatt[[#This Row],[Days]]),$G$5,"")),"")</f>
        <v/>
      </c>
      <c r="AQ79" s="36" t="str">
        <f ca="1">IFERROR(+IF(AQ$27=ProposalToGnatt[[#This Row],[Start Date]],Milestone_Marker,IF(AND(AQ$27&gt;ProposalToGnatt[[#This Row],[Start Date]],AQ$27&lt;ProposalToGnatt[[#This Row],[Start Date]]+ProposalToGnatt[[#This Row],[Days]]),$G$5,"")),"")</f>
        <v/>
      </c>
      <c r="AR79" s="36" t="str">
        <f ca="1">IFERROR(+IF(AR$27=ProposalToGnatt[[#This Row],[Start Date]],Milestone_Marker,IF(AND(AR$27&gt;ProposalToGnatt[[#This Row],[Start Date]],AR$27&lt;ProposalToGnatt[[#This Row],[Start Date]]+ProposalToGnatt[[#This Row],[Days]]),$G$5,"")),"")</f>
        <v/>
      </c>
      <c r="AS79" s="36" t="str">
        <f ca="1">IFERROR(+IF(AS$27=ProposalToGnatt[[#This Row],[Start Date]],Milestone_Marker,IF(AND(AS$27&gt;ProposalToGnatt[[#This Row],[Start Date]],AS$27&lt;ProposalToGnatt[[#This Row],[Start Date]]+ProposalToGnatt[[#This Row],[Days]]),$G$5,"")),"")</f>
        <v/>
      </c>
      <c r="AT79" s="36" t="str">
        <f ca="1">IFERROR(+IF(AT$27=ProposalToGnatt[[#This Row],[Start Date]],Milestone_Marker,IF(AND(AT$27&gt;ProposalToGnatt[[#This Row],[Start Date]],AT$27&lt;ProposalToGnatt[[#This Row],[Start Date]]+ProposalToGnatt[[#This Row],[Days]]),$G$5,"")),"")</f>
        <v/>
      </c>
      <c r="AU79" s="36" t="str">
        <f ca="1">IFERROR(+IF(AU$27=ProposalToGnatt[[#This Row],[Start Date]],Milestone_Marker,IF(AND(AU$27&gt;ProposalToGnatt[[#This Row],[Start Date]],AU$27&lt;ProposalToGnatt[[#This Row],[Start Date]]+ProposalToGnatt[[#This Row],[Days]]),$G$5,"")),"")</f>
        <v/>
      </c>
      <c r="AV79" s="36" t="str">
        <f ca="1">IFERROR(+IF(AV$27=ProposalToGnatt[[#This Row],[Start Date]],Milestone_Marker,IF(AND(AV$27&gt;ProposalToGnatt[[#This Row],[Start Date]],AV$27&lt;ProposalToGnatt[[#This Row],[Start Date]]+ProposalToGnatt[[#This Row],[Days]]),$G$5,"")),"")</f>
        <v/>
      </c>
      <c r="AW79" s="36" t="str">
        <f ca="1">IFERROR(+IF(AW$27=ProposalToGnatt[[#This Row],[Start Date]],Milestone_Marker,IF(AND(AW$27&gt;ProposalToGnatt[[#This Row],[Start Date]],AW$27&lt;ProposalToGnatt[[#This Row],[Start Date]]+ProposalToGnatt[[#This Row],[Days]]),$G$5,"")),"")</f>
        <v/>
      </c>
      <c r="AX79" s="36" t="str">
        <f ca="1">IFERROR(+IF(AX$27=ProposalToGnatt[[#This Row],[Start Date]],Milestone_Marker,IF(AND(AX$27&gt;ProposalToGnatt[[#This Row],[Start Date]],AX$27&lt;ProposalToGnatt[[#This Row],[Start Date]]+ProposalToGnatt[[#This Row],[Days]]),$G$5,"")),"")</f>
        <v/>
      </c>
      <c r="AY79" s="36" t="str">
        <f ca="1">IFERROR(+IF(AY$27=ProposalToGnatt[[#This Row],[Start Date]],Milestone_Marker,IF(AND(AY$27&gt;ProposalToGnatt[[#This Row],[Start Date]],AY$27&lt;ProposalToGnatt[[#This Row],[Start Date]]+ProposalToGnatt[[#This Row],[Days]]),$G$5,"")),"")</f>
        <v/>
      </c>
      <c r="AZ79" s="36" t="str">
        <f ca="1">IFERROR(+IF(AZ$27=ProposalToGnatt[[#This Row],[Start Date]],Milestone_Marker,IF(AND(AZ$27&gt;ProposalToGnatt[[#This Row],[Start Date]],AZ$27&lt;ProposalToGnatt[[#This Row],[Start Date]]+ProposalToGnatt[[#This Row],[Days]]),$G$5,"")),"")</f>
        <v/>
      </c>
      <c r="BA79" s="36" t="str">
        <f ca="1">IFERROR(+IF(BA$27=ProposalToGnatt[[#This Row],[Start Date]],Milestone_Marker,IF(AND(BA$27&gt;ProposalToGnatt[[#This Row],[Start Date]],BA$27&lt;ProposalToGnatt[[#This Row],[Start Date]]+ProposalToGnatt[[#This Row],[Days]]),$G$5,"")),"")</f>
        <v/>
      </c>
      <c r="BB79" s="36" t="str">
        <f ca="1">IFERROR(+IF(BB$27=ProposalToGnatt[[#This Row],[Start Date]],Milestone_Marker,IF(AND(BB$27&gt;ProposalToGnatt[[#This Row],[Start Date]],BB$27&lt;ProposalToGnatt[[#This Row],[Start Date]]+ProposalToGnatt[[#This Row],[Days]]),$G$5,"")),"")</f>
        <v/>
      </c>
      <c r="BC79" s="36" t="str">
        <f ca="1">IFERROR(+IF(BC$27=ProposalToGnatt[[#This Row],[Start Date]],Milestone_Marker,IF(AND(BC$27&gt;ProposalToGnatt[[#This Row],[Start Date]],BC$27&lt;ProposalToGnatt[[#This Row],[Start Date]]+ProposalToGnatt[[#This Row],[Days]]),$G$5,"")),"")</f>
        <v/>
      </c>
      <c r="BD79" s="36" t="str">
        <f ca="1">IFERROR(+IF(BD$27=ProposalToGnatt[[#This Row],[Start Date]],Milestone_Marker,IF(AND(BD$27&gt;ProposalToGnatt[[#This Row],[Start Date]],BD$27&lt;ProposalToGnatt[[#This Row],[Start Date]]+ProposalToGnatt[[#This Row],[Days]]),$G$5,"")),"")</f>
        <v/>
      </c>
      <c r="BE79" s="36" t="str">
        <f ca="1">IFERROR(+IF(BE$27=ProposalToGnatt[[#This Row],[Start Date]],Milestone_Marker,IF(AND(BE$27&gt;ProposalToGnatt[[#This Row],[Start Date]],BE$27&lt;ProposalToGnatt[[#This Row],[Start Date]]+ProposalToGnatt[[#This Row],[Days]]),$G$5,"")),"")</f>
        <v/>
      </c>
      <c r="BF79" s="36" t="str">
        <f ca="1">IFERROR(+IF(BF$27=ProposalToGnatt[[#This Row],[Start Date]],Milestone_Marker,IF(AND(BF$27&gt;ProposalToGnatt[[#This Row],[Start Date]],BF$27&lt;ProposalToGnatt[[#This Row],[Start Date]]+ProposalToGnatt[[#This Row],[Days]]),$G$5,"")),"")</f>
        <v/>
      </c>
      <c r="BG79" s="36" t="str">
        <f ca="1">IFERROR(+IF(BG$27=ProposalToGnatt[[#This Row],[Start Date]],Milestone_Marker,IF(AND(BG$27&gt;ProposalToGnatt[[#This Row],[Start Date]],BG$27&lt;ProposalToGnatt[[#This Row],[Start Date]]+ProposalToGnatt[[#This Row],[Days]]),$G$5,"")),"")</f>
        <v/>
      </c>
      <c r="BH79" s="36" t="str">
        <f ca="1">IFERROR(+IF(BH$27=ProposalToGnatt[[#This Row],[Start Date]],Milestone_Marker,IF(AND(BH$27&gt;ProposalToGnatt[[#This Row],[Start Date]],BH$27&lt;ProposalToGnatt[[#This Row],[Start Date]]+ProposalToGnatt[[#This Row],[Days]]),$G$5,"")),"")</f>
        <v/>
      </c>
      <c r="BI79" s="36" t="str">
        <f ca="1">IFERROR(+IF(BI$27=ProposalToGnatt[[#This Row],[Start Date]],Milestone_Marker,IF(AND(BI$27&gt;ProposalToGnatt[[#This Row],[Start Date]],BI$27&lt;ProposalToGnatt[[#This Row],[Start Date]]+ProposalToGnatt[[#This Row],[Days]]),$G$5,"")),"")</f>
        <v/>
      </c>
      <c r="BJ79" s="36" t="str">
        <f ca="1">IFERROR(+IF(BJ$27=ProposalToGnatt[[#This Row],[Start Date]],Milestone_Marker,IF(AND(BJ$27&gt;ProposalToGnatt[[#This Row],[Start Date]],BJ$27&lt;ProposalToGnatt[[#This Row],[Start Date]]+ProposalToGnatt[[#This Row],[Days]]),$G$5,"")),"")</f>
        <v/>
      </c>
      <c r="BK79" s="36" t="str">
        <f ca="1">IFERROR(+IF(BK$27=ProposalToGnatt[[#This Row],[Start Date]],Milestone_Marker,IF(AND(BK$27&gt;ProposalToGnatt[[#This Row],[Start Date]],BK$27&lt;ProposalToGnatt[[#This Row],[Start Date]]+ProposalToGnatt[[#This Row],[Days]]),$G$5,"")),"")</f>
        <v/>
      </c>
      <c r="BL79" s="36" t="str">
        <f ca="1">IFERROR(+IF(BL$27=ProposalToGnatt[[#This Row],[Start Date]],Milestone_Marker,IF(AND(BL$27&gt;ProposalToGnatt[[#This Row],[Start Date]],BL$27&lt;ProposalToGnatt[[#This Row],[Start Date]]+ProposalToGnatt[[#This Row],[Days]]),$G$5,"")),"")</f>
        <v/>
      </c>
      <c r="BM79" s="36" t="str">
        <f ca="1">IFERROR(+IF(BM$27=ProposalToGnatt[[#This Row],[Start Date]],Milestone_Marker,IF(AND(BM$27&gt;ProposalToGnatt[[#This Row],[Start Date]],BM$27&lt;ProposalToGnatt[[#This Row],[Start Date]]+ProposalToGnatt[[#This Row],[Days]]),$G$5,"")),"")</f>
        <v/>
      </c>
      <c r="BN79" s="36" t="str">
        <f ca="1">IFERROR(+IF(BN$27=ProposalToGnatt[[#This Row],[Start Date]],Milestone_Marker,IF(AND(BN$27&gt;ProposalToGnatt[[#This Row],[Start Date]],BN$27&lt;ProposalToGnatt[[#This Row],[Start Date]]+ProposalToGnatt[[#This Row],[Days]]),$G$5,"")),"")</f>
        <v/>
      </c>
      <c r="BO79" s="36" t="str">
        <f ca="1">IFERROR(+IF(BO$27=ProposalToGnatt[[#This Row],[Start Date]],Milestone_Marker,IF(AND(BO$27&gt;ProposalToGnatt[[#This Row],[Start Date]],BO$27&lt;ProposalToGnatt[[#This Row],[Start Date]]+ProposalToGnatt[[#This Row],[Days]]),$G$5,"")),"")</f>
        <v/>
      </c>
      <c r="BP79" s="36" t="str">
        <f ca="1">IFERROR(+IF(BP$27=ProposalToGnatt[[#This Row],[Start Date]],Milestone_Marker,IF(AND(BP$27&gt;ProposalToGnatt[[#This Row],[Start Date]],BP$27&lt;ProposalToGnatt[[#This Row],[Start Date]]+ProposalToGnatt[[#This Row],[Days]]),$G$5,"")),"")</f>
        <v/>
      </c>
      <c r="BQ79" s="36" t="str">
        <f ca="1">IFERROR(+IF(BQ$27=ProposalToGnatt[[#This Row],[Start Date]],Milestone_Marker,IF(AND(BQ$27&gt;ProposalToGnatt[[#This Row],[Start Date]],BQ$27&lt;ProposalToGnatt[[#This Row],[Start Date]]+ProposalToGnatt[[#This Row],[Days]]),$G$5,"")),"")</f>
        <v/>
      </c>
      <c r="BR79" s="36" t="str">
        <f ca="1">IFERROR(+IF(BR$27=ProposalToGnatt[[#This Row],[Start Date]],Milestone_Marker,IF(AND(BR$27&gt;ProposalToGnatt[[#This Row],[Start Date]],BR$27&lt;ProposalToGnatt[[#This Row],[Start Date]]+ProposalToGnatt[[#This Row],[Days]]),$G$5,"")),"")</f>
        <v/>
      </c>
      <c r="BS79" s="36" t="str">
        <f ca="1">IFERROR(+IF(BS$27=ProposalToGnatt[[#This Row],[Start Date]],Milestone_Marker,IF(AND(BS$27&gt;ProposalToGnatt[[#This Row],[Start Date]],BS$27&lt;ProposalToGnatt[[#This Row],[Start Date]]+ProposalToGnatt[[#This Row],[Days]]),$G$5,"")),"")</f>
        <v/>
      </c>
      <c r="BT79" s="36" t="str">
        <f ca="1">IFERROR(+IF(BT$27=ProposalToGnatt[[#This Row],[Start Date]],Milestone_Marker,IF(AND(BT$27&gt;ProposalToGnatt[[#This Row],[Start Date]],BT$27&lt;ProposalToGnatt[[#This Row],[Start Date]]+ProposalToGnatt[[#This Row],[Days]]),$G$5,"")),"")</f>
        <v/>
      </c>
      <c r="BU79" s="36" t="str">
        <f ca="1">IFERROR(+IF(BU$27=ProposalToGnatt[[#This Row],[Start Date]],Milestone_Marker,IF(AND(BU$27&gt;ProposalToGnatt[[#This Row],[Start Date]],BU$27&lt;ProposalToGnatt[[#This Row],[Start Date]]+ProposalToGnatt[[#This Row],[Days]]),$G$5,"")),"")</f>
        <v/>
      </c>
      <c r="BV79" s="36" t="str">
        <f ca="1">IFERROR(+IF(BV$27=ProposalToGnatt[[#This Row],[Start Date]],Milestone_Marker,IF(AND(BV$27&gt;ProposalToGnatt[[#This Row],[Start Date]],BV$27&lt;ProposalToGnatt[[#This Row],[Start Date]]+ProposalToGnatt[[#This Row],[Days]]),$G$5,"")),"")</f>
        <v/>
      </c>
      <c r="BW79" s="36" t="str">
        <f ca="1">IFERROR(+IF(BW$27=ProposalToGnatt[[#This Row],[Start Date]],Milestone_Marker,IF(AND(BW$27&gt;ProposalToGnatt[[#This Row],[Start Date]],BW$27&lt;ProposalToGnatt[[#This Row],[Start Date]]+ProposalToGnatt[[#This Row],[Days]]),$G$5,"")),"")</f>
        <v/>
      </c>
      <c r="BX79" s="36" t="str">
        <f ca="1">IFERROR(+IF(BX$27=ProposalToGnatt[[#This Row],[Start Date]],Milestone_Marker,IF(AND(BX$27&gt;ProposalToGnatt[[#This Row],[Start Date]],BX$27&lt;ProposalToGnatt[[#This Row],[Start Date]]+ProposalToGnatt[[#This Row],[Days]]),$G$5,"")),"")</f>
        <v/>
      </c>
      <c r="BY79" s="36" t="str">
        <f ca="1">IFERROR(+IF(BY$27=ProposalToGnatt[[#This Row],[Start Date]],Milestone_Marker,IF(AND(BY$27&gt;ProposalToGnatt[[#This Row],[Start Date]],BY$27&lt;ProposalToGnatt[[#This Row],[Start Date]]+ProposalToGnatt[[#This Row],[Days]]),$G$5,"")),"")</f>
        <v/>
      </c>
      <c r="BZ79" s="36" t="str">
        <f ca="1">IFERROR(+IF(BZ$27=ProposalToGnatt[[#This Row],[Start Date]],Milestone_Marker,IF(AND(BZ$27&gt;ProposalToGnatt[[#This Row],[Start Date]],BZ$27&lt;ProposalToGnatt[[#This Row],[Start Date]]+ProposalToGnatt[[#This Row],[Days]]),$G$5,"")),"")</f>
        <v/>
      </c>
      <c r="CA79" s="36" t="str">
        <f ca="1">IFERROR(+IF(CA$27=ProposalToGnatt[[#This Row],[Start Date]],Milestone_Marker,IF(AND(CA$27&gt;ProposalToGnatt[[#This Row],[Start Date]],CA$27&lt;ProposalToGnatt[[#This Row],[Start Date]]+ProposalToGnatt[[#This Row],[Days]]),$G$5,"")),"")</f>
        <v/>
      </c>
      <c r="CB79" s="36" t="str">
        <f ca="1">IFERROR(+IF(CB$27=ProposalToGnatt[[#This Row],[Start Date]],Milestone_Marker,IF(AND(CB$27&gt;ProposalToGnatt[[#This Row],[Start Date]],CB$27&lt;ProposalToGnatt[[#This Row],[Start Date]]+ProposalToGnatt[[#This Row],[Days]]),$G$5,"")),"")</f>
        <v/>
      </c>
      <c r="CC79" s="36" t="str">
        <f ca="1">IFERROR(+IF(CC$27=ProposalToGnatt[[#This Row],[Start Date]],Milestone_Marker,IF(AND(CC$27&gt;ProposalToGnatt[[#This Row],[Start Date]],CC$27&lt;ProposalToGnatt[[#This Row],[Start Date]]+ProposalToGnatt[[#This Row],[Days]]),$G$5,"")),"")</f>
        <v/>
      </c>
      <c r="CD79" s="36" t="str">
        <f ca="1">IFERROR(+IF(CD$27=ProposalToGnatt[[#This Row],[Start Date]],Milestone_Marker,IF(AND(CD$27&gt;ProposalToGnatt[[#This Row],[Start Date]],CD$27&lt;ProposalToGnatt[[#This Row],[Start Date]]+ProposalToGnatt[[#This Row],[Days]]),$G$5,"")),"")</f>
        <v/>
      </c>
      <c r="CE79" s="36" t="str">
        <f ca="1">IFERROR(+IF(CE$27=ProposalToGnatt[[#This Row],[Start Date]],Milestone_Marker,IF(AND(CE$27&gt;ProposalToGnatt[[#This Row],[Start Date]],CE$27&lt;ProposalToGnatt[[#This Row],[Start Date]]+ProposalToGnatt[[#This Row],[Days]]),$G$5,"")),"")</f>
        <v/>
      </c>
      <c r="CF79" s="36" t="str">
        <f ca="1">IFERROR(+IF(CF$27=ProposalToGnatt[[#This Row],[Start Date]],Milestone_Marker,IF(AND(CF$27&gt;ProposalToGnatt[[#This Row],[Start Date]],CF$27&lt;ProposalToGnatt[[#This Row],[Start Date]]+ProposalToGnatt[[#This Row],[Days]]),$G$5,"")),"")</f>
        <v/>
      </c>
      <c r="CG79" s="36" t="str">
        <f ca="1">IFERROR(+IF(CG$27=ProposalToGnatt[[#This Row],[Start Date]],Milestone_Marker,IF(AND(CG$27&gt;ProposalToGnatt[[#This Row],[Start Date]],CG$27&lt;ProposalToGnatt[[#This Row],[Start Date]]+ProposalToGnatt[[#This Row],[Days]]),$G$5,"")),"")</f>
        <v/>
      </c>
      <c r="CH79" s="36" t="str">
        <f ca="1">IFERROR(+IF(CH$27=ProposalToGnatt[[#This Row],[Start Date]],Milestone_Marker,IF(AND(CH$27&gt;ProposalToGnatt[[#This Row],[Start Date]],CH$27&lt;ProposalToGnatt[[#This Row],[Start Date]]+ProposalToGnatt[[#This Row],[Days]]),$G$5,"")),"")</f>
        <v/>
      </c>
      <c r="CI79" s="36" t="str">
        <f ca="1">IFERROR(+IF(CI$27=ProposalToGnatt[[#This Row],[Start Date]],Milestone_Marker,IF(AND(CI$27&gt;ProposalToGnatt[[#This Row],[Start Date]],CI$27&lt;ProposalToGnatt[[#This Row],[Start Date]]+ProposalToGnatt[[#This Row],[Days]]),$G$5,"")),"")</f>
        <v/>
      </c>
      <c r="CJ79" s="36" t="str">
        <f ca="1">IFERROR(+IF(CJ$27=ProposalToGnatt[[#This Row],[Start Date]],Milestone_Marker,IF(AND(CJ$27&gt;ProposalToGnatt[[#This Row],[Start Date]],CJ$27&lt;ProposalToGnatt[[#This Row],[Start Date]]+ProposalToGnatt[[#This Row],[Days]]),$G$5,"")),"")</f>
        <v/>
      </c>
      <c r="CK79" s="36" t="str">
        <f ca="1">IFERROR(+IF(CK$27=ProposalToGnatt[[#This Row],[Start Date]],Milestone_Marker,IF(AND(CK$27&gt;ProposalToGnatt[[#This Row],[Start Date]],CK$27&lt;ProposalToGnatt[[#This Row],[Start Date]]+ProposalToGnatt[[#This Row],[Days]]),$G$5,"")),"")</f>
        <v/>
      </c>
      <c r="CL79" s="36" t="str">
        <f ca="1">IFERROR(+IF(CL$27=ProposalToGnatt[[#This Row],[Start Date]],Milestone_Marker,IF(AND(CL$27&gt;ProposalToGnatt[[#This Row],[Start Date]],CL$27&lt;ProposalToGnatt[[#This Row],[Start Date]]+ProposalToGnatt[[#This Row],[Days]]),$G$5,"")),"")</f>
        <v/>
      </c>
      <c r="CM79" s="36" t="str">
        <f ca="1">IFERROR(+IF(CM$27=ProposalToGnatt[[#This Row],[Start Date]],Milestone_Marker,IF(AND(CM$27&gt;ProposalToGnatt[[#This Row],[Start Date]],CM$27&lt;ProposalToGnatt[[#This Row],[Start Date]]+ProposalToGnatt[[#This Row],[Days]]),$G$5,"")),"")</f>
        <v/>
      </c>
      <c r="CN79" s="36" t="str">
        <f ca="1">IFERROR(+IF(CN$27=ProposalToGnatt[[#This Row],[Start Date]],Milestone_Marker,IF(AND(CN$27&gt;ProposalToGnatt[[#This Row],[Start Date]],CN$27&lt;ProposalToGnatt[[#This Row],[Start Date]]+ProposalToGnatt[[#This Row],[Days]]),$G$5,"")),"")</f>
        <v/>
      </c>
      <c r="CO79" s="36" t="str">
        <f ca="1">IFERROR(+IF(CO$27=ProposalToGnatt[[#This Row],[Start Date]],Milestone_Marker,IF(AND(CO$27&gt;ProposalToGnatt[[#This Row],[Start Date]],CO$27&lt;ProposalToGnatt[[#This Row],[Start Date]]+ProposalToGnatt[[#This Row],[Days]]),$G$5,"")),"")</f>
        <v/>
      </c>
      <c r="CP79" s="36" t="str">
        <f ca="1">IFERROR(+IF(CP$27=ProposalToGnatt[[#This Row],[Start Date]],Milestone_Marker,IF(AND(CP$27&gt;ProposalToGnatt[[#This Row],[Start Date]],CP$27&lt;ProposalToGnatt[[#This Row],[Start Date]]+ProposalToGnatt[[#This Row],[Days]]),$G$5,"")),"")</f>
        <v/>
      </c>
      <c r="CQ79" s="36" t="str">
        <f ca="1">IFERROR(+IF(CQ$27=ProposalToGnatt[[#This Row],[Start Date]],Milestone_Marker,IF(AND(CQ$27&gt;ProposalToGnatt[[#This Row],[Start Date]],CQ$27&lt;ProposalToGnatt[[#This Row],[Start Date]]+ProposalToGnatt[[#This Row],[Days]]),$G$5,"")),"")</f>
        <v/>
      </c>
      <c r="CR79" s="36" t="str">
        <f ca="1">IFERROR(+IF(CR$27=ProposalToGnatt[[#This Row],[Start Date]],Milestone_Marker,IF(AND(CR$27&gt;ProposalToGnatt[[#This Row],[Start Date]],CR$27&lt;ProposalToGnatt[[#This Row],[Start Date]]+ProposalToGnatt[[#This Row],[Days]]),$G$5,"")),"")</f>
        <v/>
      </c>
      <c r="CS79" s="36" t="str">
        <f ca="1">IFERROR(+IF(CS$27=ProposalToGnatt[[#This Row],[Start Date]],Milestone_Marker,IF(AND(CS$27&gt;ProposalToGnatt[[#This Row],[Start Date]],CS$27&lt;ProposalToGnatt[[#This Row],[Start Date]]+ProposalToGnatt[[#This Row],[Days]]),$G$5,"")),"")</f>
        <v/>
      </c>
      <c r="CT79" s="36" t="str">
        <f ca="1">IFERROR(+IF(CT$27=ProposalToGnatt[[#This Row],[Start Date]],Milestone_Marker,IF(AND(CT$27&gt;ProposalToGnatt[[#This Row],[Start Date]],CT$27&lt;ProposalToGnatt[[#This Row],[Start Date]]+ProposalToGnatt[[#This Row],[Days]]),$G$5,"")),"")</f>
        <v/>
      </c>
      <c r="CU79" s="36" t="str">
        <f ca="1">IFERROR(+IF(CU$27=ProposalToGnatt[[#This Row],[Start Date]],Milestone_Marker,IF(AND(CU$27&gt;ProposalToGnatt[[#This Row],[Start Date]],CU$27&lt;ProposalToGnatt[[#This Row],[Start Date]]+ProposalToGnatt[[#This Row],[Days]]),$G$5,"")),"")</f>
        <v/>
      </c>
      <c r="CV79" s="36" t="str">
        <f ca="1">IFERROR(+IF(CT$27=#REF!,Milestone_Marker,IF(AND(CT$27&gt;#REF!,CT$27&lt;=#REF!+#REF!),$G$5,"")),"")</f>
        <v/>
      </c>
      <c r="CW79" s="36" t="str">
        <f ca="1">IFERROR(+IF(CU$27=#REF!,Milestone_Marker,IF(AND(CU$27&gt;#REF!,CU$27&lt;=#REF!+#REF!),$G$5,"")),"")</f>
        <v/>
      </c>
      <c r="CX79" s="36"/>
      <c r="CY79" s="36"/>
      <c r="CZ79" s="36"/>
      <c r="DA79" s="36"/>
      <c r="DB79" s="36"/>
      <c r="DC79" s="36"/>
      <c r="DD79" s="36"/>
      <c r="DE79" s="36"/>
      <c r="DF79" s="36"/>
      <c r="DG79" s="36"/>
      <c r="DH79" s="36"/>
      <c r="DI79" s="36"/>
      <c r="DJ79" s="36"/>
      <c r="DK79" s="36"/>
      <c r="DL79" s="36"/>
      <c r="DM79" s="36"/>
      <c r="DN79" s="36"/>
      <c r="DO79" s="36"/>
      <c r="DP79" s="36"/>
      <c r="DQ79" s="36"/>
      <c r="DR79" s="36"/>
      <c r="DS79" s="36"/>
      <c r="DT79" s="36"/>
      <c r="DU79" s="36"/>
    </row>
    <row r="80" spans="1:125" ht="15" x14ac:dyDescent="0.25">
      <c r="A80" t="s">
        <v>523</v>
      </c>
      <c r="B80">
        <v>62</v>
      </c>
      <c r="C80" t="s">
        <v>1077</v>
      </c>
      <c r="D80" t="s">
        <v>1042</v>
      </c>
      <c r="E80" s="568" t="s">
        <v>1041</v>
      </c>
      <c r="F80">
        <v>1</v>
      </c>
      <c r="G80" s="14"/>
      <c r="H80" s="14"/>
      <c r="I80" t="s">
        <v>3</v>
      </c>
      <c r="J80">
        <v>2</v>
      </c>
      <c r="K80" s="249"/>
      <c r="L80"/>
      <c r="M80" s="14"/>
      <c r="N80" s="300"/>
      <c r="O80" s="554"/>
      <c r="P80" s="36" t="str">
        <f ca="1">IFERROR(+IF(P$27=ProposalToGnatt[[#This Row],[Start Date]],Milestone_Marker,IF(AND(P$27&gt;ProposalToGnatt[[#This Row],[Start Date]],P$27&lt;ProposalToGnatt[[#This Row],[Start Date]]+ProposalToGnatt[[#This Row],[Days]]),$G$5,"")),"")</f>
        <v/>
      </c>
      <c r="Q80" s="36" t="str">
        <f ca="1">IFERROR(+IF(Q$27=ProposalToGnatt[[#This Row],[Start Date]],Milestone_Marker,IF(AND(Q$27&gt;ProposalToGnatt[[#This Row],[Start Date]],Q$27&lt;ProposalToGnatt[[#This Row],[Start Date]]+ProposalToGnatt[[#This Row],[Days]]),$G$5,"")),"")</f>
        <v/>
      </c>
      <c r="R80" s="36" t="str">
        <f ca="1">IFERROR(+IF(R$27=ProposalToGnatt[[#This Row],[Start Date]],Milestone_Marker,IF(AND(R$27&gt;ProposalToGnatt[[#This Row],[Start Date]],R$27&lt;ProposalToGnatt[[#This Row],[Start Date]]+ProposalToGnatt[[#This Row],[Days]]),$G$5,"")),"")</f>
        <v/>
      </c>
      <c r="S80" s="36" t="str">
        <f ca="1">IFERROR(+IF(S$27=ProposalToGnatt[[#This Row],[Start Date]],Milestone_Marker,IF(AND(S$27&gt;ProposalToGnatt[[#This Row],[Start Date]],S$27&lt;ProposalToGnatt[[#This Row],[Start Date]]+ProposalToGnatt[[#This Row],[Days]]),$G$5,"")),"")</f>
        <v/>
      </c>
      <c r="T80" s="36" t="str">
        <f ca="1">IFERROR(+IF(T$27=ProposalToGnatt[[#This Row],[Start Date]],Milestone_Marker,IF(AND(T$27&gt;ProposalToGnatt[[#This Row],[Start Date]],T$27&lt;ProposalToGnatt[[#This Row],[Start Date]]+ProposalToGnatt[[#This Row],[Days]]),$G$5,"")),"")</f>
        <v/>
      </c>
      <c r="U80" s="36" t="str">
        <f ca="1">IFERROR(+IF(U$27=ProposalToGnatt[[#This Row],[Start Date]],Milestone_Marker,IF(AND(U$27&gt;ProposalToGnatt[[#This Row],[Start Date]],U$27&lt;ProposalToGnatt[[#This Row],[Start Date]]+ProposalToGnatt[[#This Row],[Days]]),$G$5,"")),"")</f>
        <v/>
      </c>
      <c r="V80" s="36" t="str">
        <f ca="1">IFERROR(+IF(V$27=ProposalToGnatt[[#This Row],[Start Date]],Milestone_Marker,IF(AND(V$27&gt;ProposalToGnatt[[#This Row],[Start Date]],V$27&lt;ProposalToGnatt[[#This Row],[Start Date]]+ProposalToGnatt[[#This Row],[Days]]),$G$5,"")),"")</f>
        <v/>
      </c>
      <c r="W80" s="36" t="str">
        <f ca="1">IFERROR(+IF(W$27=ProposalToGnatt[[#This Row],[Start Date]],Milestone_Marker,IF(AND(W$27&gt;ProposalToGnatt[[#This Row],[Start Date]],W$27&lt;ProposalToGnatt[[#This Row],[Start Date]]+ProposalToGnatt[[#This Row],[Days]]),$G$5,"")),"")</f>
        <v/>
      </c>
      <c r="X80" s="36" t="str">
        <f ca="1">IFERROR(+IF(X$27=ProposalToGnatt[[#This Row],[Start Date]],Milestone_Marker,IF(AND(X$27&gt;ProposalToGnatt[[#This Row],[Start Date]],X$27&lt;ProposalToGnatt[[#This Row],[Start Date]]+ProposalToGnatt[[#This Row],[Days]]),$G$5,"")),"")</f>
        <v/>
      </c>
      <c r="Y80" s="36" t="str">
        <f ca="1">IFERROR(+IF(Y$27=ProposalToGnatt[[#This Row],[Start Date]],Milestone_Marker,IF(AND(Y$27&gt;ProposalToGnatt[[#This Row],[Start Date]],Y$27&lt;ProposalToGnatt[[#This Row],[Start Date]]+ProposalToGnatt[[#This Row],[Days]]),$G$5,"")),"")</f>
        <v/>
      </c>
      <c r="Z80" s="36" t="str">
        <f ca="1">IFERROR(+IF(Z$27=ProposalToGnatt[[#This Row],[Start Date]],Milestone_Marker,IF(AND(Z$27&gt;ProposalToGnatt[[#This Row],[Start Date]],Z$27&lt;ProposalToGnatt[[#This Row],[Start Date]]+ProposalToGnatt[[#This Row],[Days]]),$G$5,"")),"")</f>
        <v/>
      </c>
      <c r="AA80" s="36" t="str">
        <f ca="1">IFERROR(+IF(AA$27=ProposalToGnatt[[#This Row],[Start Date]],Milestone_Marker,IF(AND(AA$27&gt;ProposalToGnatt[[#This Row],[Start Date]],AA$27&lt;ProposalToGnatt[[#This Row],[Start Date]]+ProposalToGnatt[[#This Row],[Days]]),$G$5,"")),"")</f>
        <v/>
      </c>
      <c r="AB80" s="36" t="str">
        <f ca="1">IFERROR(+IF(AB$27=ProposalToGnatt[[#This Row],[Start Date]],Milestone_Marker,IF(AND(AB$27&gt;ProposalToGnatt[[#This Row],[Start Date]],AB$27&lt;ProposalToGnatt[[#This Row],[Start Date]]+ProposalToGnatt[[#This Row],[Days]]),$G$5,"")),"")</f>
        <v/>
      </c>
      <c r="AC80" s="36" t="str">
        <f ca="1">IFERROR(+IF(AC$27=ProposalToGnatt[[#This Row],[Start Date]],Milestone_Marker,IF(AND(AC$27&gt;ProposalToGnatt[[#This Row],[Start Date]],AC$27&lt;ProposalToGnatt[[#This Row],[Start Date]]+ProposalToGnatt[[#This Row],[Days]]),$G$5,"")),"")</f>
        <v/>
      </c>
      <c r="AD80" s="36" t="str">
        <f ca="1">IFERROR(+IF(AD$27=ProposalToGnatt[[#This Row],[Start Date]],Milestone_Marker,IF(AND(AD$27&gt;ProposalToGnatt[[#This Row],[Start Date]],AD$27&lt;ProposalToGnatt[[#This Row],[Start Date]]+ProposalToGnatt[[#This Row],[Days]]),$G$5,"")),"")</f>
        <v/>
      </c>
      <c r="AE80" s="36" t="str">
        <f ca="1">IFERROR(+IF(AE$27=ProposalToGnatt[[#This Row],[Start Date]],Milestone_Marker,IF(AND(AE$27&gt;ProposalToGnatt[[#This Row],[Start Date]],AE$27&lt;ProposalToGnatt[[#This Row],[Start Date]]+ProposalToGnatt[[#This Row],[Days]]),$G$5,"")),"")</f>
        <v/>
      </c>
      <c r="AF80" s="36" t="str">
        <f ca="1">IFERROR(+IF(AF$27=ProposalToGnatt[[#This Row],[Start Date]],Milestone_Marker,IF(AND(AF$27&gt;ProposalToGnatt[[#This Row],[Start Date]],AF$27&lt;ProposalToGnatt[[#This Row],[Start Date]]+ProposalToGnatt[[#This Row],[Days]]),$G$5,"")),"")</f>
        <v/>
      </c>
      <c r="AG80" s="36" t="str">
        <f ca="1">IFERROR(+IF(AG$27=ProposalToGnatt[[#This Row],[Start Date]],Milestone_Marker,IF(AND(AG$27&gt;ProposalToGnatt[[#This Row],[Start Date]],AG$27&lt;ProposalToGnatt[[#This Row],[Start Date]]+ProposalToGnatt[[#This Row],[Days]]),$G$5,"")),"")</f>
        <v/>
      </c>
      <c r="AH80" s="36" t="str">
        <f ca="1">IFERROR(+IF(AH$27=ProposalToGnatt[[#This Row],[Start Date]],Milestone_Marker,IF(AND(AH$27&gt;ProposalToGnatt[[#This Row],[Start Date]],AH$27&lt;ProposalToGnatt[[#This Row],[Start Date]]+ProposalToGnatt[[#This Row],[Days]]),$G$5,"")),"")</f>
        <v/>
      </c>
      <c r="AI80" s="36" t="str">
        <f ca="1">IFERROR(+IF(AI$27=ProposalToGnatt[[#This Row],[Start Date]],Milestone_Marker,IF(AND(AI$27&gt;ProposalToGnatt[[#This Row],[Start Date]],AI$27&lt;ProposalToGnatt[[#This Row],[Start Date]]+ProposalToGnatt[[#This Row],[Days]]),$G$5,"")),"")</f>
        <v/>
      </c>
      <c r="AJ80" s="36" t="str">
        <f ca="1">IFERROR(+IF(AJ$27=ProposalToGnatt[[#This Row],[Start Date]],Milestone_Marker,IF(AND(AJ$27&gt;ProposalToGnatt[[#This Row],[Start Date]],AJ$27&lt;ProposalToGnatt[[#This Row],[Start Date]]+ProposalToGnatt[[#This Row],[Days]]),$G$5,"")),"")</f>
        <v/>
      </c>
      <c r="AK80" s="36" t="str">
        <f ca="1">IFERROR(+IF(AK$27=ProposalToGnatt[[#This Row],[Start Date]],Milestone_Marker,IF(AND(AK$27&gt;ProposalToGnatt[[#This Row],[Start Date]],AK$27&lt;ProposalToGnatt[[#This Row],[Start Date]]+ProposalToGnatt[[#This Row],[Days]]),$G$5,"")),"")</f>
        <v/>
      </c>
      <c r="AL80" s="36" t="str">
        <f ca="1">IFERROR(+IF(AL$27=ProposalToGnatt[[#This Row],[Start Date]],Milestone_Marker,IF(AND(AL$27&gt;ProposalToGnatt[[#This Row],[Start Date]],AL$27&lt;ProposalToGnatt[[#This Row],[Start Date]]+ProposalToGnatt[[#This Row],[Days]]),$G$5,"")),"")</f>
        <v/>
      </c>
      <c r="AM80" s="36" t="str">
        <f ca="1">IFERROR(+IF(AM$27=ProposalToGnatt[[#This Row],[Start Date]],Milestone_Marker,IF(AND(AM$27&gt;ProposalToGnatt[[#This Row],[Start Date]],AM$27&lt;ProposalToGnatt[[#This Row],[Start Date]]+ProposalToGnatt[[#This Row],[Days]]),$G$5,"")),"")</f>
        <v/>
      </c>
      <c r="AN80" s="36" t="str">
        <f ca="1">IFERROR(+IF(AN$27=ProposalToGnatt[[#This Row],[Start Date]],Milestone_Marker,IF(AND(AN$27&gt;ProposalToGnatt[[#This Row],[Start Date]],AN$27&lt;ProposalToGnatt[[#This Row],[Start Date]]+ProposalToGnatt[[#This Row],[Days]]),$G$5,"")),"")</f>
        <v/>
      </c>
      <c r="AO80" s="36" t="str">
        <f ca="1">IFERROR(+IF(AO$27=ProposalToGnatt[[#This Row],[Start Date]],Milestone_Marker,IF(AND(AO$27&gt;ProposalToGnatt[[#This Row],[Start Date]],AO$27&lt;ProposalToGnatt[[#This Row],[Start Date]]+ProposalToGnatt[[#This Row],[Days]]),$G$5,"")),"")</f>
        <v/>
      </c>
      <c r="AP80" s="36" t="str">
        <f ca="1">IFERROR(+IF(AP$27=ProposalToGnatt[[#This Row],[Start Date]],Milestone_Marker,IF(AND(AP$27&gt;ProposalToGnatt[[#This Row],[Start Date]],AP$27&lt;ProposalToGnatt[[#This Row],[Start Date]]+ProposalToGnatt[[#This Row],[Days]]),$G$5,"")),"")</f>
        <v/>
      </c>
      <c r="AQ80" s="36" t="str">
        <f ca="1">IFERROR(+IF(AQ$27=ProposalToGnatt[[#This Row],[Start Date]],Milestone_Marker,IF(AND(AQ$27&gt;ProposalToGnatt[[#This Row],[Start Date]],AQ$27&lt;ProposalToGnatt[[#This Row],[Start Date]]+ProposalToGnatt[[#This Row],[Days]]),$G$5,"")),"")</f>
        <v/>
      </c>
      <c r="AR80" s="36" t="str">
        <f ca="1">IFERROR(+IF(AR$27=ProposalToGnatt[[#This Row],[Start Date]],Milestone_Marker,IF(AND(AR$27&gt;ProposalToGnatt[[#This Row],[Start Date]],AR$27&lt;ProposalToGnatt[[#This Row],[Start Date]]+ProposalToGnatt[[#This Row],[Days]]),$G$5,"")),"")</f>
        <v/>
      </c>
      <c r="AS80" s="36" t="str">
        <f ca="1">IFERROR(+IF(AS$27=ProposalToGnatt[[#This Row],[Start Date]],Milestone_Marker,IF(AND(AS$27&gt;ProposalToGnatt[[#This Row],[Start Date]],AS$27&lt;ProposalToGnatt[[#This Row],[Start Date]]+ProposalToGnatt[[#This Row],[Days]]),$G$5,"")),"")</f>
        <v/>
      </c>
      <c r="AT80" s="36" t="str">
        <f ca="1">IFERROR(+IF(AT$27=ProposalToGnatt[[#This Row],[Start Date]],Milestone_Marker,IF(AND(AT$27&gt;ProposalToGnatt[[#This Row],[Start Date]],AT$27&lt;ProposalToGnatt[[#This Row],[Start Date]]+ProposalToGnatt[[#This Row],[Days]]),$G$5,"")),"")</f>
        <v/>
      </c>
      <c r="AU80" s="36" t="str">
        <f ca="1">IFERROR(+IF(AU$27=ProposalToGnatt[[#This Row],[Start Date]],Milestone_Marker,IF(AND(AU$27&gt;ProposalToGnatt[[#This Row],[Start Date]],AU$27&lt;ProposalToGnatt[[#This Row],[Start Date]]+ProposalToGnatt[[#This Row],[Days]]),$G$5,"")),"")</f>
        <v/>
      </c>
      <c r="AV80" s="36" t="str">
        <f ca="1">IFERROR(+IF(AV$27=ProposalToGnatt[[#This Row],[Start Date]],Milestone_Marker,IF(AND(AV$27&gt;ProposalToGnatt[[#This Row],[Start Date]],AV$27&lt;ProposalToGnatt[[#This Row],[Start Date]]+ProposalToGnatt[[#This Row],[Days]]),$G$5,"")),"")</f>
        <v/>
      </c>
      <c r="AW80" s="36" t="str">
        <f ca="1">IFERROR(+IF(AW$27=ProposalToGnatt[[#This Row],[Start Date]],Milestone_Marker,IF(AND(AW$27&gt;ProposalToGnatt[[#This Row],[Start Date]],AW$27&lt;ProposalToGnatt[[#This Row],[Start Date]]+ProposalToGnatt[[#This Row],[Days]]),$G$5,"")),"")</f>
        <v/>
      </c>
      <c r="AX80" s="36" t="str">
        <f ca="1">IFERROR(+IF(AX$27=ProposalToGnatt[[#This Row],[Start Date]],Milestone_Marker,IF(AND(AX$27&gt;ProposalToGnatt[[#This Row],[Start Date]],AX$27&lt;ProposalToGnatt[[#This Row],[Start Date]]+ProposalToGnatt[[#This Row],[Days]]),$G$5,"")),"")</f>
        <v/>
      </c>
      <c r="AY80" s="36" t="str">
        <f ca="1">IFERROR(+IF(AY$27=ProposalToGnatt[[#This Row],[Start Date]],Milestone_Marker,IF(AND(AY$27&gt;ProposalToGnatt[[#This Row],[Start Date]],AY$27&lt;ProposalToGnatt[[#This Row],[Start Date]]+ProposalToGnatt[[#This Row],[Days]]),$G$5,"")),"")</f>
        <v/>
      </c>
      <c r="AZ80" s="36" t="str">
        <f ca="1">IFERROR(+IF(AZ$27=ProposalToGnatt[[#This Row],[Start Date]],Milestone_Marker,IF(AND(AZ$27&gt;ProposalToGnatt[[#This Row],[Start Date]],AZ$27&lt;ProposalToGnatt[[#This Row],[Start Date]]+ProposalToGnatt[[#This Row],[Days]]),$G$5,"")),"")</f>
        <v/>
      </c>
      <c r="BA80" s="36" t="str">
        <f ca="1">IFERROR(+IF(BA$27=ProposalToGnatt[[#This Row],[Start Date]],Milestone_Marker,IF(AND(BA$27&gt;ProposalToGnatt[[#This Row],[Start Date]],BA$27&lt;ProposalToGnatt[[#This Row],[Start Date]]+ProposalToGnatt[[#This Row],[Days]]),$G$5,"")),"")</f>
        <v/>
      </c>
      <c r="BB80" s="36" t="str">
        <f ca="1">IFERROR(+IF(BB$27=ProposalToGnatt[[#This Row],[Start Date]],Milestone_Marker,IF(AND(BB$27&gt;ProposalToGnatt[[#This Row],[Start Date]],BB$27&lt;ProposalToGnatt[[#This Row],[Start Date]]+ProposalToGnatt[[#This Row],[Days]]),$G$5,"")),"")</f>
        <v/>
      </c>
      <c r="BC80" s="36" t="str">
        <f ca="1">IFERROR(+IF(BC$27=ProposalToGnatt[[#This Row],[Start Date]],Milestone_Marker,IF(AND(BC$27&gt;ProposalToGnatt[[#This Row],[Start Date]],BC$27&lt;ProposalToGnatt[[#This Row],[Start Date]]+ProposalToGnatt[[#This Row],[Days]]),$G$5,"")),"")</f>
        <v/>
      </c>
      <c r="BD80" s="36" t="str">
        <f ca="1">IFERROR(+IF(BD$27=ProposalToGnatt[[#This Row],[Start Date]],Milestone_Marker,IF(AND(BD$27&gt;ProposalToGnatt[[#This Row],[Start Date]],BD$27&lt;ProposalToGnatt[[#This Row],[Start Date]]+ProposalToGnatt[[#This Row],[Days]]),$G$5,"")),"")</f>
        <v/>
      </c>
      <c r="BE80" s="36" t="str">
        <f ca="1">IFERROR(+IF(BE$27=ProposalToGnatt[[#This Row],[Start Date]],Milestone_Marker,IF(AND(BE$27&gt;ProposalToGnatt[[#This Row],[Start Date]],BE$27&lt;ProposalToGnatt[[#This Row],[Start Date]]+ProposalToGnatt[[#This Row],[Days]]),$G$5,"")),"")</f>
        <v/>
      </c>
      <c r="BF80" s="36" t="str">
        <f ca="1">IFERROR(+IF(BF$27=ProposalToGnatt[[#This Row],[Start Date]],Milestone_Marker,IF(AND(BF$27&gt;ProposalToGnatt[[#This Row],[Start Date]],BF$27&lt;ProposalToGnatt[[#This Row],[Start Date]]+ProposalToGnatt[[#This Row],[Days]]),$G$5,"")),"")</f>
        <v/>
      </c>
      <c r="BG80" s="36" t="str">
        <f ca="1">IFERROR(+IF(BG$27=ProposalToGnatt[[#This Row],[Start Date]],Milestone_Marker,IF(AND(BG$27&gt;ProposalToGnatt[[#This Row],[Start Date]],BG$27&lt;ProposalToGnatt[[#This Row],[Start Date]]+ProposalToGnatt[[#This Row],[Days]]),$G$5,"")),"")</f>
        <v/>
      </c>
      <c r="BH80" s="36" t="str">
        <f ca="1">IFERROR(+IF(BH$27=ProposalToGnatt[[#This Row],[Start Date]],Milestone_Marker,IF(AND(BH$27&gt;ProposalToGnatt[[#This Row],[Start Date]],BH$27&lt;ProposalToGnatt[[#This Row],[Start Date]]+ProposalToGnatt[[#This Row],[Days]]),$G$5,"")),"")</f>
        <v/>
      </c>
      <c r="BI80" s="36" t="str">
        <f ca="1">IFERROR(+IF(BI$27=ProposalToGnatt[[#This Row],[Start Date]],Milestone_Marker,IF(AND(BI$27&gt;ProposalToGnatt[[#This Row],[Start Date]],BI$27&lt;ProposalToGnatt[[#This Row],[Start Date]]+ProposalToGnatt[[#This Row],[Days]]),$G$5,"")),"")</f>
        <v/>
      </c>
      <c r="BJ80" s="36" t="str">
        <f ca="1">IFERROR(+IF(BJ$27=ProposalToGnatt[[#This Row],[Start Date]],Milestone_Marker,IF(AND(BJ$27&gt;ProposalToGnatt[[#This Row],[Start Date]],BJ$27&lt;ProposalToGnatt[[#This Row],[Start Date]]+ProposalToGnatt[[#This Row],[Days]]),$G$5,"")),"")</f>
        <v/>
      </c>
      <c r="BK80" s="36" t="str">
        <f ca="1">IFERROR(+IF(BK$27=ProposalToGnatt[[#This Row],[Start Date]],Milestone_Marker,IF(AND(BK$27&gt;ProposalToGnatt[[#This Row],[Start Date]],BK$27&lt;ProposalToGnatt[[#This Row],[Start Date]]+ProposalToGnatt[[#This Row],[Days]]),$G$5,"")),"")</f>
        <v/>
      </c>
      <c r="BL80" s="36" t="str">
        <f ca="1">IFERROR(+IF(BL$27=ProposalToGnatt[[#This Row],[Start Date]],Milestone_Marker,IF(AND(BL$27&gt;ProposalToGnatt[[#This Row],[Start Date]],BL$27&lt;ProposalToGnatt[[#This Row],[Start Date]]+ProposalToGnatt[[#This Row],[Days]]),$G$5,"")),"")</f>
        <v/>
      </c>
      <c r="BM80" s="36" t="str">
        <f ca="1">IFERROR(+IF(BM$27=ProposalToGnatt[[#This Row],[Start Date]],Milestone_Marker,IF(AND(BM$27&gt;ProposalToGnatt[[#This Row],[Start Date]],BM$27&lt;ProposalToGnatt[[#This Row],[Start Date]]+ProposalToGnatt[[#This Row],[Days]]),$G$5,"")),"")</f>
        <v/>
      </c>
      <c r="BN80" s="36" t="str">
        <f ca="1">IFERROR(+IF(BN$27=ProposalToGnatt[[#This Row],[Start Date]],Milestone_Marker,IF(AND(BN$27&gt;ProposalToGnatt[[#This Row],[Start Date]],BN$27&lt;ProposalToGnatt[[#This Row],[Start Date]]+ProposalToGnatt[[#This Row],[Days]]),$G$5,"")),"")</f>
        <v/>
      </c>
      <c r="BO80" s="36" t="str">
        <f ca="1">IFERROR(+IF(BO$27=ProposalToGnatt[[#This Row],[Start Date]],Milestone_Marker,IF(AND(BO$27&gt;ProposalToGnatt[[#This Row],[Start Date]],BO$27&lt;ProposalToGnatt[[#This Row],[Start Date]]+ProposalToGnatt[[#This Row],[Days]]),$G$5,"")),"")</f>
        <v/>
      </c>
      <c r="BP80" s="36" t="str">
        <f ca="1">IFERROR(+IF(BP$27=ProposalToGnatt[[#This Row],[Start Date]],Milestone_Marker,IF(AND(BP$27&gt;ProposalToGnatt[[#This Row],[Start Date]],BP$27&lt;ProposalToGnatt[[#This Row],[Start Date]]+ProposalToGnatt[[#This Row],[Days]]),$G$5,"")),"")</f>
        <v/>
      </c>
      <c r="BQ80" s="36" t="str">
        <f ca="1">IFERROR(+IF(BQ$27=ProposalToGnatt[[#This Row],[Start Date]],Milestone_Marker,IF(AND(BQ$27&gt;ProposalToGnatt[[#This Row],[Start Date]],BQ$27&lt;ProposalToGnatt[[#This Row],[Start Date]]+ProposalToGnatt[[#This Row],[Days]]),$G$5,"")),"")</f>
        <v/>
      </c>
      <c r="BR80" s="36" t="str">
        <f ca="1">IFERROR(+IF(BR$27=ProposalToGnatt[[#This Row],[Start Date]],Milestone_Marker,IF(AND(BR$27&gt;ProposalToGnatt[[#This Row],[Start Date]],BR$27&lt;ProposalToGnatt[[#This Row],[Start Date]]+ProposalToGnatt[[#This Row],[Days]]),$G$5,"")),"")</f>
        <v/>
      </c>
      <c r="BS80" s="36" t="str">
        <f ca="1">IFERROR(+IF(BS$27=ProposalToGnatt[[#This Row],[Start Date]],Milestone_Marker,IF(AND(BS$27&gt;ProposalToGnatt[[#This Row],[Start Date]],BS$27&lt;ProposalToGnatt[[#This Row],[Start Date]]+ProposalToGnatt[[#This Row],[Days]]),$G$5,"")),"")</f>
        <v/>
      </c>
      <c r="BT80" s="36" t="str">
        <f ca="1">IFERROR(+IF(BT$27=ProposalToGnatt[[#This Row],[Start Date]],Milestone_Marker,IF(AND(BT$27&gt;ProposalToGnatt[[#This Row],[Start Date]],BT$27&lt;ProposalToGnatt[[#This Row],[Start Date]]+ProposalToGnatt[[#This Row],[Days]]),$G$5,"")),"")</f>
        <v/>
      </c>
      <c r="BU80" s="36" t="str">
        <f ca="1">IFERROR(+IF(BU$27=ProposalToGnatt[[#This Row],[Start Date]],Milestone_Marker,IF(AND(BU$27&gt;ProposalToGnatt[[#This Row],[Start Date]],BU$27&lt;ProposalToGnatt[[#This Row],[Start Date]]+ProposalToGnatt[[#This Row],[Days]]),$G$5,"")),"")</f>
        <v/>
      </c>
      <c r="BV80" s="36" t="str">
        <f ca="1">IFERROR(+IF(BV$27=ProposalToGnatt[[#This Row],[Start Date]],Milestone_Marker,IF(AND(BV$27&gt;ProposalToGnatt[[#This Row],[Start Date]],BV$27&lt;ProposalToGnatt[[#This Row],[Start Date]]+ProposalToGnatt[[#This Row],[Days]]),$G$5,"")),"")</f>
        <v/>
      </c>
      <c r="BW80" s="36" t="str">
        <f ca="1">IFERROR(+IF(BW$27=ProposalToGnatt[[#This Row],[Start Date]],Milestone_Marker,IF(AND(BW$27&gt;ProposalToGnatt[[#This Row],[Start Date]],BW$27&lt;ProposalToGnatt[[#This Row],[Start Date]]+ProposalToGnatt[[#This Row],[Days]]),$G$5,"")),"")</f>
        <v/>
      </c>
      <c r="BX80" s="36" t="str">
        <f ca="1">IFERROR(+IF(BX$27=ProposalToGnatt[[#This Row],[Start Date]],Milestone_Marker,IF(AND(BX$27&gt;ProposalToGnatt[[#This Row],[Start Date]],BX$27&lt;ProposalToGnatt[[#This Row],[Start Date]]+ProposalToGnatt[[#This Row],[Days]]),$G$5,"")),"")</f>
        <v/>
      </c>
      <c r="BY80" s="36" t="str">
        <f ca="1">IFERROR(+IF(BY$27=ProposalToGnatt[[#This Row],[Start Date]],Milestone_Marker,IF(AND(BY$27&gt;ProposalToGnatt[[#This Row],[Start Date]],BY$27&lt;ProposalToGnatt[[#This Row],[Start Date]]+ProposalToGnatt[[#This Row],[Days]]),$G$5,"")),"")</f>
        <v/>
      </c>
      <c r="BZ80" s="36" t="str">
        <f ca="1">IFERROR(+IF(BZ$27=ProposalToGnatt[[#This Row],[Start Date]],Milestone_Marker,IF(AND(BZ$27&gt;ProposalToGnatt[[#This Row],[Start Date]],BZ$27&lt;ProposalToGnatt[[#This Row],[Start Date]]+ProposalToGnatt[[#This Row],[Days]]),$G$5,"")),"")</f>
        <v/>
      </c>
      <c r="CA80" s="36" t="str">
        <f ca="1">IFERROR(+IF(CA$27=ProposalToGnatt[[#This Row],[Start Date]],Milestone_Marker,IF(AND(CA$27&gt;ProposalToGnatt[[#This Row],[Start Date]],CA$27&lt;ProposalToGnatt[[#This Row],[Start Date]]+ProposalToGnatt[[#This Row],[Days]]),$G$5,"")),"")</f>
        <v/>
      </c>
      <c r="CB80" s="36" t="str">
        <f ca="1">IFERROR(+IF(CB$27=ProposalToGnatt[[#This Row],[Start Date]],Milestone_Marker,IF(AND(CB$27&gt;ProposalToGnatt[[#This Row],[Start Date]],CB$27&lt;ProposalToGnatt[[#This Row],[Start Date]]+ProposalToGnatt[[#This Row],[Days]]),$G$5,"")),"")</f>
        <v/>
      </c>
      <c r="CC80" s="36" t="str">
        <f ca="1">IFERROR(+IF(CC$27=ProposalToGnatt[[#This Row],[Start Date]],Milestone_Marker,IF(AND(CC$27&gt;ProposalToGnatt[[#This Row],[Start Date]],CC$27&lt;ProposalToGnatt[[#This Row],[Start Date]]+ProposalToGnatt[[#This Row],[Days]]),$G$5,"")),"")</f>
        <v/>
      </c>
      <c r="CD80" s="36" t="str">
        <f ca="1">IFERROR(+IF(CD$27=ProposalToGnatt[[#This Row],[Start Date]],Milestone_Marker,IF(AND(CD$27&gt;ProposalToGnatt[[#This Row],[Start Date]],CD$27&lt;ProposalToGnatt[[#This Row],[Start Date]]+ProposalToGnatt[[#This Row],[Days]]),$G$5,"")),"")</f>
        <v/>
      </c>
      <c r="CE80" s="36" t="str">
        <f ca="1">IFERROR(+IF(CE$27=ProposalToGnatt[[#This Row],[Start Date]],Milestone_Marker,IF(AND(CE$27&gt;ProposalToGnatt[[#This Row],[Start Date]],CE$27&lt;ProposalToGnatt[[#This Row],[Start Date]]+ProposalToGnatt[[#This Row],[Days]]),$G$5,"")),"")</f>
        <v/>
      </c>
      <c r="CF80" s="36" t="str">
        <f ca="1">IFERROR(+IF(CF$27=ProposalToGnatt[[#This Row],[Start Date]],Milestone_Marker,IF(AND(CF$27&gt;ProposalToGnatt[[#This Row],[Start Date]],CF$27&lt;ProposalToGnatt[[#This Row],[Start Date]]+ProposalToGnatt[[#This Row],[Days]]),$G$5,"")),"")</f>
        <v/>
      </c>
      <c r="CG80" s="36" t="str">
        <f ca="1">IFERROR(+IF(CG$27=ProposalToGnatt[[#This Row],[Start Date]],Milestone_Marker,IF(AND(CG$27&gt;ProposalToGnatt[[#This Row],[Start Date]],CG$27&lt;ProposalToGnatt[[#This Row],[Start Date]]+ProposalToGnatt[[#This Row],[Days]]),$G$5,"")),"")</f>
        <v/>
      </c>
      <c r="CH80" s="36" t="str">
        <f ca="1">IFERROR(+IF(CH$27=ProposalToGnatt[[#This Row],[Start Date]],Milestone_Marker,IF(AND(CH$27&gt;ProposalToGnatt[[#This Row],[Start Date]],CH$27&lt;ProposalToGnatt[[#This Row],[Start Date]]+ProposalToGnatt[[#This Row],[Days]]),$G$5,"")),"")</f>
        <v/>
      </c>
      <c r="CI80" s="36" t="str">
        <f ca="1">IFERROR(+IF(CI$27=ProposalToGnatt[[#This Row],[Start Date]],Milestone_Marker,IF(AND(CI$27&gt;ProposalToGnatt[[#This Row],[Start Date]],CI$27&lt;ProposalToGnatt[[#This Row],[Start Date]]+ProposalToGnatt[[#This Row],[Days]]),$G$5,"")),"")</f>
        <v/>
      </c>
      <c r="CJ80" s="36" t="str">
        <f ca="1">IFERROR(+IF(CJ$27=ProposalToGnatt[[#This Row],[Start Date]],Milestone_Marker,IF(AND(CJ$27&gt;ProposalToGnatt[[#This Row],[Start Date]],CJ$27&lt;ProposalToGnatt[[#This Row],[Start Date]]+ProposalToGnatt[[#This Row],[Days]]),$G$5,"")),"")</f>
        <v/>
      </c>
      <c r="CK80" s="36" t="str">
        <f ca="1">IFERROR(+IF(CK$27=ProposalToGnatt[[#This Row],[Start Date]],Milestone_Marker,IF(AND(CK$27&gt;ProposalToGnatt[[#This Row],[Start Date]],CK$27&lt;ProposalToGnatt[[#This Row],[Start Date]]+ProposalToGnatt[[#This Row],[Days]]),$G$5,"")),"")</f>
        <v/>
      </c>
      <c r="CL80" s="36" t="str">
        <f ca="1">IFERROR(+IF(CL$27=ProposalToGnatt[[#This Row],[Start Date]],Milestone_Marker,IF(AND(CL$27&gt;ProposalToGnatt[[#This Row],[Start Date]],CL$27&lt;ProposalToGnatt[[#This Row],[Start Date]]+ProposalToGnatt[[#This Row],[Days]]),$G$5,"")),"")</f>
        <v/>
      </c>
      <c r="CM80" s="36" t="str">
        <f ca="1">IFERROR(+IF(CM$27=ProposalToGnatt[[#This Row],[Start Date]],Milestone_Marker,IF(AND(CM$27&gt;ProposalToGnatt[[#This Row],[Start Date]],CM$27&lt;ProposalToGnatt[[#This Row],[Start Date]]+ProposalToGnatt[[#This Row],[Days]]),$G$5,"")),"")</f>
        <v/>
      </c>
      <c r="CN80" s="36" t="str">
        <f ca="1">IFERROR(+IF(CN$27=ProposalToGnatt[[#This Row],[Start Date]],Milestone_Marker,IF(AND(CN$27&gt;ProposalToGnatt[[#This Row],[Start Date]],CN$27&lt;ProposalToGnatt[[#This Row],[Start Date]]+ProposalToGnatt[[#This Row],[Days]]),$G$5,"")),"")</f>
        <v/>
      </c>
      <c r="CO80" s="36" t="str">
        <f ca="1">IFERROR(+IF(CO$27=ProposalToGnatt[[#This Row],[Start Date]],Milestone_Marker,IF(AND(CO$27&gt;ProposalToGnatt[[#This Row],[Start Date]],CO$27&lt;ProposalToGnatt[[#This Row],[Start Date]]+ProposalToGnatt[[#This Row],[Days]]),$G$5,"")),"")</f>
        <v/>
      </c>
      <c r="CP80" s="36" t="str">
        <f ca="1">IFERROR(+IF(CP$27=ProposalToGnatt[[#This Row],[Start Date]],Milestone_Marker,IF(AND(CP$27&gt;ProposalToGnatt[[#This Row],[Start Date]],CP$27&lt;ProposalToGnatt[[#This Row],[Start Date]]+ProposalToGnatt[[#This Row],[Days]]),$G$5,"")),"")</f>
        <v/>
      </c>
      <c r="CQ80" s="36" t="str">
        <f ca="1">IFERROR(+IF(CQ$27=ProposalToGnatt[[#This Row],[Start Date]],Milestone_Marker,IF(AND(CQ$27&gt;ProposalToGnatt[[#This Row],[Start Date]],CQ$27&lt;ProposalToGnatt[[#This Row],[Start Date]]+ProposalToGnatt[[#This Row],[Days]]),$G$5,"")),"")</f>
        <v/>
      </c>
      <c r="CR80" s="36" t="str">
        <f ca="1">IFERROR(+IF(CR$27=ProposalToGnatt[[#This Row],[Start Date]],Milestone_Marker,IF(AND(CR$27&gt;ProposalToGnatt[[#This Row],[Start Date]],CR$27&lt;ProposalToGnatt[[#This Row],[Start Date]]+ProposalToGnatt[[#This Row],[Days]]),$G$5,"")),"")</f>
        <v/>
      </c>
      <c r="CS80" s="36" t="str">
        <f ca="1">IFERROR(+IF(CS$27=ProposalToGnatt[[#This Row],[Start Date]],Milestone_Marker,IF(AND(CS$27&gt;ProposalToGnatt[[#This Row],[Start Date]],CS$27&lt;ProposalToGnatt[[#This Row],[Start Date]]+ProposalToGnatt[[#This Row],[Days]]),$G$5,"")),"")</f>
        <v/>
      </c>
      <c r="CT80" s="36" t="str">
        <f ca="1">IFERROR(+IF(CT$27=ProposalToGnatt[[#This Row],[Start Date]],Milestone_Marker,IF(AND(CT$27&gt;ProposalToGnatt[[#This Row],[Start Date]],CT$27&lt;ProposalToGnatt[[#This Row],[Start Date]]+ProposalToGnatt[[#This Row],[Days]]),$G$5,"")),"")</f>
        <v/>
      </c>
      <c r="CU80" s="36" t="str">
        <f ca="1">IFERROR(+IF(CU$27=ProposalToGnatt[[#This Row],[Start Date]],Milestone_Marker,IF(AND(CU$27&gt;ProposalToGnatt[[#This Row],[Start Date]],CU$27&lt;ProposalToGnatt[[#This Row],[Start Date]]+ProposalToGnatt[[#This Row],[Days]]),$G$5,"")),"")</f>
        <v/>
      </c>
      <c r="CV80" s="36" t="str">
        <f ca="1">IFERROR(+IF(CT$27=#REF!,Milestone_Marker,IF(AND(CT$27&gt;#REF!,CT$27&lt;=#REF!+#REF!),$G$5,"")),"")</f>
        <v/>
      </c>
      <c r="CW80" s="36" t="str">
        <f ca="1">IFERROR(+IF(CU$27=#REF!,Milestone_Marker,IF(AND(CU$27&gt;#REF!,CU$27&lt;=#REF!+#REF!),$G$5,"")),"")</f>
        <v/>
      </c>
      <c r="CX80" s="36"/>
      <c r="CY80" s="36"/>
      <c r="CZ80" s="36"/>
      <c r="DA80" s="36"/>
      <c r="DB80" s="36"/>
      <c r="DC80" s="36"/>
      <c r="DD80" s="36"/>
      <c r="DE80" s="36"/>
      <c r="DF80" s="36"/>
      <c r="DG80" s="36"/>
      <c r="DH80" s="36"/>
      <c r="DI80" s="36"/>
      <c r="DJ80" s="36"/>
      <c r="DK80" s="36"/>
      <c r="DL80" s="36"/>
      <c r="DM80" s="36"/>
      <c r="DN80" s="36"/>
      <c r="DO80" s="36"/>
      <c r="DP80" s="36"/>
      <c r="DQ80" s="36"/>
      <c r="DR80" s="36"/>
      <c r="DS80" s="36"/>
      <c r="DT80" s="36"/>
      <c r="DU80" s="36"/>
    </row>
    <row r="81" spans="1:125" ht="15" x14ac:dyDescent="0.25">
      <c r="A81" t="s">
        <v>523</v>
      </c>
      <c r="B81">
        <v>63</v>
      </c>
      <c r="C81" t="s">
        <v>1077</v>
      </c>
      <c r="D81" t="s">
        <v>1044</v>
      </c>
      <c r="E81" s="568" t="s">
        <v>1043</v>
      </c>
      <c r="F81">
        <v>1</v>
      </c>
      <c r="G81" s="14"/>
      <c r="H81" s="14"/>
      <c r="I81" t="s">
        <v>3</v>
      </c>
      <c r="J81">
        <v>2</v>
      </c>
      <c r="K81" s="249"/>
      <c r="L81"/>
      <c r="M81" s="14"/>
      <c r="N81" s="300"/>
      <c r="O81" s="554"/>
      <c r="P81" s="36" t="str">
        <f ca="1">IFERROR(+IF(P$27=ProposalToGnatt[[#This Row],[Start Date]],Milestone_Marker,IF(AND(P$27&gt;ProposalToGnatt[[#This Row],[Start Date]],P$27&lt;ProposalToGnatt[[#This Row],[Start Date]]+ProposalToGnatt[[#This Row],[Days]]),$G$5,"")),"")</f>
        <v/>
      </c>
      <c r="Q81" s="36" t="str">
        <f ca="1">IFERROR(+IF(Q$27=ProposalToGnatt[[#This Row],[Start Date]],Milestone_Marker,IF(AND(Q$27&gt;ProposalToGnatt[[#This Row],[Start Date]],Q$27&lt;ProposalToGnatt[[#This Row],[Start Date]]+ProposalToGnatt[[#This Row],[Days]]),$G$5,"")),"")</f>
        <v/>
      </c>
      <c r="R81" s="36" t="str">
        <f ca="1">IFERROR(+IF(R$27=ProposalToGnatt[[#This Row],[Start Date]],Milestone_Marker,IF(AND(R$27&gt;ProposalToGnatt[[#This Row],[Start Date]],R$27&lt;ProposalToGnatt[[#This Row],[Start Date]]+ProposalToGnatt[[#This Row],[Days]]),$G$5,"")),"")</f>
        <v/>
      </c>
      <c r="S81" s="36" t="str">
        <f ca="1">IFERROR(+IF(S$27=ProposalToGnatt[[#This Row],[Start Date]],Milestone_Marker,IF(AND(S$27&gt;ProposalToGnatt[[#This Row],[Start Date]],S$27&lt;ProposalToGnatt[[#This Row],[Start Date]]+ProposalToGnatt[[#This Row],[Days]]),$G$5,"")),"")</f>
        <v/>
      </c>
      <c r="T81" s="36" t="str">
        <f ca="1">IFERROR(+IF(T$27=ProposalToGnatt[[#This Row],[Start Date]],Milestone_Marker,IF(AND(T$27&gt;ProposalToGnatt[[#This Row],[Start Date]],T$27&lt;ProposalToGnatt[[#This Row],[Start Date]]+ProposalToGnatt[[#This Row],[Days]]),$G$5,"")),"")</f>
        <v/>
      </c>
      <c r="U81" s="36" t="str">
        <f ca="1">IFERROR(+IF(U$27=ProposalToGnatt[[#This Row],[Start Date]],Milestone_Marker,IF(AND(U$27&gt;ProposalToGnatt[[#This Row],[Start Date]],U$27&lt;ProposalToGnatt[[#This Row],[Start Date]]+ProposalToGnatt[[#This Row],[Days]]),$G$5,"")),"")</f>
        <v/>
      </c>
      <c r="V81" s="36" t="str">
        <f ca="1">IFERROR(+IF(V$27=ProposalToGnatt[[#This Row],[Start Date]],Milestone_Marker,IF(AND(V$27&gt;ProposalToGnatt[[#This Row],[Start Date]],V$27&lt;ProposalToGnatt[[#This Row],[Start Date]]+ProposalToGnatt[[#This Row],[Days]]),$G$5,"")),"")</f>
        <v/>
      </c>
      <c r="W81" s="36" t="str">
        <f ca="1">IFERROR(+IF(W$27=ProposalToGnatt[[#This Row],[Start Date]],Milestone_Marker,IF(AND(W$27&gt;ProposalToGnatt[[#This Row],[Start Date]],W$27&lt;ProposalToGnatt[[#This Row],[Start Date]]+ProposalToGnatt[[#This Row],[Days]]),$G$5,"")),"")</f>
        <v/>
      </c>
      <c r="X81" s="36" t="str">
        <f ca="1">IFERROR(+IF(X$27=ProposalToGnatt[[#This Row],[Start Date]],Milestone_Marker,IF(AND(X$27&gt;ProposalToGnatt[[#This Row],[Start Date]],X$27&lt;ProposalToGnatt[[#This Row],[Start Date]]+ProposalToGnatt[[#This Row],[Days]]),$G$5,"")),"")</f>
        <v/>
      </c>
      <c r="Y81" s="36" t="str">
        <f ca="1">IFERROR(+IF(Y$27=ProposalToGnatt[[#This Row],[Start Date]],Milestone_Marker,IF(AND(Y$27&gt;ProposalToGnatt[[#This Row],[Start Date]],Y$27&lt;ProposalToGnatt[[#This Row],[Start Date]]+ProposalToGnatt[[#This Row],[Days]]),$G$5,"")),"")</f>
        <v/>
      </c>
      <c r="Z81" s="36" t="str">
        <f ca="1">IFERROR(+IF(Z$27=ProposalToGnatt[[#This Row],[Start Date]],Milestone_Marker,IF(AND(Z$27&gt;ProposalToGnatt[[#This Row],[Start Date]],Z$27&lt;ProposalToGnatt[[#This Row],[Start Date]]+ProposalToGnatt[[#This Row],[Days]]),$G$5,"")),"")</f>
        <v/>
      </c>
      <c r="AA81" s="36" t="str">
        <f ca="1">IFERROR(+IF(AA$27=ProposalToGnatt[[#This Row],[Start Date]],Milestone_Marker,IF(AND(AA$27&gt;ProposalToGnatt[[#This Row],[Start Date]],AA$27&lt;ProposalToGnatt[[#This Row],[Start Date]]+ProposalToGnatt[[#This Row],[Days]]),$G$5,"")),"")</f>
        <v/>
      </c>
      <c r="AB81" s="36" t="str">
        <f ca="1">IFERROR(+IF(AB$27=ProposalToGnatt[[#This Row],[Start Date]],Milestone_Marker,IF(AND(AB$27&gt;ProposalToGnatt[[#This Row],[Start Date]],AB$27&lt;ProposalToGnatt[[#This Row],[Start Date]]+ProposalToGnatt[[#This Row],[Days]]),$G$5,"")),"")</f>
        <v/>
      </c>
      <c r="AC81" s="36" t="str">
        <f ca="1">IFERROR(+IF(AC$27=ProposalToGnatt[[#This Row],[Start Date]],Milestone_Marker,IF(AND(AC$27&gt;ProposalToGnatt[[#This Row],[Start Date]],AC$27&lt;ProposalToGnatt[[#This Row],[Start Date]]+ProposalToGnatt[[#This Row],[Days]]),$G$5,"")),"")</f>
        <v/>
      </c>
      <c r="AD81" s="36" t="str">
        <f ca="1">IFERROR(+IF(AD$27=ProposalToGnatt[[#This Row],[Start Date]],Milestone_Marker,IF(AND(AD$27&gt;ProposalToGnatt[[#This Row],[Start Date]],AD$27&lt;ProposalToGnatt[[#This Row],[Start Date]]+ProposalToGnatt[[#This Row],[Days]]),$G$5,"")),"")</f>
        <v/>
      </c>
      <c r="AE81" s="36" t="str">
        <f ca="1">IFERROR(+IF(AE$27=ProposalToGnatt[[#This Row],[Start Date]],Milestone_Marker,IF(AND(AE$27&gt;ProposalToGnatt[[#This Row],[Start Date]],AE$27&lt;ProposalToGnatt[[#This Row],[Start Date]]+ProposalToGnatt[[#This Row],[Days]]),$G$5,"")),"")</f>
        <v/>
      </c>
      <c r="AF81" s="36" t="str">
        <f ca="1">IFERROR(+IF(AF$27=ProposalToGnatt[[#This Row],[Start Date]],Milestone_Marker,IF(AND(AF$27&gt;ProposalToGnatt[[#This Row],[Start Date]],AF$27&lt;ProposalToGnatt[[#This Row],[Start Date]]+ProposalToGnatt[[#This Row],[Days]]),$G$5,"")),"")</f>
        <v/>
      </c>
      <c r="AG81" s="36" t="str">
        <f ca="1">IFERROR(+IF(AG$27=ProposalToGnatt[[#This Row],[Start Date]],Milestone_Marker,IF(AND(AG$27&gt;ProposalToGnatt[[#This Row],[Start Date]],AG$27&lt;ProposalToGnatt[[#This Row],[Start Date]]+ProposalToGnatt[[#This Row],[Days]]),$G$5,"")),"")</f>
        <v/>
      </c>
      <c r="AH81" s="36" t="str">
        <f ca="1">IFERROR(+IF(AH$27=ProposalToGnatt[[#This Row],[Start Date]],Milestone_Marker,IF(AND(AH$27&gt;ProposalToGnatt[[#This Row],[Start Date]],AH$27&lt;ProposalToGnatt[[#This Row],[Start Date]]+ProposalToGnatt[[#This Row],[Days]]),$G$5,"")),"")</f>
        <v/>
      </c>
      <c r="AI81" s="36" t="str">
        <f ca="1">IFERROR(+IF(AI$27=ProposalToGnatt[[#This Row],[Start Date]],Milestone_Marker,IF(AND(AI$27&gt;ProposalToGnatt[[#This Row],[Start Date]],AI$27&lt;ProposalToGnatt[[#This Row],[Start Date]]+ProposalToGnatt[[#This Row],[Days]]),$G$5,"")),"")</f>
        <v/>
      </c>
      <c r="AJ81" s="36" t="str">
        <f ca="1">IFERROR(+IF(AJ$27=ProposalToGnatt[[#This Row],[Start Date]],Milestone_Marker,IF(AND(AJ$27&gt;ProposalToGnatt[[#This Row],[Start Date]],AJ$27&lt;ProposalToGnatt[[#This Row],[Start Date]]+ProposalToGnatt[[#This Row],[Days]]),$G$5,"")),"")</f>
        <v/>
      </c>
      <c r="AK81" s="36" t="str">
        <f ca="1">IFERROR(+IF(AK$27=ProposalToGnatt[[#This Row],[Start Date]],Milestone_Marker,IF(AND(AK$27&gt;ProposalToGnatt[[#This Row],[Start Date]],AK$27&lt;ProposalToGnatt[[#This Row],[Start Date]]+ProposalToGnatt[[#This Row],[Days]]),$G$5,"")),"")</f>
        <v/>
      </c>
      <c r="AL81" s="36" t="str">
        <f ca="1">IFERROR(+IF(AL$27=ProposalToGnatt[[#This Row],[Start Date]],Milestone_Marker,IF(AND(AL$27&gt;ProposalToGnatt[[#This Row],[Start Date]],AL$27&lt;ProposalToGnatt[[#This Row],[Start Date]]+ProposalToGnatt[[#This Row],[Days]]),$G$5,"")),"")</f>
        <v/>
      </c>
      <c r="AM81" s="36" t="str">
        <f ca="1">IFERROR(+IF(AM$27=ProposalToGnatt[[#This Row],[Start Date]],Milestone_Marker,IF(AND(AM$27&gt;ProposalToGnatt[[#This Row],[Start Date]],AM$27&lt;ProposalToGnatt[[#This Row],[Start Date]]+ProposalToGnatt[[#This Row],[Days]]),$G$5,"")),"")</f>
        <v/>
      </c>
      <c r="AN81" s="36" t="str">
        <f ca="1">IFERROR(+IF(AN$27=ProposalToGnatt[[#This Row],[Start Date]],Milestone_Marker,IF(AND(AN$27&gt;ProposalToGnatt[[#This Row],[Start Date]],AN$27&lt;ProposalToGnatt[[#This Row],[Start Date]]+ProposalToGnatt[[#This Row],[Days]]),$G$5,"")),"")</f>
        <v/>
      </c>
      <c r="AO81" s="36" t="str">
        <f ca="1">IFERROR(+IF(AO$27=ProposalToGnatt[[#This Row],[Start Date]],Milestone_Marker,IF(AND(AO$27&gt;ProposalToGnatt[[#This Row],[Start Date]],AO$27&lt;ProposalToGnatt[[#This Row],[Start Date]]+ProposalToGnatt[[#This Row],[Days]]),$G$5,"")),"")</f>
        <v/>
      </c>
      <c r="AP81" s="36" t="str">
        <f ca="1">IFERROR(+IF(AP$27=ProposalToGnatt[[#This Row],[Start Date]],Milestone_Marker,IF(AND(AP$27&gt;ProposalToGnatt[[#This Row],[Start Date]],AP$27&lt;ProposalToGnatt[[#This Row],[Start Date]]+ProposalToGnatt[[#This Row],[Days]]),$G$5,"")),"")</f>
        <v/>
      </c>
      <c r="AQ81" s="36" t="str">
        <f ca="1">IFERROR(+IF(AQ$27=ProposalToGnatt[[#This Row],[Start Date]],Milestone_Marker,IF(AND(AQ$27&gt;ProposalToGnatt[[#This Row],[Start Date]],AQ$27&lt;ProposalToGnatt[[#This Row],[Start Date]]+ProposalToGnatt[[#This Row],[Days]]),$G$5,"")),"")</f>
        <v/>
      </c>
      <c r="AR81" s="36" t="str">
        <f ca="1">IFERROR(+IF(AR$27=ProposalToGnatt[[#This Row],[Start Date]],Milestone_Marker,IF(AND(AR$27&gt;ProposalToGnatt[[#This Row],[Start Date]],AR$27&lt;ProposalToGnatt[[#This Row],[Start Date]]+ProposalToGnatt[[#This Row],[Days]]),$G$5,"")),"")</f>
        <v/>
      </c>
      <c r="AS81" s="36" t="str">
        <f ca="1">IFERROR(+IF(AS$27=ProposalToGnatt[[#This Row],[Start Date]],Milestone_Marker,IF(AND(AS$27&gt;ProposalToGnatt[[#This Row],[Start Date]],AS$27&lt;ProposalToGnatt[[#This Row],[Start Date]]+ProposalToGnatt[[#This Row],[Days]]),$G$5,"")),"")</f>
        <v/>
      </c>
      <c r="AT81" s="36" t="str">
        <f ca="1">IFERROR(+IF(AT$27=ProposalToGnatt[[#This Row],[Start Date]],Milestone_Marker,IF(AND(AT$27&gt;ProposalToGnatt[[#This Row],[Start Date]],AT$27&lt;ProposalToGnatt[[#This Row],[Start Date]]+ProposalToGnatt[[#This Row],[Days]]),$G$5,"")),"")</f>
        <v/>
      </c>
      <c r="AU81" s="36" t="str">
        <f ca="1">IFERROR(+IF(AU$27=ProposalToGnatt[[#This Row],[Start Date]],Milestone_Marker,IF(AND(AU$27&gt;ProposalToGnatt[[#This Row],[Start Date]],AU$27&lt;ProposalToGnatt[[#This Row],[Start Date]]+ProposalToGnatt[[#This Row],[Days]]),$G$5,"")),"")</f>
        <v/>
      </c>
      <c r="AV81" s="36" t="str">
        <f ca="1">IFERROR(+IF(AV$27=ProposalToGnatt[[#This Row],[Start Date]],Milestone_Marker,IF(AND(AV$27&gt;ProposalToGnatt[[#This Row],[Start Date]],AV$27&lt;ProposalToGnatt[[#This Row],[Start Date]]+ProposalToGnatt[[#This Row],[Days]]),$G$5,"")),"")</f>
        <v/>
      </c>
      <c r="AW81" s="36" t="str">
        <f ca="1">IFERROR(+IF(AW$27=ProposalToGnatt[[#This Row],[Start Date]],Milestone_Marker,IF(AND(AW$27&gt;ProposalToGnatt[[#This Row],[Start Date]],AW$27&lt;ProposalToGnatt[[#This Row],[Start Date]]+ProposalToGnatt[[#This Row],[Days]]),$G$5,"")),"")</f>
        <v/>
      </c>
      <c r="AX81" s="36" t="str">
        <f ca="1">IFERROR(+IF(AX$27=ProposalToGnatt[[#This Row],[Start Date]],Milestone_Marker,IF(AND(AX$27&gt;ProposalToGnatt[[#This Row],[Start Date]],AX$27&lt;ProposalToGnatt[[#This Row],[Start Date]]+ProposalToGnatt[[#This Row],[Days]]),$G$5,"")),"")</f>
        <v/>
      </c>
      <c r="AY81" s="36" t="str">
        <f ca="1">IFERROR(+IF(AY$27=ProposalToGnatt[[#This Row],[Start Date]],Milestone_Marker,IF(AND(AY$27&gt;ProposalToGnatt[[#This Row],[Start Date]],AY$27&lt;ProposalToGnatt[[#This Row],[Start Date]]+ProposalToGnatt[[#This Row],[Days]]),$G$5,"")),"")</f>
        <v/>
      </c>
      <c r="AZ81" s="36" t="str">
        <f ca="1">IFERROR(+IF(AZ$27=ProposalToGnatt[[#This Row],[Start Date]],Milestone_Marker,IF(AND(AZ$27&gt;ProposalToGnatt[[#This Row],[Start Date]],AZ$27&lt;ProposalToGnatt[[#This Row],[Start Date]]+ProposalToGnatt[[#This Row],[Days]]),$G$5,"")),"")</f>
        <v/>
      </c>
      <c r="BA81" s="36" t="str">
        <f ca="1">IFERROR(+IF(BA$27=ProposalToGnatt[[#This Row],[Start Date]],Milestone_Marker,IF(AND(BA$27&gt;ProposalToGnatt[[#This Row],[Start Date]],BA$27&lt;ProposalToGnatt[[#This Row],[Start Date]]+ProposalToGnatt[[#This Row],[Days]]),$G$5,"")),"")</f>
        <v/>
      </c>
      <c r="BB81" s="36" t="str">
        <f ca="1">IFERROR(+IF(BB$27=ProposalToGnatt[[#This Row],[Start Date]],Milestone_Marker,IF(AND(BB$27&gt;ProposalToGnatt[[#This Row],[Start Date]],BB$27&lt;ProposalToGnatt[[#This Row],[Start Date]]+ProposalToGnatt[[#This Row],[Days]]),$G$5,"")),"")</f>
        <v/>
      </c>
      <c r="BC81" s="36" t="str">
        <f ca="1">IFERROR(+IF(BC$27=ProposalToGnatt[[#This Row],[Start Date]],Milestone_Marker,IF(AND(BC$27&gt;ProposalToGnatt[[#This Row],[Start Date]],BC$27&lt;ProposalToGnatt[[#This Row],[Start Date]]+ProposalToGnatt[[#This Row],[Days]]),$G$5,"")),"")</f>
        <v/>
      </c>
      <c r="BD81" s="36" t="str">
        <f ca="1">IFERROR(+IF(BD$27=ProposalToGnatt[[#This Row],[Start Date]],Milestone_Marker,IF(AND(BD$27&gt;ProposalToGnatt[[#This Row],[Start Date]],BD$27&lt;ProposalToGnatt[[#This Row],[Start Date]]+ProposalToGnatt[[#This Row],[Days]]),$G$5,"")),"")</f>
        <v/>
      </c>
      <c r="BE81" s="36" t="str">
        <f ca="1">IFERROR(+IF(BE$27=ProposalToGnatt[[#This Row],[Start Date]],Milestone_Marker,IF(AND(BE$27&gt;ProposalToGnatt[[#This Row],[Start Date]],BE$27&lt;ProposalToGnatt[[#This Row],[Start Date]]+ProposalToGnatt[[#This Row],[Days]]),$G$5,"")),"")</f>
        <v/>
      </c>
      <c r="BF81" s="36" t="str">
        <f ca="1">IFERROR(+IF(BF$27=ProposalToGnatt[[#This Row],[Start Date]],Milestone_Marker,IF(AND(BF$27&gt;ProposalToGnatt[[#This Row],[Start Date]],BF$27&lt;ProposalToGnatt[[#This Row],[Start Date]]+ProposalToGnatt[[#This Row],[Days]]),$G$5,"")),"")</f>
        <v/>
      </c>
      <c r="BG81" s="36" t="str">
        <f ca="1">IFERROR(+IF(BG$27=ProposalToGnatt[[#This Row],[Start Date]],Milestone_Marker,IF(AND(BG$27&gt;ProposalToGnatt[[#This Row],[Start Date]],BG$27&lt;ProposalToGnatt[[#This Row],[Start Date]]+ProposalToGnatt[[#This Row],[Days]]),$G$5,"")),"")</f>
        <v/>
      </c>
      <c r="BH81" s="36" t="str">
        <f ca="1">IFERROR(+IF(BH$27=ProposalToGnatt[[#This Row],[Start Date]],Milestone_Marker,IF(AND(BH$27&gt;ProposalToGnatt[[#This Row],[Start Date]],BH$27&lt;ProposalToGnatt[[#This Row],[Start Date]]+ProposalToGnatt[[#This Row],[Days]]),$G$5,"")),"")</f>
        <v/>
      </c>
      <c r="BI81" s="36" t="str">
        <f ca="1">IFERROR(+IF(BI$27=ProposalToGnatt[[#This Row],[Start Date]],Milestone_Marker,IF(AND(BI$27&gt;ProposalToGnatt[[#This Row],[Start Date]],BI$27&lt;ProposalToGnatt[[#This Row],[Start Date]]+ProposalToGnatt[[#This Row],[Days]]),$G$5,"")),"")</f>
        <v/>
      </c>
      <c r="BJ81" s="36" t="str">
        <f ca="1">IFERROR(+IF(BJ$27=ProposalToGnatt[[#This Row],[Start Date]],Milestone_Marker,IF(AND(BJ$27&gt;ProposalToGnatt[[#This Row],[Start Date]],BJ$27&lt;ProposalToGnatt[[#This Row],[Start Date]]+ProposalToGnatt[[#This Row],[Days]]),$G$5,"")),"")</f>
        <v/>
      </c>
      <c r="BK81" s="36" t="str">
        <f ca="1">IFERROR(+IF(BK$27=ProposalToGnatt[[#This Row],[Start Date]],Milestone_Marker,IF(AND(BK$27&gt;ProposalToGnatt[[#This Row],[Start Date]],BK$27&lt;ProposalToGnatt[[#This Row],[Start Date]]+ProposalToGnatt[[#This Row],[Days]]),$G$5,"")),"")</f>
        <v/>
      </c>
      <c r="BL81" s="36" t="str">
        <f ca="1">IFERROR(+IF(BL$27=ProposalToGnatt[[#This Row],[Start Date]],Milestone_Marker,IF(AND(BL$27&gt;ProposalToGnatt[[#This Row],[Start Date]],BL$27&lt;ProposalToGnatt[[#This Row],[Start Date]]+ProposalToGnatt[[#This Row],[Days]]),$G$5,"")),"")</f>
        <v/>
      </c>
      <c r="BM81" s="36" t="str">
        <f ca="1">IFERROR(+IF(BM$27=ProposalToGnatt[[#This Row],[Start Date]],Milestone_Marker,IF(AND(BM$27&gt;ProposalToGnatt[[#This Row],[Start Date]],BM$27&lt;ProposalToGnatt[[#This Row],[Start Date]]+ProposalToGnatt[[#This Row],[Days]]),$G$5,"")),"")</f>
        <v/>
      </c>
      <c r="BN81" s="36" t="str">
        <f ca="1">IFERROR(+IF(BN$27=ProposalToGnatt[[#This Row],[Start Date]],Milestone_Marker,IF(AND(BN$27&gt;ProposalToGnatt[[#This Row],[Start Date]],BN$27&lt;ProposalToGnatt[[#This Row],[Start Date]]+ProposalToGnatt[[#This Row],[Days]]),$G$5,"")),"")</f>
        <v/>
      </c>
      <c r="BO81" s="36" t="str">
        <f ca="1">IFERROR(+IF(BO$27=ProposalToGnatt[[#This Row],[Start Date]],Milestone_Marker,IF(AND(BO$27&gt;ProposalToGnatt[[#This Row],[Start Date]],BO$27&lt;ProposalToGnatt[[#This Row],[Start Date]]+ProposalToGnatt[[#This Row],[Days]]),$G$5,"")),"")</f>
        <v/>
      </c>
      <c r="BP81" s="36" t="str">
        <f ca="1">IFERROR(+IF(BP$27=ProposalToGnatt[[#This Row],[Start Date]],Milestone_Marker,IF(AND(BP$27&gt;ProposalToGnatt[[#This Row],[Start Date]],BP$27&lt;ProposalToGnatt[[#This Row],[Start Date]]+ProposalToGnatt[[#This Row],[Days]]),$G$5,"")),"")</f>
        <v/>
      </c>
      <c r="BQ81" s="36" t="str">
        <f ca="1">IFERROR(+IF(BQ$27=ProposalToGnatt[[#This Row],[Start Date]],Milestone_Marker,IF(AND(BQ$27&gt;ProposalToGnatt[[#This Row],[Start Date]],BQ$27&lt;ProposalToGnatt[[#This Row],[Start Date]]+ProposalToGnatt[[#This Row],[Days]]),$G$5,"")),"")</f>
        <v/>
      </c>
      <c r="BR81" s="36" t="str">
        <f ca="1">IFERROR(+IF(BR$27=ProposalToGnatt[[#This Row],[Start Date]],Milestone_Marker,IF(AND(BR$27&gt;ProposalToGnatt[[#This Row],[Start Date]],BR$27&lt;ProposalToGnatt[[#This Row],[Start Date]]+ProposalToGnatt[[#This Row],[Days]]),$G$5,"")),"")</f>
        <v/>
      </c>
      <c r="BS81" s="36" t="str">
        <f ca="1">IFERROR(+IF(BS$27=ProposalToGnatt[[#This Row],[Start Date]],Milestone_Marker,IF(AND(BS$27&gt;ProposalToGnatt[[#This Row],[Start Date]],BS$27&lt;ProposalToGnatt[[#This Row],[Start Date]]+ProposalToGnatt[[#This Row],[Days]]),$G$5,"")),"")</f>
        <v/>
      </c>
      <c r="BT81" s="36" t="str">
        <f ca="1">IFERROR(+IF(BT$27=ProposalToGnatt[[#This Row],[Start Date]],Milestone_Marker,IF(AND(BT$27&gt;ProposalToGnatt[[#This Row],[Start Date]],BT$27&lt;ProposalToGnatt[[#This Row],[Start Date]]+ProposalToGnatt[[#This Row],[Days]]),$G$5,"")),"")</f>
        <v/>
      </c>
      <c r="BU81" s="36" t="str">
        <f ca="1">IFERROR(+IF(BU$27=ProposalToGnatt[[#This Row],[Start Date]],Milestone_Marker,IF(AND(BU$27&gt;ProposalToGnatt[[#This Row],[Start Date]],BU$27&lt;ProposalToGnatt[[#This Row],[Start Date]]+ProposalToGnatt[[#This Row],[Days]]),$G$5,"")),"")</f>
        <v/>
      </c>
      <c r="BV81" s="36" t="str">
        <f ca="1">IFERROR(+IF(BV$27=ProposalToGnatt[[#This Row],[Start Date]],Milestone_Marker,IF(AND(BV$27&gt;ProposalToGnatt[[#This Row],[Start Date]],BV$27&lt;ProposalToGnatt[[#This Row],[Start Date]]+ProposalToGnatt[[#This Row],[Days]]),$G$5,"")),"")</f>
        <v/>
      </c>
      <c r="BW81" s="36" t="str">
        <f ca="1">IFERROR(+IF(BW$27=ProposalToGnatt[[#This Row],[Start Date]],Milestone_Marker,IF(AND(BW$27&gt;ProposalToGnatt[[#This Row],[Start Date]],BW$27&lt;ProposalToGnatt[[#This Row],[Start Date]]+ProposalToGnatt[[#This Row],[Days]]),$G$5,"")),"")</f>
        <v/>
      </c>
      <c r="BX81" s="36" t="str">
        <f ca="1">IFERROR(+IF(BX$27=ProposalToGnatt[[#This Row],[Start Date]],Milestone_Marker,IF(AND(BX$27&gt;ProposalToGnatt[[#This Row],[Start Date]],BX$27&lt;ProposalToGnatt[[#This Row],[Start Date]]+ProposalToGnatt[[#This Row],[Days]]),$G$5,"")),"")</f>
        <v/>
      </c>
      <c r="BY81" s="36" t="str">
        <f ca="1">IFERROR(+IF(BY$27=ProposalToGnatt[[#This Row],[Start Date]],Milestone_Marker,IF(AND(BY$27&gt;ProposalToGnatt[[#This Row],[Start Date]],BY$27&lt;ProposalToGnatt[[#This Row],[Start Date]]+ProposalToGnatt[[#This Row],[Days]]),$G$5,"")),"")</f>
        <v/>
      </c>
      <c r="BZ81" s="36" t="str">
        <f ca="1">IFERROR(+IF(BZ$27=ProposalToGnatt[[#This Row],[Start Date]],Milestone_Marker,IF(AND(BZ$27&gt;ProposalToGnatt[[#This Row],[Start Date]],BZ$27&lt;ProposalToGnatt[[#This Row],[Start Date]]+ProposalToGnatt[[#This Row],[Days]]),$G$5,"")),"")</f>
        <v/>
      </c>
      <c r="CA81" s="36" t="str">
        <f ca="1">IFERROR(+IF(CA$27=ProposalToGnatt[[#This Row],[Start Date]],Milestone_Marker,IF(AND(CA$27&gt;ProposalToGnatt[[#This Row],[Start Date]],CA$27&lt;ProposalToGnatt[[#This Row],[Start Date]]+ProposalToGnatt[[#This Row],[Days]]),$G$5,"")),"")</f>
        <v/>
      </c>
      <c r="CB81" s="36" t="str">
        <f ca="1">IFERROR(+IF(CB$27=ProposalToGnatt[[#This Row],[Start Date]],Milestone_Marker,IF(AND(CB$27&gt;ProposalToGnatt[[#This Row],[Start Date]],CB$27&lt;ProposalToGnatt[[#This Row],[Start Date]]+ProposalToGnatt[[#This Row],[Days]]),$G$5,"")),"")</f>
        <v/>
      </c>
      <c r="CC81" s="36" t="str">
        <f ca="1">IFERROR(+IF(CC$27=ProposalToGnatt[[#This Row],[Start Date]],Milestone_Marker,IF(AND(CC$27&gt;ProposalToGnatt[[#This Row],[Start Date]],CC$27&lt;ProposalToGnatt[[#This Row],[Start Date]]+ProposalToGnatt[[#This Row],[Days]]),$G$5,"")),"")</f>
        <v/>
      </c>
      <c r="CD81" s="36" t="str">
        <f ca="1">IFERROR(+IF(CD$27=ProposalToGnatt[[#This Row],[Start Date]],Milestone_Marker,IF(AND(CD$27&gt;ProposalToGnatt[[#This Row],[Start Date]],CD$27&lt;ProposalToGnatt[[#This Row],[Start Date]]+ProposalToGnatt[[#This Row],[Days]]),$G$5,"")),"")</f>
        <v/>
      </c>
      <c r="CE81" s="36" t="str">
        <f ca="1">IFERROR(+IF(CE$27=ProposalToGnatt[[#This Row],[Start Date]],Milestone_Marker,IF(AND(CE$27&gt;ProposalToGnatt[[#This Row],[Start Date]],CE$27&lt;ProposalToGnatt[[#This Row],[Start Date]]+ProposalToGnatt[[#This Row],[Days]]),$G$5,"")),"")</f>
        <v/>
      </c>
      <c r="CF81" s="36" t="str">
        <f ca="1">IFERROR(+IF(CF$27=ProposalToGnatt[[#This Row],[Start Date]],Milestone_Marker,IF(AND(CF$27&gt;ProposalToGnatt[[#This Row],[Start Date]],CF$27&lt;ProposalToGnatt[[#This Row],[Start Date]]+ProposalToGnatt[[#This Row],[Days]]),$G$5,"")),"")</f>
        <v/>
      </c>
      <c r="CG81" s="36" t="str">
        <f ca="1">IFERROR(+IF(CG$27=ProposalToGnatt[[#This Row],[Start Date]],Milestone_Marker,IF(AND(CG$27&gt;ProposalToGnatt[[#This Row],[Start Date]],CG$27&lt;ProposalToGnatt[[#This Row],[Start Date]]+ProposalToGnatt[[#This Row],[Days]]),$G$5,"")),"")</f>
        <v/>
      </c>
      <c r="CH81" s="36" t="str">
        <f ca="1">IFERROR(+IF(CH$27=ProposalToGnatt[[#This Row],[Start Date]],Milestone_Marker,IF(AND(CH$27&gt;ProposalToGnatt[[#This Row],[Start Date]],CH$27&lt;ProposalToGnatt[[#This Row],[Start Date]]+ProposalToGnatt[[#This Row],[Days]]),$G$5,"")),"")</f>
        <v/>
      </c>
      <c r="CI81" s="36" t="str">
        <f ca="1">IFERROR(+IF(CI$27=ProposalToGnatt[[#This Row],[Start Date]],Milestone_Marker,IF(AND(CI$27&gt;ProposalToGnatt[[#This Row],[Start Date]],CI$27&lt;ProposalToGnatt[[#This Row],[Start Date]]+ProposalToGnatt[[#This Row],[Days]]),$G$5,"")),"")</f>
        <v/>
      </c>
      <c r="CJ81" s="36" t="str">
        <f ca="1">IFERROR(+IF(CJ$27=ProposalToGnatt[[#This Row],[Start Date]],Milestone_Marker,IF(AND(CJ$27&gt;ProposalToGnatt[[#This Row],[Start Date]],CJ$27&lt;ProposalToGnatt[[#This Row],[Start Date]]+ProposalToGnatt[[#This Row],[Days]]),$G$5,"")),"")</f>
        <v/>
      </c>
      <c r="CK81" s="36" t="str">
        <f ca="1">IFERROR(+IF(CK$27=ProposalToGnatt[[#This Row],[Start Date]],Milestone_Marker,IF(AND(CK$27&gt;ProposalToGnatt[[#This Row],[Start Date]],CK$27&lt;ProposalToGnatt[[#This Row],[Start Date]]+ProposalToGnatt[[#This Row],[Days]]),$G$5,"")),"")</f>
        <v/>
      </c>
      <c r="CL81" s="36" t="str">
        <f ca="1">IFERROR(+IF(CL$27=ProposalToGnatt[[#This Row],[Start Date]],Milestone_Marker,IF(AND(CL$27&gt;ProposalToGnatt[[#This Row],[Start Date]],CL$27&lt;ProposalToGnatt[[#This Row],[Start Date]]+ProposalToGnatt[[#This Row],[Days]]),$G$5,"")),"")</f>
        <v/>
      </c>
      <c r="CM81" s="36" t="str">
        <f ca="1">IFERROR(+IF(CM$27=ProposalToGnatt[[#This Row],[Start Date]],Milestone_Marker,IF(AND(CM$27&gt;ProposalToGnatt[[#This Row],[Start Date]],CM$27&lt;ProposalToGnatt[[#This Row],[Start Date]]+ProposalToGnatt[[#This Row],[Days]]),$G$5,"")),"")</f>
        <v/>
      </c>
      <c r="CN81" s="36" t="str">
        <f ca="1">IFERROR(+IF(CN$27=ProposalToGnatt[[#This Row],[Start Date]],Milestone_Marker,IF(AND(CN$27&gt;ProposalToGnatt[[#This Row],[Start Date]],CN$27&lt;ProposalToGnatt[[#This Row],[Start Date]]+ProposalToGnatt[[#This Row],[Days]]),$G$5,"")),"")</f>
        <v/>
      </c>
      <c r="CO81" s="36" t="str">
        <f ca="1">IFERROR(+IF(CO$27=ProposalToGnatt[[#This Row],[Start Date]],Milestone_Marker,IF(AND(CO$27&gt;ProposalToGnatt[[#This Row],[Start Date]],CO$27&lt;ProposalToGnatt[[#This Row],[Start Date]]+ProposalToGnatt[[#This Row],[Days]]),$G$5,"")),"")</f>
        <v/>
      </c>
      <c r="CP81" s="36" t="str">
        <f ca="1">IFERROR(+IF(CP$27=ProposalToGnatt[[#This Row],[Start Date]],Milestone_Marker,IF(AND(CP$27&gt;ProposalToGnatt[[#This Row],[Start Date]],CP$27&lt;ProposalToGnatt[[#This Row],[Start Date]]+ProposalToGnatt[[#This Row],[Days]]),$G$5,"")),"")</f>
        <v/>
      </c>
      <c r="CQ81" s="36" t="str">
        <f ca="1">IFERROR(+IF(CQ$27=ProposalToGnatt[[#This Row],[Start Date]],Milestone_Marker,IF(AND(CQ$27&gt;ProposalToGnatt[[#This Row],[Start Date]],CQ$27&lt;ProposalToGnatt[[#This Row],[Start Date]]+ProposalToGnatt[[#This Row],[Days]]),$G$5,"")),"")</f>
        <v/>
      </c>
      <c r="CR81" s="36" t="str">
        <f ca="1">IFERROR(+IF(CR$27=ProposalToGnatt[[#This Row],[Start Date]],Milestone_Marker,IF(AND(CR$27&gt;ProposalToGnatt[[#This Row],[Start Date]],CR$27&lt;ProposalToGnatt[[#This Row],[Start Date]]+ProposalToGnatt[[#This Row],[Days]]),$G$5,"")),"")</f>
        <v/>
      </c>
      <c r="CS81" s="36" t="str">
        <f ca="1">IFERROR(+IF(CS$27=ProposalToGnatt[[#This Row],[Start Date]],Milestone_Marker,IF(AND(CS$27&gt;ProposalToGnatt[[#This Row],[Start Date]],CS$27&lt;ProposalToGnatt[[#This Row],[Start Date]]+ProposalToGnatt[[#This Row],[Days]]),$G$5,"")),"")</f>
        <v/>
      </c>
      <c r="CT81" s="36" t="str">
        <f ca="1">IFERROR(+IF(CT$27=ProposalToGnatt[[#This Row],[Start Date]],Milestone_Marker,IF(AND(CT$27&gt;ProposalToGnatt[[#This Row],[Start Date]],CT$27&lt;ProposalToGnatt[[#This Row],[Start Date]]+ProposalToGnatt[[#This Row],[Days]]),$G$5,"")),"")</f>
        <v/>
      </c>
      <c r="CU81" s="36" t="str">
        <f ca="1">IFERROR(+IF(CU$27=ProposalToGnatt[[#This Row],[Start Date]],Milestone_Marker,IF(AND(CU$27&gt;ProposalToGnatt[[#This Row],[Start Date]],CU$27&lt;ProposalToGnatt[[#This Row],[Start Date]]+ProposalToGnatt[[#This Row],[Days]]),$G$5,"")),"")</f>
        <v/>
      </c>
      <c r="CV81" s="36" t="str">
        <f ca="1">IFERROR(+IF(CT$27=#REF!,Milestone_Marker,IF(AND(CT$27&gt;#REF!,CT$27&lt;=#REF!+#REF!),$G$5,"")),"")</f>
        <v/>
      </c>
      <c r="CW81" s="36" t="str">
        <f ca="1">IFERROR(+IF(CU$27=#REF!,Milestone_Marker,IF(AND(CU$27&gt;#REF!,CU$27&lt;=#REF!+#REF!),$G$5,"")),"")</f>
        <v/>
      </c>
      <c r="CX81" s="36"/>
      <c r="CY81" s="36"/>
      <c r="CZ81" s="36"/>
      <c r="DA81" s="36"/>
      <c r="DB81" s="36"/>
      <c r="DC81" s="36"/>
      <c r="DD81" s="36"/>
      <c r="DE81" s="36"/>
      <c r="DF81" s="36"/>
      <c r="DG81" s="36"/>
      <c r="DH81" s="36"/>
      <c r="DI81" s="36"/>
      <c r="DJ81" s="36"/>
      <c r="DK81" s="36"/>
      <c r="DL81" s="36"/>
      <c r="DM81" s="36"/>
      <c r="DN81" s="36"/>
      <c r="DO81" s="36"/>
      <c r="DP81" s="36"/>
      <c r="DQ81" s="36"/>
      <c r="DR81" s="36"/>
      <c r="DS81" s="36"/>
      <c r="DT81" s="36"/>
      <c r="DU81" s="36"/>
    </row>
    <row r="82" spans="1:125" ht="15" x14ac:dyDescent="0.25">
      <c r="A82" t="s">
        <v>523</v>
      </c>
      <c r="B82">
        <v>64</v>
      </c>
      <c r="C82" t="s">
        <v>1077</v>
      </c>
      <c r="D82" t="s">
        <v>950</v>
      </c>
      <c r="E82" s="568" t="s">
        <v>1045</v>
      </c>
      <c r="F82">
        <v>1</v>
      </c>
      <c r="G82" s="14"/>
      <c r="H82" s="14"/>
      <c r="I82" t="s">
        <v>3</v>
      </c>
      <c r="J82">
        <v>2</v>
      </c>
      <c r="K82" s="249"/>
      <c r="L82"/>
      <c r="M82" s="14"/>
      <c r="N82" s="300"/>
      <c r="O82" s="554"/>
      <c r="P82" s="36" t="str">
        <f ca="1">IFERROR(+IF(P$27=ProposalToGnatt[[#This Row],[Start Date]],Milestone_Marker,IF(AND(P$27&gt;ProposalToGnatt[[#This Row],[Start Date]],P$27&lt;ProposalToGnatt[[#This Row],[Start Date]]+ProposalToGnatt[[#This Row],[Days]]),$G$5,"")),"")</f>
        <v/>
      </c>
      <c r="Q82" s="36" t="str">
        <f ca="1">IFERROR(+IF(Q$27=ProposalToGnatt[[#This Row],[Start Date]],Milestone_Marker,IF(AND(Q$27&gt;ProposalToGnatt[[#This Row],[Start Date]],Q$27&lt;ProposalToGnatt[[#This Row],[Start Date]]+ProposalToGnatt[[#This Row],[Days]]),$G$5,"")),"")</f>
        <v/>
      </c>
      <c r="R82" s="36" t="str">
        <f ca="1">IFERROR(+IF(R$27=ProposalToGnatt[[#This Row],[Start Date]],Milestone_Marker,IF(AND(R$27&gt;ProposalToGnatt[[#This Row],[Start Date]],R$27&lt;ProposalToGnatt[[#This Row],[Start Date]]+ProposalToGnatt[[#This Row],[Days]]),$G$5,"")),"")</f>
        <v/>
      </c>
      <c r="S82" s="36" t="str">
        <f ca="1">IFERROR(+IF(S$27=ProposalToGnatt[[#This Row],[Start Date]],Milestone_Marker,IF(AND(S$27&gt;ProposalToGnatt[[#This Row],[Start Date]],S$27&lt;ProposalToGnatt[[#This Row],[Start Date]]+ProposalToGnatt[[#This Row],[Days]]),$G$5,"")),"")</f>
        <v/>
      </c>
      <c r="T82" s="36" t="str">
        <f ca="1">IFERROR(+IF(T$27=ProposalToGnatt[[#This Row],[Start Date]],Milestone_Marker,IF(AND(T$27&gt;ProposalToGnatt[[#This Row],[Start Date]],T$27&lt;ProposalToGnatt[[#This Row],[Start Date]]+ProposalToGnatt[[#This Row],[Days]]),$G$5,"")),"")</f>
        <v/>
      </c>
      <c r="U82" s="36" t="str">
        <f ca="1">IFERROR(+IF(U$27=ProposalToGnatt[[#This Row],[Start Date]],Milestone_Marker,IF(AND(U$27&gt;ProposalToGnatt[[#This Row],[Start Date]],U$27&lt;ProposalToGnatt[[#This Row],[Start Date]]+ProposalToGnatt[[#This Row],[Days]]),$G$5,"")),"")</f>
        <v/>
      </c>
      <c r="V82" s="36" t="str">
        <f ca="1">IFERROR(+IF(V$27=ProposalToGnatt[[#This Row],[Start Date]],Milestone_Marker,IF(AND(V$27&gt;ProposalToGnatt[[#This Row],[Start Date]],V$27&lt;ProposalToGnatt[[#This Row],[Start Date]]+ProposalToGnatt[[#This Row],[Days]]),$G$5,"")),"")</f>
        <v/>
      </c>
      <c r="W82" s="36" t="str">
        <f ca="1">IFERROR(+IF(W$27=ProposalToGnatt[[#This Row],[Start Date]],Milestone_Marker,IF(AND(W$27&gt;ProposalToGnatt[[#This Row],[Start Date]],W$27&lt;ProposalToGnatt[[#This Row],[Start Date]]+ProposalToGnatt[[#This Row],[Days]]),$G$5,"")),"")</f>
        <v/>
      </c>
      <c r="X82" s="36" t="str">
        <f ca="1">IFERROR(+IF(X$27=ProposalToGnatt[[#This Row],[Start Date]],Milestone_Marker,IF(AND(X$27&gt;ProposalToGnatt[[#This Row],[Start Date]],X$27&lt;ProposalToGnatt[[#This Row],[Start Date]]+ProposalToGnatt[[#This Row],[Days]]),$G$5,"")),"")</f>
        <v/>
      </c>
      <c r="Y82" s="36" t="str">
        <f ca="1">IFERROR(+IF(Y$27=ProposalToGnatt[[#This Row],[Start Date]],Milestone_Marker,IF(AND(Y$27&gt;ProposalToGnatt[[#This Row],[Start Date]],Y$27&lt;ProposalToGnatt[[#This Row],[Start Date]]+ProposalToGnatt[[#This Row],[Days]]),$G$5,"")),"")</f>
        <v/>
      </c>
      <c r="Z82" s="36" t="str">
        <f ca="1">IFERROR(+IF(Z$27=ProposalToGnatt[[#This Row],[Start Date]],Milestone_Marker,IF(AND(Z$27&gt;ProposalToGnatt[[#This Row],[Start Date]],Z$27&lt;ProposalToGnatt[[#This Row],[Start Date]]+ProposalToGnatt[[#This Row],[Days]]),$G$5,"")),"")</f>
        <v/>
      </c>
      <c r="AA82" s="36" t="str">
        <f ca="1">IFERROR(+IF(AA$27=ProposalToGnatt[[#This Row],[Start Date]],Milestone_Marker,IF(AND(AA$27&gt;ProposalToGnatt[[#This Row],[Start Date]],AA$27&lt;ProposalToGnatt[[#This Row],[Start Date]]+ProposalToGnatt[[#This Row],[Days]]),$G$5,"")),"")</f>
        <v/>
      </c>
      <c r="AB82" s="36" t="str">
        <f ca="1">IFERROR(+IF(AB$27=ProposalToGnatt[[#This Row],[Start Date]],Milestone_Marker,IF(AND(AB$27&gt;ProposalToGnatt[[#This Row],[Start Date]],AB$27&lt;ProposalToGnatt[[#This Row],[Start Date]]+ProposalToGnatt[[#This Row],[Days]]),$G$5,"")),"")</f>
        <v/>
      </c>
      <c r="AC82" s="36" t="str">
        <f ca="1">IFERROR(+IF(AC$27=ProposalToGnatt[[#This Row],[Start Date]],Milestone_Marker,IF(AND(AC$27&gt;ProposalToGnatt[[#This Row],[Start Date]],AC$27&lt;ProposalToGnatt[[#This Row],[Start Date]]+ProposalToGnatt[[#This Row],[Days]]),$G$5,"")),"")</f>
        <v/>
      </c>
      <c r="AD82" s="36" t="str">
        <f ca="1">IFERROR(+IF(AD$27=ProposalToGnatt[[#This Row],[Start Date]],Milestone_Marker,IF(AND(AD$27&gt;ProposalToGnatt[[#This Row],[Start Date]],AD$27&lt;ProposalToGnatt[[#This Row],[Start Date]]+ProposalToGnatt[[#This Row],[Days]]),$G$5,"")),"")</f>
        <v/>
      </c>
      <c r="AE82" s="36" t="str">
        <f ca="1">IFERROR(+IF(AE$27=ProposalToGnatt[[#This Row],[Start Date]],Milestone_Marker,IF(AND(AE$27&gt;ProposalToGnatt[[#This Row],[Start Date]],AE$27&lt;ProposalToGnatt[[#This Row],[Start Date]]+ProposalToGnatt[[#This Row],[Days]]),$G$5,"")),"")</f>
        <v/>
      </c>
      <c r="AF82" s="36" t="str">
        <f ca="1">IFERROR(+IF(AF$27=ProposalToGnatt[[#This Row],[Start Date]],Milestone_Marker,IF(AND(AF$27&gt;ProposalToGnatt[[#This Row],[Start Date]],AF$27&lt;ProposalToGnatt[[#This Row],[Start Date]]+ProposalToGnatt[[#This Row],[Days]]),$G$5,"")),"")</f>
        <v/>
      </c>
      <c r="AG82" s="36" t="str">
        <f ca="1">IFERROR(+IF(AG$27=ProposalToGnatt[[#This Row],[Start Date]],Milestone_Marker,IF(AND(AG$27&gt;ProposalToGnatt[[#This Row],[Start Date]],AG$27&lt;ProposalToGnatt[[#This Row],[Start Date]]+ProposalToGnatt[[#This Row],[Days]]),$G$5,"")),"")</f>
        <v/>
      </c>
      <c r="AH82" s="36" t="str">
        <f ca="1">IFERROR(+IF(AH$27=ProposalToGnatt[[#This Row],[Start Date]],Milestone_Marker,IF(AND(AH$27&gt;ProposalToGnatt[[#This Row],[Start Date]],AH$27&lt;ProposalToGnatt[[#This Row],[Start Date]]+ProposalToGnatt[[#This Row],[Days]]),$G$5,"")),"")</f>
        <v/>
      </c>
      <c r="AI82" s="36" t="str">
        <f ca="1">IFERROR(+IF(AI$27=ProposalToGnatt[[#This Row],[Start Date]],Milestone_Marker,IF(AND(AI$27&gt;ProposalToGnatt[[#This Row],[Start Date]],AI$27&lt;ProposalToGnatt[[#This Row],[Start Date]]+ProposalToGnatt[[#This Row],[Days]]),$G$5,"")),"")</f>
        <v/>
      </c>
      <c r="AJ82" s="36" t="str">
        <f ca="1">IFERROR(+IF(AJ$27=ProposalToGnatt[[#This Row],[Start Date]],Milestone_Marker,IF(AND(AJ$27&gt;ProposalToGnatt[[#This Row],[Start Date]],AJ$27&lt;ProposalToGnatt[[#This Row],[Start Date]]+ProposalToGnatt[[#This Row],[Days]]),$G$5,"")),"")</f>
        <v/>
      </c>
      <c r="AK82" s="36" t="str">
        <f ca="1">IFERROR(+IF(AK$27=ProposalToGnatt[[#This Row],[Start Date]],Milestone_Marker,IF(AND(AK$27&gt;ProposalToGnatt[[#This Row],[Start Date]],AK$27&lt;ProposalToGnatt[[#This Row],[Start Date]]+ProposalToGnatt[[#This Row],[Days]]),$G$5,"")),"")</f>
        <v/>
      </c>
      <c r="AL82" s="36" t="str">
        <f ca="1">IFERROR(+IF(AL$27=ProposalToGnatt[[#This Row],[Start Date]],Milestone_Marker,IF(AND(AL$27&gt;ProposalToGnatt[[#This Row],[Start Date]],AL$27&lt;ProposalToGnatt[[#This Row],[Start Date]]+ProposalToGnatt[[#This Row],[Days]]),$G$5,"")),"")</f>
        <v/>
      </c>
      <c r="AM82" s="36" t="str">
        <f ca="1">IFERROR(+IF(AM$27=ProposalToGnatt[[#This Row],[Start Date]],Milestone_Marker,IF(AND(AM$27&gt;ProposalToGnatt[[#This Row],[Start Date]],AM$27&lt;ProposalToGnatt[[#This Row],[Start Date]]+ProposalToGnatt[[#This Row],[Days]]),$G$5,"")),"")</f>
        <v/>
      </c>
      <c r="AN82" s="36" t="str">
        <f ca="1">IFERROR(+IF(AN$27=ProposalToGnatt[[#This Row],[Start Date]],Milestone_Marker,IF(AND(AN$27&gt;ProposalToGnatt[[#This Row],[Start Date]],AN$27&lt;ProposalToGnatt[[#This Row],[Start Date]]+ProposalToGnatt[[#This Row],[Days]]),$G$5,"")),"")</f>
        <v/>
      </c>
      <c r="AO82" s="36" t="str">
        <f ca="1">IFERROR(+IF(AO$27=ProposalToGnatt[[#This Row],[Start Date]],Milestone_Marker,IF(AND(AO$27&gt;ProposalToGnatt[[#This Row],[Start Date]],AO$27&lt;ProposalToGnatt[[#This Row],[Start Date]]+ProposalToGnatt[[#This Row],[Days]]),$G$5,"")),"")</f>
        <v/>
      </c>
      <c r="AP82" s="36" t="str">
        <f ca="1">IFERROR(+IF(AP$27=ProposalToGnatt[[#This Row],[Start Date]],Milestone_Marker,IF(AND(AP$27&gt;ProposalToGnatt[[#This Row],[Start Date]],AP$27&lt;ProposalToGnatt[[#This Row],[Start Date]]+ProposalToGnatt[[#This Row],[Days]]),$G$5,"")),"")</f>
        <v/>
      </c>
      <c r="AQ82" s="36" t="str">
        <f ca="1">IFERROR(+IF(AQ$27=ProposalToGnatt[[#This Row],[Start Date]],Milestone_Marker,IF(AND(AQ$27&gt;ProposalToGnatt[[#This Row],[Start Date]],AQ$27&lt;ProposalToGnatt[[#This Row],[Start Date]]+ProposalToGnatt[[#This Row],[Days]]),$G$5,"")),"")</f>
        <v/>
      </c>
      <c r="AR82" s="36" t="str">
        <f ca="1">IFERROR(+IF(AR$27=ProposalToGnatt[[#This Row],[Start Date]],Milestone_Marker,IF(AND(AR$27&gt;ProposalToGnatt[[#This Row],[Start Date]],AR$27&lt;ProposalToGnatt[[#This Row],[Start Date]]+ProposalToGnatt[[#This Row],[Days]]),$G$5,"")),"")</f>
        <v/>
      </c>
      <c r="AS82" s="36" t="str">
        <f ca="1">IFERROR(+IF(AS$27=ProposalToGnatt[[#This Row],[Start Date]],Milestone_Marker,IF(AND(AS$27&gt;ProposalToGnatt[[#This Row],[Start Date]],AS$27&lt;ProposalToGnatt[[#This Row],[Start Date]]+ProposalToGnatt[[#This Row],[Days]]),$G$5,"")),"")</f>
        <v/>
      </c>
      <c r="AT82" s="36" t="str">
        <f ca="1">IFERROR(+IF(AT$27=ProposalToGnatt[[#This Row],[Start Date]],Milestone_Marker,IF(AND(AT$27&gt;ProposalToGnatt[[#This Row],[Start Date]],AT$27&lt;ProposalToGnatt[[#This Row],[Start Date]]+ProposalToGnatt[[#This Row],[Days]]),$G$5,"")),"")</f>
        <v/>
      </c>
      <c r="AU82" s="36" t="str">
        <f ca="1">IFERROR(+IF(AU$27=ProposalToGnatt[[#This Row],[Start Date]],Milestone_Marker,IF(AND(AU$27&gt;ProposalToGnatt[[#This Row],[Start Date]],AU$27&lt;ProposalToGnatt[[#This Row],[Start Date]]+ProposalToGnatt[[#This Row],[Days]]),$G$5,"")),"")</f>
        <v/>
      </c>
      <c r="AV82" s="36" t="str">
        <f ca="1">IFERROR(+IF(AV$27=ProposalToGnatt[[#This Row],[Start Date]],Milestone_Marker,IF(AND(AV$27&gt;ProposalToGnatt[[#This Row],[Start Date]],AV$27&lt;ProposalToGnatt[[#This Row],[Start Date]]+ProposalToGnatt[[#This Row],[Days]]),$G$5,"")),"")</f>
        <v/>
      </c>
      <c r="AW82" s="36" t="str">
        <f ca="1">IFERROR(+IF(AW$27=ProposalToGnatt[[#This Row],[Start Date]],Milestone_Marker,IF(AND(AW$27&gt;ProposalToGnatt[[#This Row],[Start Date]],AW$27&lt;ProposalToGnatt[[#This Row],[Start Date]]+ProposalToGnatt[[#This Row],[Days]]),$G$5,"")),"")</f>
        <v/>
      </c>
      <c r="AX82" s="36" t="str">
        <f ca="1">IFERROR(+IF(AX$27=ProposalToGnatt[[#This Row],[Start Date]],Milestone_Marker,IF(AND(AX$27&gt;ProposalToGnatt[[#This Row],[Start Date]],AX$27&lt;ProposalToGnatt[[#This Row],[Start Date]]+ProposalToGnatt[[#This Row],[Days]]),$G$5,"")),"")</f>
        <v/>
      </c>
      <c r="AY82" s="36" t="str">
        <f ca="1">IFERROR(+IF(AY$27=ProposalToGnatt[[#This Row],[Start Date]],Milestone_Marker,IF(AND(AY$27&gt;ProposalToGnatt[[#This Row],[Start Date]],AY$27&lt;ProposalToGnatt[[#This Row],[Start Date]]+ProposalToGnatt[[#This Row],[Days]]),$G$5,"")),"")</f>
        <v/>
      </c>
      <c r="AZ82" s="36" t="str">
        <f ca="1">IFERROR(+IF(AZ$27=ProposalToGnatt[[#This Row],[Start Date]],Milestone_Marker,IF(AND(AZ$27&gt;ProposalToGnatt[[#This Row],[Start Date]],AZ$27&lt;ProposalToGnatt[[#This Row],[Start Date]]+ProposalToGnatt[[#This Row],[Days]]),$G$5,"")),"")</f>
        <v/>
      </c>
      <c r="BA82" s="36" t="str">
        <f ca="1">IFERROR(+IF(BA$27=ProposalToGnatt[[#This Row],[Start Date]],Milestone_Marker,IF(AND(BA$27&gt;ProposalToGnatt[[#This Row],[Start Date]],BA$27&lt;ProposalToGnatt[[#This Row],[Start Date]]+ProposalToGnatt[[#This Row],[Days]]),$G$5,"")),"")</f>
        <v/>
      </c>
      <c r="BB82" s="36" t="str">
        <f ca="1">IFERROR(+IF(BB$27=ProposalToGnatt[[#This Row],[Start Date]],Milestone_Marker,IF(AND(BB$27&gt;ProposalToGnatt[[#This Row],[Start Date]],BB$27&lt;ProposalToGnatt[[#This Row],[Start Date]]+ProposalToGnatt[[#This Row],[Days]]),$G$5,"")),"")</f>
        <v/>
      </c>
      <c r="BC82" s="36" t="str">
        <f ca="1">IFERROR(+IF(BC$27=ProposalToGnatt[[#This Row],[Start Date]],Milestone_Marker,IF(AND(BC$27&gt;ProposalToGnatt[[#This Row],[Start Date]],BC$27&lt;ProposalToGnatt[[#This Row],[Start Date]]+ProposalToGnatt[[#This Row],[Days]]),$G$5,"")),"")</f>
        <v/>
      </c>
      <c r="BD82" s="36" t="str">
        <f ca="1">IFERROR(+IF(BD$27=ProposalToGnatt[[#This Row],[Start Date]],Milestone_Marker,IF(AND(BD$27&gt;ProposalToGnatt[[#This Row],[Start Date]],BD$27&lt;ProposalToGnatt[[#This Row],[Start Date]]+ProposalToGnatt[[#This Row],[Days]]),$G$5,"")),"")</f>
        <v/>
      </c>
      <c r="BE82" s="36" t="str">
        <f ca="1">IFERROR(+IF(BE$27=ProposalToGnatt[[#This Row],[Start Date]],Milestone_Marker,IF(AND(BE$27&gt;ProposalToGnatt[[#This Row],[Start Date]],BE$27&lt;ProposalToGnatt[[#This Row],[Start Date]]+ProposalToGnatt[[#This Row],[Days]]),$G$5,"")),"")</f>
        <v/>
      </c>
      <c r="BF82" s="36" t="str">
        <f ca="1">IFERROR(+IF(BF$27=ProposalToGnatt[[#This Row],[Start Date]],Milestone_Marker,IF(AND(BF$27&gt;ProposalToGnatt[[#This Row],[Start Date]],BF$27&lt;ProposalToGnatt[[#This Row],[Start Date]]+ProposalToGnatt[[#This Row],[Days]]),$G$5,"")),"")</f>
        <v/>
      </c>
      <c r="BG82" s="36" t="str">
        <f ca="1">IFERROR(+IF(BG$27=ProposalToGnatt[[#This Row],[Start Date]],Milestone_Marker,IF(AND(BG$27&gt;ProposalToGnatt[[#This Row],[Start Date]],BG$27&lt;ProposalToGnatt[[#This Row],[Start Date]]+ProposalToGnatt[[#This Row],[Days]]),$G$5,"")),"")</f>
        <v/>
      </c>
      <c r="BH82" s="36" t="str">
        <f ca="1">IFERROR(+IF(BH$27=ProposalToGnatt[[#This Row],[Start Date]],Milestone_Marker,IF(AND(BH$27&gt;ProposalToGnatt[[#This Row],[Start Date]],BH$27&lt;ProposalToGnatt[[#This Row],[Start Date]]+ProposalToGnatt[[#This Row],[Days]]),$G$5,"")),"")</f>
        <v/>
      </c>
      <c r="BI82" s="36" t="str">
        <f ca="1">IFERROR(+IF(BI$27=ProposalToGnatt[[#This Row],[Start Date]],Milestone_Marker,IF(AND(BI$27&gt;ProposalToGnatt[[#This Row],[Start Date]],BI$27&lt;ProposalToGnatt[[#This Row],[Start Date]]+ProposalToGnatt[[#This Row],[Days]]),$G$5,"")),"")</f>
        <v/>
      </c>
      <c r="BJ82" s="36" t="str">
        <f ca="1">IFERROR(+IF(BJ$27=ProposalToGnatt[[#This Row],[Start Date]],Milestone_Marker,IF(AND(BJ$27&gt;ProposalToGnatt[[#This Row],[Start Date]],BJ$27&lt;ProposalToGnatt[[#This Row],[Start Date]]+ProposalToGnatt[[#This Row],[Days]]),$G$5,"")),"")</f>
        <v/>
      </c>
      <c r="BK82" s="36" t="str">
        <f ca="1">IFERROR(+IF(BK$27=ProposalToGnatt[[#This Row],[Start Date]],Milestone_Marker,IF(AND(BK$27&gt;ProposalToGnatt[[#This Row],[Start Date]],BK$27&lt;ProposalToGnatt[[#This Row],[Start Date]]+ProposalToGnatt[[#This Row],[Days]]),$G$5,"")),"")</f>
        <v/>
      </c>
      <c r="BL82" s="36" t="str">
        <f ca="1">IFERROR(+IF(BL$27=ProposalToGnatt[[#This Row],[Start Date]],Milestone_Marker,IF(AND(BL$27&gt;ProposalToGnatt[[#This Row],[Start Date]],BL$27&lt;ProposalToGnatt[[#This Row],[Start Date]]+ProposalToGnatt[[#This Row],[Days]]),$G$5,"")),"")</f>
        <v/>
      </c>
      <c r="BM82" s="36" t="str">
        <f ca="1">IFERROR(+IF(BM$27=ProposalToGnatt[[#This Row],[Start Date]],Milestone_Marker,IF(AND(BM$27&gt;ProposalToGnatt[[#This Row],[Start Date]],BM$27&lt;ProposalToGnatt[[#This Row],[Start Date]]+ProposalToGnatt[[#This Row],[Days]]),$G$5,"")),"")</f>
        <v/>
      </c>
      <c r="BN82" s="36" t="str">
        <f ca="1">IFERROR(+IF(BN$27=ProposalToGnatt[[#This Row],[Start Date]],Milestone_Marker,IF(AND(BN$27&gt;ProposalToGnatt[[#This Row],[Start Date]],BN$27&lt;ProposalToGnatt[[#This Row],[Start Date]]+ProposalToGnatt[[#This Row],[Days]]),$G$5,"")),"")</f>
        <v/>
      </c>
      <c r="BO82" s="36" t="str">
        <f ca="1">IFERROR(+IF(BO$27=ProposalToGnatt[[#This Row],[Start Date]],Milestone_Marker,IF(AND(BO$27&gt;ProposalToGnatt[[#This Row],[Start Date]],BO$27&lt;ProposalToGnatt[[#This Row],[Start Date]]+ProposalToGnatt[[#This Row],[Days]]),$G$5,"")),"")</f>
        <v/>
      </c>
      <c r="BP82" s="36" t="str">
        <f ca="1">IFERROR(+IF(BP$27=ProposalToGnatt[[#This Row],[Start Date]],Milestone_Marker,IF(AND(BP$27&gt;ProposalToGnatt[[#This Row],[Start Date]],BP$27&lt;ProposalToGnatt[[#This Row],[Start Date]]+ProposalToGnatt[[#This Row],[Days]]),$G$5,"")),"")</f>
        <v/>
      </c>
      <c r="BQ82" s="36" t="str">
        <f ca="1">IFERROR(+IF(BQ$27=ProposalToGnatt[[#This Row],[Start Date]],Milestone_Marker,IF(AND(BQ$27&gt;ProposalToGnatt[[#This Row],[Start Date]],BQ$27&lt;ProposalToGnatt[[#This Row],[Start Date]]+ProposalToGnatt[[#This Row],[Days]]),$G$5,"")),"")</f>
        <v/>
      </c>
      <c r="BR82" s="36" t="str">
        <f ca="1">IFERROR(+IF(BR$27=ProposalToGnatt[[#This Row],[Start Date]],Milestone_Marker,IF(AND(BR$27&gt;ProposalToGnatt[[#This Row],[Start Date]],BR$27&lt;ProposalToGnatt[[#This Row],[Start Date]]+ProposalToGnatt[[#This Row],[Days]]),$G$5,"")),"")</f>
        <v/>
      </c>
      <c r="BS82" s="36" t="str">
        <f ca="1">IFERROR(+IF(BS$27=ProposalToGnatt[[#This Row],[Start Date]],Milestone_Marker,IF(AND(BS$27&gt;ProposalToGnatt[[#This Row],[Start Date]],BS$27&lt;ProposalToGnatt[[#This Row],[Start Date]]+ProposalToGnatt[[#This Row],[Days]]),$G$5,"")),"")</f>
        <v/>
      </c>
      <c r="BT82" s="36" t="str">
        <f ca="1">IFERROR(+IF(BT$27=ProposalToGnatt[[#This Row],[Start Date]],Milestone_Marker,IF(AND(BT$27&gt;ProposalToGnatt[[#This Row],[Start Date]],BT$27&lt;ProposalToGnatt[[#This Row],[Start Date]]+ProposalToGnatt[[#This Row],[Days]]),$G$5,"")),"")</f>
        <v/>
      </c>
      <c r="BU82" s="36" t="str">
        <f ca="1">IFERROR(+IF(BU$27=ProposalToGnatt[[#This Row],[Start Date]],Milestone_Marker,IF(AND(BU$27&gt;ProposalToGnatt[[#This Row],[Start Date]],BU$27&lt;ProposalToGnatt[[#This Row],[Start Date]]+ProposalToGnatt[[#This Row],[Days]]),$G$5,"")),"")</f>
        <v/>
      </c>
      <c r="BV82" s="36" t="str">
        <f ca="1">IFERROR(+IF(BV$27=ProposalToGnatt[[#This Row],[Start Date]],Milestone_Marker,IF(AND(BV$27&gt;ProposalToGnatt[[#This Row],[Start Date]],BV$27&lt;ProposalToGnatt[[#This Row],[Start Date]]+ProposalToGnatt[[#This Row],[Days]]),$G$5,"")),"")</f>
        <v/>
      </c>
      <c r="BW82" s="36" t="str">
        <f ca="1">IFERROR(+IF(BW$27=ProposalToGnatt[[#This Row],[Start Date]],Milestone_Marker,IF(AND(BW$27&gt;ProposalToGnatt[[#This Row],[Start Date]],BW$27&lt;ProposalToGnatt[[#This Row],[Start Date]]+ProposalToGnatt[[#This Row],[Days]]),$G$5,"")),"")</f>
        <v/>
      </c>
      <c r="BX82" s="36" t="str">
        <f ca="1">IFERROR(+IF(BX$27=ProposalToGnatt[[#This Row],[Start Date]],Milestone_Marker,IF(AND(BX$27&gt;ProposalToGnatt[[#This Row],[Start Date]],BX$27&lt;ProposalToGnatt[[#This Row],[Start Date]]+ProposalToGnatt[[#This Row],[Days]]),$G$5,"")),"")</f>
        <v/>
      </c>
      <c r="BY82" s="36" t="str">
        <f ca="1">IFERROR(+IF(BY$27=ProposalToGnatt[[#This Row],[Start Date]],Milestone_Marker,IF(AND(BY$27&gt;ProposalToGnatt[[#This Row],[Start Date]],BY$27&lt;ProposalToGnatt[[#This Row],[Start Date]]+ProposalToGnatt[[#This Row],[Days]]),$G$5,"")),"")</f>
        <v/>
      </c>
      <c r="BZ82" s="36" t="str">
        <f ca="1">IFERROR(+IF(BZ$27=ProposalToGnatt[[#This Row],[Start Date]],Milestone_Marker,IF(AND(BZ$27&gt;ProposalToGnatt[[#This Row],[Start Date]],BZ$27&lt;ProposalToGnatt[[#This Row],[Start Date]]+ProposalToGnatt[[#This Row],[Days]]),$G$5,"")),"")</f>
        <v/>
      </c>
      <c r="CA82" s="36" t="str">
        <f ca="1">IFERROR(+IF(CA$27=ProposalToGnatt[[#This Row],[Start Date]],Milestone_Marker,IF(AND(CA$27&gt;ProposalToGnatt[[#This Row],[Start Date]],CA$27&lt;ProposalToGnatt[[#This Row],[Start Date]]+ProposalToGnatt[[#This Row],[Days]]),$G$5,"")),"")</f>
        <v/>
      </c>
      <c r="CB82" s="36" t="str">
        <f ca="1">IFERROR(+IF(CB$27=ProposalToGnatt[[#This Row],[Start Date]],Milestone_Marker,IF(AND(CB$27&gt;ProposalToGnatt[[#This Row],[Start Date]],CB$27&lt;ProposalToGnatt[[#This Row],[Start Date]]+ProposalToGnatt[[#This Row],[Days]]),$G$5,"")),"")</f>
        <v/>
      </c>
      <c r="CC82" s="36" t="str">
        <f ca="1">IFERROR(+IF(CC$27=ProposalToGnatt[[#This Row],[Start Date]],Milestone_Marker,IF(AND(CC$27&gt;ProposalToGnatt[[#This Row],[Start Date]],CC$27&lt;ProposalToGnatt[[#This Row],[Start Date]]+ProposalToGnatt[[#This Row],[Days]]),$G$5,"")),"")</f>
        <v/>
      </c>
      <c r="CD82" s="36" t="str">
        <f ca="1">IFERROR(+IF(CD$27=ProposalToGnatt[[#This Row],[Start Date]],Milestone_Marker,IF(AND(CD$27&gt;ProposalToGnatt[[#This Row],[Start Date]],CD$27&lt;ProposalToGnatt[[#This Row],[Start Date]]+ProposalToGnatt[[#This Row],[Days]]),$G$5,"")),"")</f>
        <v/>
      </c>
      <c r="CE82" s="36" t="str">
        <f ca="1">IFERROR(+IF(CE$27=ProposalToGnatt[[#This Row],[Start Date]],Milestone_Marker,IF(AND(CE$27&gt;ProposalToGnatt[[#This Row],[Start Date]],CE$27&lt;ProposalToGnatt[[#This Row],[Start Date]]+ProposalToGnatt[[#This Row],[Days]]),$G$5,"")),"")</f>
        <v/>
      </c>
      <c r="CF82" s="36" t="str">
        <f ca="1">IFERROR(+IF(CF$27=ProposalToGnatt[[#This Row],[Start Date]],Milestone_Marker,IF(AND(CF$27&gt;ProposalToGnatt[[#This Row],[Start Date]],CF$27&lt;ProposalToGnatt[[#This Row],[Start Date]]+ProposalToGnatt[[#This Row],[Days]]),$G$5,"")),"")</f>
        <v/>
      </c>
      <c r="CG82" s="36" t="str">
        <f ca="1">IFERROR(+IF(CG$27=ProposalToGnatt[[#This Row],[Start Date]],Milestone_Marker,IF(AND(CG$27&gt;ProposalToGnatt[[#This Row],[Start Date]],CG$27&lt;ProposalToGnatt[[#This Row],[Start Date]]+ProposalToGnatt[[#This Row],[Days]]),$G$5,"")),"")</f>
        <v/>
      </c>
      <c r="CH82" s="36" t="str">
        <f ca="1">IFERROR(+IF(CH$27=ProposalToGnatt[[#This Row],[Start Date]],Milestone_Marker,IF(AND(CH$27&gt;ProposalToGnatt[[#This Row],[Start Date]],CH$27&lt;ProposalToGnatt[[#This Row],[Start Date]]+ProposalToGnatt[[#This Row],[Days]]),$G$5,"")),"")</f>
        <v/>
      </c>
      <c r="CI82" s="36" t="str">
        <f ca="1">IFERROR(+IF(CI$27=ProposalToGnatt[[#This Row],[Start Date]],Milestone_Marker,IF(AND(CI$27&gt;ProposalToGnatt[[#This Row],[Start Date]],CI$27&lt;ProposalToGnatt[[#This Row],[Start Date]]+ProposalToGnatt[[#This Row],[Days]]),$G$5,"")),"")</f>
        <v/>
      </c>
      <c r="CJ82" s="36" t="str">
        <f ca="1">IFERROR(+IF(CJ$27=ProposalToGnatt[[#This Row],[Start Date]],Milestone_Marker,IF(AND(CJ$27&gt;ProposalToGnatt[[#This Row],[Start Date]],CJ$27&lt;ProposalToGnatt[[#This Row],[Start Date]]+ProposalToGnatt[[#This Row],[Days]]),$G$5,"")),"")</f>
        <v/>
      </c>
      <c r="CK82" s="36" t="str">
        <f ca="1">IFERROR(+IF(CK$27=ProposalToGnatt[[#This Row],[Start Date]],Milestone_Marker,IF(AND(CK$27&gt;ProposalToGnatt[[#This Row],[Start Date]],CK$27&lt;ProposalToGnatt[[#This Row],[Start Date]]+ProposalToGnatt[[#This Row],[Days]]),$G$5,"")),"")</f>
        <v/>
      </c>
      <c r="CL82" s="36" t="str">
        <f ca="1">IFERROR(+IF(CL$27=ProposalToGnatt[[#This Row],[Start Date]],Milestone_Marker,IF(AND(CL$27&gt;ProposalToGnatt[[#This Row],[Start Date]],CL$27&lt;ProposalToGnatt[[#This Row],[Start Date]]+ProposalToGnatt[[#This Row],[Days]]),$G$5,"")),"")</f>
        <v/>
      </c>
      <c r="CM82" s="36" t="str">
        <f ca="1">IFERROR(+IF(CM$27=ProposalToGnatt[[#This Row],[Start Date]],Milestone_Marker,IF(AND(CM$27&gt;ProposalToGnatt[[#This Row],[Start Date]],CM$27&lt;ProposalToGnatt[[#This Row],[Start Date]]+ProposalToGnatt[[#This Row],[Days]]),$G$5,"")),"")</f>
        <v/>
      </c>
      <c r="CN82" s="36" t="str">
        <f ca="1">IFERROR(+IF(CN$27=ProposalToGnatt[[#This Row],[Start Date]],Milestone_Marker,IF(AND(CN$27&gt;ProposalToGnatt[[#This Row],[Start Date]],CN$27&lt;ProposalToGnatt[[#This Row],[Start Date]]+ProposalToGnatt[[#This Row],[Days]]),$G$5,"")),"")</f>
        <v/>
      </c>
      <c r="CO82" s="36" t="str">
        <f ca="1">IFERROR(+IF(CO$27=ProposalToGnatt[[#This Row],[Start Date]],Milestone_Marker,IF(AND(CO$27&gt;ProposalToGnatt[[#This Row],[Start Date]],CO$27&lt;ProposalToGnatt[[#This Row],[Start Date]]+ProposalToGnatt[[#This Row],[Days]]),$G$5,"")),"")</f>
        <v/>
      </c>
      <c r="CP82" s="36" t="str">
        <f ca="1">IFERROR(+IF(CP$27=ProposalToGnatt[[#This Row],[Start Date]],Milestone_Marker,IF(AND(CP$27&gt;ProposalToGnatt[[#This Row],[Start Date]],CP$27&lt;ProposalToGnatt[[#This Row],[Start Date]]+ProposalToGnatt[[#This Row],[Days]]),$G$5,"")),"")</f>
        <v/>
      </c>
      <c r="CQ82" s="36" t="str">
        <f ca="1">IFERROR(+IF(CQ$27=ProposalToGnatt[[#This Row],[Start Date]],Milestone_Marker,IF(AND(CQ$27&gt;ProposalToGnatt[[#This Row],[Start Date]],CQ$27&lt;ProposalToGnatt[[#This Row],[Start Date]]+ProposalToGnatt[[#This Row],[Days]]),$G$5,"")),"")</f>
        <v/>
      </c>
      <c r="CR82" s="36" t="str">
        <f ca="1">IFERROR(+IF(CR$27=ProposalToGnatt[[#This Row],[Start Date]],Milestone_Marker,IF(AND(CR$27&gt;ProposalToGnatt[[#This Row],[Start Date]],CR$27&lt;ProposalToGnatt[[#This Row],[Start Date]]+ProposalToGnatt[[#This Row],[Days]]),$G$5,"")),"")</f>
        <v/>
      </c>
      <c r="CS82" s="36" t="str">
        <f ca="1">IFERROR(+IF(CS$27=ProposalToGnatt[[#This Row],[Start Date]],Milestone_Marker,IF(AND(CS$27&gt;ProposalToGnatt[[#This Row],[Start Date]],CS$27&lt;ProposalToGnatt[[#This Row],[Start Date]]+ProposalToGnatt[[#This Row],[Days]]),$G$5,"")),"")</f>
        <v/>
      </c>
      <c r="CT82" s="36" t="str">
        <f ca="1">IFERROR(+IF(CT$27=ProposalToGnatt[[#This Row],[Start Date]],Milestone_Marker,IF(AND(CT$27&gt;ProposalToGnatt[[#This Row],[Start Date]],CT$27&lt;ProposalToGnatt[[#This Row],[Start Date]]+ProposalToGnatt[[#This Row],[Days]]),$G$5,"")),"")</f>
        <v/>
      </c>
      <c r="CU82" s="36" t="str">
        <f ca="1">IFERROR(+IF(CU$27=ProposalToGnatt[[#This Row],[Start Date]],Milestone_Marker,IF(AND(CU$27&gt;ProposalToGnatt[[#This Row],[Start Date]],CU$27&lt;ProposalToGnatt[[#This Row],[Start Date]]+ProposalToGnatt[[#This Row],[Days]]),$G$5,"")),"")</f>
        <v/>
      </c>
      <c r="CV82" s="36" t="str">
        <f ca="1">IFERROR(+IF(CT$27=#REF!,Milestone_Marker,IF(AND(CT$27&gt;#REF!,CT$27&lt;=#REF!+#REF!),$G$5,"")),"")</f>
        <v/>
      </c>
      <c r="CW82" s="36" t="str">
        <f ca="1">IFERROR(+IF(CU$27=#REF!,Milestone_Marker,IF(AND(CU$27&gt;#REF!,CU$27&lt;=#REF!+#REF!),$G$5,"")),"")</f>
        <v/>
      </c>
    </row>
    <row r="83" spans="1:125" ht="15" x14ac:dyDescent="0.25">
      <c r="A83" t="s">
        <v>523</v>
      </c>
      <c r="B83">
        <v>65</v>
      </c>
      <c r="C83" t="s">
        <v>1077</v>
      </c>
      <c r="D83" t="s">
        <v>950</v>
      </c>
      <c r="E83" s="568" t="s">
        <v>1046</v>
      </c>
      <c r="F83">
        <v>1</v>
      </c>
      <c r="G83" s="14"/>
      <c r="H83" s="14"/>
      <c r="I83" t="s">
        <v>3</v>
      </c>
      <c r="J83">
        <v>2</v>
      </c>
      <c r="K83" s="249"/>
      <c r="L83"/>
      <c r="M83" s="14"/>
      <c r="N83" s="300"/>
      <c r="O83" s="554"/>
      <c r="P83" s="36" t="str">
        <f ca="1">IFERROR(+IF(Q$27=#REF!,Milestone_Marker,IF(AND(Q$27&gt;#REF!,Q$27&lt;=#REF!+#REF!),$G$5,"")),"")</f>
        <v/>
      </c>
      <c r="Q83" s="36" t="str">
        <f ca="1">IFERROR(+IF(R$27=#REF!,Milestone_Marker,IF(AND(R$27&gt;#REF!,R$27&lt;=#REF!+#REF!),$G$5,"")),"")</f>
        <v/>
      </c>
      <c r="R83" s="36" t="str">
        <f ca="1">IFERROR(+IF(S$27=#REF!,Milestone_Marker,IF(AND(S$27&gt;#REF!,S$27&lt;=#REF!+#REF!),$G$5,"")),"")</f>
        <v/>
      </c>
      <c r="S83" s="36" t="str">
        <f ca="1">IFERROR(+IF(T$27=#REF!,Milestone_Marker,IF(AND(T$27&gt;#REF!,T$27&lt;=#REF!+#REF!),$G$5,"")),"")</f>
        <v/>
      </c>
      <c r="T83" s="36" t="str">
        <f ca="1">IFERROR(+IF(U$27=#REF!,Milestone_Marker,IF(AND(U$27&gt;#REF!,U$27&lt;=#REF!+#REF!),$G$5,"")),"")</f>
        <v/>
      </c>
      <c r="U83" s="36" t="str">
        <f ca="1">IFERROR(+IF(V$27=#REF!,Milestone_Marker,IF(AND(V$27&gt;#REF!,V$27&lt;=#REF!+#REF!),$G$5,"")),"")</f>
        <v/>
      </c>
      <c r="V83" s="36" t="str">
        <f ca="1">IFERROR(+IF(W$27=#REF!,Milestone_Marker,IF(AND(W$27&gt;#REF!,W$27&lt;=#REF!+#REF!),$G$5,"")),"")</f>
        <v/>
      </c>
      <c r="W83" s="36" t="str">
        <f ca="1">IFERROR(+IF(X$27=#REF!,Milestone_Marker,IF(AND(X$27&gt;#REF!,X$27&lt;=#REF!+#REF!),$G$5,"")),"")</f>
        <v/>
      </c>
      <c r="X83" s="36" t="str">
        <f ca="1">IFERROR(+IF(Y$27=#REF!,Milestone_Marker,IF(AND(Y$27&gt;#REF!,Y$27&lt;=#REF!+#REF!),$G$5,"")),"")</f>
        <v/>
      </c>
      <c r="Y83" s="36" t="str">
        <f ca="1">IFERROR(+IF(Z$27=#REF!,Milestone_Marker,IF(AND(Z$27&gt;#REF!,Z$27&lt;=#REF!+#REF!),$G$5,"")),"")</f>
        <v/>
      </c>
      <c r="Z83" s="36" t="str">
        <f ca="1">IFERROR(+IF(AA$27=#REF!,Milestone_Marker,IF(AND(AA$27&gt;#REF!,AA$27&lt;=#REF!+#REF!),$G$5,"")),"")</f>
        <v/>
      </c>
      <c r="AA83" s="36" t="str">
        <f ca="1">IFERROR(+IF(AB$27=#REF!,Milestone_Marker,IF(AND(AB$27&gt;#REF!,AB$27&lt;=#REF!+#REF!),$G$5,"")),"")</f>
        <v/>
      </c>
      <c r="AB83" s="36" t="str">
        <f ca="1">IFERROR(+IF(AC$27=#REF!,Milestone_Marker,IF(AND(AC$27&gt;#REF!,AC$27&lt;=#REF!+#REF!),$G$5,"")),"")</f>
        <v/>
      </c>
      <c r="AC83" s="36" t="str">
        <f ca="1">IFERROR(+IF(AD$27=#REF!,Milestone_Marker,IF(AND(AD$27&gt;#REF!,AD$27&lt;=#REF!+#REF!),$G$5,"")),"")</f>
        <v/>
      </c>
      <c r="AD83" s="36" t="str">
        <f ca="1">IFERROR(+IF(AE$27=#REF!,Milestone_Marker,IF(AND(AE$27&gt;#REF!,AE$27&lt;=#REF!+#REF!),$G$5,"")),"")</f>
        <v/>
      </c>
      <c r="AE83" s="36" t="str">
        <f ca="1">IFERROR(+IF(AF$27=#REF!,Milestone_Marker,IF(AND(AF$27&gt;#REF!,AF$27&lt;=#REF!+#REF!),$G$5,"")),"")</f>
        <v/>
      </c>
      <c r="AF83" s="36" t="str">
        <f ca="1">IFERROR(+IF(AG$27=#REF!,Milestone_Marker,IF(AND(AG$27&gt;#REF!,AG$27&lt;=#REF!+#REF!),$G$5,"")),"")</f>
        <v/>
      </c>
      <c r="AG83" s="36" t="str">
        <f ca="1">IFERROR(+IF(AH$27=#REF!,Milestone_Marker,IF(AND(AH$27&gt;#REF!,AH$27&lt;=#REF!+#REF!),$G$5,"")),"")</f>
        <v/>
      </c>
      <c r="AH83" s="36" t="str">
        <f ca="1">IFERROR(+IF(AI$27=#REF!,Milestone_Marker,IF(AND(AI$27&gt;#REF!,AI$27&lt;=#REF!+#REF!),$G$5,"")),"")</f>
        <v/>
      </c>
      <c r="AI83" s="36" t="str">
        <f ca="1">IFERROR(+IF(AJ$27=#REF!,Milestone_Marker,IF(AND(AJ$27&gt;#REF!,AJ$27&lt;=#REF!+#REF!),$G$5,"")),"")</f>
        <v/>
      </c>
      <c r="AJ83" s="36" t="str">
        <f ca="1">IFERROR(+IF(AK$27=#REF!,Milestone_Marker,IF(AND(AK$27&gt;#REF!,AK$27&lt;=#REF!+#REF!),$G$5,"")),"")</f>
        <v/>
      </c>
      <c r="AK83" s="36" t="str">
        <f ca="1">IFERROR(+IF(AL$27=#REF!,Milestone_Marker,IF(AND(AL$27&gt;#REF!,AL$27&lt;=#REF!+#REF!),$G$5,"")),"")</f>
        <v/>
      </c>
      <c r="AL83" s="36" t="str">
        <f ca="1">IFERROR(+IF(AM$27=#REF!,Milestone_Marker,IF(AND(AM$27&gt;#REF!,AM$27&lt;=#REF!+#REF!),$G$5,"")),"")</f>
        <v/>
      </c>
      <c r="AM83" s="36" t="str">
        <f ca="1">IFERROR(+IF(AN$27=#REF!,Milestone_Marker,IF(AND(AN$27&gt;#REF!,AN$27&lt;=#REF!+#REF!),$G$5,"")),"")</f>
        <v/>
      </c>
      <c r="AN83" s="36" t="str">
        <f ca="1">IFERROR(+IF(AO$27=#REF!,Milestone_Marker,IF(AND(AO$27&gt;#REF!,AO$27&lt;=#REF!+#REF!),$G$5,"")),"")</f>
        <v/>
      </c>
      <c r="AO83" s="36" t="str">
        <f ca="1">IFERROR(+IF(AP$27=#REF!,Milestone_Marker,IF(AND(AP$27&gt;#REF!,AP$27&lt;=#REF!+#REF!),$G$5,"")),"")</f>
        <v/>
      </c>
      <c r="AP83" s="36" t="str">
        <f ca="1">IFERROR(+IF(AQ$27=#REF!,Milestone_Marker,IF(AND(AQ$27&gt;#REF!,AQ$27&lt;=#REF!+#REF!),$G$5,"")),"")</f>
        <v/>
      </c>
      <c r="AQ83" s="36" t="str">
        <f ca="1">IFERROR(+IF(AR$27=#REF!,Milestone_Marker,IF(AND(AR$27&gt;#REF!,AR$27&lt;=#REF!+#REF!),$G$5,"")),"")</f>
        <v/>
      </c>
      <c r="AR83" s="36" t="str">
        <f ca="1">IFERROR(+IF(AS$27=#REF!,Milestone_Marker,IF(AND(AS$27&gt;#REF!,AS$27&lt;=#REF!+#REF!),$G$5,"")),"")</f>
        <v/>
      </c>
      <c r="AS83" s="36" t="str">
        <f ca="1">IFERROR(+IF(AT$27=#REF!,Milestone_Marker,IF(AND(AT$27&gt;#REF!,AT$27&lt;=#REF!+#REF!),$G$5,"")),"")</f>
        <v/>
      </c>
      <c r="AT83" s="36" t="str">
        <f ca="1">IFERROR(+IF(AU$27=#REF!,Milestone_Marker,IF(AND(AU$27&gt;#REF!,AU$27&lt;=#REF!+#REF!),$G$5,"")),"")</f>
        <v/>
      </c>
      <c r="AU83" s="36" t="str">
        <f ca="1">IFERROR(+IF(AV$27=#REF!,Milestone_Marker,IF(AND(AV$27&gt;#REF!,AV$27&lt;=#REF!+#REF!),$G$5,"")),"")</f>
        <v/>
      </c>
      <c r="AV83" s="36" t="str">
        <f ca="1">IFERROR(+IF(AW$27=#REF!,Milestone_Marker,IF(AND(AW$27&gt;#REF!,AW$27&lt;=#REF!+#REF!),$G$5,"")),"")</f>
        <v/>
      </c>
      <c r="AW83" s="36" t="str">
        <f ca="1">IFERROR(+IF(AX$27=#REF!,Milestone_Marker,IF(AND(AX$27&gt;#REF!,AX$27&lt;=#REF!+#REF!),$G$5,"")),"")</f>
        <v/>
      </c>
      <c r="AX83" s="36" t="str">
        <f ca="1">IFERROR(+IF(AY$27=#REF!,Milestone_Marker,IF(AND(AY$27&gt;#REF!,AY$27&lt;=#REF!+#REF!),$G$5,"")),"")</f>
        <v/>
      </c>
      <c r="AY83" s="36" t="str">
        <f ca="1">IFERROR(+IF(AZ$27=#REF!,Milestone_Marker,IF(AND(AZ$27&gt;#REF!,AZ$27&lt;=#REF!+#REF!),$G$5,"")),"")</f>
        <v/>
      </c>
      <c r="AZ83" s="36" t="str">
        <f ca="1">IFERROR(+IF(BA$27=#REF!,Milestone_Marker,IF(AND(BA$27&gt;#REF!,BA$27&lt;=#REF!+#REF!),$G$5,"")),"")</f>
        <v/>
      </c>
      <c r="BA83" s="36" t="str">
        <f ca="1">IFERROR(+IF(BB$27=#REF!,Milestone_Marker,IF(AND(BB$27&gt;#REF!,BB$27&lt;=#REF!+#REF!),$G$5,"")),"")</f>
        <v/>
      </c>
      <c r="BB83" s="36" t="str">
        <f ca="1">IFERROR(+IF(BC$27=#REF!,Milestone_Marker,IF(AND(BC$27&gt;#REF!,BC$27&lt;=#REF!+#REF!),$G$5,"")),"")</f>
        <v/>
      </c>
      <c r="BC83" s="36" t="str">
        <f ca="1">IFERROR(+IF(BD$27=#REF!,Milestone_Marker,IF(AND(BD$27&gt;#REF!,BD$27&lt;=#REF!+#REF!),$G$5,"")),"")</f>
        <v/>
      </c>
      <c r="BD83" s="36" t="str">
        <f ca="1">IFERROR(+IF(BE$27=#REF!,Milestone_Marker,IF(AND(BE$27&gt;#REF!,BE$27&lt;=#REF!+#REF!),$G$5,"")),"")</f>
        <v/>
      </c>
      <c r="BE83" s="36" t="str">
        <f ca="1">IFERROR(+IF(BF$27=#REF!,Milestone_Marker,IF(AND(BF$27&gt;#REF!,BF$27&lt;=#REF!+#REF!),$G$5,"")),"")</f>
        <v/>
      </c>
      <c r="BF83" s="36" t="str">
        <f ca="1">IFERROR(+IF(BG$27=#REF!,Milestone_Marker,IF(AND(BG$27&gt;#REF!,BG$27&lt;=#REF!+#REF!),$G$5,"")),"")</f>
        <v/>
      </c>
      <c r="BG83" s="36" t="str">
        <f ca="1">IFERROR(+IF(BH$27=#REF!,Milestone_Marker,IF(AND(BH$27&gt;#REF!,BH$27&lt;=#REF!+#REF!),$G$5,"")),"")</f>
        <v/>
      </c>
      <c r="BH83" s="36" t="str">
        <f ca="1">IFERROR(+IF(BI$27=#REF!,Milestone_Marker,IF(AND(BI$27&gt;#REF!,BI$27&lt;=#REF!+#REF!),$G$5,"")),"")</f>
        <v/>
      </c>
      <c r="BI83" s="36" t="str">
        <f ca="1">IFERROR(+IF(BJ$27=#REF!,Milestone_Marker,IF(AND(BJ$27&gt;#REF!,BJ$27&lt;=#REF!+#REF!),$G$5,"")),"")</f>
        <v/>
      </c>
      <c r="BJ83" s="36" t="str">
        <f ca="1">IFERROR(+IF(BK$27=#REF!,Milestone_Marker,IF(AND(BK$27&gt;#REF!,BK$27&lt;=#REF!+#REF!),$G$5,"")),"")</f>
        <v/>
      </c>
      <c r="BK83" s="36" t="str">
        <f ca="1">IFERROR(+IF(BL$27=#REF!,Milestone_Marker,IF(AND(BL$27&gt;#REF!,BL$27&lt;=#REF!+#REF!),$G$5,"")),"")</f>
        <v/>
      </c>
      <c r="BL83" s="36" t="str">
        <f ca="1">IFERROR(+IF(BM$27=#REF!,Milestone_Marker,IF(AND(BM$27&gt;#REF!,BM$27&lt;=#REF!+#REF!),$G$5,"")),"")</f>
        <v/>
      </c>
      <c r="BM83" s="36" t="str">
        <f ca="1">IFERROR(+IF(BN$27=#REF!,Milestone_Marker,IF(AND(BN$27&gt;#REF!,BN$27&lt;=#REF!+#REF!),$G$5,"")),"")</f>
        <v/>
      </c>
      <c r="BN83" s="36" t="str">
        <f ca="1">IFERROR(+IF(BO$27=#REF!,Milestone_Marker,IF(AND(BO$27&gt;#REF!,BO$27&lt;=#REF!+#REF!),$G$5,"")),"")</f>
        <v/>
      </c>
      <c r="BO83" s="36" t="str">
        <f ca="1">IFERROR(+IF(BP$27=#REF!,Milestone_Marker,IF(AND(BP$27&gt;#REF!,BP$27&lt;=#REF!+#REF!),$G$5,"")),"")</f>
        <v/>
      </c>
      <c r="BP83" s="36" t="str">
        <f ca="1">IFERROR(+IF(BQ$27=#REF!,Milestone_Marker,IF(AND(BQ$27&gt;#REF!,BQ$27&lt;=#REF!+#REF!),$G$5,"")),"")</f>
        <v/>
      </c>
      <c r="BQ83" s="36" t="str">
        <f ca="1">IFERROR(+IF(BR$27=#REF!,Milestone_Marker,IF(AND(BR$27&gt;#REF!,BR$27&lt;=#REF!+#REF!),$G$5,"")),"")</f>
        <v/>
      </c>
      <c r="BR83" s="36" t="str">
        <f ca="1">IFERROR(+IF(BS$27=#REF!,Milestone_Marker,IF(AND(BS$27&gt;#REF!,BS$27&lt;=#REF!+#REF!),$G$5,"")),"")</f>
        <v/>
      </c>
      <c r="BS83" s="36" t="str">
        <f ca="1">IFERROR(+IF(BT$27=#REF!,Milestone_Marker,IF(AND(BT$27&gt;#REF!,BT$27&lt;=#REF!+#REF!),$G$5,"")),"")</f>
        <v/>
      </c>
      <c r="BT83" s="36" t="str">
        <f ca="1">IFERROR(+IF(BU$27=#REF!,Milestone_Marker,IF(AND(BU$27&gt;#REF!,BU$27&lt;=#REF!+#REF!),$G$5,"")),"")</f>
        <v/>
      </c>
      <c r="BU83" s="36" t="str">
        <f ca="1">IFERROR(+IF(BV$27=#REF!,Milestone_Marker,IF(AND(BV$27&gt;#REF!,BV$27&lt;=#REF!+#REF!),$G$5,"")),"")</f>
        <v/>
      </c>
      <c r="BV83" s="36" t="str">
        <f ca="1">IFERROR(+IF(BW$27=#REF!,Milestone_Marker,IF(AND(BW$27&gt;#REF!,BW$27&lt;=#REF!+#REF!),$G$5,"")),"")</f>
        <v/>
      </c>
      <c r="BW83" s="36" t="str">
        <f ca="1">IFERROR(+IF(BX$27=#REF!,Milestone_Marker,IF(AND(BX$27&gt;#REF!,BX$27&lt;=#REF!+#REF!),$G$5,"")),"")</f>
        <v/>
      </c>
      <c r="BX83" s="36" t="str">
        <f ca="1">IFERROR(+IF(BY$27=#REF!,Milestone_Marker,IF(AND(BY$27&gt;#REF!,BY$27&lt;=#REF!+#REF!),$G$5,"")),"")</f>
        <v/>
      </c>
      <c r="BY83" s="36" t="str">
        <f ca="1">IFERROR(+IF(BZ$27=#REF!,Milestone_Marker,IF(AND(BZ$27&gt;#REF!,BZ$27&lt;=#REF!+#REF!),$G$5,"")),"")</f>
        <v/>
      </c>
      <c r="BZ83" s="36" t="str">
        <f ca="1">IFERROR(+IF(CA$27=#REF!,Milestone_Marker,IF(AND(CA$27&gt;#REF!,CA$27&lt;=#REF!+#REF!),$G$5,"")),"")</f>
        <v/>
      </c>
      <c r="CA83" s="36" t="str">
        <f ca="1">IFERROR(+IF(CB$27=#REF!,Milestone_Marker,IF(AND(CB$27&gt;#REF!,CB$27&lt;=#REF!+#REF!),$G$5,"")),"")</f>
        <v/>
      </c>
      <c r="CB83" s="36" t="str">
        <f ca="1">IFERROR(+IF(CC$27=#REF!,Milestone_Marker,IF(AND(CC$27&gt;#REF!,CC$27&lt;=#REF!+#REF!),$G$5,"")),"")</f>
        <v/>
      </c>
      <c r="CC83" s="36" t="str">
        <f ca="1">IFERROR(+IF(CD$27=#REF!,Milestone_Marker,IF(AND(CD$27&gt;#REF!,CD$27&lt;=#REF!+#REF!),$G$5,"")),"")</f>
        <v/>
      </c>
      <c r="CD83" s="36" t="str">
        <f ca="1">IFERROR(+IF(CE$27=#REF!,Milestone_Marker,IF(AND(CE$27&gt;#REF!,CE$27&lt;=#REF!+#REF!),$G$5,"")),"")</f>
        <v/>
      </c>
      <c r="CE83" s="36" t="str">
        <f ca="1">IFERROR(+IF(CF$27=#REF!,Milestone_Marker,IF(AND(CF$27&gt;#REF!,CF$27&lt;=#REF!+#REF!),$G$5,"")),"")</f>
        <v/>
      </c>
      <c r="CF83" s="36" t="str">
        <f ca="1">IFERROR(+IF(CG$27=#REF!,Milestone_Marker,IF(AND(CG$27&gt;#REF!,CG$27&lt;=#REF!+#REF!),$G$5,"")),"")</f>
        <v/>
      </c>
      <c r="CG83" s="36" t="str">
        <f ca="1">IFERROR(+IF(CH$27=#REF!,Milestone_Marker,IF(AND(CH$27&gt;#REF!,CH$27&lt;=#REF!+#REF!),$G$5,"")),"")</f>
        <v/>
      </c>
      <c r="CH83" s="36" t="str">
        <f ca="1">IFERROR(+IF(CI$27=#REF!,Milestone_Marker,IF(AND(CI$27&gt;#REF!,CI$27&lt;=#REF!+#REF!),$G$5,"")),"")</f>
        <v/>
      </c>
      <c r="CI83" s="36" t="str">
        <f ca="1">IFERROR(+IF(CJ$27=#REF!,Milestone_Marker,IF(AND(CJ$27&gt;#REF!,CJ$27&lt;=#REF!+#REF!),$G$5,"")),"")</f>
        <v/>
      </c>
      <c r="CJ83" s="36" t="str">
        <f ca="1">IFERROR(+IF(CK$27=#REF!,Milestone_Marker,IF(AND(CK$27&gt;#REF!,CK$27&lt;=#REF!+#REF!),$G$5,"")),"")</f>
        <v/>
      </c>
      <c r="CK83" s="36" t="str">
        <f ca="1">IFERROR(+IF(CL$27=#REF!,Milestone_Marker,IF(AND(CL$27&gt;#REF!,CL$27&lt;=#REF!+#REF!),$G$5,"")),"")</f>
        <v/>
      </c>
      <c r="CL83" s="36" t="str">
        <f ca="1">IFERROR(+IF(CM$27=#REF!,Milestone_Marker,IF(AND(CM$27&gt;#REF!,CM$27&lt;=#REF!+#REF!),$G$5,"")),"")</f>
        <v/>
      </c>
      <c r="CM83" s="36" t="str">
        <f ca="1">IFERROR(+IF(CN$27=#REF!,Milestone_Marker,IF(AND(CN$27&gt;#REF!,CN$27&lt;=#REF!+#REF!),$G$5,"")),"")</f>
        <v/>
      </c>
      <c r="CN83" s="36" t="str">
        <f ca="1">IFERROR(+IF(CO$27=#REF!,Milestone_Marker,IF(AND(CO$27&gt;#REF!,CO$27&lt;=#REF!+#REF!),$G$5,"")),"")</f>
        <v/>
      </c>
      <c r="CO83" s="36" t="str">
        <f ca="1">IFERROR(+IF(CP$27=#REF!,Milestone_Marker,IF(AND(CP$27&gt;#REF!,CP$27&lt;=#REF!+#REF!),$G$5,"")),"")</f>
        <v/>
      </c>
      <c r="CP83" s="36" t="str">
        <f ca="1">IFERROR(+IF(CQ$27=#REF!,Milestone_Marker,IF(AND(CQ$27&gt;#REF!,CQ$27&lt;=#REF!+#REF!),$G$5,"")),"")</f>
        <v/>
      </c>
      <c r="CQ83" s="36" t="str">
        <f ca="1">IFERROR(+IF(CR$27=#REF!,Milestone_Marker,IF(AND(CR$27&gt;#REF!,CR$27&lt;=#REF!+#REF!),$G$5,"")),"")</f>
        <v/>
      </c>
      <c r="CR83" s="36" t="str">
        <f ca="1">IFERROR(+IF(CS$27=#REF!,Milestone_Marker,IF(AND(CS$27&gt;#REF!,CS$27&lt;=#REF!+#REF!),$G$5,"")),"")</f>
        <v/>
      </c>
      <c r="CS83" s="36" t="str">
        <f ca="1">IFERROR(+IF(CT$27=#REF!,Milestone_Marker,IF(AND(CT$27&gt;#REF!,CT$27&lt;=#REF!+#REF!),$G$5,"")),"")</f>
        <v/>
      </c>
      <c r="CT83" s="36" t="str">
        <f ca="1">IFERROR(+IF(CU$27=#REF!,Milestone_Marker,IF(AND(CU$27&gt;#REF!,CU$27&lt;=#REF!+#REF!),$G$5,"")),"")</f>
        <v/>
      </c>
    </row>
    <row r="84" spans="1:125" ht="15" x14ac:dyDescent="0.25">
      <c r="A84" t="s">
        <v>523</v>
      </c>
      <c r="B84">
        <v>66</v>
      </c>
      <c r="C84" t="s">
        <v>1077</v>
      </c>
      <c r="D84" t="s">
        <v>950</v>
      </c>
      <c r="E84" s="568" t="s">
        <v>1062</v>
      </c>
      <c r="F84">
        <v>1</v>
      </c>
      <c r="G84" s="14"/>
      <c r="H84" s="14"/>
      <c r="I84" t="s">
        <v>3</v>
      </c>
      <c r="J84">
        <v>2</v>
      </c>
      <c r="K84" s="249"/>
      <c r="L84"/>
      <c r="M84" s="14"/>
      <c r="N84" s="300"/>
      <c r="O84" s="554"/>
      <c r="P84" s="36" t="str">
        <f ca="1">IFERROR(+IF(Q$27=#REF!,Milestone_Marker,IF(AND(Q$27&gt;#REF!,Q$27&lt;=#REF!+#REF!),$G$5,"")),"")</f>
        <v/>
      </c>
      <c r="Q84" s="36" t="str">
        <f ca="1">IFERROR(+IF(R$27=#REF!,Milestone_Marker,IF(AND(R$27&gt;#REF!,R$27&lt;=#REF!+#REF!),$G$5,"")),"")</f>
        <v/>
      </c>
      <c r="R84" s="36" t="str">
        <f ca="1">IFERROR(+IF(S$27=#REF!,Milestone_Marker,IF(AND(S$27&gt;#REF!,S$27&lt;=#REF!+#REF!),$G$5,"")),"")</f>
        <v/>
      </c>
      <c r="S84" s="36" t="str">
        <f ca="1">IFERROR(+IF(T$27=#REF!,Milestone_Marker,IF(AND(T$27&gt;#REF!,T$27&lt;=#REF!+#REF!),$G$5,"")),"")</f>
        <v/>
      </c>
      <c r="T84" s="36" t="str">
        <f ca="1">IFERROR(+IF(U$27=#REF!,Milestone_Marker,IF(AND(U$27&gt;#REF!,U$27&lt;=#REF!+#REF!),$G$5,"")),"")</f>
        <v/>
      </c>
      <c r="U84" s="36" t="str">
        <f ca="1">IFERROR(+IF(V$27=#REF!,Milestone_Marker,IF(AND(V$27&gt;#REF!,V$27&lt;=#REF!+#REF!),$G$5,"")),"")</f>
        <v/>
      </c>
      <c r="V84" s="36" t="str">
        <f ca="1">IFERROR(+IF(W$27=#REF!,Milestone_Marker,IF(AND(W$27&gt;#REF!,W$27&lt;=#REF!+#REF!),$G$5,"")),"")</f>
        <v/>
      </c>
      <c r="W84" s="36" t="str">
        <f ca="1">IFERROR(+IF(X$27=#REF!,Milestone_Marker,IF(AND(X$27&gt;#REF!,X$27&lt;=#REF!+#REF!),$G$5,"")),"")</f>
        <v/>
      </c>
      <c r="X84" s="36" t="str">
        <f ca="1">IFERROR(+IF(Y$27=#REF!,Milestone_Marker,IF(AND(Y$27&gt;#REF!,Y$27&lt;=#REF!+#REF!),$G$5,"")),"")</f>
        <v/>
      </c>
      <c r="Y84" s="36" t="str">
        <f ca="1">IFERROR(+IF(Z$27=#REF!,Milestone_Marker,IF(AND(Z$27&gt;#REF!,Z$27&lt;=#REF!+#REF!),$G$5,"")),"")</f>
        <v/>
      </c>
      <c r="Z84" s="36" t="str">
        <f ca="1">IFERROR(+IF(AA$27=#REF!,Milestone_Marker,IF(AND(AA$27&gt;#REF!,AA$27&lt;=#REF!+#REF!),$G$5,"")),"")</f>
        <v/>
      </c>
      <c r="AA84" s="36" t="str">
        <f ca="1">IFERROR(+IF(AB$27=#REF!,Milestone_Marker,IF(AND(AB$27&gt;#REF!,AB$27&lt;=#REF!+#REF!),$G$5,"")),"")</f>
        <v/>
      </c>
      <c r="AB84" s="36" t="str">
        <f ca="1">IFERROR(+IF(AC$27=#REF!,Milestone_Marker,IF(AND(AC$27&gt;#REF!,AC$27&lt;=#REF!+#REF!),$G$5,"")),"")</f>
        <v/>
      </c>
      <c r="AC84" s="36" t="str">
        <f ca="1">IFERROR(+IF(AD$27=#REF!,Milestone_Marker,IF(AND(AD$27&gt;#REF!,AD$27&lt;=#REF!+#REF!),$G$5,"")),"")</f>
        <v/>
      </c>
      <c r="AD84" s="36" t="str">
        <f ca="1">IFERROR(+IF(AE$27=#REF!,Milestone_Marker,IF(AND(AE$27&gt;#REF!,AE$27&lt;=#REF!+#REF!),$G$5,"")),"")</f>
        <v/>
      </c>
      <c r="AE84" s="36" t="str">
        <f ca="1">IFERROR(+IF(AF$27=#REF!,Milestone_Marker,IF(AND(AF$27&gt;#REF!,AF$27&lt;=#REF!+#REF!),$G$5,"")),"")</f>
        <v/>
      </c>
      <c r="AF84" s="36" t="str">
        <f ca="1">IFERROR(+IF(AG$27=#REF!,Milestone_Marker,IF(AND(AG$27&gt;#REF!,AG$27&lt;=#REF!+#REF!),$G$5,"")),"")</f>
        <v/>
      </c>
      <c r="AG84" s="36" t="str">
        <f ca="1">IFERROR(+IF(AH$27=#REF!,Milestone_Marker,IF(AND(AH$27&gt;#REF!,AH$27&lt;=#REF!+#REF!),$G$5,"")),"")</f>
        <v/>
      </c>
      <c r="AH84" s="36" t="str">
        <f ca="1">IFERROR(+IF(AI$27=#REF!,Milestone_Marker,IF(AND(AI$27&gt;#REF!,AI$27&lt;=#REF!+#REF!),$G$5,"")),"")</f>
        <v/>
      </c>
      <c r="AI84" s="36" t="str">
        <f ca="1">IFERROR(+IF(AJ$27=#REF!,Milestone_Marker,IF(AND(AJ$27&gt;#REF!,AJ$27&lt;=#REF!+#REF!),$G$5,"")),"")</f>
        <v/>
      </c>
      <c r="AJ84" s="36" t="str">
        <f ca="1">IFERROR(+IF(AK$27=#REF!,Milestone_Marker,IF(AND(AK$27&gt;#REF!,AK$27&lt;=#REF!+#REF!),$G$5,"")),"")</f>
        <v/>
      </c>
      <c r="AK84" s="36" t="str">
        <f ca="1">IFERROR(+IF(AL$27=#REF!,Milestone_Marker,IF(AND(AL$27&gt;#REF!,AL$27&lt;=#REF!+#REF!),$G$5,"")),"")</f>
        <v/>
      </c>
      <c r="AL84" s="36" t="str">
        <f ca="1">IFERROR(+IF(AM$27=#REF!,Milestone_Marker,IF(AND(AM$27&gt;#REF!,AM$27&lt;=#REF!+#REF!),$G$5,"")),"")</f>
        <v/>
      </c>
      <c r="AM84" s="36" t="str">
        <f ca="1">IFERROR(+IF(AN$27=#REF!,Milestone_Marker,IF(AND(AN$27&gt;#REF!,AN$27&lt;=#REF!+#REF!),$G$5,"")),"")</f>
        <v/>
      </c>
      <c r="AN84" s="36" t="str">
        <f ca="1">IFERROR(+IF(AO$27=#REF!,Milestone_Marker,IF(AND(AO$27&gt;#REF!,AO$27&lt;=#REF!+#REF!),$G$5,"")),"")</f>
        <v/>
      </c>
      <c r="AO84" s="36" t="str">
        <f ca="1">IFERROR(+IF(AP$27=#REF!,Milestone_Marker,IF(AND(AP$27&gt;#REF!,AP$27&lt;=#REF!+#REF!),$G$5,"")),"")</f>
        <v/>
      </c>
      <c r="AP84" s="36" t="str">
        <f ca="1">IFERROR(+IF(AQ$27=#REF!,Milestone_Marker,IF(AND(AQ$27&gt;#REF!,AQ$27&lt;=#REF!+#REF!),$G$5,"")),"")</f>
        <v/>
      </c>
      <c r="AQ84" s="36" t="str">
        <f ca="1">IFERROR(+IF(AR$27=#REF!,Milestone_Marker,IF(AND(AR$27&gt;#REF!,AR$27&lt;=#REF!+#REF!),$G$5,"")),"")</f>
        <v/>
      </c>
      <c r="AR84" s="36" t="str">
        <f ca="1">IFERROR(+IF(AS$27=#REF!,Milestone_Marker,IF(AND(AS$27&gt;#REF!,AS$27&lt;=#REF!+#REF!),$G$5,"")),"")</f>
        <v/>
      </c>
      <c r="AS84" s="36" t="str">
        <f ca="1">IFERROR(+IF(AT$27=#REF!,Milestone_Marker,IF(AND(AT$27&gt;#REF!,AT$27&lt;=#REF!+#REF!),$G$5,"")),"")</f>
        <v/>
      </c>
      <c r="AT84" s="36" t="str">
        <f ca="1">IFERROR(+IF(AU$27=#REF!,Milestone_Marker,IF(AND(AU$27&gt;#REF!,AU$27&lt;=#REF!+#REF!),$G$5,"")),"")</f>
        <v/>
      </c>
      <c r="AU84" s="36" t="str">
        <f ca="1">IFERROR(+IF(AV$27=#REF!,Milestone_Marker,IF(AND(AV$27&gt;#REF!,AV$27&lt;=#REF!+#REF!),$G$5,"")),"")</f>
        <v/>
      </c>
      <c r="AV84" s="36" t="str">
        <f ca="1">IFERROR(+IF(AW$27=#REF!,Milestone_Marker,IF(AND(AW$27&gt;#REF!,AW$27&lt;=#REF!+#REF!),$G$5,"")),"")</f>
        <v/>
      </c>
      <c r="AW84" s="36" t="str">
        <f ca="1">IFERROR(+IF(AX$27=#REF!,Milestone_Marker,IF(AND(AX$27&gt;#REF!,AX$27&lt;=#REF!+#REF!),$G$5,"")),"")</f>
        <v/>
      </c>
      <c r="AX84" s="36" t="str">
        <f ca="1">IFERROR(+IF(AY$27=#REF!,Milestone_Marker,IF(AND(AY$27&gt;#REF!,AY$27&lt;=#REF!+#REF!),$G$5,"")),"")</f>
        <v/>
      </c>
      <c r="AY84" s="36" t="str">
        <f ca="1">IFERROR(+IF(AZ$27=#REF!,Milestone_Marker,IF(AND(AZ$27&gt;#REF!,AZ$27&lt;=#REF!+#REF!),$G$5,"")),"")</f>
        <v/>
      </c>
      <c r="AZ84" s="36" t="str">
        <f ca="1">IFERROR(+IF(BA$27=#REF!,Milestone_Marker,IF(AND(BA$27&gt;#REF!,BA$27&lt;=#REF!+#REF!),$G$5,"")),"")</f>
        <v/>
      </c>
      <c r="BA84" s="36" t="str">
        <f ca="1">IFERROR(+IF(BB$27=#REF!,Milestone_Marker,IF(AND(BB$27&gt;#REF!,BB$27&lt;=#REF!+#REF!),$G$5,"")),"")</f>
        <v/>
      </c>
      <c r="BB84" s="36" t="str">
        <f ca="1">IFERROR(+IF(BC$27=#REF!,Milestone_Marker,IF(AND(BC$27&gt;#REF!,BC$27&lt;=#REF!+#REF!),$G$5,"")),"")</f>
        <v/>
      </c>
      <c r="BC84" s="36" t="str">
        <f ca="1">IFERROR(+IF(BD$27=#REF!,Milestone_Marker,IF(AND(BD$27&gt;#REF!,BD$27&lt;=#REF!+#REF!),$G$5,"")),"")</f>
        <v/>
      </c>
      <c r="BD84" s="36" t="str">
        <f ca="1">IFERROR(+IF(BE$27=#REF!,Milestone_Marker,IF(AND(BE$27&gt;#REF!,BE$27&lt;=#REF!+#REF!),$G$5,"")),"")</f>
        <v/>
      </c>
      <c r="BE84" s="36" t="str">
        <f ca="1">IFERROR(+IF(BF$27=#REF!,Milestone_Marker,IF(AND(BF$27&gt;#REF!,BF$27&lt;=#REF!+#REF!),$G$5,"")),"")</f>
        <v/>
      </c>
      <c r="BF84" s="36" t="str">
        <f ca="1">IFERROR(+IF(BG$27=#REF!,Milestone_Marker,IF(AND(BG$27&gt;#REF!,BG$27&lt;=#REF!+#REF!),$G$5,"")),"")</f>
        <v/>
      </c>
      <c r="BG84" s="36" t="str">
        <f ca="1">IFERROR(+IF(BH$27=#REF!,Milestone_Marker,IF(AND(BH$27&gt;#REF!,BH$27&lt;=#REF!+#REF!),$G$5,"")),"")</f>
        <v/>
      </c>
      <c r="BH84" s="36" t="str">
        <f ca="1">IFERROR(+IF(BI$27=#REF!,Milestone_Marker,IF(AND(BI$27&gt;#REF!,BI$27&lt;=#REF!+#REF!),$G$5,"")),"")</f>
        <v/>
      </c>
      <c r="BI84" s="36" t="str">
        <f ca="1">IFERROR(+IF(BJ$27=#REF!,Milestone_Marker,IF(AND(BJ$27&gt;#REF!,BJ$27&lt;=#REF!+#REF!),$G$5,"")),"")</f>
        <v/>
      </c>
      <c r="BJ84" s="36" t="str">
        <f ca="1">IFERROR(+IF(BK$27=#REF!,Milestone_Marker,IF(AND(BK$27&gt;#REF!,BK$27&lt;=#REF!+#REF!),$G$5,"")),"")</f>
        <v/>
      </c>
      <c r="BK84" s="36" t="str">
        <f ca="1">IFERROR(+IF(BL$27=#REF!,Milestone_Marker,IF(AND(BL$27&gt;#REF!,BL$27&lt;=#REF!+#REF!),$G$5,"")),"")</f>
        <v/>
      </c>
      <c r="BL84" s="36" t="str">
        <f ca="1">IFERROR(+IF(BM$27=#REF!,Milestone_Marker,IF(AND(BM$27&gt;#REF!,BM$27&lt;=#REF!+#REF!),$G$5,"")),"")</f>
        <v/>
      </c>
      <c r="BM84" s="36" t="str">
        <f ca="1">IFERROR(+IF(BN$27=#REF!,Milestone_Marker,IF(AND(BN$27&gt;#REF!,BN$27&lt;=#REF!+#REF!),$G$5,"")),"")</f>
        <v/>
      </c>
      <c r="BN84" s="36" t="str">
        <f ca="1">IFERROR(+IF(BO$27=#REF!,Milestone_Marker,IF(AND(BO$27&gt;#REF!,BO$27&lt;=#REF!+#REF!),$G$5,"")),"")</f>
        <v/>
      </c>
      <c r="BO84" s="36" t="str">
        <f ca="1">IFERROR(+IF(BP$27=#REF!,Milestone_Marker,IF(AND(BP$27&gt;#REF!,BP$27&lt;=#REF!+#REF!),$G$5,"")),"")</f>
        <v/>
      </c>
      <c r="BP84" s="36" t="str">
        <f ca="1">IFERROR(+IF(BQ$27=#REF!,Milestone_Marker,IF(AND(BQ$27&gt;#REF!,BQ$27&lt;=#REF!+#REF!),$G$5,"")),"")</f>
        <v/>
      </c>
      <c r="BQ84" s="36" t="str">
        <f ca="1">IFERROR(+IF(BR$27=#REF!,Milestone_Marker,IF(AND(BR$27&gt;#REF!,BR$27&lt;=#REF!+#REF!),$G$5,"")),"")</f>
        <v/>
      </c>
      <c r="BR84" s="36" t="str">
        <f ca="1">IFERROR(+IF(BS$27=#REF!,Milestone_Marker,IF(AND(BS$27&gt;#REF!,BS$27&lt;=#REF!+#REF!),$G$5,"")),"")</f>
        <v/>
      </c>
      <c r="BS84" s="36" t="str">
        <f ca="1">IFERROR(+IF(BT$27=#REF!,Milestone_Marker,IF(AND(BT$27&gt;#REF!,BT$27&lt;=#REF!+#REF!),$G$5,"")),"")</f>
        <v/>
      </c>
      <c r="BT84" s="36" t="str">
        <f ca="1">IFERROR(+IF(BU$27=#REF!,Milestone_Marker,IF(AND(BU$27&gt;#REF!,BU$27&lt;=#REF!+#REF!),$G$5,"")),"")</f>
        <v/>
      </c>
      <c r="BU84" s="36" t="str">
        <f ca="1">IFERROR(+IF(BV$27=#REF!,Milestone_Marker,IF(AND(BV$27&gt;#REF!,BV$27&lt;=#REF!+#REF!),$G$5,"")),"")</f>
        <v/>
      </c>
      <c r="BV84" s="36" t="str">
        <f ca="1">IFERROR(+IF(BW$27=#REF!,Milestone_Marker,IF(AND(BW$27&gt;#REF!,BW$27&lt;=#REF!+#REF!),$G$5,"")),"")</f>
        <v/>
      </c>
      <c r="BW84" s="36" t="str">
        <f ca="1">IFERROR(+IF(BX$27=#REF!,Milestone_Marker,IF(AND(BX$27&gt;#REF!,BX$27&lt;=#REF!+#REF!),$G$5,"")),"")</f>
        <v/>
      </c>
      <c r="BX84" s="36" t="str">
        <f ca="1">IFERROR(+IF(BY$27=#REF!,Milestone_Marker,IF(AND(BY$27&gt;#REF!,BY$27&lt;=#REF!+#REF!),$G$5,"")),"")</f>
        <v/>
      </c>
      <c r="BY84" s="36" t="str">
        <f ca="1">IFERROR(+IF(BZ$27=#REF!,Milestone_Marker,IF(AND(BZ$27&gt;#REF!,BZ$27&lt;=#REF!+#REF!),$G$5,"")),"")</f>
        <v/>
      </c>
      <c r="BZ84" s="36" t="str">
        <f ca="1">IFERROR(+IF(CA$27=#REF!,Milestone_Marker,IF(AND(CA$27&gt;#REF!,CA$27&lt;=#REF!+#REF!),$G$5,"")),"")</f>
        <v/>
      </c>
      <c r="CA84" s="36" t="str">
        <f ca="1">IFERROR(+IF(CB$27=#REF!,Milestone_Marker,IF(AND(CB$27&gt;#REF!,CB$27&lt;=#REF!+#REF!),$G$5,"")),"")</f>
        <v/>
      </c>
      <c r="CB84" s="36" t="str">
        <f ca="1">IFERROR(+IF(CC$27=#REF!,Milestone_Marker,IF(AND(CC$27&gt;#REF!,CC$27&lt;=#REF!+#REF!),$G$5,"")),"")</f>
        <v/>
      </c>
      <c r="CC84" s="36" t="str">
        <f ca="1">IFERROR(+IF(CD$27=#REF!,Milestone_Marker,IF(AND(CD$27&gt;#REF!,CD$27&lt;=#REF!+#REF!),$G$5,"")),"")</f>
        <v/>
      </c>
      <c r="CD84" s="36" t="str">
        <f ca="1">IFERROR(+IF(CE$27=#REF!,Milestone_Marker,IF(AND(CE$27&gt;#REF!,CE$27&lt;=#REF!+#REF!),$G$5,"")),"")</f>
        <v/>
      </c>
      <c r="CE84" s="36" t="str">
        <f ca="1">IFERROR(+IF(CF$27=#REF!,Milestone_Marker,IF(AND(CF$27&gt;#REF!,CF$27&lt;=#REF!+#REF!),$G$5,"")),"")</f>
        <v/>
      </c>
      <c r="CF84" s="36" t="str">
        <f ca="1">IFERROR(+IF(CG$27=#REF!,Milestone_Marker,IF(AND(CG$27&gt;#REF!,CG$27&lt;=#REF!+#REF!),$G$5,"")),"")</f>
        <v/>
      </c>
      <c r="CG84" s="36" t="str">
        <f ca="1">IFERROR(+IF(CH$27=#REF!,Milestone_Marker,IF(AND(CH$27&gt;#REF!,CH$27&lt;=#REF!+#REF!),$G$5,"")),"")</f>
        <v/>
      </c>
      <c r="CH84" s="36" t="str">
        <f ca="1">IFERROR(+IF(CI$27=#REF!,Milestone_Marker,IF(AND(CI$27&gt;#REF!,CI$27&lt;=#REF!+#REF!),$G$5,"")),"")</f>
        <v/>
      </c>
      <c r="CI84" s="36" t="str">
        <f ca="1">IFERROR(+IF(CJ$27=#REF!,Milestone_Marker,IF(AND(CJ$27&gt;#REF!,CJ$27&lt;=#REF!+#REF!),$G$5,"")),"")</f>
        <v/>
      </c>
      <c r="CJ84" s="36" t="str">
        <f ca="1">IFERROR(+IF(CK$27=#REF!,Milestone_Marker,IF(AND(CK$27&gt;#REF!,CK$27&lt;=#REF!+#REF!),$G$5,"")),"")</f>
        <v/>
      </c>
      <c r="CK84" s="36" t="str">
        <f ca="1">IFERROR(+IF(CL$27=#REF!,Milestone_Marker,IF(AND(CL$27&gt;#REF!,CL$27&lt;=#REF!+#REF!),$G$5,"")),"")</f>
        <v/>
      </c>
      <c r="CL84" s="36" t="str">
        <f ca="1">IFERROR(+IF(CM$27=#REF!,Milestone_Marker,IF(AND(CM$27&gt;#REF!,CM$27&lt;=#REF!+#REF!),$G$5,"")),"")</f>
        <v/>
      </c>
      <c r="CM84" s="36" t="str">
        <f ca="1">IFERROR(+IF(CN$27=#REF!,Milestone_Marker,IF(AND(CN$27&gt;#REF!,CN$27&lt;=#REF!+#REF!),$G$5,"")),"")</f>
        <v/>
      </c>
      <c r="CN84" s="36" t="str">
        <f ca="1">IFERROR(+IF(CO$27=#REF!,Milestone_Marker,IF(AND(CO$27&gt;#REF!,CO$27&lt;=#REF!+#REF!),$G$5,"")),"")</f>
        <v/>
      </c>
      <c r="CO84" s="36" t="str">
        <f ca="1">IFERROR(+IF(CP$27=#REF!,Milestone_Marker,IF(AND(CP$27&gt;#REF!,CP$27&lt;=#REF!+#REF!),$G$5,"")),"")</f>
        <v/>
      </c>
      <c r="CP84" s="36" t="str">
        <f ca="1">IFERROR(+IF(CQ$27=#REF!,Milestone_Marker,IF(AND(CQ$27&gt;#REF!,CQ$27&lt;=#REF!+#REF!),$G$5,"")),"")</f>
        <v/>
      </c>
      <c r="CQ84" s="36" t="str">
        <f ca="1">IFERROR(+IF(CR$27=#REF!,Milestone_Marker,IF(AND(CR$27&gt;#REF!,CR$27&lt;=#REF!+#REF!),$G$5,"")),"")</f>
        <v/>
      </c>
      <c r="CR84" s="36" t="str">
        <f ca="1">IFERROR(+IF(CS$27=#REF!,Milestone_Marker,IF(AND(CS$27&gt;#REF!,CS$27&lt;=#REF!+#REF!),$G$5,"")),"")</f>
        <v/>
      </c>
      <c r="CS84" s="36" t="str">
        <f ca="1">IFERROR(+IF(CT$27=#REF!,Milestone_Marker,IF(AND(CT$27&gt;#REF!,CT$27&lt;=#REF!+#REF!),$G$5,"")),"")</f>
        <v/>
      </c>
      <c r="CT84" s="36" t="str">
        <f ca="1">IFERROR(+IF(CU$27=#REF!,Milestone_Marker,IF(AND(CU$27&gt;#REF!,CU$27&lt;=#REF!+#REF!),$G$5,"")),"")</f>
        <v/>
      </c>
    </row>
    <row r="85" spans="1:125" ht="15" x14ac:dyDescent="0.25">
      <c r="A85" t="s">
        <v>523</v>
      </c>
      <c r="B85">
        <v>67</v>
      </c>
      <c r="C85" t="s">
        <v>1077</v>
      </c>
      <c r="D85" t="s">
        <v>950</v>
      </c>
      <c r="E85" s="568" t="s">
        <v>1047</v>
      </c>
      <c r="F85">
        <v>1</v>
      </c>
      <c r="G85" s="14"/>
      <c r="H85" s="14"/>
      <c r="I85" t="s">
        <v>3</v>
      </c>
      <c r="J85">
        <v>2</v>
      </c>
      <c r="K85" s="249"/>
      <c r="L85"/>
      <c r="M85" s="14"/>
      <c r="N85" s="300"/>
      <c r="O85" s="554"/>
      <c r="P85" s="36" t="str">
        <f ca="1">IFERROR(+IF(Q$27=#REF!,Milestone_Marker,IF(AND(Q$27&gt;#REF!,Q$27&lt;=#REF!+#REF!),$G$5,"")),"")</f>
        <v/>
      </c>
      <c r="Q85" s="36" t="str">
        <f ca="1">IFERROR(+IF(R$27=#REF!,Milestone_Marker,IF(AND(R$27&gt;#REF!,R$27&lt;=#REF!+#REF!),$G$5,"")),"")</f>
        <v/>
      </c>
      <c r="R85" s="36" t="str">
        <f ca="1">IFERROR(+IF(S$27=#REF!,Milestone_Marker,IF(AND(S$27&gt;#REF!,S$27&lt;=#REF!+#REF!),$G$5,"")),"")</f>
        <v/>
      </c>
      <c r="S85" s="36" t="str">
        <f ca="1">IFERROR(+IF(T$27=#REF!,Milestone_Marker,IF(AND(T$27&gt;#REF!,T$27&lt;=#REF!+#REF!),$G$5,"")),"")</f>
        <v/>
      </c>
      <c r="T85" s="36" t="str">
        <f ca="1">IFERROR(+IF(U$27=#REF!,Milestone_Marker,IF(AND(U$27&gt;#REF!,U$27&lt;=#REF!+#REF!),$G$5,"")),"")</f>
        <v/>
      </c>
      <c r="U85" s="36" t="str">
        <f ca="1">IFERROR(+IF(V$27=#REF!,Milestone_Marker,IF(AND(V$27&gt;#REF!,V$27&lt;=#REF!+#REF!),$G$5,"")),"")</f>
        <v/>
      </c>
      <c r="V85" s="36" t="str">
        <f ca="1">IFERROR(+IF(W$27=#REF!,Milestone_Marker,IF(AND(W$27&gt;#REF!,W$27&lt;=#REF!+#REF!),$G$5,"")),"")</f>
        <v/>
      </c>
      <c r="W85" s="36" t="str">
        <f ca="1">IFERROR(+IF(X$27=#REF!,Milestone_Marker,IF(AND(X$27&gt;#REF!,X$27&lt;=#REF!+#REF!),$G$5,"")),"")</f>
        <v/>
      </c>
      <c r="X85" s="36" t="str">
        <f ca="1">IFERROR(+IF(Y$27=#REF!,Milestone_Marker,IF(AND(Y$27&gt;#REF!,Y$27&lt;=#REF!+#REF!),$G$5,"")),"")</f>
        <v/>
      </c>
      <c r="Y85" s="36" t="str">
        <f ca="1">IFERROR(+IF(Z$27=#REF!,Milestone_Marker,IF(AND(Z$27&gt;#REF!,Z$27&lt;=#REF!+#REF!),$G$5,"")),"")</f>
        <v/>
      </c>
      <c r="Z85" s="36" t="str">
        <f ca="1">IFERROR(+IF(AA$27=#REF!,Milestone_Marker,IF(AND(AA$27&gt;#REF!,AA$27&lt;=#REF!+#REF!),$G$5,"")),"")</f>
        <v/>
      </c>
      <c r="AA85" s="36" t="str">
        <f ca="1">IFERROR(+IF(AB$27=#REF!,Milestone_Marker,IF(AND(AB$27&gt;#REF!,AB$27&lt;=#REF!+#REF!),$G$5,"")),"")</f>
        <v/>
      </c>
      <c r="AB85" s="36" t="str">
        <f ca="1">IFERROR(+IF(AC$27=#REF!,Milestone_Marker,IF(AND(AC$27&gt;#REF!,AC$27&lt;=#REF!+#REF!),$G$5,"")),"")</f>
        <v/>
      </c>
      <c r="AC85" s="36" t="str">
        <f ca="1">IFERROR(+IF(AD$27=#REF!,Milestone_Marker,IF(AND(AD$27&gt;#REF!,AD$27&lt;=#REF!+#REF!),$G$5,"")),"")</f>
        <v/>
      </c>
      <c r="AD85" s="36" t="str">
        <f ca="1">IFERROR(+IF(AE$27=#REF!,Milestone_Marker,IF(AND(AE$27&gt;#REF!,AE$27&lt;=#REF!+#REF!),$G$5,"")),"")</f>
        <v/>
      </c>
      <c r="AE85" s="36" t="str">
        <f ca="1">IFERROR(+IF(AF$27=#REF!,Milestone_Marker,IF(AND(AF$27&gt;#REF!,AF$27&lt;=#REF!+#REF!),$G$5,"")),"")</f>
        <v/>
      </c>
      <c r="AF85" s="36" t="str">
        <f ca="1">IFERROR(+IF(AG$27=#REF!,Milestone_Marker,IF(AND(AG$27&gt;#REF!,AG$27&lt;=#REF!+#REF!),$G$5,"")),"")</f>
        <v/>
      </c>
      <c r="AG85" s="36" t="str">
        <f ca="1">IFERROR(+IF(AH$27=#REF!,Milestone_Marker,IF(AND(AH$27&gt;#REF!,AH$27&lt;=#REF!+#REF!),$G$5,"")),"")</f>
        <v/>
      </c>
      <c r="AH85" s="36" t="str">
        <f ca="1">IFERROR(+IF(AI$27=#REF!,Milestone_Marker,IF(AND(AI$27&gt;#REF!,AI$27&lt;=#REF!+#REF!),$G$5,"")),"")</f>
        <v/>
      </c>
      <c r="AI85" s="36" t="str">
        <f ca="1">IFERROR(+IF(AJ$27=#REF!,Milestone_Marker,IF(AND(AJ$27&gt;#REF!,AJ$27&lt;=#REF!+#REF!),$G$5,"")),"")</f>
        <v/>
      </c>
      <c r="AJ85" s="36" t="str">
        <f ca="1">IFERROR(+IF(AK$27=#REF!,Milestone_Marker,IF(AND(AK$27&gt;#REF!,AK$27&lt;=#REF!+#REF!),$G$5,"")),"")</f>
        <v/>
      </c>
      <c r="AK85" s="36" t="str">
        <f ca="1">IFERROR(+IF(AL$27=#REF!,Milestone_Marker,IF(AND(AL$27&gt;#REF!,AL$27&lt;=#REF!+#REF!),$G$5,"")),"")</f>
        <v/>
      </c>
      <c r="AL85" s="36" t="str">
        <f ca="1">IFERROR(+IF(AM$27=#REF!,Milestone_Marker,IF(AND(AM$27&gt;#REF!,AM$27&lt;=#REF!+#REF!),$G$5,"")),"")</f>
        <v/>
      </c>
      <c r="AM85" s="36" t="str">
        <f ca="1">IFERROR(+IF(AN$27=#REF!,Milestone_Marker,IF(AND(AN$27&gt;#REF!,AN$27&lt;=#REF!+#REF!),$G$5,"")),"")</f>
        <v/>
      </c>
      <c r="AN85" s="36" t="str">
        <f ca="1">IFERROR(+IF(AO$27=#REF!,Milestone_Marker,IF(AND(AO$27&gt;#REF!,AO$27&lt;=#REF!+#REF!),$G$5,"")),"")</f>
        <v/>
      </c>
      <c r="AO85" s="36" t="str">
        <f ca="1">IFERROR(+IF(AP$27=#REF!,Milestone_Marker,IF(AND(AP$27&gt;#REF!,AP$27&lt;=#REF!+#REF!),$G$5,"")),"")</f>
        <v/>
      </c>
      <c r="AP85" s="36" t="str">
        <f ca="1">IFERROR(+IF(AQ$27=#REF!,Milestone_Marker,IF(AND(AQ$27&gt;#REF!,AQ$27&lt;=#REF!+#REF!),$G$5,"")),"")</f>
        <v/>
      </c>
      <c r="AQ85" s="36" t="str">
        <f ca="1">IFERROR(+IF(AR$27=#REF!,Milestone_Marker,IF(AND(AR$27&gt;#REF!,AR$27&lt;=#REF!+#REF!),$G$5,"")),"")</f>
        <v/>
      </c>
      <c r="AR85" s="36" t="str">
        <f ca="1">IFERROR(+IF(AS$27=#REF!,Milestone_Marker,IF(AND(AS$27&gt;#REF!,AS$27&lt;=#REF!+#REF!),$G$5,"")),"")</f>
        <v/>
      </c>
      <c r="AS85" s="36" t="str">
        <f ca="1">IFERROR(+IF(AT$27=#REF!,Milestone_Marker,IF(AND(AT$27&gt;#REF!,AT$27&lt;=#REF!+#REF!),$G$5,"")),"")</f>
        <v/>
      </c>
      <c r="AT85" s="36" t="str">
        <f ca="1">IFERROR(+IF(AU$27=#REF!,Milestone_Marker,IF(AND(AU$27&gt;#REF!,AU$27&lt;=#REF!+#REF!),$G$5,"")),"")</f>
        <v/>
      </c>
      <c r="AU85" s="36" t="str">
        <f ca="1">IFERROR(+IF(AV$27=#REF!,Milestone_Marker,IF(AND(AV$27&gt;#REF!,AV$27&lt;=#REF!+#REF!),$G$5,"")),"")</f>
        <v/>
      </c>
      <c r="AV85" s="36" t="str">
        <f ca="1">IFERROR(+IF(AW$27=#REF!,Milestone_Marker,IF(AND(AW$27&gt;#REF!,AW$27&lt;=#REF!+#REF!),$G$5,"")),"")</f>
        <v/>
      </c>
      <c r="AW85" s="36" t="str">
        <f ca="1">IFERROR(+IF(AX$27=#REF!,Milestone_Marker,IF(AND(AX$27&gt;#REF!,AX$27&lt;=#REF!+#REF!),$G$5,"")),"")</f>
        <v/>
      </c>
      <c r="AX85" s="36" t="str">
        <f ca="1">IFERROR(+IF(AY$27=#REF!,Milestone_Marker,IF(AND(AY$27&gt;#REF!,AY$27&lt;=#REF!+#REF!),$G$5,"")),"")</f>
        <v/>
      </c>
      <c r="AY85" s="36" t="str">
        <f ca="1">IFERROR(+IF(AZ$27=#REF!,Milestone_Marker,IF(AND(AZ$27&gt;#REF!,AZ$27&lt;=#REF!+#REF!),$G$5,"")),"")</f>
        <v/>
      </c>
      <c r="AZ85" s="36" t="str">
        <f ca="1">IFERROR(+IF(BA$27=#REF!,Milestone_Marker,IF(AND(BA$27&gt;#REF!,BA$27&lt;=#REF!+#REF!),$G$5,"")),"")</f>
        <v/>
      </c>
      <c r="BA85" s="36" t="str">
        <f ca="1">IFERROR(+IF(BB$27=#REF!,Milestone_Marker,IF(AND(BB$27&gt;#REF!,BB$27&lt;=#REF!+#REF!),$G$5,"")),"")</f>
        <v/>
      </c>
      <c r="BB85" s="36" t="str">
        <f ca="1">IFERROR(+IF(BC$27=#REF!,Milestone_Marker,IF(AND(BC$27&gt;#REF!,BC$27&lt;=#REF!+#REF!),$G$5,"")),"")</f>
        <v/>
      </c>
      <c r="BC85" s="36" t="str">
        <f ca="1">IFERROR(+IF(BD$27=#REF!,Milestone_Marker,IF(AND(BD$27&gt;#REF!,BD$27&lt;=#REF!+#REF!),$G$5,"")),"")</f>
        <v/>
      </c>
      <c r="BD85" s="36" t="str">
        <f ca="1">IFERROR(+IF(BE$27=#REF!,Milestone_Marker,IF(AND(BE$27&gt;#REF!,BE$27&lt;=#REF!+#REF!),$G$5,"")),"")</f>
        <v/>
      </c>
      <c r="BE85" s="36" t="str">
        <f ca="1">IFERROR(+IF(BF$27=#REF!,Milestone_Marker,IF(AND(BF$27&gt;#REF!,BF$27&lt;=#REF!+#REF!),$G$5,"")),"")</f>
        <v/>
      </c>
      <c r="BF85" s="36" t="str">
        <f ca="1">IFERROR(+IF(BG$27=#REF!,Milestone_Marker,IF(AND(BG$27&gt;#REF!,BG$27&lt;=#REF!+#REF!),$G$5,"")),"")</f>
        <v/>
      </c>
      <c r="BG85" s="36" t="str">
        <f ca="1">IFERROR(+IF(BH$27=#REF!,Milestone_Marker,IF(AND(BH$27&gt;#REF!,BH$27&lt;=#REF!+#REF!),$G$5,"")),"")</f>
        <v/>
      </c>
      <c r="BH85" s="36" t="str">
        <f ca="1">IFERROR(+IF(BI$27=#REF!,Milestone_Marker,IF(AND(BI$27&gt;#REF!,BI$27&lt;=#REF!+#REF!),$G$5,"")),"")</f>
        <v/>
      </c>
      <c r="BI85" s="36" t="str">
        <f ca="1">IFERROR(+IF(BJ$27=#REF!,Milestone_Marker,IF(AND(BJ$27&gt;#REF!,BJ$27&lt;=#REF!+#REF!),$G$5,"")),"")</f>
        <v/>
      </c>
      <c r="BJ85" s="36" t="str">
        <f ca="1">IFERROR(+IF(BK$27=#REF!,Milestone_Marker,IF(AND(BK$27&gt;#REF!,BK$27&lt;=#REF!+#REF!),$G$5,"")),"")</f>
        <v/>
      </c>
      <c r="BK85" s="36" t="str">
        <f ca="1">IFERROR(+IF(BL$27=#REF!,Milestone_Marker,IF(AND(BL$27&gt;#REF!,BL$27&lt;=#REF!+#REF!),$G$5,"")),"")</f>
        <v/>
      </c>
      <c r="BL85" s="36" t="str">
        <f ca="1">IFERROR(+IF(BM$27=#REF!,Milestone_Marker,IF(AND(BM$27&gt;#REF!,BM$27&lt;=#REF!+#REF!),$G$5,"")),"")</f>
        <v/>
      </c>
      <c r="BM85" s="36" t="str">
        <f ca="1">IFERROR(+IF(BN$27=#REF!,Milestone_Marker,IF(AND(BN$27&gt;#REF!,BN$27&lt;=#REF!+#REF!),$G$5,"")),"")</f>
        <v/>
      </c>
      <c r="BN85" s="36" t="str">
        <f ca="1">IFERROR(+IF(BO$27=#REF!,Milestone_Marker,IF(AND(BO$27&gt;#REF!,BO$27&lt;=#REF!+#REF!),$G$5,"")),"")</f>
        <v/>
      </c>
      <c r="BO85" s="36" t="str">
        <f ca="1">IFERROR(+IF(BP$27=#REF!,Milestone_Marker,IF(AND(BP$27&gt;#REF!,BP$27&lt;=#REF!+#REF!),$G$5,"")),"")</f>
        <v/>
      </c>
      <c r="BP85" s="36" t="str">
        <f ca="1">IFERROR(+IF(BQ$27=#REF!,Milestone_Marker,IF(AND(BQ$27&gt;#REF!,BQ$27&lt;=#REF!+#REF!),$G$5,"")),"")</f>
        <v/>
      </c>
      <c r="BQ85" s="36" t="str">
        <f ca="1">IFERROR(+IF(BR$27=#REF!,Milestone_Marker,IF(AND(BR$27&gt;#REF!,BR$27&lt;=#REF!+#REF!),$G$5,"")),"")</f>
        <v/>
      </c>
      <c r="BR85" s="36" t="str">
        <f ca="1">IFERROR(+IF(BS$27=#REF!,Milestone_Marker,IF(AND(BS$27&gt;#REF!,BS$27&lt;=#REF!+#REF!),$G$5,"")),"")</f>
        <v/>
      </c>
      <c r="BS85" s="36" t="str">
        <f ca="1">IFERROR(+IF(BT$27=#REF!,Milestone_Marker,IF(AND(BT$27&gt;#REF!,BT$27&lt;=#REF!+#REF!),$G$5,"")),"")</f>
        <v/>
      </c>
      <c r="BT85" s="36" t="str">
        <f ca="1">IFERROR(+IF(BU$27=#REF!,Milestone_Marker,IF(AND(BU$27&gt;#REF!,BU$27&lt;=#REF!+#REF!),$G$5,"")),"")</f>
        <v/>
      </c>
      <c r="BU85" s="36" t="str">
        <f ca="1">IFERROR(+IF(BV$27=#REF!,Milestone_Marker,IF(AND(BV$27&gt;#REF!,BV$27&lt;=#REF!+#REF!),$G$5,"")),"")</f>
        <v/>
      </c>
      <c r="BV85" s="36" t="str">
        <f ca="1">IFERROR(+IF(BW$27=#REF!,Milestone_Marker,IF(AND(BW$27&gt;#REF!,BW$27&lt;=#REF!+#REF!),$G$5,"")),"")</f>
        <v/>
      </c>
      <c r="BW85" s="36" t="str">
        <f ca="1">IFERROR(+IF(BX$27=#REF!,Milestone_Marker,IF(AND(BX$27&gt;#REF!,BX$27&lt;=#REF!+#REF!),$G$5,"")),"")</f>
        <v/>
      </c>
      <c r="BX85" s="36" t="str">
        <f ca="1">IFERROR(+IF(BY$27=#REF!,Milestone_Marker,IF(AND(BY$27&gt;#REF!,BY$27&lt;=#REF!+#REF!),$G$5,"")),"")</f>
        <v/>
      </c>
      <c r="BY85" s="36" t="str">
        <f ca="1">IFERROR(+IF(BZ$27=#REF!,Milestone_Marker,IF(AND(BZ$27&gt;#REF!,BZ$27&lt;=#REF!+#REF!),$G$5,"")),"")</f>
        <v/>
      </c>
      <c r="BZ85" s="36" t="str">
        <f ca="1">IFERROR(+IF(CA$27=#REF!,Milestone_Marker,IF(AND(CA$27&gt;#REF!,CA$27&lt;=#REF!+#REF!),$G$5,"")),"")</f>
        <v/>
      </c>
      <c r="CA85" s="36" t="str">
        <f ca="1">IFERROR(+IF(CB$27=#REF!,Milestone_Marker,IF(AND(CB$27&gt;#REF!,CB$27&lt;=#REF!+#REF!),$G$5,"")),"")</f>
        <v/>
      </c>
      <c r="CB85" s="36" t="str">
        <f ca="1">IFERROR(+IF(CC$27=#REF!,Milestone_Marker,IF(AND(CC$27&gt;#REF!,CC$27&lt;=#REF!+#REF!),$G$5,"")),"")</f>
        <v/>
      </c>
      <c r="CC85" s="36" t="str">
        <f ca="1">IFERROR(+IF(CD$27=#REF!,Milestone_Marker,IF(AND(CD$27&gt;#REF!,CD$27&lt;=#REF!+#REF!),$G$5,"")),"")</f>
        <v/>
      </c>
      <c r="CD85" s="36" t="str">
        <f ca="1">IFERROR(+IF(CE$27=#REF!,Milestone_Marker,IF(AND(CE$27&gt;#REF!,CE$27&lt;=#REF!+#REF!),$G$5,"")),"")</f>
        <v/>
      </c>
      <c r="CE85" s="36" t="str">
        <f ca="1">IFERROR(+IF(CF$27=#REF!,Milestone_Marker,IF(AND(CF$27&gt;#REF!,CF$27&lt;=#REF!+#REF!),$G$5,"")),"")</f>
        <v/>
      </c>
      <c r="CF85" s="36" t="str">
        <f ca="1">IFERROR(+IF(CG$27=#REF!,Milestone_Marker,IF(AND(CG$27&gt;#REF!,CG$27&lt;=#REF!+#REF!),$G$5,"")),"")</f>
        <v/>
      </c>
      <c r="CG85" s="36" t="str">
        <f ca="1">IFERROR(+IF(CH$27=#REF!,Milestone_Marker,IF(AND(CH$27&gt;#REF!,CH$27&lt;=#REF!+#REF!),$G$5,"")),"")</f>
        <v/>
      </c>
      <c r="CH85" s="36" t="str">
        <f ca="1">IFERROR(+IF(CI$27=#REF!,Milestone_Marker,IF(AND(CI$27&gt;#REF!,CI$27&lt;=#REF!+#REF!),$G$5,"")),"")</f>
        <v/>
      </c>
      <c r="CI85" s="36" t="str">
        <f ca="1">IFERROR(+IF(CJ$27=#REF!,Milestone_Marker,IF(AND(CJ$27&gt;#REF!,CJ$27&lt;=#REF!+#REF!),$G$5,"")),"")</f>
        <v/>
      </c>
      <c r="CJ85" s="36" t="str">
        <f ca="1">IFERROR(+IF(CK$27=#REF!,Milestone_Marker,IF(AND(CK$27&gt;#REF!,CK$27&lt;=#REF!+#REF!),$G$5,"")),"")</f>
        <v/>
      </c>
      <c r="CK85" s="36" t="str">
        <f ca="1">IFERROR(+IF(CL$27=#REF!,Milestone_Marker,IF(AND(CL$27&gt;#REF!,CL$27&lt;=#REF!+#REF!),$G$5,"")),"")</f>
        <v/>
      </c>
      <c r="CL85" s="36" t="str">
        <f ca="1">IFERROR(+IF(CM$27=#REF!,Milestone_Marker,IF(AND(CM$27&gt;#REF!,CM$27&lt;=#REF!+#REF!),$G$5,"")),"")</f>
        <v/>
      </c>
      <c r="CM85" s="36" t="str">
        <f ca="1">IFERROR(+IF(CN$27=#REF!,Milestone_Marker,IF(AND(CN$27&gt;#REF!,CN$27&lt;=#REF!+#REF!),$G$5,"")),"")</f>
        <v/>
      </c>
      <c r="CN85" s="36" t="str">
        <f ca="1">IFERROR(+IF(CO$27=#REF!,Milestone_Marker,IF(AND(CO$27&gt;#REF!,CO$27&lt;=#REF!+#REF!),$G$5,"")),"")</f>
        <v/>
      </c>
      <c r="CO85" s="36" t="str">
        <f ca="1">IFERROR(+IF(CP$27=#REF!,Milestone_Marker,IF(AND(CP$27&gt;#REF!,CP$27&lt;=#REF!+#REF!),$G$5,"")),"")</f>
        <v/>
      </c>
      <c r="CP85" s="36" t="str">
        <f ca="1">IFERROR(+IF(CQ$27=#REF!,Milestone_Marker,IF(AND(CQ$27&gt;#REF!,CQ$27&lt;=#REF!+#REF!),$G$5,"")),"")</f>
        <v/>
      </c>
      <c r="CQ85" s="36" t="str">
        <f ca="1">IFERROR(+IF(CR$27=#REF!,Milestone_Marker,IF(AND(CR$27&gt;#REF!,CR$27&lt;=#REF!+#REF!),$G$5,"")),"")</f>
        <v/>
      </c>
      <c r="CR85" s="36" t="str">
        <f ca="1">IFERROR(+IF(CS$27=#REF!,Milestone_Marker,IF(AND(CS$27&gt;#REF!,CS$27&lt;=#REF!+#REF!),$G$5,"")),"")</f>
        <v/>
      </c>
      <c r="CS85" s="36" t="str">
        <f ca="1">IFERROR(+IF(CT$27=#REF!,Milestone_Marker,IF(AND(CT$27&gt;#REF!,CT$27&lt;=#REF!+#REF!),$G$5,"")),"")</f>
        <v/>
      </c>
      <c r="CT85" s="36" t="str">
        <f ca="1">IFERROR(+IF(CU$27=#REF!,Milestone_Marker,IF(AND(CU$27&gt;#REF!,CU$27&lt;=#REF!+#REF!),$G$5,"")),"")</f>
        <v/>
      </c>
    </row>
    <row r="86" spans="1:125" ht="15" x14ac:dyDescent="0.25">
      <c r="A86" t="s">
        <v>523</v>
      </c>
      <c r="B86">
        <v>68</v>
      </c>
      <c r="C86" t="s">
        <v>1077</v>
      </c>
      <c r="D86" t="s">
        <v>950</v>
      </c>
      <c r="E86" s="568" t="s">
        <v>1048</v>
      </c>
      <c r="F86">
        <v>1</v>
      </c>
      <c r="G86" s="14"/>
      <c r="H86" s="14"/>
      <c r="I86" t="s">
        <v>3</v>
      </c>
      <c r="J86">
        <v>2</v>
      </c>
      <c r="K86" s="249"/>
      <c r="L86"/>
      <c r="M86" s="14"/>
      <c r="N86" s="300"/>
      <c r="O86" s="554"/>
      <c r="P86" s="36" t="str">
        <f ca="1">IFERROR(+IF(Q$27=#REF!,Milestone_Marker,IF(AND(Q$27&gt;#REF!,Q$27&lt;=#REF!+#REF!),$G$5,"")),"")</f>
        <v/>
      </c>
      <c r="Q86" s="36" t="str">
        <f ca="1">IFERROR(+IF(R$27=#REF!,Milestone_Marker,IF(AND(R$27&gt;#REF!,R$27&lt;=#REF!+#REF!),$G$5,"")),"")</f>
        <v/>
      </c>
      <c r="R86" s="36" t="str">
        <f ca="1">IFERROR(+IF(S$27=#REF!,Milestone_Marker,IF(AND(S$27&gt;#REF!,S$27&lt;=#REF!+#REF!),$G$5,"")),"")</f>
        <v/>
      </c>
      <c r="S86" s="36" t="str">
        <f ca="1">IFERROR(+IF(T$27=#REF!,Milestone_Marker,IF(AND(T$27&gt;#REF!,T$27&lt;=#REF!+#REF!),$G$5,"")),"")</f>
        <v/>
      </c>
      <c r="T86" s="36" t="str">
        <f ca="1">IFERROR(+IF(U$27=#REF!,Milestone_Marker,IF(AND(U$27&gt;#REF!,U$27&lt;=#REF!+#REF!),$G$5,"")),"")</f>
        <v/>
      </c>
      <c r="U86" s="36" t="str">
        <f ca="1">IFERROR(+IF(V$27=#REF!,Milestone_Marker,IF(AND(V$27&gt;#REF!,V$27&lt;=#REF!+#REF!),$G$5,"")),"")</f>
        <v/>
      </c>
      <c r="V86" s="36" t="str">
        <f ca="1">IFERROR(+IF(W$27=#REF!,Milestone_Marker,IF(AND(W$27&gt;#REF!,W$27&lt;=#REF!+#REF!),$G$5,"")),"")</f>
        <v/>
      </c>
      <c r="W86" s="36" t="str">
        <f ca="1">IFERROR(+IF(X$27=#REF!,Milestone_Marker,IF(AND(X$27&gt;#REF!,X$27&lt;=#REF!+#REF!),$G$5,"")),"")</f>
        <v/>
      </c>
      <c r="X86" s="36" t="str">
        <f ca="1">IFERROR(+IF(Y$27=#REF!,Milestone_Marker,IF(AND(Y$27&gt;#REF!,Y$27&lt;=#REF!+#REF!),$G$5,"")),"")</f>
        <v/>
      </c>
      <c r="Y86" s="36" t="str">
        <f ca="1">IFERROR(+IF(Z$27=#REF!,Milestone_Marker,IF(AND(Z$27&gt;#REF!,Z$27&lt;=#REF!+#REF!),$G$5,"")),"")</f>
        <v/>
      </c>
      <c r="Z86" s="36" t="str">
        <f ca="1">IFERROR(+IF(AA$27=#REF!,Milestone_Marker,IF(AND(AA$27&gt;#REF!,AA$27&lt;=#REF!+#REF!),$G$5,"")),"")</f>
        <v/>
      </c>
      <c r="AA86" s="36" t="str">
        <f ca="1">IFERROR(+IF(AB$27=#REF!,Milestone_Marker,IF(AND(AB$27&gt;#REF!,AB$27&lt;=#REF!+#REF!),$G$5,"")),"")</f>
        <v/>
      </c>
      <c r="AB86" s="36" t="str">
        <f ca="1">IFERROR(+IF(AC$27=#REF!,Milestone_Marker,IF(AND(AC$27&gt;#REF!,AC$27&lt;=#REF!+#REF!),$G$5,"")),"")</f>
        <v/>
      </c>
      <c r="AC86" s="36" t="str">
        <f ca="1">IFERROR(+IF(AD$27=#REF!,Milestone_Marker,IF(AND(AD$27&gt;#REF!,AD$27&lt;=#REF!+#REF!),$G$5,"")),"")</f>
        <v/>
      </c>
      <c r="AD86" s="36" t="str">
        <f ca="1">IFERROR(+IF(AE$27=#REF!,Milestone_Marker,IF(AND(AE$27&gt;#REF!,AE$27&lt;=#REF!+#REF!),$G$5,"")),"")</f>
        <v/>
      </c>
      <c r="AE86" s="36" t="str">
        <f ca="1">IFERROR(+IF(AF$27=#REF!,Milestone_Marker,IF(AND(AF$27&gt;#REF!,AF$27&lt;=#REF!+#REF!),$G$5,"")),"")</f>
        <v/>
      </c>
      <c r="AF86" s="36" t="str">
        <f ca="1">IFERROR(+IF(AG$27=#REF!,Milestone_Marker,IF(AND(AG$27&gt;#REF!,AG$27&lt;=#REF!+#REF!),$G$5,"")),"")</f>
        <v/>
      </c>
      <c r="AG86" s="36" t="str">
        <f ca="1">IFERROR(+IF(AH$27=#REF!,Milestone_Marker,IF(AND(AH$27&gt;#REF!,AH$27&lt;=#REF!+#REF!),$G$5,"")),"")</f>
        <v/>
      </c>
      <c r="AH86" s="36" t="str">
        <f ca="1">IFERROR(+IF(AI$27=#REF!,Milestone_Marker,IF(AND(AI$27&gt;#REF!,AI$27&lt;=#REF!+#REF!),$G$5,"")),"")</f>
        <v/>
      </c>
      <c r="AI86" s="36" t="str">
        <f ca="1">IFERROR(+IF(AJ$27=#REF!,Milestone_Marker,IF(AND(AJ$27&gt;#REF!,AJ$27&lt;=#REF!+#REF!),$G$5,"")),"")</f>
        <v/>
      </c>
      <c r="AJ86" s="36" t="str">
        <f ca="1">IFERROR(+IF(AK$27=#REF!,Milestone_Marker,IF(AND(AK$27&gt;#REF!,AK$27&lt;=#REF!+#REF!),$G$5,"")),"")</f>
        <v/>
      </c>
      <c r="AK86" s="36" t="str">
        <f ca="1">IFERROR(+IF(AL$27=#REF!,Milestone_Marker,IF(AND(AL$27&gt;#REF!,AL$27&lt;=#REF!+#REF!),$G$5,"")),"")</f>
        <v/>
      </c>
      <c r="AL86" s="36" t="str">
        <f ca="1">IFERROR(+IF(AM$27=#REF!,Milestone_Marker,IF(AND(AM$27&gt;#REF!,AM$27&lt;=#REF!+#REF!),$G$5,"")),"")</f>
        <v/>
      </c>
      <c r="AM86" s="36" t="str">
        <f ca="1">IFERROR(+IF(AN$27=#REF!,Milestone_Marker,IF(AND(AN$27&gt;#REF!,AN$27&lt;=#REF!+#REF!),$G$5,"")),"")</f>
        <v/>
      </c>
      <c r="AN86" s="36" t="str">
        <f ca="1">IFERROR(+IF(AO$27=#REF!,Milestone_Marker,IF(AND(AO$27&gt;#REF!,AO$27&lt;=#REF!+#REF!),$G$5,"")),"")</f>
        <v/>
      </c>
      <c r="AO86" s="36" t="str">
        <f ca="1">IFERROR(+IF(AP$27=#REF!,Milestone_Marker,IF(AND(AP$27&gt;#REF!,AP$27&lt;=#REF!+#REF!),$G$5,"")),"")</f>
        <v/>
      </c>
      <c r="AP86" s="36" t="str">
        <f ca="1">IFERROR(+IF(AQ$27=#REF!,Milestone_Marker,IF(AND(AQ$27&gt;#REF!,AQ$27&lt;=#REF!+#REF!),$G$5,"")),"")</f>
        <v/>
      </c>
      <c r="AQ86" s="36" t="str">
        <f ca="1">IFERROR(+IF(AR$27=#REF!,Milestone_Marker,IF(AND(AR$27&gt;#REF!,AR$27&lt;=#REF!+#REF!),$G$5,"")),"")</f>
        <v/>
      </c>
      <c r="AR86" s="36" t="str">
        <f ca="1">IFERROR(+IF(AS$27=#REF!,Milestone_Marker,IF(AND(AS$27&gt;#REF!,AS$27&lt;=#REF!+#REF!),$G$5,"")),"")</f>
        <v/>
      </c>
      <c r="AS86" s="36" t="str">
        <f ca="1">IFERROR(+IF(AT$27=#REF!,Milestone_Marker,IF(AND(AT$27&gt;#REF!,AT$27&lt;=#REF!+#REF!),$G$5,"")),"")</f>
        <v/>
      </c>
      <c r="AT86" s="36" t="str">
        <f ca="1">IFERROR(+IF(AU$27=#REF!,Milestone_Marker,IF(AND(AU$27&gt;#REF!,AU$27&lt;=#REF!+#REF!),$G$5,"")),"")</f>
        <v/>
      </c>
      <c r="AU86" s="36" t="str">
        <f ca="1">IFERROR(+IF(AV$27=#REF!,Milestone_Marker,IF(AND(AV$27&gt;#REF!,AV$27&lt;=#REF!+#REF!),$G$5,"")),"")</f>
        <v/>
      </c>
      <c r="AV86" s="36" t="str">
        <f ca="1">IFERROR(+IF(AW$27=#REF!,Milestone_Marker,IF(AND(AW$27&gt;#REF!,AW$27&lt;=#REF!+#REF!),$G$5,"")),"")</f>
        <v/>
      </c>
      <c r="AW86" s="36" t="str">
        <f ca="1">IFERROR(+IF(AX$27=#REF!,Milestone_Marker,IF(AND(AX$27&gt;#REF!,AX$27&lt;=#REF!+#REF!),$G$5,"")),"")</f>
        <v/>
      </c>
      <c r="AX86" s="36" t="str">
        <f ca="1">IFERROR(+IF(AY$27=#REF!,Milestone_Marker,IF(AND(AY$27&gt;#REF!,AY$27&lt;=#REF!+#REF!),$G$5,"")),"")</f>
        <v/>
      </c>
      <c r="AY86" s="36" t="str">
        <f ca="1">IFERROR(+IF(AZ$27=#REF!,Milestone_Marker,IF(AND(AZ$27&gt;#REF!,AZ$27&lt;=#REF!+#REF!),$G$5,"")),"")</f>
        <v/>
      </c>
      <c r="AZ86" s="36" t="str">
        <f ca="1">IFERROR(+IF(BA$27=#REF!,Milestone_Marker,IF(AND(BA$27&gt;#REF!,BA$27&lt;=#REF!+#REF!),$G$5,"")),"")</f>
        <v/>
      </c>
      <c r="BA86" s="36" t="str">
        <f ca="1">IFERROR(+IF(BB$27=#REF!,Milestone_Marker,IF(AND(BB$27&gt;#REF!,BB$27&lt;=#REF!+#REF!),$G$5,"")),"")</f>
        <v/>
      </c>
      <c r="BB86" s="36" t="str">
        <f ca="1">IFERROR(+IF(BC$27=#REF!,Milestone_Marker,IF(AND(BC$27&gt;#REF!,BC$27&lt;=#REF!+#REF!),$G$5,"")),"")</f>
        <v/>
      </c>
      <c r="BC86" s="36" t="str">
        <f ca="1">IFERROR(+IF(BD$27=#REF!,Milestone_Marker,IF(AND(BD$27&gt;#REF!,BD$27&lt;=#REF!+#REF!),$G$5,"")),"")</f>
        <v/>
      </c>
      <c r="BD86" s="36" t="str">
        <f ca="1">IFERROR(+IF(BE$27=#REF!,Milestone_Marker,IF(AND(BE$27&gt;#REF!,BE$27&lt;=#REF!+#REF!),$G$5,"")),"")</f>
        <v/>
      </c>
      <c r="BE86" s="36" t="str">
        <f ca="1">IFERROR(+IF(BF$27=#REF!,Milestone_Marker,IF(AND(BF$27&gt;#REF!,BF$27&lt;=#REF!+#REF!),$G$5,"")),"")</f>
        <v/>
      </c>
      <c r="BF86" s="36" t="str">
        <f ca="1">IFERROR(+IF(BG$27=#REF!,Milestone_Marker,IF(AND(BG$27&gt;#REF!,BG$27&lt;=#REF!+#REF!),$G$5,"")),"")</f>
        <v/>
      </c>
      <c r="BG86" s="36" t="str">
        <f ca="1">IFERROR(+IF(BH$27=#REF!,Milestone_Marker,IF(AND(BH$27&gt;#REF!,BH$27&lt;=#REF!+#REF!),$G$5,"")),"")</f>
        <v/>
      </c>
      <c r="BH86" s="36" t="str">
        <f ca="1">IFERROR(+IF(BI$27=#REF!,Milestone_Marker,IF(AND(BI$27&gt;#REF!,BI$27&lt;=#REF!+#REF!),$G$5,"")),"")</f>
        <v/>
      </c>
      <c r="BI86" s="36" t="str">
        <f ca="1">IFERROR(+IF(BJ$27=#REF!,Milestone_Marker,IF(AND(BJ$27&gt;#REF!,BJ$27&lt;=#REF!+#REF!),$G$5,"")),"")</f>
        <v/>
      </c>
      <c r="BJ86" s="36" t="str">
        <f ca="1">IFERROR(+IF(BK$27=#REF!,Milestone_Marker,IF(AND(BK$27&gt;#REF!,BK$27&lt;=#REF!+#REF!),$G$5,"")),"")</f>
        <v/>
      </c>
      <c r="BK86" s="36" t="str">
        <f ca="1">IFERROR(+IF(BL$27=#REF!,Milestone_Marker,IF(AND(BL$27&gt;#REF!,BL$27&lt;=#REF!+#REF!),$G$5,"")),"")</f>
        <v/>
      </c>
      <c r="BL86" s="36" t="str">
        <f ca="1">IFERROR(+IF(BM$27=#REF!,Milestone_Marker,IF(AND(BM$27&gt;#REF!,BM$27&lt;=#REF!+#REF!),$G$5,"")),"")</f>
        <v/>
      </c>
      <c r="BM86" s="36" t="str">
        <f ca="1">IFERROR(+IF(BN$27=#REF!,Milestone_Marker,IF(AND(BN$27&gt;#REF!,BN$27&lt;=#REF!+#REF!),$G$5,"")),"")</f>
        <v/>
      </c>
      <c r="BN86" s="36" t="str">
        <f ca="1">IFERROR(+IF(BO$27=#REF!,Milestone_Marker,IF(AND(BO$27&gt;#REF!,BO$27&lt;=#REF!+#REF!),$G$5,"")),"")</f>
        <v/>
      </c>
      <c r="BO86" s="36" t="str">
        <f ca="1">IFERROR(+IF(BP$27=#REF!,Milestone_Marker,IF(AND(BP$27&gt;#REF!,BP$27&lt;=#REF!+#REF!),$G$5,"")),"")</f>
        <v/>
      </c>
      <c r="BP86" s="36" t="str">
        <f ca="1">IFERROR(+IF(BQ$27=#REF!,Milestone_Marker,IF(AND(BQ$27&gt;#REF!,BQ$27&lt;=#REF!+#REF!),$G$5,"")),"")</f>
        <v/>
      </c>
      <c r="BQ86" s="36" t="str">
        <f ca="1">IFERROR(+IF(BR$27=#REF!,Milestone_Marker,IF(AND(BR$27&gt;#REF!,BR$27&lt;=#REF!+#REF!),$G$5,"")),"")</f>
        <v/>
      </c>
      <c r="BR86" s="36" t="str">
        <f ca="1">IFERROR(+IF(BS$27=#REF!,Milestone_Marker,IF(AND(BS$27&gt;#REF!,BS$27&lt;=#REF!+#REF!),$G$5,"")),"")</f>
        <v/>
      </c>
      <c r="BS86" s="36" t="str">
        <f ca="1">IFERROR(+IF(BT$27=#REF!,Milestone_Marker,IF(AND(BT$27&gt;#REF!,BT$27&lt;=#REF!+#REF!),$G$5,"")),"")</f>
        <v/>
      </c>
      <c r="BT86" s="36" t="str">
        <f ca="1">IFERROR(+IF(BU$27=#REF!,Milestone_Marker,IF(AND(BU$27&gt;#REF!,BU$27&lt;=#REF!+#REF!),$G$5,"")),"")</f>
        <v/>
      </c>
      <c r="BU86" s="36" t="str">
        <f ca="1">IFERROR(+IF(BV$27=#REF!,Milestone_Marker,IF(AND(BV$27&gt;#REF!,BV$27&lt;=#REF!+#REF!),$G$5,"")),"")</f>
        <v/>
      </c>
      <c r="BV86" s="36" t="str">
        <f ca="1">IFERROR(+IF(BW$27=#REF!,Milestone_Marker,IF(AND(BW$27&gt;#REF!,BW$27&lt;=#REF!+#REF!),$G$5,"")),"")</f>
        <v/>
      </c>
      <c r="BW86" s="36" t="str">
        <f ca="1">IFERROR(+IF(BX$27=#REF!,Milestone_Marker,IF(AND(BX$27&gt;#REF!,BX$27&lt;=#REF!+#REF!),$G$5,"")),"")</f>
        <v/>
      </c>
      <c r="BX86" s="36" t="str">
        <f ca="1">IFERROR(+IF(BY$27=#REF!,Milestone_Marker,IF(AND(BY$27&gt;#REF!,BY$27&lt;=#REF!+#REF!),$G$5,"")),"")</f>
        <v/>
      </c>
      <c r="BY86" s="36" t="str">
        <f ca="1">IFERROR(+IF(BZ$27=#REF!,Milestone_Marker,IF(AND(BZ$27&gt;#REF!,BZ$27&lt;=#REF!+#REF!),$G$5,"")),"")</f>
        <v/>
      </c>
      <c r="BZ86" s="36" t="str">
        <f ca="1">IFERROR(+IF(CA$27=#REF!,Milestone_Marker,IF(AND(CA$27&gt;#REF!,CA$27&lt;=#REF!+#REF!),$G$5,"")),"")</f>
        <v/>
      </c>
      <c r="CA86" s="36" t="str">
        <f ca="1">IFERROR(+IF(CB$27=#REF!,Milestone_Marker,IF(AND(CB$27&gt;#REF!,CB$27&lt;=#REF!+#REF!),$G$5,"")),"")</f>
        <v/>
      </c>
      <c r="CB86" s="36" t="str">
        <f ca="1">IFERROR(+IF(CC$27=#REF!,Milestone_Marker,IF(AND(CC$27&gt;#REF!,CC$27&lt;=#REF!+#REF!),$G$5,"")),"")</f>
        <v/>
      </c>
      <c r="CC86" s="36" t="str">
        <f ca="1">IFERROR(+IF(CD$27=#REF!,Milestone_Marker,IF(AND(CD$27&gt;#REF!,CD$27&lt;=#REF!+#REF!),$G$5,"")),"")</f>
        <v/>
      </c>
      <c r="CD86" s="36" t="str">
        <f ca="1">IFERROR(+IF(CE$27=#REF!,Milestone_Marker,IF(AND(CE$27&gt;#REF!,CE$27&lt;=#REF!+#REF!),$G$5,"")),"")</f>
        <v/>
      </c>
      <c r="CE86" s="36" t="str">
        <f ca="1">IFERROR(+IF(CF$27=#REF!,Milestone_Marker,IF(AND(CF$27&gt;#REF!,CF$27&lt;=#REF!+#REF!),$G$5,"")),"")</f>
        <v/>
      </c>
      <c r="CF86" s="36" t="str">
        <f ca="1">IFERROR(+IF(CG$27=#REF!,Milestone_Marker,IF(AND(CG$27&gt;#REF!,CG$27&lt;=#REF!+#REF!),$G$5,"")),"")</f>
        <v/>
      </c>
      <c r="CG86" s="36" t="str">
        <f ca="1">IFERROR(+IF(CH$27=#REF!,Milestone_Marker,IF(AND(CH$27&gt;#REF!,CH$27&lt;=#REF!+#REF!),$G$5,"")),"")</f>
        <v/>
      </c>
      <c r="CH86" s="36" t="str">
        <f ca="1">IFERROR(+IF(CI$27=#REF!,Milestone_Marker,IF(AND(CI$27&gt;#REF!,CI$27&lt;=#REF!+#REF!),$G$5,"")),"")</f>
        <v/>
      </c>
      <c r="CI86" s="36" t="str">
        <f ca="1">IFERROR(+IF(CJ$27=#REF!,Milestone_Marker,IF(AND(CJ$27&gt;#REF!,CJ$27&lt;=#REF!+#REF!),$G$5,"")),"")</f>
        <v/>
      </c>
      <c r="CJ86" s="36" t="str">
        <f ca="1">IFERROR(+IF(CK$27=#REF!,Milestone_Marker,IF(AND(CK$27&gt;#REF!,CK$27&lt;=#REF!+#REF!),$G$5,"")),"")</f>
        <v/>
      </c>
      <c r="CK86" s="36" t="str">
        <f ca="1">IFERROR(+IF(CL$27=#REF!,Milestone_Marker,IF(AND(CL$27&gt;#REF!,CL$27&lt;=#REF!+#REF!),$G$5,"")),"")</f>
        <v/>
      </c>
      <c r="CL86" s="36" t="str">
        <f ca="1">IFERROR(+IF(CM$27=#REF!,Milestone_Marker,IF(AND(CM$27&gt;#REF!,CM$27&lt;=#REF!+#REF!),$G$5,"")),"")</f>
        <v/>
      </c>
      <c r="CM86" s="36" t="str">
        <f ca="1">IFERROR(+IF(CN$27=#REF!,Milestone_Marker,IF(AND(CN$27&gt;#REF!,CN$27&lt;=#REF!+#REF!),$G$5,"")),"")</f>
        <v/>
      </c>
      <c r="CN86" s="36" t="str">
        <f ca="1">IFERROR(+IF(CO$27=#REF!,Milestone_Marker,IF(AND(CO$27&gt;#REF!,CO$27&lt;=#REF!+#REF!),$G$5,"")),"")</f>
        <v/>
      </c>
      <c r="CO86" s="36" t="str">
        <f ca="1">IFERROR(+IF(CP$27=#REF!,Milestone_Marker,IF(AND(CP$27&gt;#REF!,CP$27&lt;=#REF!+#REF!),$G$5,"")),"")</f>
        <v/>
      </c>
      <c r="CP86" s="36" t="str">
        <f ca="1">IFERROR(+IF(CQ$27=#REF!,Milestone_Marker,IF(AND(CQ$27&gt;#REF!,CQ$27&lt;=#REF!+#REF!),$G$5,"")),"")</f>
        <v/>
      </c>
      <c r="CQ86" s="36" t="str">
        <f ca="1">IFERROR(+IF(CR$27=#REF!,Milestone_Marker,IF(AND(CR$27&gt;#REF!,CR$27&lt;=#REF!+#REF!),$G$5,"")),"")</f>
        <v/>
      </c>
      <c r="CR86" s="36" t="str">
        <f ca="1">IFERROR(+IF(CS$27=#REF!,Milestone_Marker,IF(AND(CS$27&gt;#REF!,CS$27&lt;=#REF!+#REF!),$G$5,"")),"")</f>
        <v/>
      </c>
      <c r="CS86" s="36" t="str">
        <f ca="1">IFERROR(+IF(CT$27=#REF!,Milestone_Marker,IF(AND(CT$27&gt;#REF!,CT$27&lt;=#REF!+#REF!),$G$5,"")),"")</f>
        <v/>
      </c>
      <c r="CT86" s="36" t="str">
        <f ca="1">IFERROR(+IF(CU$27=#REF!,Milestone_Marker,IF(AND(CU$27&gt;#REF!,CU$27&lt;=#REF!+#REF!),$G$5,"")),"")</f>
        <v/>
      </c>
    </row>
    <row r="87" spans="1:125" ht="15" x14ac:dyDescent="0.25">
      <c r="A87" t="s">
        <v>523</v>
      </c>
      <c r="B87">
        <v>69</v>
      </c>
      <c r="C87" t="s">
        <v>1077</v>
      </c>
      <c r="D87" t="s">
        <v>1061</v>
      </c>
      <c r="E87" s="568" t="s">
        <v>1049</v>
      </c>
      <c r="F87">
        <v>1</v>
      </c>
      <c r="G87" s="14">
        <v>1598.03</v>
      </c>
      <c r="H87" s="14">
        <v>1598.03</v>
      </c>
      <c r="I87" t="s">
        <v>3</v>
      </c>
      <c r="J87">
        <v>2</v>
      </c>
      <c r="K87" s="249"/>
      <c r="L87"/>
      <c r="M87" s="14">
        <v>1598.03</v>
      </c>
      <c r="N87" s="300">
        <v>1598.03</v>
      </c>
      <c r="O87" s="554"/>
      <c r="P87" s="36" t="str">
        <f ca="1">IFERROR(+IF(Q$27=#REF!,Milestone_Marker,IF(AND(Q$27&gt;#REF!,Q$27&lt;=#REF!+#REF!),$G$5,"")),"")</f>
        <v/>
      </c>
      <c r="Q87" s="36" t="str">
        <f ca="1">IFERROR(+IF(R$27=#REF!,Milestone_Marker,IF(AND(R$27&gt;#REF!,R$27&lt;=#REF!+#REF!),$G$5,"")),"")</f>
        <v/>
      </c>
      <c r="R87" s="36" t="str">
        <f ca="1">IFERROR(+IF(S$27=#REF!,Milestone_Marker,IF(AND(S$27&gt;#REF!,S$27&lt;=#REF!+#REF!),$G$5,"")),"")</f>
        <v/>
      </c>
      <c r="S87" s="36" t="str">
        <f ca="1">IFERROR(+IF(T$27=#REF!,Milestone_Marker,IF(AND(T$27&gt;#REF!,T$27&lt;=#REF!+#REF!),$G$5,"")),"")</f>
        <v/>
      </c>
      <c r="T87" s="36" t="str">
        <f ca="1">IFERROR(+IF(U$27=#REF!,Milestone_Marker,IF(AND(U$27&gt;#REF!,U$27&lt;=#REF!+#REF!),$G$5,"")),"")</f>
        <v/>
      </c>
      <c r="U87" s="36" t="str">
        <f ca="1">IFERROR(+IF(V$27=#REF!,Milestone_Marker,IF(AND(V$27&gt;#REF!,V$27&lt;=#REF!+#REF!),$G$5,"")),"")</f>
        <v/>
      </c>
      <c r="V87" s="36" t="str">
        <f ca="1">IFERROR(+IF(W$27=#REF!,Milestone_Marker,IF(AND(W$27&gt;#REF!,W$27&lt;=#REF!+#REF!),$G$5,"")),"")</f>
        <v/>
      </c>
      <c r="W87" s="36" t="str">
        <f ca="1">IFERROR(+IF(X$27=#REF!,Milestone_Marker,IF(AND(X$27&gt;#REF!,X$27&lt;=#REF!+#REF!),$G$5,"")),"")</f>
        <v/>
      </c>
      <c r="X87" s="36" t="str">
        <f ca="1">IFERROR(+IF(Y$27=#REF!,Milestone_Marker,IF(AND(Y$27&gt;#REF!,Y$27&lt;=#REF!+#REF!),$G$5,"")),"")</f>
        <v/>
      </c>
      <c r="Y87" s="36" t="str">
        <f ca="1">IFERROR(+IF(Z$27=#REF!,Milestone_Marker,IF(AND(Z$27&gt;#REF!,Z$27&lt;=#REF!+#REF!),$G$5,"")),"")</f>
        <v/>
      </c>
      <c r="Z87" s="36" t="str">
        <f ca="1">IFERROR(+IF(AA$27=#REF!,Milestone_Marker,IF(AND(AA$27&gt;#REF!,AA$27&lt;=#REF!+#REF!),$G$5,"")),"")</f>
        <v/>
      </c>
      <c r="AA87" s="36" t="str">
        <f ca="1">IFERROR(+IF(AB$27=#REF!,Milestone_Marker,IF(AND(AB$27&gt;#REF!,AB$27&lt;=#REF!+#REF!),$G$5,"")),"")</f>
        <v/>
      </c>
      <c r="AB87" s="36" t="str">
        <f ca="1">IFERROR(+IF(AC$27=#REF!,Milestone_Marker,IF(AND(AC$27&gt;#REF!,AC$27&lt;=#REF!+#REF!),$G$5,"")),"")</f>
        <v/>
      </c>
      <c r="AC87" s="36" t="str">
        <f ca="1">IFERROR(+IF(AD$27=#REF!,Milestone_Marker,IF(AND(AD$27&gt;#REF!,AD$27&lt;=#REF!+#REF!),$G$5,"")),"")</f>
        <v/>
      </c>
      <c r="AD87" s="36" t="str">
        <f ca="1">IFERROR(+IF(AE$27=#REF!,Milestone_Marker,IF(AND(AE$27&gt;#REF!,AE$27&lt;=#REF!+#REF!),$G$5,"")),"")</f>
        <v/>
      </c>
      <c r="AE87" s="36" t="str">
        <f ca="1">IFERROR(+IF(AF$27=#REF!,Milestone_Marker,IF(AND(AF$27&gt;#REF!,AF$27&lt;=#REF!+#REF!),$G$5,"")),"")</f>
        <v/>
      </c>
      <c r="AF87" s="36" t="str">
        <f ca="1">IFERROR(+IF(AG$27=#REF!,Milestone_Marker,IF(AND(AG$27&gt;#REF!,AG$27&lt;=#REF!+#REF!),$G$5,"")),"")</f>
        <v/>
      </c>
      <c r="AG87" s="36" t="str">
        <f ca="1">IFERROR(+IF(AH$27=#REF!,Milestone_Marker,IF(AND(AH$27&gt;#REF!,AH$27&lt;=#REF!+#REF!),$G$5,"")),"")</f>
        <v/>
      </c>
      <c r="AH87" s="36" t="str">
        <f ca="1">IFERROR(+IF(AI$27=#REF!,Milestone_Marker,IF(AND(AI$27&gt;#REF!,AI$27&lt;=#REF!+#REF!),$G$5,"")),"")</f>
        <v/>
      </c>
      <c r="AI87" s="36" t="str">
        <f ca="1">IFERROR(+IF(AJ$27=#REF!,Milestone_Marker,IF(AND(AJ$27&gt;#REF!,AJ$27&lt;=#REF!+#REF!),$G$5,"")),"")</f>
        <v/>
      </c>
      <c r="AJ87" s="36" t="str">
        <f ca="1">IFERROR(+IF(AK$27=#REF!,Milestone_Marker,IF(AND(AK$27&gt;#REF!,AK$27&lt;=#REF!+#REF!),$G$5,"")),"")</f>
        <v/>
      </c>
      <c r="AK87" s="36" t="str">
        <f ca="1">IFERROR(+IF(AL$27=#REF!,Milestone_Marker,IF(AND(AL$27&gt;#REF!,AL$27&lt;=#REF!+#REF!),$G$5,"")),"")</f>
        <v/>
      </c>
      <c r="AL87" s="36" t="str">
        <f ca="1">IFERROR(+IF(AM$27=#REF!,Milestone_Marker,IF(AND(AM$27&gt;#REF!,AM$27&lt;=#REF!+#REF!),$G$5,"")),"")</f>
        <v/>
      </c>
      <c r="AM87" s="36" t="str">
        <f ca="1">IFERROR(+IF(AN$27=#REF!,Milestone_Marker,IF(AND(AN$27&gt;#REF!,AN$27&lt;=#REF!+#REF!),$G$5,"")),"")</f>
        <v/>
      </c>
      <c r="AN87" s="36" t="str">
        <f ca="1">IFERROR(+IF(AO$27=#REF!,Milestone_Marker,IF(AND(AO$27&gt;#REF!,AO$27&lt;=#REF!+#REF!),$G$5,"")),"")</f>
        <v/>
      </c>
      <c r="AO87" s="36" t="str">
        <f ca="1">IFERROR(+IF(AP$27=#REF!,Milestone_Marker,IF(AND(AP$27&gt;#REF!,AP$27&lt;=#REF!+#REF!),$G$5,"")),"")</f>
        <v/>
      </c>
      <c r="AP87" s="36" t="str">
        <f ca="1">IFERROR(+IF(AQ$27=#REF!,Milestone_Marker,IF(AND(AQ$27&gt;#REF!,AQ$27&lt;=#REF!+#REF!),$G$5,"")),"")</f>
        <v/>
      </c>
      <c r="AQ87" s="36" t="str">
        <f ca="1">IFERROR(+IF(AR$27=#REF!,Milestone_Marker,IF(AND(AR$27&gt;#REF!,AR$27&lt;=#REF!+#REF!),$G$5,"")),"")</f>
        <v/>
      </c>
      <c r="AR87" s="36" t="str">
        <f ca="1">IFERROR(+IF(AS$27=#REF!,Milestone_Marker,IF(AND(AS$27&gt;#REF!,AS$27&lt;=#REF!+#REF!),$G$5,"")),"")</f>
        <v/>
      </c>
      <c r="AS87" s="36" t="str">
        <f ca="1">IFERROR(+IF(AT$27=#REF!,Milestone_Marker,IF(AND(AT$27&gt;#REF!,AT$27&lt;=#REF!+#REF!),$G$5,"")),"")</f>
        <v/>
      </c>
      <c r="AT87" s="36" t="str">
        <f ca="1">IFERROR(+IF(AU$27=#REF!,Milestone_Marker,IF(AND(AU$27&gt;#REF!,AU$27&lt;=#REF!+#REF!),$G$5,"")),"")</f>
        <v/>
      </c>
      <c r="AU87" s="36" t="str">
        <f ca="1">IFERROR(+IF(AV$27=#REF!,Milestone_Marker,IF(AND(AV$27&gt;#REF!,AV$27&lt;=#REF!+#REF!),$G$5,"")),"")</f>
        <v/>
      </c>
      <c r="AV87" s="36" t="str">
        <f ca="1">IFERROR(+IF(AW$27=#REF!,Milestone_Marker,IF(AND(AW$27&gt;#REF!,AW$27&lt;=#REF!+#REF!),$G$5,"")),"")</f>
        <v/>
      </c>
      <c r="AW87" s="36" t="str">
        <f ca="1">IFERROR(+IF(AX$27=#REF!,Milestone_Marker,IF(AND(AX$27&gt;#REF!,AX$27&lt;=#REF!+#REF!),$G$5,"")),"")</f>
        <v/>
      </c>
      <c r="AX87" s="36" t="str">
        <f ca="1">IFERROR(+IF(AY$27=#REF!,Milestone_Marker,IF(AND(AY$27&gt;#REF!,AY$27&lt;=#REF!+#REF!),$G$5,"")),"")</f>
        <v/>
      </c>
      <c r="AY87" s="36" t="str">
        <f ca="1">IFERROR(+IF(AZ$27=#REF!,Milestone_Marker,IF(AND(AZ$27&gt;#REF!,AZ$27&lt;=#REF!+#REF!),$G$5,"")),"")</f>
        <v/>
      </c>
      <c r="AZ87" s="36" t="str">
        <f ca="1">IFERROR(+IF(BA$27=#REF!,Milestone_Marker,IF(AND(BA$27&gt;#REF!,BA$27&lt;=#REF!+#REF!),$G$5,"")),"")</f>
        <v/>
      </c>
      <c r="BA87" s="36" t="str">
        <f ca="1">IFERROR(+IF(BB$27=#REF!,Milestone_Marker,IF(AND(BB$27&gt;#REF!,BB$27&lt;=#REF!+#REF!),$G$5,"")),"")</f>
        <v/>
      </c>
      <c r="BB87" s="36" t="str">
        <f ca="1">IFERROR(+IF(BC$27=#REF!,Milestone_Marker,IF(AND(BC$27&gt;#REF!,BC$27&lt;=#REF!+#REF!),$G$5,"")),"")</f>
        <v/>
      </c>
      <c r="BC87" s="36" t="str">
        <f ca="1">IFERROR(+IF(BD$27=#REF!,Milestone_Marker,IF(AND(BD$27&gt;#REF!,BD$27&lt;=#REF!+#REF!),$G$5,"")),"")</f>
        <v/>
      </c>
      <c r="BD87" s="36" t="str">
        <f ca="1">IFERROR(+IF(BE$27=#REF!,Milestone_Marker,IF(AND(BE$27&gt;#REF!,BE$27&lt;=#REF!+#REF!),$G$5,"")),"")</f>
        <v/>
      </c>
      <c r="BE87" s="36" t="str">
        <f ca="1">IFERROR(+IF(BF$27=#REF!,Milestone_Marker,IF(AND(BF$27&gt;#REF!,BF$27&lt;=#REF!+#REF!),$G$5,"")),"")</f>
        <v/>
      </c>
      <c r="BF87" s="36" t="str">
        <f ca="1">IFERROR(+IF(BG$27=#REF!,Milestone_Marker,IF(AND(BG$27&gt;#REF!,BG$27&lt;=#REF!+#REF!),$G$5,"")),"")</f>
        <v/>
      </c>
      <c r="BG87" s="36" t="str">
        <f ca="1">IFERROR(+IF(BH$27=#REF!,Milestone_Marker,IF(AND(BH$27&gt;#REF!,BH$27&lt;=#REF!+#REF!),$G$5,"")),"")</f>
        <v/>
      </c>
      <c r="BH87" s="36" t="str">
        <f ca="1">IFERROR(+IF(BI$27=#REF!,Milestone_Marker,IF(AND(BI$27&gt;#REF!,BI$27&lt;=#REF!+#REF!),$G$5,"")),"")</f>
        <v/>
      </c>
      <c r="BI87" s="36" t="str">
        <f ca="1">IFERROR(+IF(BJ$27=#REF!,Milestone_Marker,IF(AND(BJ$27&gt;#REF!,BJ$27&lt;=#REF!+#REF!),$G$5,"")),"")</f>
        <v/>
      </c>
      <c r="BJ87" s="36" t="str">
        <f ca="1">IFERROR(+IF(BK$27=#REF!,Milestone_Marker,IF(AND(BK$27&gt;#REF!,BK$27&lt;=#REF!+#REF!),$G$5,"")),"")</f>
        <v/>
      </c>
      <c r="BK87" s="36" t="str">
        <f ca="1">IFERROR(+IF(BL$27=#REF!,Milestone_Marker,IF(AND(BL$27&gt;#REF!,BL$27&lt;=#REF!+#REF!),$G$5,"")),"")</f>
        <v/>
      </c>
      <c r="BL87" s="36" t="str">
        <f ca="1">IFERROR(+IF(BM$27=#REF!,Milestone_Marker,IF(AND(BM$27&gt;#REF!,BM$27&lt;=#REF!+#REF!),$G$5,"")),"")</f>
        <v/>
      </c>
      <c r="BM87" s="36" t="str">
        <f ca="1">IFERROR(+IF(BN$27=#REF!,Milestone_Marker,IF(AND(BN$27&gt;#REF!,BN$27&lt;=#REF!+#REF!),$G$5,"")),"")</f>
        <v/>
      </c>
      <c r="BN87" s="36" t="str">
        <f ca="1">IFERROR(+IF(BO$27=#REF!,Milestone_Marker,IF(AND(BO$27&gt;#REF!,BO$27&lt;=#REF!+#REF!),$G$5,"")),"")</f>
        <v/>
      </c>
      <c r="BO87" s="36" t="str">
        <f ca="1">IFERROR(+IF(BP$27=#REF!,Milestone_Marker,IF(AND(BP$27&gt;#REF!,BP$27&lt;=#REF!+#REF!),$G$5,"")),"")</f>
        <v/>
      </c>
      <c r="BP87" s="36" t="str">
        <f ca="1">IFERROR(+IF(BQ$27=#REF!,Milestone_Marker,IF(AND(BQ$27&gt;#REF!,BQ$27&lt;=#REF!+#REF!),$G$5,"")),"")</f>
        <v/>
      </c>
      <c r="BQ87" s="36" t="str">
        <f ca="1">IFERROR(+IF(BR$27=#REF!,Milestone_Marker,IF(AND(BR$27&gt;#REF!,BR$27&lt;=#REF!+#REF!),$G$5,"")),"")</f>
        <v/>
      </c>
      <c r="BR87" s="36" t="str">
        <f ca="1">IFERROR(+IF(BS$27=#REF!,Milestone_Marker,IF(AND(BS$27&gt;#REF!,BS$27&lt;=#REF!+#REF!),$G$5,"")),"")</f>
        <v/>
      </c>
      <c r="BS87" s="36" t="str">
        <f ca="1">IFERROR(+IF(BT$27=#REF!,Milestone_Marker,IF(AND(BT$27&gt;#REF!,BT$27&lt;=#REF!+#REF!),$G$5,"")),"")</f>
        <v/>
      </c>
      <c r="BT87" s="36" t="str">
        <f ca="1">IFERROR(+IF(BU$27=#REF!,Milestone_Marker,IF(AND(BU$27&gt;#REF!,BU$27&lt;=#REF!+#REF!),$G$5,"")),"")</f>
        <v/>
      </c>
      <c r="BU87" s="36" t="str">
        <f ca="1">IFERROR(+IF(BV$27=#REF!,Milestone_Marker,IF(AND(BV$27&gt;#REF!,BV$27&lt;=#REF!+#REF!),$G$5,"")),"")</f>
        <v/>
      </c>
      <c r="BV87" s="36" t="str">
        <f ca="1">IFERROR(+IF(BW$27=#REF!,Milestone_Marker,IF(AND(BW$27&gt;#REF!,BW$27&lt;=#REF!+#REF!),$G$5,"")),"")</f>
        <v/>
      </c>
      <c r="BW87" s="36" t="str">
        <f ca="1">IFERROR(+IF(BX$27=#REF!,Milestone_Marker,IF(AND(BX$27&gt;#REF!,BX$27&lt;=#REF!+#REF!),$G$5,"")),"")</f>
        <v/>
      </c>
      <c r="BX87" s="36" t="str">
        <f ca="1">IFERROR(+IF(BY$27=#REF!,Milestone_Marker,IF(AND(BY$27&gt;#REF!,BY$27&lt;=#REF!+#REF!),$G$5,"")),"")</f>
        <v/>
      </c>
      <c r="BY87" s="36" t="str">
        <f ca="1">IFERROR(+IF(BZ$27=#REF!,Milestone_Marker,IF(AND(BZ$27&gt;#REF!,BZ$27&lt;=#REF!+#REF!),$G$5,"")),"")</f>
        <v/>
      </c>
      <c r="BZ87" s="36" t="str">
        <f ca="1">IFERROR(+IF(CA$27=#REF!,Milestone_Marker,IF(AND(CA$27&gt;#REF!,CA$27&lt;=#REF!+#REF!),$G$5,"")),"")</f>
        <v/>
      </c>
      <c r="CA87" s="36" t="str">
        <f ca="1">IFERROR(+IF(CB$27=#REF!,Milestone_Marker,IF(AND(CB$27&gt;#REF!,CB$27&lt;=#REF!+#REF!),$G$5,"")),"")</f>
        <v/>
      </c>
      <c r="CB87" s="36" t="str">
        <f ca="1">IFERROR(+IF(CC$27=#REF!,Milestone_Marker,IF(AND(CC$27&gt;#REF!,CC$27&lt;=#REF!+#REF!),$G$5,"")),"")</f>
        <v/>
      </c>
      <c r="CC87" s="36" t="str">
        <f ca="1">IFERROR(+IF(CD$27=#REF!,Milestone_Marker,IF(AND(CD$27&gt;#REF!,CD$27&lt;=#REF!+#REF!),$G$5,"")),"")</f>
        <v/>
      </c>
      <c r="CD87" s="36" t="str">
        <f ca="1">IFERROR(+IF(CE$27=#REF!,Milestone_Marker,IF(AND(CE$27&gt;#REF!,CE$27&lt;=#REF!+#REF!),$G$5,"")),"")</f>
        <v/>
      </c>
      <c r="CE87" s="36" t="str">
        <f ca="1">IFERROR(+IF(CF$27=#REF!,Milestone_Marker,IF(AND(CF$27&gt;#REF!,CF$27&lt;=#REF!+#REF!),$G$5,"")),"")</f>
        <v/>
      </c>
      <c r="CF87" s="36" t="str">
        <f ca="1">IFERROR(+IF(CG$27=#REF!,Milestone_Marker,IF(AND(CG$27&gt;#REF!,CG$27&lt;=#REF!+#REF!),$G$5,"")),"")</f>
        <v/>
      </c>
      <c r="CG87" s="36" t="str">
        <f ca="1">IFERROR(+IF(CH$27=#REF!,Milestone_Marker,IF(AND(CH$27&gt;#REF!,CH$27&lt;=#REF!+#REF!),$G$5,"")),"")</f>
        <v/>
      </c>
      <c r="CH87" s="36" t="str">
        <f ca="1">IFERROR(+IF(CI$27=#REF!,Milestone_Marker,IF(AND(CI$27&gt;#REF!,CI$27&lt;=#REF!+#REF!),$G$5,"")),"")</f>
        <v/>
      </c>
      <c r="CI87" s="36" t="str">
        <f ca="1">IFERROR(+IF(CJ$27=#REF!,Milestone_Marker,IF(AND(CJ$27&gt;#REF!,CJ$27&lt;=#REF!+#REF!),$G$5,"")),"")</f>
        <v/>
      </c>
      <c r="CJ87" s="36" t="str">
        <f ca="1">IFERROR(+IF(CK$27=#REF!,Milestone_Marker,IF(AND(CK$27&gt;#REF!,CK$27&lt;=#REF!+#REF!),$G$5,"")),"")</f>
        <v/>
      </c>
      <c r="CK87" s="36" t="str">
        <f ca="1">IFERROR(+IF(CL$27=#REF!,Milestone_Marker,IF(AND(CL$27&gt;#REF!,CL$27&lt;=#REF!+#REF!),$G$5,"")),"")</f>
        <v/>
      </c>
      <c r="CL87" s="36" t="str">
        <f ca="1">IFERROR(+IF(CM$27=#REF!,Milestone_Marker,IF(AND(CM$27&gt;#REF!,CM$27&lt;=#REF!+#REF!),$G$5,"")),"")</f>
        <v/>
      </c>
      <c r="CM87" s="36" t="str">
        <f ca="1">IFERROR(+IF(CN$27=#REF!,Milestone_Marker,IF(AND(CN$27&gt;#REF!,CN$27&lt;=#REF!+#REF!),$G$5,"")),"")</f>
        <v/>
      </c>
      <c r="CN87" s="36" t="str">
        <f ca="1">IFERROR(+IF(CO$27=#REF!,Milestone_Marker,IF(AND(CO$27&gt;#REF!,CO$27&lt;=#REF!+#REF!),$G$5,"")),"")</f>
        <v/>
      </c>
      <c r="CO87" s="36" t="str">
        <f ca="1">IFERROR(+IF(CP$27=#REF!,Milestone_Marker,IF(AND(CP$27&gt;#REF!,CP$27&lt;=#REF!+#REF!),$G$5,"")),"")</f>
        <v/>
      </c>
      <c r="CP87" s="36" t="str">
        <f ca="1">IFERROR(+IF(CQ$27=#REF!,Milestone_Marker,IF(AND(CQ$27&gt;#REF!,CQ$27&lt;=#REF!+#REF!),$G$5,"")),"")</f>
        <v/>
      </c>
      <c r="CQ87" s="36" t="str">
        <f ca="1">IFERROR(+IF(CR$27=#REF!,Milestone_Marker,IF(AND(CR$27&gt;#REF!,CR$27&lt;=#REF!+#REF!),$G$5,"")),"")</f>
        <v/>
      </c>
      <c r="CR87" s="36" t="str">
        <f ca="1">IFERROR(+IF(CS$27=#REF!,Milestone_Marker,IF(AND(CS$27&gt;#REF!,CS$27&lt;=#REF!+#REF!),$G$5,"")),"")</f>
        <v/>
      </c>
      <c r="CS87" s="36" t="str">
        <f ca="1">IFERROR(+IF(CT$27=#REF!,Milestone_Marker,IF(AND(CT$27&gt;#REF!,CT$27&lt;=#REF!+#REF!),$G$5,"")),"")</f>
        <v/>
      </c>
      <c r="CT87" s="36" t="str">
        <f ca="1">IFERROR(+IF(CU$27=#REF!,Milestone_Marker,IF(AND(CU$27&gt;#REF!,CU$27&lt;=#REF!+#REF!),$G$5,"")),"")</f>
        <v/>
      </c>
    </row>
    <row r="88" spans="1:125" ht="18" customHeight="1" x14ac:dyDescent="0.25">
      <c r="A88" t="s">
        <v>523</v>
      </c>
      <c r="B88">
        <v>70</v>
      </c>
      <c r="C88" t="s">
        <v>1077</v>
      </c>
      <c r="D88" t="s">
        <v>1060</v>
      </c>
      <c r="E88" s="568" t="s">
        <v>1050</v>
      </c>
      <c r="F88">
        <v>1</v>
      </c>
      <c r="G88" s="14"/>
      <c r="H88" s="14"/>
      <c r="I88" t="s">
        <v>3</v>
      </c>
      <c r="J88">
        <v>2</v>
      </c>
      <c r="K88" s="249"/>
      <c r="L88"/>
      <c r="M88" s="14"/>
      <c r="N88" s="300"/>
      <c r="O88" s="554"/>
      <c r="P88" s="36" t="str">
        <f ca="1">IFERROR(+IF(Q$27=#REF!,Milestone_Marker,IF(AND(Q$27&gt;#REF!,Q$27&lt;=#REF!+#REF!),$G$5,"")),"")</f>
        <v/>
      </c>
      <c r="Q88" s="36" t="str">
        <f ca="1">IFERROR(+IF(R$27=#REF!,Milestone_Marker,IF(AND(R$27&gt;#REF!,R$27&lt;=#REF!+#REF!),$G$5,"")),"")</f>
        <v/>
      </c>
      <c r="R88" s="36" t="str">
        <f ca="1">IFERROR(+IF(S$27=#REF!,Milestone_Marker,IF(AND(S$27&gt;#REF!,S$27&lt;=#REF!+#REF!),$G$5,"")),"")</f>
        <v/>
      </c>
      <c r="S88" s="36" t="str">
        <f ca="1">IFERROR(+IF(T$27=#REF!,Milestone_Marker,IF(AND(T$27&gt;#REF!,T$27&lt;=#REF!+#REF!),$G$5,"")),"")</f>
        <v/>
      </c>
      <c r="T88" s="36" t="str">
        <f ca="1">IFERROR(+IF(U$27=#REF!,Milestone_Marker,IF(AND(U$27&gt;#REF!,U$27&lt;=#REF!+#REF!),$G$5,"")),"")</f>
        <v/>
      </c>
      <c r="U88" s="36" t="str">
        <f ca="1">IFERROR(+IF(V$27=#REF!,Milestone_Marker,IF(AND(V$27&gt;#REF!,V$27&lt;=#REF!+#REF!),$G$5,"")),"")</f>
        <v/>
      </c>
      <c r="V88" s="36" t="str">
        <f ca="1">IFERROR(+IF(W$27=#REF!,Milestone_Marker,IF(AND(W$27&gt;#REF!,W$27&lt;=#REF!+#REF!),$G$5,"")),"")</f>
        <v/>
      </c>
      <c r="W88" s="36" t="str">
        <f ca="1">IFERROR(+IF(X$27=#REF!,Milestone_Marker,IF(AND(X$27&gt;#REF!,X$27&lt;=#REF!+#REF!),$G$5,"")),"")</f>
        <v/>
      </c>
      <c r="X88" s="36" t="str">
        <f ca="1">IFERROR(+IF(Y$27=#REF!,Milestone_Marker,IF(AND(Y$27&gt;#REF!,Y$27&lt;=#REF!+#REF!),$G$5,"")),"")</f>
        <v/>
      </c>
      <c r="Y88" s="36" t="str">
        <f ca="1">IFERROR(+IF(Z$27=#REF!,Milestone_Marker,IF(AND(Z$27&gt;#REF!,Z$27&lt;=#REF!+#REF!),$G$5,"")),"")</f>
        <v/>
      </c>
      <c r="Z88" s="36" t="str">
        <f ca="1">IFERROR(+IF(AA$27=#REF!,Milestone_Marker,IF(AND(AA$27&gt;#REF!,AA$27&lt;=#REF!+#REF!),$G$5,"")),"")</f>
        <v/>
      </c>
      <c r="AA88" s="36" t="str">
        <f ca="1">IFERROR(+IF(AB$27=#REF!,Milestone_Marker,IF(AND(AB$27&gt;#REF!,AB$27&lt;=#REF!+#REF!),$G$5,"")),"")</f>
        <v/>
      </c>
      <c r="AB88" s="36" t="str">
        <f ca="1">IFERROR(+IF(AC$27=#REF!,Milestone_Marker,IF(AND(AC$27&gt;#REF!,AC$27&lt;=#REF!+#REF!),$G$5,"")),"")</f>
        <v/>
      </c>
      <c r="AC88" s="36" t="str">
        <f ca="1">IFERROR(+IF(AD$27=#REF!,Milestone_Marker,IF(AND(AD$27&gt;#REF!,AD$27&lt;=#REF!+#REF!),$G$5,"")),"")</f>
        <v/>
      </c>
      <c r="AD88" s="36" t="str">
        <f ca="1">IFERROR(+IF(AE$27=#REF!,Milestone_Marker,IF(AND(AE$27&gt;#REF!,AE$27&lt;=#REF!+#REF!),$G$5,"")),"")</f>
        <v/>
      </c>
      <c r="AE88" s="36" t="str">
        <f ca="1">IFERROR(+IF(AF$27=#REF!,Milestone_Marker,IF(AND(AF$27&gt;#REF!,AF$27&lt;=#REF!+#REF!),$G$5,"")),"")</f>
        <v/>
      </c>
      <c r="AF88" s="36" t="str">
        <f ca="1">IFERROR(+IF(AG$27=#REF!,Milestone_Marker,IF(AND(AG$27&gt;#REF!,AG$27&lt;=#REF!+#REF!),$G$5,"")),"")</f>
        <v/>
      </c>
      <c r="AG88" s="36" t="str">
        <f ca="1">IFERROR(+IF(AH$27=#REF!,Milestone_Marker,IF(AND(AH$27&gt;#REF!,AH$27&lt;=#REF!+#REF!),$G$5,"")),"")</f>
        <v/>
      </c>
      <c r="AH88" s="36" t="str">
        <f ca="1">IFERROR(+IF(AI$27=#REF!,Milestone_Marker,IF(AND(AI$27&gt;#REF!,AI$27&lt;=#REF!+#REF!),$G$5,"")),"")</f>
        <v/>
      </c>
      <c r="AI88" s="36" t="str">
        <f ca="1">IFERROR(+IF(AJ$27=#REF!,Milestone_Marker,IF(AND(AJ$27&gt;#REF!,AJ$27&lt;=#REF!+#REF!),$G$5,"")),"")</f>
        <v/>
      </c>
      <c r="AJ88" s="36" t="str">
        <f ca="1">IFERROR(+IF(AK$27=#REF!,Milestone_Marker,IF(AND(AK$27&gt;#REF!,AK$27&lt;=#REF!+#REF!),$G$5,"")),"")</f>
        <v/>
      </c>
      <c r="AK88" s="36" t="str">
        <f ca="1">IFERROR(+IF(AL$27=#REF!,Milestone_Marker,IF(AND(AL$27&gt;#REF!,AL$27&lt;=#REF!+#REF!),$G$5,"")),"")</f>
        <v/>
      </c>
      <c r="AL88" s="36" t="str">
        <f ca="1">IFERROR(+IF(AM$27=#REF!,Milestone_Marker,IF(AND(AM$27&gt;#REF!,AM$27&lt;=#REF!+#REF!),$G$5,"")),"")</f>
        <v/>
      </c>
      <c r="AM88" s="36" t="str">
        <f ca="1">IFERROR(+IF(AN$27=#REF!,Milestone_Marker,IF(AND(AN$27&gt;#REF!,AN$27&lt;=#REF!+#REF!),$G$5,"")),"")</f>
        <v/>
      </c>
      <c r="AN88" s="36" t="str">
        <f ca="1">IFERROR(+IF(AO$27=#REF!,Milestone_Marker,IF(AND(AO$27&gt;#REF!,AO$27&lt;=#REF!+#REF!),$G$5,"")),"")</f>
        <v/>
      </c>
      <c r="AO88" s="36" t="str">
        <f ca="1">IFERROR(+IF(AP$27=#REF!,Milestone_Marker,IF(AND(AP$27&gt;#REF!,AP$27&lt;=#REF!+#REF!),$G$5,"")),"")</f>
        <v/>
      </c>
      <c r="AP88" s="36" t="str">
        <f ca="1">IFERROR(+IF(AQ$27=#REF!,Milestone_Marker,IF(AND(AQ$27&gt;#REF!,AQ$27&lt;=#REF!+#REF!),$G$5,"")),"")</f>
        <v/>
      </c>
      <c r="AQ88" s="36" t="str">
        <f ca="1">IFERROR(+IF(AR$27=#REF!,Milestone_Marker,IF(AND(AR$27&gt;#REF!,AR$27&lt;=#REF!+#REF!),$G$5,"")),"")</f>
        <v/>
      </c>
      <c r="AR88" s="36" t="str">
        <f ca="1">IFERROR(+IF(AS$27=#REF!,Milestone_Marker,IF(AND(AS$27&gt;#REF!,AS$27&lt;=#REF!+#REF!),$G$5,"")),"")</f>
        <v/>
      </c>
      <c r="AS88" s="36" t="str">
        <f ca="1">IFERROR(+IF(AT$27=#REF!,Milestone_Marker,IF(AND(AT$27&gt;#REF!,AT$27&lt;=#REF!+#REF!),$G$5,"")),"")</f>
        <v/>
      </c>
      <c r="AT88" s="36" t="str">
        <f ca="1">IFERROR(+IF(AU$27=#REF!,Milestone_Marker,IF(AND(AU$27&gt;#REF!,AU$27&lt;=#REF!+#REF!),$G$5,"")),"")</f>
        <v/>
      </c>
      <c r="AU88" s="36" t="str">
        <f ca="1">IFERROR(+IF(AV$27=#REF!,Milestone_Marker,IF(AND(AV$27&gt;#REF!,AV$27&lt;=#REF!+#REF!),$G$5,"")),"")</f>
        <v/>
      </c>
      <c r="AV88" s="36" t="str">
        <f ca="1">IFERROR(+IF(AW$27=#REF!,Milestone_Marker,IF(AND(AW$27&gt;#REF!,AW$27&lt;=#REF!+#REF!),$G$5,"")),"")</f>
        <v/>
      </c>
      <c r="AW88" s="36" t="str">
        <f ca="1">IFERROR(+IF(AX$27=#REF!,Milestone_Marker,IF(AND(AX$27&gt;#REF!,AX$27&lt;=#REF!+#REF!),$G$5,"")),"")</f>
        <v/>
      </c>
      <c r="AX88" s="36" t="str">
        <f ca="1">IFERROR(+IF(AY$27=#REF!,Milestone_Marker,IF(AND(AY$27&gt;#REF!,AY$27&lt;=#REF!+#REF!),$G$5,"")),"")</f>
        <v/>
      </c>
      <c r="AY88" s="36" t="str">
        <f ca="1">IFERROR(+IF(AZ$27=#REF!,Milestone_Marker,IF(AND(AZ$27&gt;#REF!,AZ$27&lt;=#REF!+#REF!),$G$5,"")),"")</f>
        <v/>
      </c>
      <c r="AZ88" s="36" t="str">
        <f ca="1">IFERROR(+IF(BA$27=#REF!,Milestone_Marker,IF(AND(BA$27&gt;#REF!,BA$27&lt;=#REF!+#REF!),$G$5,"")),"")</f>
        <v/>
      </c>
      <c r="BA88" s="36" t="str">
        <f ca="1">IFERROR(+IF(BB$27=#REF!,Milestone_Marker,IF(AND(BB$27&gt;#REF!,BB$27&lt;=#REF!+#REF!),$G$5,"")),"")</f>
        <v/>
      </c>
      <c r="BB88" s="36" t="str">
        <f ca="1">IFERROR(+IF(BC$27=#REF!,Milestone_Marker,IF(AND(BC$27&gt;#REF!,BC$27&lt;=#REF!+#REF!),$G$5,"")),"")</f>
        <v/>
      </c>
      <c r="BC88" s="36" t="str">
        <f ca="1">IFERROR(+IF(BD$27=#REF!,Milestone_Marker,IF(AND(BD$27&gt;#REF!,BD$27&lt;=#REF!+#REF!),$G$5,"")),"")</f>
        <v/>
      </c>
      <c r="BD88" s="36" t="str">
        <f ca="1">IFERROR(+IF(BE$27=#REF!,Milestone_Marker,IF(AND(BE$27&gt;#REF!,BE$27&lt;=#REF!+#REF!),$G$5,"")),"")</f>
        <v/>
      </c>
      <c r="BE88" s="36" t="str">
        <f ca="1">IFERROR(+IF(BF$27=#REF!,Milestone_Marker,IF(AND(BF$27&gt;#REF!,BF$27&lt;=#REF!+#REF!),$G$5,"")),"")</f>
        <v/>
      </c>
      <c r="BF88" s="36" t="str">
        <f ca="1">IFERROR(+IF(BG$27=#REF!,Milestone_Marker,IF(AND(BG$27&gt;#REF!,BG$27&lt;=#REF!+#REF!),$G$5,"")),"")</f>
        <v/>
      </c>
      <c r="BG88" s="36" t="str">
        <f ca="1">IFERROR(+IF(BH$27=#REF!,Milestone_Marker,IF(AND(BH$27&gt;#REF!,BH$27&lt;=#REF!+#REF!),$G$5,"")),"")</f>
        <v/>
      </c>
      <c r="BH88" s="36" t="str">
        <f ca="1">IFERROR(+IF(BI$27=#REF!,Milestone_Marker,IF(AND(BI$27&gt;#REF!,BI$27&lt;=#REF!+#REF!),$G$5,"")),"")</f>
        <v/>
      </c>
      <c r="BI88" s="36" t="str">
        <f ca="1">IFERROR(+IF(BJ$27=#REF!,Milestone_Marker,IF(AND(BJ$27&gt;#REF!,BJ$27&lt;=#REF!+#REF!),$G$5,"")),"")</f>
        <v/>
      </c>
      <c r="BJ88" s="36" t="str">
        <f ca="1">IFERROR(+IF(BK$27=#REF!,Milestone_Marker,IF(AND(BK$27&gt;#REF!,BK$27&lt;=#REF!+#REF!),$G$5,"")),"")</f>
        <v/>
      </c>
      <c r="BK88" s="36" t="str">
        <f ca="1">IFERROR(+IF(BL$27=#REF!,Milestone_Marker,IF(AND(BL$27&gt;#REF!,BL$27&lt;=#REF!+#REF!),$G$5,"")),"")</f>
        <v/>
      </c>
      <c r="BL88" s="36" t="str">
        <f ca="1">IFERROR(+IF(BM$27=#REF!,Milestone_Marker,IF(AND(BM$27&gt;#REF!,BM$27&lt;=#REF!+#REF!),$G$5,"")),"")</f>
        <v/>
      </c>
      <c r="BM88" s="36" t="str">
        <f ca="1">IFERROR(+IF(BN$27=#REF!,Milestone_Marker,IF(AND(BN$27&gt;#REF!,BN$27&lt;=#REF!+#REF!),$G$5,"")),"")</f>
        <v/>
      </c>
      <c r="BN88" s="36" t="str">
        <f ca="1">IFERROR(+IF(BO$27=#REF!,Milestone_Marker,IF(AND(BO$27&gt;#REF!,BO$27&lt;=#REF!+#REF!),$G$5,"")),"")</f>
        <v/>
      </c>
      <c r="BO88" s="36" t="str">
        <f ca="1">IFERROR(+IF(BP$27=#REF!,Milestone_Marker,IF(AND(BP$27&gt;#REF!,BP$27&lt;=#REF!+#REF!),$G$5,"")),"")</f>
        <v/>
      </c>
      <c r="BP88" s="36" t="str">
        <f ca="1">IFERROR(+IF(BQ$27=#REF!,Milestone_Marker,IF(AND(BQ$27&gt;#REF!,BQ$27&lt;=#REF!+#REF!),$G$5,"")),"")</f>
        <v/>
      </c>
      <c r="BQ88" s="36" t="str">
        <f ca="1">IFERROR(+IF(BR$27=#REF!,Milestone_Marker,IF(AND(BR$27&gt;#REF!,BR$27&lt;=#REF!+#REF!),$G$5,"")),"")</f>
        <v/>
      </c>
      <c r="BR88" s="36" t="str">
        <f ca="1">IFERROR(+IF(BS$27=#REF!,Milestone_Marker,IF(AND(BS$27&gt;#REF!,BS$27&lt;=#REF!+#REF!),$G$5,"")),"")</f>
        <v/>
      </c>
      <c r="BS88" s="36" t="str">
        <f ca="1">IFERROR(+IF(BT$27=#REF!,Milestone_Marker,IF(AND(BT$27&gt;#REF!,BT$27&lt;=#REF!+#REF!),$G$5,"")),"")</f>
        <v/>
      </c>
      <c r="BT88" s="36" t="str">
        <f ca="1">IFERROR(+IF(BU$27=#REF!,Milestone_Marker,IF(AND(BU$27&gt;#REF!,BU$27&lt;=#REF!+#REF!),$G$5,"")),"")</f>
        <v/>
      </c>
      <c r="BU88" s="36" t="str">
        <f ca="1">IFERROR(+IF(BV$27=#REF!,Milestone_Marker,IF(AND(BV$27&gt;#REF!,BV$27&lt;=#REF!+#REF!),$G$5,"")),"")</f>
        <v/>
      </c>
      <c r="BV88" s="36" t="str">
        <f ca="1">IFERROR(+IF(BW$27=#REF!,Milestone_Marker,IF(AND(BW$27&gt;#REF!,BW$27&lt;=#REF!+#REF!),$G$5,"")),"")</f>
        <v/>
      </c>
      <c r="BW88" s="36" t="str">
        <f ca="1">IFERROR(+IF(BX$27=#REF!,Milestone_Marker,IF(AND(BX$27&gt;#REF!,BX$27&lt;=#REF!+#REF!),$G$5,"")),"")</f>
        <v/>
      </c>
      <c r="BX88" s="36" t="str">
        <f ca="1">IFERROR(+IF(BY$27=#REF!,Milestone_Marker,IF(AND(BY$27&gt;#REF!,BY$27&lt;=#REF!+#REF!),$G$5,"")),"")</f>
        <v/>
      </c>
      <c r="BY88" s="36" t="str">
        <f ca="1">IFERROR(+IF(BZ$27=#REF!,Milestone_Marker,IF(AND(BZ$27&gt;#REF!,BZ$27&lt;=#REF!+#REF!),$G$5,"")),"")</f>
        <v/>
      </c>
      <c r="BZ88" s="36" t="str">
        <f ca="1">IFERROR(+IF(CA$27=#REF!,Milestone_Marker,IF(AND(CA$27&gt;#REF!,CA$27&lt;=#REF!+#REF!),$G$5,"")),"")</f>
        <v/>
      </c>
      <c r="CA88" s="36" t="str">
        <f ca="1">IFERROR(+IF(CB$27=#REF!,Milestone_Marker,IF(AND(CB$27&gt;#REF!,CB$27&lt;=#REF!+#REF!),$G$5,"")),"")</f>
        <v/>
      </c>
      <c r="CB88" s="36" t="str">
        <f ca="1">IFERROR(+IF(CC$27=#REF!,Milestone_Marker,IF(AND(CC$27&gt;#REF!,CC$27&lt;=#REF!+#REF!),$G$5,"")),"")</f>
        <v/>
      </c>
      <c r="CC88" s="36" t="str">
        <f ca="1">IFERROR(+IF(CD$27=#REF!,Milestone_Marker,IF(AND(CD$27&gt;#REF!,CD$27&lt;=#REF!+#REF!),$G$5,"")),"")</f>
        <v/>
      </c>
      <c r="CD88" s="36" t="str">
        <f ca="1">IFERROR(+IF(CE$27=#REF!,Milestone_Marker,IF(AND(CE$27&gt;#REF!,CE$27&lt;=#REF!+#REF!),$G$5,"")),"")</f>
        <v/>
      </c>
      <c r="CE88" s="36" t="str">
        <f ca="1">IFERROR(+IF(CF$27=#REF!,Milestone_Marker,IF(AND(CF$27&gt;#REF!,CF$27&lt;=#REF!+#REF!),$G$5,"")),"")</f>
        <v/>
      </c>
      <c r="CF88" s="36" t="str">
        <f ca="1">IFERROR(+IF(CG$27=#REF!,Milestone_Marker,IF(AND(CG$27&gt;#REF!,CG$27&lt;=#REF!+#REF!),$G$5,"")),"")</f>
        <v/>
      </c>
      <c r="CG88" s="36" t="str">
        <f ca="1">IFERROR(+IF(CH$27=#REF!,Milestone_Marker,IF(AND(CH$27&gt;#REF!,CH$27&lt;=#REF!+#REF!),$G$5,"")),"")</f>
        <v/>
      </c>
      <c r="CH88" s="36" t="str">
        <f ca="1">IFERROR(+IF(CI$27=#REF!,Milestone_Marker,IF(AND(CI$27&gt;#REF!,CI$27&lt;=#REF!+#REF!),$G$5,"")),"")</f>
        <v/>
      </c>
      <c r="CI88" s="36" t="str">
        <f ca="1">IFERROR(+IF(CJ$27=#REF!,Milestone_Marker,IF(AND(CJ$27&gt;#REF!,CJ$27&lt;=#REF!+#REF!),$G$5,"")),"")</f>
        <v/>
      </c>
      <c r="CJ88" s="36" t="str">
        <f ca="1">IFERROR(+IF(CK$27=#REF!,Milestone_Marker,IF(AND(CK$27&gt;#REF!,CK$27&lt;=#REF!+#REF!),$G$5,"")),"")</f>
        <v/>
      </c>
      <c r="CK88" s="36" t="str">
        <f ca="1">IFERROR(+IF(CL$27=#REF!,Milestone_Marker,IF(AND(CL$27&gt;#REF!,CL$27&lt;=#REF!+#REF!),$G$5,"")),"")</f>
        <v/>
      </c>
      <c r="CL88" s="36" t="str">
        <f ca="1">IFERROR(+IF(CM$27=#REF!,Milestone_Marker,IF(AND(CM$27&gt;#REF!,CM$27&lt;=#REF!+#REF!),$G$5,"")),"")</f>
        <v/>
      </c>
      <c r="CM88" s="36" t="str">
        <f ca="1">IFERROR(+IF(CN$27=#REF!,Milestone_Marker,IF(AND(CN$27&gt;#REF!,CN$27&lt;=#REF!+#REF!),$G$5,"")),"")</f>
        <v/>
      </c>
      <c r="CN88" s="36" t="str">
        <f ca="1">IFERROR(+IF(CO$27=#REF!,Milestone_Marker,IF(AND(CO$27&gt;#REF!,CO$27&lt;=#REF!+#REF!),$G$5,"")),"")</f>
        <v/>
      </c>
      <c r="CO88" s="36" t="str">
        <f ca="1">IFERROR(+IF(CP$27=#REF!,Milestone_Marker,IF(AND(CP$27&gt;#REF!,CP$27&lt;=#REF!+#REF!),$G$5,"")),"")</f>
        <v/>
      </c>
      <c r="CP88" s="36" t="str">
        <f ca="1">IFERROR(+IF(CQ$27=#REF!,Milestone_Marker,IF(AND(CQ$27&gt;#REF!,CQ$27&lt;=#REF!+#REF!),$G$5,"")),"")</f>
        <v/>
      </c>
      <c r="CQ88" s="36" t="str">
        <f ca="1">IFERROR(+IF(CR$27=#REF!,Milestone_Marker,IF(AND(CR$27&gt;#REF!,CR$27&lt;=#REF!+#REF!),$G$5,"")),"")</f>
        <v/>
      </c>
      <c r="CR88" s="36" t="str">
        <f ca="1">IFERROR(+IF(CS$27=#REF!,Milestone_Marker,IF(AND(CS$27&gt;#REF!,CS$27&lt;=#REF!+#REF!),$G$5,"")),"")</f>
        <v/>
      </c>
      <c r="CS88" s="36" t="str">
        <f ca="1">IFERROR(+IF(CT$27=#REF!,Milestone_Marker,IF(AND(CT$27&gt;#REF!,CT$27&lt;=#REF!+#REF!),$G$5,"")),"")</f>
        <v/>
      </c>
      <c r="CT88" s="36" t="str">
        <f ca="1">IFERROR(+IF(CU$27=#REF!,Milestone_Marker,IF(AND(CU$27&gt;#REF!,CU$27&lt;=#REF!+#REF!),$G$5,"")),"")</f>
        <v/>
      </c>
    </row>
    <row r="89" spans="1:125" ht="18" customHeight="1" x14ac:dyDescent="0.25">
      <c r="A89" t="s">
        <v>523</v>
      </c>
      <c r="B89">
        <v>71</v>
      </c>
      <c r="C89" t="s">
        <v>1077</v>
      </c>
      <c r="D89" t="s">
        <v>1060</v>
      </c>
      <c r="E89" s="568" t="s">
        <v>1051</v>
      </c>
      <c r="F89">
        <v>1</v>
      </c>
      <c r="G89" s="14"/>
      <c r="H89" s="14"/>
      <c r="I89" t="s">
        <v>3</v>
      </c>
      <c r="J89">
        <v>2</v>
      </c>
      <c r="K89" s="249"/>
      <c r="L89"/>
      <c r="M89" s="14"/>
      <c r="N89" s="300"/>
      <c r="O89" s="554"/>
      <c r="P89" s="36" t="str">
        <f ca="1">IFERROR(+IF(Q$27=#REF!,Milestone_Marker,IF(AND(Q$27&gt;#REF!,Q$27&lt;=#REF!+#REF!),$G$5,"")),"")</f>
        <v/>
      </c>
      <c r="Q89" s="36" t="str">
        <f ca="1">IFERROR(+IF(R$27=#REF!,Milestone_Marker,IF(AND(R$27&gt;#REF!,R$27&lt;=#REF!+#REF!),$G$5,"")),"")</f>
        <v/>
      </c>
      <c r="R89" s="36" t="str">
        <f ca="1">IFERROR(+IF(S$27=#REF!,Milestone_Marker,IF(AND(S$27&gt;#REF!,S$27&lt;=#REF!+#REF!),$G$5,"")),"")</f>
        <v/>
      </c>
      <c r="S89" s="36" t="str">
        <f ca="1">IFERROR(+IF(T$27=#REF!,Milestone_Marker,IF(AND(T$27&gt;#REF!,T$27&lt;=#REF!+#REF!),$G$5,"")),"")</f>
        <v/>
      </c>
      <c r="T89" s="36" t="str">
        <f ca="1">IFERROR(+IF(U$27=#REF!,Milestone_Marker,IF(AND(U$27&gt;#REF!,U$27&lt;=#REF!+#REF!),$G$5,"")),"")</f>
        <v/>
      </c>
      <c r="U89" s="36" t="str">
        <f ca="1">IFERROR(+IF(V$27=#REF!,Milestone_Marker,IF(AND(V$27&gt;#REF!,V$27&lt;=#REF!+#REF!),$G$5,"")),"")</f>
        <v/>
      </c>
      <c r="V89" s="36" t="str">
        <f ca="1">IFERROR(+IF(W$27=#REF!,Milestone_Marker,IF(AND(W$27&gt;#REF!,W$27&lt;=#REF!+#REF!),$G$5,"")),"")</f>
        <v/>
      </c>
      <c r="W89" s="36" t="str">
        <f ca="1">IFERROR(+IF(X$27=#REF!,Milestone_Marker,IF(AND(X$27&gt;#REF!,X$27&lt;=#REF!+#REF!),$G$5,"")),"")</f>
        <v/>
      </c>
      <c r="X89" s="36" t="str">
        <f ca="1">IFERROR(+IF(Y$27=#REF!,Milestone_Marker,IF(AND(Y$27&gt;#REF!,Y$27&lt;=#REF!+#REF!),$G$5,"")),"")</f>
        <v/>
      </c>
      <c r="Y89" s="36" t="str">
        <f ca="1">IFERROR(+IF(Z$27=#REF!,Milestone_Marker,IF(AND(Z$27&gt;#REF!,Z$27&lt;=#REF!+#REF!),$G$5,"")),"")</f>
        <v/>
      </c>
      <c r="Z89" s="36" t="str">
        <f ca="1">IFERROR(+IF(AA$27=#REF!,Milestone_Marker,IF(AND(AA$27&gt;#REF!,AA$27&lt;=#REF!+#REF!),$G$5,"")),"")</f>
        <v/>
      </c>
      <c r="AA89" s="36" t="str">
        <f ca="1">IFERROR(+IF(AB$27=#REF!,Milestone_Marker,IF(AND(AB$27&gt;#REF!,AB$27&lt;=#REF!+#REF!),$G$5,"")),"")</f>
        <v/>
      </c>
      <c r="AB89" s="36" t="str">
        <f ca="1">IFERROR(+IF(AC$27=#REF!,Milestone_Marker,IF(AND(AC$27&gt;#REF!,AC$27&lt;=#REF!+#REF!),$G$5,"")),"")</f>
        <v/>
      </c>
      <c r="AC89" s="36" t="str">
        <f ca="1">IFERROR(+IF(AD$27=#REF!,Milestone_Marker,IF(AND(AD$27&gt;#REF!,AD$27&lt;=#REF!+#REF!),$G$5,"")),"")</f>
        <v/>
      </c>
      <c r="AD89" s="36" t="str">
        <f ca="1">IFERROR(+IF(AE$27=#REF!,Milestone_Marker,IF(AND(AE$27&gt;#REF!,AE$27&lt;=#REF!+#REF!),$G$5,"")),"")</f>
        <v/>
      </c>
      <c r="AE89" s="36" t="str">
        <f ca="1">IFERROR(+IF(AF$27=#REF!,Milestone_Marker,IF(AND(AF$27&gt;#REF!,AF$27&lt;=#REF!+#REF!),$G$5,"")),"")</f>
        <v/>
      </c>
      <c r="AF89" s="36" t="str">
        <f ca="1">IFERROR(+IF(AG$27=#REF!,Milestone_Marker,IF(AND(AG$27&gt;#REF!,AG$27&lt;=#REF!+#REF!),$G$5,"")),"")</f>
        <v/>
      </c>
      <c r="AG89" s="36" t="str">
        <f ca="1">IFERROR(+IF(AH$27=#REF!,Milestone_Marker,IF(AND(AH$27&gt;#REF!,AH$27&lt;=#REF!+#REF!),$G$5,"")),"")</f>
        <v/>
      </c>
      <c r="AH89" s="36" t="str">
        <f ca="1">IFERROR(+IF(AI$27=#REF!,Milestone_Marker,IF(AND(AI$27&gt;#REF!,AI$27&lt;=#REF!+#REF!),$G$5,"")),"")</f>
        <v/>
      </c>
      <c r="AI89" s="36" t="str">
        <f ca="1">IFERROR(+IF(AJ$27=#REF!,Milestone_Marker,IF(AND(AJ$27&gt;#REF!,AJ$27&lt;=#REF!+#REF!),$G$5,"")),"")</f>
        <v/>
      </c>
      <c r="AJ89" s="36" t="str">
        <f ca="1">IFERROR(+IF(AK$27=#REF!,Milestone_Marker,IF(AND(AK$27&gt;#REF!,AK$27&lt;=#REF!+#REF!),$G$5,"")),"")</f>
        <v/>
      </c>
      <c r="AK89" s="36" t="str">
        <f ca="1">IFERROR(+IF(AL$27=#REF!,Milestone_Marker,IF(AND(AL$27&gt;#REF!,AL$27&lt;=#REF!+#REF!),$G$5,"")),"")</f>
        <v/>
      </c>
      <c r="AL89" s="36" t="str">
        <f ca="1">IFERROR(+IF(AM$27=#REF!,Milestone_Marker,IF(AND(AM$27&gt;#REF!,AM$27&lt;=#REF!+#REF!),$G$5,"")),"")</f>
        <v/>
      </c>
      <c r="AM89" s="36" t="str">
        <f ca="1">IFERROR(+IF(AN$27=#REF!,Milestone_Marker,IF(AND(AN$27&gt;#REF!,AN$27&lt;=#REF!+#REF!),$G$5,"")),"")</f>
        <v/>
      </c>
      <c r="AN89" s="36" t="str">
        <f ca="1">IFERROR(+IF(AO$27=#REF!,Milestone_Marker,IF(AND(AO$27&gt;#REF!,AO$27&lt;=#REF!+#REF!),$G$5,"")),"")</f>
        <v/>
      </c>
      <c r="AO89" s="36" t="str">
        <f ca="1">IFERROR(+IF(AP$27=#REF!,Milestone_Marker,IF(AND(AP$27&gt;#REF!,AP$27&lt;=#REF!+#REF!),$G$5,"")),"")</f>
        <v/>
      </c>
      <c r="AP89" s="36" t="str">
        <f ca="1">IFERROR(+IF(AQ$27=#REF!,Milestone_Marker,IF(AND(AQ$27&gt;#REF!,AQ$27&lt;=#REF!+#REF!),$G$5,"")),"")</f>
        <v/>
      </c>
      <c r="AQ89" s="36" t="str">
        <f ca="1">IFERROR(+IF(AR$27=#REF!,Milestone_Marker,IF(AND(AR$27&gt;#REF!,AR$27&lt;=#REF!+#REF!),$G$5,"")),"")</f>
        <v/>
      </c>
      <c r="AR89" s="36" t="str">
        <f ca="1">IFERROR(+IF(AS$27=#REF!,Milestone_Marker,IF(AND(AS$27&gt;#REF!,AS$27&lt;=#REF!+#REF!),$G$5,"")),"")</f>
        <v/>
      </c>
      <c r="AS89" s="36" t="str">
        <f ca="1">IFERROR(+IF(AT$27=#REF!,Milestone_Marker,IF(AND(AT$27&gt;#REF!,AT$27&lt;=#REF!+#REF!),$G$5,"")),"")</f>
        <v/>
      </c>
      <c r="AT89" s="36" t="str">
        <f ca="1">IFERROR(+IF(AU$27=#REF!,Milestone_Marker,IF(AND(AU$27&gt;#REF!,AU$27&lt;=#REF!+#REF!),$G$5,"")),"")</f>
        <v/>
      </c>
      <c r="AU89" s="36" t="str">
        <f ca="1">IFERROR(+IF(AV$27=#REF!,Milestone_Marker,IF(AND(AV$27&gt;#REF!,AV$27&lt;=#REF!+#REF!),$G$5,"")),"")</f>
        <v/>
      </c>
      <c r="AV89" s="36" t="str">
        <f ca="1">IFERROR(+IF(AW$27=#REF!,Milestone_Marker,IF(AND(AW$27&gt;#REF!,AW$27&lt;=#REF!+#REF!),$G$5,"")),"")</f>
        <v/>
      </c>
      <c r="AW89" s="36" t="str">
        <f ca="1">IFERROR(+IF(AX$27=#REF!,Milestone_Marker,IF(AND(AX$27&gt;#REF!,AX$27&lt;=#REF!+#REF!),$G$5,"")),"")</f>
        <v/>
      </c>
      <c r="AX89" s="36" t="str">
        <f ca="1">IFERROR(+IF(AY$27=#REF!,Milestone_Marker,IF(AND(AY$27&gt;#REF!,AY$27&lt;=#REF!+#REF!),$G$5,"")),"")</f>
        <v/>
      </c>
      <c r="AY89" s="36" t="str">
        <f ca="1">IFERROR(+IF(AZ$27=#REF!,Milestone_Marker,IF(AND(AZ$27&gt;#REF!,AZ$27&lt;=#REF!+#REF!),$G$5,"")),"")</f>
        <v/>
      </c>
      <c r="AZ89" s="36" t="str">
        <f ca="1">IFERROR(+IF(BA$27=#REF!,Milestone_Marker,IF(AND(BA$27&gt;#REF!,BA$27&lt;=#REF!+#REF!),$G$5,"")),"")</f>
        <v/>
      </c>
      <c r="BA89" s="36" t="str">
        <f ca="1">IFERROR(+IF(BB$27=#REF!,Milestone_Marker,IF(AND(BB$27&gt;#REF!,BB$27&lt;=#REF!+#REF!),$G$5,"")),"")</f>
        <v/>
      </c>
      <c r="BB89" s="36" t="str">
        <f ca="1">IFERROR(+IF(BC$27=#REF!,Milestone_Marker,IF(AND(BC$27&gt;#REF!,BC$27&lt;=#REF!+#REF!),$G$5,"")),"")</f>
        <v/>
      </c>
      <c r="BC89" s="36" t="str">
        <f ca="1">IFERROR(+IF(BD$27=#REF!,Milestone_Marker,IF(AND(BD$27&gt;#REF!,BD$27&lt;=#REF!+#REF!),$G$5,"")),"")</f>
        <v/>
      </c>
      <c r="BD89" s="36" t="str">
        <f ca="1">IFERROR(+IF(BE$27=#REF!,Milestone_Marker,IF(AND(BE$27&gt;#REF!,BE$27&lt;=#REF!+#REF!),$G$5,"")),"")</f>
        <v/>
      </c>
      <c r="BE89" s="36" t="str">
        <f ca="1">IFERROR(+IF(BF$27=#REF!,Milestone_Marker,IF(AND(BF$27&gt;#REF!,BF$27&lt;=#REF!+#REF!),$G$5,"")),"")</f>
        <v/>
      </c>
      <c r="BF89" s="36" t="str">
        <f ca="1">IFERROR(+IF(BG$27=#REF!,Milestone_Marker,IF(AND(BG$27&gt;#REF!,BG$27&lt;=#REF!+#REF!),$G$5,"")),"")</f>
        <v/>
      </c>
      <c r="BG89" s="36" t="str">
        <f ca="1">IFERROR(+IF(BH$27=#REF!,Milestone_Marker,IF(AND(BH$27&gt;#REF!,BH$27&lt;=#REF!+#REF!),$G$5,"")),"")</f>
        <v/>
      </c>
      <c r="BH89" s="36" t="str">
        <f ca="1">IFERROR(+IF(BI$27=#REF!,Milestone_Marker,IF(AND(BI$27&gt;#REF!,BI$27&lt;=#REF!+#REF!),$G$5,"")),"")</f>
        <v/>
      </c>
      <c r="BI89" s="36" t="str">
        <f ca="1">IFERROR(+IF(BJ$27=#REF!,Milestone_Marker,IF(AND(BJ$27&gt;#REF!,BJ$27&lt;=#REF!+#REF!),$G$5,"")),"")</f>
        <v/>
      </c>
      <c r="BJ89" s="36" t="str">
        <f ca="1">IFERROR(+IF(BK$27=#REF!,Milestone_Marker,IF(AND(BK$27&gt;#REF!,BK$27&lt;=#REF!+#REF!),$G$5,"")),"")</f>
        <v/>
      </c>
      <c r="BK89" s="36" t="str">
        <f ca="1">IFERROR(+IF(BL$27=#REF!,Milestone_Marker,IF(AND(BL$27&gt;#REF!,BL$27&lt;=#REF!+#REF!),$G$5,"")),"")</f>
        <v/>
      </c>
      <c r="BL89" s="36" t="str">
        <f ca="1">IFERROR(+IF(BM$27=#REF!,Milestone_Marker,IF(AND(BM$27&gt;#REF!,BM$27&lt;=#REF!+#REF!),$G$5,"")),"")</f>
        <v/>
      </c>
      <c r="BM89" s="36" t="str">
        <f ca="1">IFERROR(+IF(BN$27=#REF!,Milestone_Marker,IF(AND(BN$27&gt;#REF!,BN$27&lt;=#REF!+#REF!),$G$5,"")),"")</f>
        <v/>
      </c>
      <c r="BN89" s="36" t="str">
        <f ca="1">IFERROR(+IF(BO$27=#REF!,Milestone_Marker,IF(AND(BO$27&gt;#REF!,BO$27&lt;=#REF!+#REF!),$G$5,"")),"")</f>
        <v/>
      </c>
      <c r="BO89" s="36" t="str">
        <f ca="1">IFERROR(+IF(BP$27=#REF!,Milestone_Marker,IF(AND(BP$27&gt;#REF!,BP$27&lt;=#REF!+#REF!),$G$5,"")),"")</f>
        <v/>
      </c>
      <c r="BP89" s="36" t="str">
        <f ca="1">IFERROR(+IF(BQ$27=#REF!,Milestone_Marker,IF(AND(BQ$27&gt;#REF!,BQ$27&lt;=#REF!+#REF!),$G$5,"")),"")</f>
        <v/>
      </c>
      <c r="BQ89" s="36" t="str">
        <f ca="1">IFERROR(+IF(BR$27=#REF!,Milestone_Marker,IF(AND(BR$27&gt;#REF!,BR$27&lt;=#REF!+#REF!),$G$5,"")),"")</f>
        <v/>
      </c>
      <c r="BR89" s="36" t="str">
        <f ca="1">IFERROR(+IF(BS$27=#REF!,Milestone_Marker,IF(AND(BS$27&gt;#REF!,BS$27&lt;=#REF!+#REF!),$G$5,"")),"")</f>
        <v/>
      </c>
      <c r="BS89" s="36" t="str">
        <f ca="1">IFERROR(+IF(BT$27=#REF!,Milestone_Marker,IF(AND(BT$27&gt;#REF!,BT$27&lt;=#REF!+#REF!),$G$5,"")),"")</f>
        <v/>
      </c>
      <c r="BT89" s="36" t="str">
        <f ca="1">IFERROR(+IF(BU$27=#REF!,Milestone_Marker,IF(AND(BU$27&gt;#REF!,BU$27&lt;=#REF!+#REF!),$G$5,"")),"")</f>
        <v/>
      </c>
      <c r="BU89" s="36" t="str">
        <f ca="1">IFERROR(+IF(BV$27=#REF!,Milestone_Marker,IF(AND(BV$27&gt;#REF!,BV$27&lt;=#REF!+#REF!),$G$5,"")),"")</f>
        <v/>
      </c>
      <c r="BV89" s="36" t="str">
        <f ca="1">IFERROR(+IF(BW$27=#REF!,Milestone_Marker,IF(AND(BW$27&gt;#REF!,BW$27&lt;=#REF!+#REF!),$G$5,"")),"")</f>
        <v/>
      </c>
      <c r="BW89" s="36" t="str">
        <f ca="1">IFERROR(+IF(BX$27=#REF!,Milestone_Marker,IF(AND(BX$27&gt;#REF!,BX$27&lt;=#REF!+#REF!),$G$5,"")),"")</f>
        <v/>
      </c>
      <c r="BX89" s="36" t="str">
        <f ca="1">IFERROR(+IF(BY$27=#REF!,Milestone_Marker,IF(AND(BY$27&gt;#REF!,BY$27&lt;=#REF!+#REF!),$G$5,"")),"")</f>
        <v/>
      </c>
      <c r="BY89" s="36" t="str">
        <f ca="1">IFERROR(+IF(BZ$27=#REF!,Milestone_Marker,IF(AND(BZ$27&gt;#REF!,BZ$27&lt;=#REF!+#REF!),$G$5,"")),"")</f>
        <v/>
      </c>
      <c r="BZ89" s="36" t="str">
        <f ca="1">IFERROR(+IF(CA$27=#REF!,Milestone_Marker,IF(AND(CA$27&gt;#REF!,CA$27&lt;=#REF!+#REF!),$G$5,"")),"")</f>
        <v/>
      </c>
      <c r="CA89" s="36" t="str">
        <f ca="1">IFERROR(+IF(CB$27=#REF!,Milestone_Marker,IF(AND(CB$27&gt;#REF!,CB$27&lt;=#REF!+#REF!),$G$5,"")),"")</f>
        <v/>
      </c>
      <c r="CB89" s="36" t="str">
        <f ca="1">IFERROR(+IF(CC$27=#REF!,Milestone_Marker,IF(AND(CC$27&gt;#REF!,CC$27&lt;=#REF!+#REF!),$G$5,"")),"")</f>
        <v/>
      </c>
      <c r="CC89" s="36" t="str">
        <f ca="1">IFERROR(+IF(CD$27=#REF!,Milestone_Marker,IF(AND(CD$27&gt;#REF!,CD$27&lt;=#REF!+#REF!),$G$5,"")),"")</f>
        <v/>
      </c>
      <c r="CD89" s="36" t="str">
        <f ca="1">IFERROR(+IF(CE$27=#REF!,Milestone_Marker,IF(AND(CE$27&gt;#REF!,CE$27&lt;=#REF!+#REF!),$G$5,"")),"")</f>
        <v/>
      </c>
      <c r="CE89" s="36" t="str">
        <f ca="1">IFERROR(+IF(CF$27=#REF!,Milestone_Marker,IF(AND(CF$27&gt;#REF!,CF$27&lt;=#REF!+#REF!),$G$5,"")),"")</f>
        <v/>
      </c>
      <c r="CF89" s="36" t="str">
        <f ca="1">IFERROR(+IF(CG$27=#REF!,Milestone_Marker,IF(AND(CG$27&gt;#REF!,CG$27&lt;=#REF!+#REF!),$G$5,"")),"")</f>
        <v/>
      </c>
      <c r="CG89" s="36" t="str">
        <f ca="1">IFERROR(+IF(CH$27=#REF!,Milestone_Marker,IF(AND(CH$27&gt;#REF!,CH$27&lt;=#REF!+#REF!),$G$5,"")),"")</f>
        <v/>
      </c>
      <c r="CH89" s="36" t="str">
        <f ca="1">IFERROR(+IF(CI$27=#REF!,Milestone_Marker,IF(AND(CI$27&gt;#REF!,CI$27&lt;=#REF!+#REF!),$G$5,"")),"")</f>
        <v/>
      </c>
      <c r="CI89" s="36" t="str">
        <f ca="1">IFERROR(+IF(CJ$27=#REF!,Milestone_Marker,IF(AND(CJ$27&gt;#REF!,CJ$27&lt;=#REF!+#REF!),$G$5,"")),"")</f>
        <v/>
      </c>
      <c r="CJ89" s="36" t="str">
        <f ca="1">IFERROR(+IF(CK$27=#REF!,Milestone_Marker,IF(AND(CK$27&gt;#REF!,CK$27&lt;=#REF!+#REF!),$G$5,"")),"")</f>
        <v/>
      </c>
      <c r="CK89" s="36" t="str">
        <f ca="1">IFERROR(+IF(CL$27=#REF!,Milestone_Marker,IF(AND(CL$27&gt;#REF!,CL$27&lt;=#REF!+#REF!),$G$5,"")),"")</f>
        <v/>
      </c>
      <c r="CL89" s="36" t="str">
        <f ca="1">IFERROR(+IF(CM$27=#REF!,Milestone_Marker,IF(AND(CM$27&gt;#REF!,CM$27&lt;=#REF!+#REF!),$G$5,"")),"")</f>
        <v/>
      </c>
      <c r="CM89" s="36" t="str">
        <f ca="1">IFERROR(+IF(CN$27=#REF!,Milestone_Marker,IF(AND(CN$27&gt;#REF!,CN$27&lt;=#REF!+#REF!),$G$5,"")),"")</f>
        <v/>
      </c>
      <c r="CN89" s="36" t="str">
        <f ca="1">IFERROR(+IF(CO$27=#REF!,Milestone_Marker,IF(AND(CO$27&gt;#REF!,CO$27&lt;=#REF!+#REF!),$G$5,"")),"")</f>
        <v/>
      </c>
      <c r="CO89" s="36" t="str">
        <f ca="1">IFERROR(+IF(CP$27=#REF!,Milestone_Marker,IF(AND(CP$27&gt;#REF!,CP$27&lt;=#REF!+#REF!),$G$5,"")),"")</f>
        <v/>
      </c>
      <c r="CP89" s="36" t="str">
        <f ca="1">IFERROR(+IF(CQ$27=#REF!,Milestone_Marker,IF(AND(CQ$27&gt;#REF!,CQ$27&lt;=#REF!+#REF!),$G$5,"")),"")</f>
        <v/>
      </c>
      <c r="CQ89" s="36" t="str">
        <f ca="1">IFERROR(+IF(CR$27=#REF!,Milestone_Marker,IF(AND(CR$27&gt;#REF!,CR$27&lt;=#REF!+#REF!),$G$5,"")),"")</f>
        <v/>
      </c>
      <c r="CR89" s="36" t="str">
        <f ca="1">IFERROR(+IF(CS$27=#REF!,Milestone_Marker,IF(AND(CS$27&gt;#REF!,CS$27&lt;=#REF!+#REF!),$G$5,"")),"")</f>
        <v/>
      </c>
      <c r="CS89" s="36" t="str">
        <f ca="1">IFERROR(+IF(CT$27=#REF!,Milestone_Marker,IF(AND(CT$27&gt;#REF!,CT$27&lt;=#REF!+#REF!),$G$5,"")),"")</f>
        <v/>
      </c>
      <c r="CT89" s="36" t="str">
        <f ca="1">IFERROR(+IF(CU$27=#REF!,Milestone_Marker,IF(AND(CU$27&gt;#REF!,CU$27&lt;=#REF!+#REF!),$G$5,"")),"")</f>
        <v/>
      </c>
    </row>
    <row r="90" spans="1:125" ht="18" customHeight="1" x14ac:dyDescent="0.25">
      <c r="A90" t="s">
        <v>523</v>
      </c>
      <c r="B90">
        <v>72</v>
      </c>
      <c r="C90" t="s">
        <v>1077</v>
      </c>
      <c r="D90" t="s">
        <v>1060</v>
      </c>
      <c r="E90" s="568" t="s">
        <v>1052</v>
      </c>
      <c r="F90">
        <v>1</v>
      </c>
      <c r="G90" s="14"/>
      <c r="H90" s="14"/>
      <c r="I90" t="s">
        <v>3</v>
      </c>
      <c r="J90">
        <v>2</v>
      </c>
      <c r="K90" s="249"/>
      <c r="L90"/>
      <c r="M90" s="14"/>
      <c r="N90" s="300"/>
      <c r="O90" s="554"/>
      <c r="P90" s="36" t="str">
        <f ca="1">IFERROR(+IF(Q$27=#REF!,Milestone_Marker,IF(AND(Q$27&gt;#REF!,Q$27&lt;=#REF!+#REF!),$G$5,"")),"")</f>
        <v/>
      </c>
      <c r="Q90" s="36" t="str">
        <f ca="1">IFERROR(+IF(R$27=#REF!,Milestone_Marker,IF(AND(R$27&gt;#REF!,R$27&lt;=#REF!+#REF!),$G$5,"")),"")</f>
        <v/>
      </c>
      <c r="R90" s="36" t="str">
        <f ca="1">IFERROR(+IF(S$27=#REF!,Milestone_Marker,IF(AND(S$27&gt;#REF!,S$27&lt;=#REF!+#REF!),$G$5,"")),"")</f>
        <v/>
      </c>
      <c r="S90" s="36" t="str">
        <f ca="1">IFERROR(+IF(T$27=#REF!,Milestone_Marker,IF(AND(T$27&gt;#REF!,T$27&lt;=#REF!+#REF!),$G$5,"")),"")</f>
        <v/>
      </c>
      <c r="T90" s="36" t="str">
        <f ca="1">IFERROR(+IF(U$27=#REF!,Milestone_Marker,IF(AND(U$27&gt;#REF!,U$27&lt;=#REF!+#REF!),$G$5,"")),"")</f>
        <v/>
      </c>
      <c r="U90" s="36" t="str">
        <f ca="1">IFERROR(+IF(V$27=#REF!,Milestone_Marker,IF(AND(V$27&gt;#REF!,V$27&lt;=#REF!+#REF!),$G$5,"")),"")</f>
        <v/>
      </c>
      <c r="V90" s="36" t="str">
        <f ca="1">IFERROR(+IF(W$27=#REF!,Milestone_Marker,IF(AND(W$27&gt;#REF!,W$27&lt;=#REF!+#REF!),$G$5,"")),"")</f>
        <v/>
      </c>
      <c r="W90" s="36" t="str">
        <f ca="1">IFERROR(+IF(X$27=#REF!,Milestone_Marker,IF(AND(X$27&gt;#REF!,X$27&lt;=#REF!+#REF!),$G$5,"")),"")</f>
        <v/>
      </c>
      <c r="X90" s="36" t="str">
        <f ca="1">IFERROR(+IF(Y$27=#REF!,Milestone_Marker,IF(AND(Y$27&gt;#REF!,Y$27&lt;=#REF!+#REF!),$G$5,"")),"")</f>
        <v/>
      </c>
      <c r="Y90" s="36" t="str">
        <f ca="1">IFERROR(+IF(Z$27=#REF!,Milestone_Marker,IF(AND(Z$27&gt;#REF!,Z$27&lt;=#REF!+#REF!),$G$5,"")),"")</f>
        <v/>
      </c>
      <c r="Z90" s="36" t="str">
        <f ca="1">IFERROR(+IF(AA$27=#REF!,Milestone_Marker,IF(AND(AA$27&gt;#REF!,AA$27&lt;=#REF!+#REF!),$G$5,"")),"")</f>
        <v/>
      </c>
      <c r="AA90" s="36" t="str">
        <f ca="1">IFERROR(+IF(AB$27=#REF!,Milestone_Marker,IF(AND(AB$27&gt;#REF!,AB$27&lt;=#REF!+#REF!),$G$5,"")),"")</f>
        <v/>
      </c>
      <c r="AB90" s="36" t="str">
        <f ca="1">IFERROR(+IF(AC$27=#REF!,Milestone_Marker,IF(AND(AC$27&gt;#REF!,AC$27&lt;=#REF!+#REF!),$G$5,"")),"")</f>
        <v/>
      </c>
      <c r="AC90" s="36" t="str">
        <f ca="1">IFERROR(+IF(AD$27=#REF!,Milestone_Marker,IF(AND(AD$27&gt;#REF!,AD$27&lt;=#REF!+#REF!),$G$5,"")),"")</f>
        <v/>
      </c>
      <c r="AD90" s="36" t="str">
        <f ca="1">IFERROR(+IF(AE$27=#REF!,Milestone_Marker,IF(AND(AE$27&gt;#REF!,AE$27&lt;=#REF!+#REF!),$G$5,"")),"")</f>
        <v/>
      </c>
      <c r="AE90" s="36" t="str">
        <f ca="1">IFERROR(+IF(AF$27=#REF!,Milestone_Marker,IF(AND(AF$27&gt;#REF!,AF$27&lt;=#REF!+#REF!),$G$5,"")),"")</f>
        <v/>
      </c>
      <c r="AF90" s="36" t="str">
        <f ca="1">IFERROR(+IF(AG$27=#REF!,Milestone_Marker,IF(AND(AG$27&gt;#REF!,AG$27&lt;=#REF!+#REF!),$G$5,"")),"")</f>
        <v/>
      </c>
      <c r="AG90" s="36" t="str">
        <f ca="1">IFERROR(+IF(AH$27=#REF!,Milestone_Marker,IF(AND(AH$27&gt;#REF!,AH$27&lt;=#REF!+#REF!),$G$5,"")),"")</f>
        <v/>
      </c>
      <c r="AH90" s="36" t="str">
        <f ca="1">IFERROR(+IF(AI$27=#REF!,Milestone_Marker,IF(AND(AI$27&gt;#REF!,AI$27&lt;=#REF!+#REF!),$G$5,"")),"")</f>
        <v/>
      </c>
      <c r="AI90" s="36" t="str">
        <f ca="1">IFERROR(+IF(AJ$27=#REF!,Milestone_Marker,IF(AND(AJ$27&gt;#REF!,AJ$27&lt;=#REF!+#REF!),$G$5,"")),"")</f>
        <v/>
      </c>
      <c r="AJ90" s="36" t="str">
        <f ca="1">IFERROR(+IF(AK$27=#REF!,Milestone_Marker,IF(AND(AK$27&gt;#REF!,AK$27&lt;=#REF!+#REF!),$G$5,"")),"")</f>
        <v/>
      </c>
      <c r="AK90" s="36" t="str">
        <f ca="1">IFERROR(+IF(AL$27=#REF!,Milestone_Marker,IF(AND(AL$27&gt;#REF!,AL$27&lt;=#REF!+#REF!),$G$5,"")),"")</f>
        <v/>
      </c>
      <c r="AL90" s="36" t="str">
        <f ca="1">IFERROR(+IF(AM$27=#REF!,Milestone_Marker,IF(AND(AM$27&gt;#REF!,AM$27&lt;=#REF!+#REF!),$G$5,"")),"")</f>
        <v/>
      </c>
      <c r="AM90" s="36" t="str">
        <f ca="1">IFERROR(+IF(AN$27=#REF!,Milestone_Marker,IF(AND(AN$27&gt;#REF!,AN$27&lt;=#REF!+#REF!),$G$5,"")),"")</f>
        <v/>
      </c>
      <c r="AN90" s="36" t="str">
        <f ca="1">IFERROR(+IF(AO$27=#REF!,Milestone_Marker,IF(AND(AO$27&gt;#REF!,AO$27&lt;=#REF!+#REF!),$G$5,"")),"")</f>
        <v/>
      </c>
      <c r="AO90" s="36" t="str">
        <f ca="1">IFERROR(+IF(AP$27=#REF!,Milestone_Marker,IF(AND(AP$27&gt;#REF!,AP$27&lt;=#REF!+#REF!),$G$5,"")),"")</f>
        <v/>
      </c>
      <c r="AP90" s="36" t="str">
        <f ca="1">IFERROR(+IF(AQ$27=#REF!,Milestone_Marker,IF(AND(AQ$27&gt;#REF!,AQ$27&lt;=#REF!+#REF!),$G$5,"")),"")</f>
        <v/>
      </c>
      <c r="AQ90" s="36" t="str">
        <f ca="1">IFERROR(+IF(AR$27=#REF!,Milestone_Marker,IF(AND(AR$27&gt;#REF!,AR$27&lt;=#REF!+#REF!),$G$5,"")),"")</f>
        <v/>
      </c>
      <c r="AR90" s="36" t="str">
        <f ca="1">IFERROR(+IF(AS$27=#REF!,Milestone_Marker,IF(AND(AS$27&gt;#REF!,AS$27&lt;=#REF!+#REF!),$G$5,"")),"")</f>
        <v/>
      </c>
      <c r="AS90" s="36" t="str">
        <f ca="1">IFERROR(+IF(AT$27=#REF!,Milestone_Marker,IF(AND(AT$27&gt;#REF!,AT$27&lt;=#REF!+#REF!),$G$5,"")),"")</f>
        <v/>
      </c>
      <c r="AT90" s="36" t="str">
        <f ca="1">IFERROR(+IF(AU$27=#REF!,Milestone_Marker,IF(AND(AU$27&gt;#REF!,AU$27&lt;=#REF!+#REF!),$G$5,"")),"")</f>
        <v/>
      </c>
      <c r="AU90" s="36" t="str">
        <f ca="1">IFERROR(+IF(AV$27=#REF!,Milestone_Marker,IF(AND(AV$27&gt;#REF!,AV$27&lt;=#REF!+#REF!),$G$5,"")),"")</f>
        <v/>
      </c>
      <c r="AV90" s="36" t="str">
        <f ca="1">IFERROR(+IF(AW$27=#REF!,Milestone_Marker,IF(AND(AW$27&gt;#REF!,AW$27&lt;=#REF!+#REF!),$G$5,"")),"")</f>
        <v/>
      </c>
      <c r="AW90" s="36" t="str">
        <f ca="1">IFERROR(+IF(AX$27=#REF!,Milestone_Marker,IF(AND(AX$27&gt;#REF!,AX$27&lt;=#REF!+#REF!),$G$5,"")),"")</f>
        <v/>
      </c>
      <c r="AX90" s="36" t="str">
        <f ca="1">IFERROR(+IF(AY$27=#REF!,Milestone_Marker,IF(AND(AY$27&gt;#REF!,AY$27&lt;=#REF!+#REF!),$G$5,"")),"")</f>
        <v/>
      </c>
      <c r="AY90" s="36" t="str">
        <f ca="1">IFERROR(+IF(AZ$27=#REF!,Milestone_Marker,IF(AND(AZ$27&gt;#REF!,AZ$27&lt;=#REF!+#REF!),$G$5,"")),"")</f>
        <v/>
      </c>
      <c r="AZ90" s="36" t="str">
        <f ca="1">IFERROR(+IF(BA$27=#REF!,Milestone_Marker,IF(AND(BA$27&gt;#REF!,BA$27&lt;=#REF!+#REF!),$G$5,"")),"")</f>
        <v/>
      </c>
      <c r="BA90" s="36" t="str">
        <f ca="1">IFERROR(+IF(BB$27=#REF!,Milestone_Marker,IF(AND(BB$27&gt;#REF!,BB$27&lt;=#REF!+#REF!),$G$5,"")),"")</f>
        <v/>
      </c>
      <c r="BB90" s="36" t="str">
        <f ca="1">IFERROR(+IF(BC$27=#REF!,Milestone_Marker,IF(AND(BC$27&gt;#REF!,BC$27&lt;=#REF!+#REF!),$G$5,"")),"")</f>
        <v/>
      </c>
      <c r="BC90" s="36" t="str">
        <f ca="1">IFERROR(+IF(BD$27=#REF!,Milestone_Marker,IF(AND(BD$27&gt;#REF!,BD$27&lt;=#REF!+#REF!),$G$5,"")),"")</f>
        <v/>
      </c>
      <c r="BD90" s="36" t="str">
        <f ca="1">IFERROR(+IF(BE$27=#REF!,Milestone_Marker,IF(AND(BE$27&gt;#REF!,BE$27&lt;=#REF!+#REF!),$G$5,"")),"")</f>
        <v/>
      </c>
      <c r="BE90" s="36" t="str">
        <f ca="1">IFERROR(+IF(BF$27=#REF!,Milestone_Marker,IF(AND(BF$27&gt;#REF!,BF$27&lt;=#REF!+#REF!),$G$5,"")),"")</f>
        <v/>
      </c>
      <c r="BF90" s="36" t="str">
        <f ca="1">IFERROR(+IF(BG$27=#REF!,Milestone_Marker,IF(AND(BG$27&gt;#REF!,BG$27&lt;=#REF!+#REF!),$G$5,"")),"")</f>
        <v/>
      </c>
      <c r="BG90" s="36" t="str">
        <f ca="1">IFERROR(+IF(BH$27=#REF!,Milestone_Marker,IF(AND(BH$27&gt;#REF!,BH$27&lt;=#REF!+#REF!),$G$5,"")),"")</f>
        <v/>
      </c>
      <c r="BH90" s="36" t="str">
        <f ca="1">IFERROR(+IF(BI$27=#REF!,Milestone_Marker,IF(AND(BI$27&gt;#REF!,BI$27&lt;=#REF!+#REF!),$G$5,"")),"")</f>
        <v/>
      </c>
      <c r="BI90" s="36" t="str">
        <f ca="1">IFERROR(+IF(BJ$27=#REF!,Milestone_Marker,IF(AND(BJ$27&gt;#REF!,BJ$27&lt;=#REF!+#REF!),$G$5,"")),"")</f>
        <v/>
      </c>
      <c r="BJ90" s="36" t="str">
        <f ca="1">IFERROR(+IF(BK$27=#REF!,Milestone_Marker,IF(AND(BK$27&gt;#REF!,BK$27&lt;=#REF!+#REF!),$G$5,"")),"")</f>
        <v/>
      </c>
      <c r="BK90" s="36" t="str">
        <f ca="1">IFERROR(+IF(BL$27=#REF!,Milestone_Marker,IF(AND(BL$27&gt;#REF!,BL$27&lt;=#REF!+#REF!),$G$5,"")),"")</f>
        <v/>
      </c>
      <c r="BL90" s="36" t="str">
        <f ca="1">IFERROR(+IF(BM$27=#REF!,Milestone_Marker,IF(AND(BM$27&gt;#REF!,BM$27&lt;=#REF!+#REF!),$G$5,"")),"")</f>
        <v/>
      </c>
      <c r="BM90" s="36" t="str">
        <f ca="1">IFERROR(+IF(BN$27=#REF!,Milestone_Marker,IF(AND(BN$27&gt;#REF!,BN$27&lt;=#REF!+#REF!),$G$5,"")),"")</f>
        <v/>
      </c>
      <c r="BN90" s="36" t="str">
        <f ca="1">IFERROR(+IF(BO$27=#REF!,Milestone_Marker,IF(AND(BO$27&gt;#REF!,BO$27&lt;=#REF!+#REF!),$G$5,"")),"")</f>
        <v/>
      </c>
      <c r="BO90" s="36" t="str">
        <f ca="1">IFERROR(+IF(BP$27=#REF!,Milestone_Marker,IF(AND(BP$27&gt;#REF!,BP$27&lt;=#REF!+#REF!),$G$5,"")),"")</f>
        <v/>
      </c>
      <c r="BP90" s="36" t="str">
        <f ca="1">IFERROR(+IF(BQ$27=#REF!,Milestone_Marker,IF(AND(BQ$27&gt;#REF!,BQ$27&lt;=#REF!+#REF!),$G$5,"")),"")</f>
        <v/>
      </c>
      <c r="BQ90" s="36" t="str">
        <f ca="1">IFERROR(+IF(BR$27=#REF!,Milestone_Marker,IF(AND(BR$27&gt;#REF!,BR$27&lt;=#REF!+#REF!),$G$5,"")),"")</f>
        <v/>
      </c>
      <c r="BR90" s="36" t="str">
        <f ca="1">IFERROR(+IF(BS$27=#REF!,Milestone_Marker,IF(AND(BS$27&gt;#REF!,BS$27&lt;=#REF!+#REF!),$G$5,"")),"")</f>
        <v/>
      </c>
      <c r="BS90" s="36" t="str">
        <f ca="1">IFERROR(+IF(BT$27=#REF!,Milestone_Marker,IF(AND(BT$27&gt;#REF!,BT$27&lt;=#REF!+#REF!),$G$5,"")),"")</f>
        <v/>
      </c>
      <c r="BT90" s="36" t="str">
        <f ca="1">IFERROR(+IF(BU$27=#REF!,Milestone_Marker,IF(AND(BU$27&gt;#REF!,BU$27&lt;=#REF!+#REF!),$G$5,"")),"")</f>
        <v/>
      </c>
      <c r="BU90" s="36" t="str">
        <f ca="1">IFERROR(+IF(BV$27=#REF!,Milestone_Marker,IF(AND(BV$27&gt;#REF!,BV$27&lt;=#REF!+#REF!),$G$5,"")),"")</f>
        <v/>
      </c>
      <c r="BV90" s="36" t="str">
        <f ca="1">IFERROR(+IF(BW$27=#REF!,Milestone_Marker,IF(AND(BW$27&gt;#REF!,BW$27&lt;=#REF!+#REF!),$G$5,"")),"")</f>
        <v/>
      </c>
      <c r="BW90" s="36" t="str">
        <f ca="1">IFERROR(+IF(BX$27=#REF!,Milestone_Marker,IF(AND(BX$27&gt;#REF!,BX$27&lt;=#REF!+#REF!),$G$5,"")),"")</f>
        <v/>
      </c>
      <c r="BX90" s="36" t="str">
        <f ca="1">IFERROR(+IF(BY$27=#REF!,Milestone_Marker,IF(AND(BY$27&gt;#REF!,BY$27&lt;=#REF!+#REF!),$G$5,"")),"")</f>
        <v/>
      </c>
      <c r="BY90" s="36" t="str">
        <f ca="1">IFERROR(+IF(BZ$27=#REF!,Milestone_Marker,IF(AND(BZ$27&gt;#REF!,BZ$27&lt;=#REF!+#REF!),$G$5,"")),"")</f>
        <v/>
      </c>
      <c r="BZ90" s="36" t="str">
        <f ca="1">IFERROR(+IF(CA$27=#REF!,Milestone_Marker,IF(AND(CA$27&gt;#REF!,CA$27&lt;=#REF!+#REF!),$G$5,"")),"")</f>
        <v/>
      </c>
      <c r="CA90" s="36" t="str">
        <f ca="1">IFERROR(+IF(CB$27=#REF!,Milestone_Marker,IF(AND(CB$27&gt;#REF!,CB$27&lt;=#REF!+#REF!),$G$5,"")),"")</f>
        <v/>
      </c>
      <c r="CB90" s="36" t="str">
        <f ca="1">IFERROR(+IF(CC$27=#REF!,Milestone_Marker,IF(AND(CC$27&gt;#REF!,CC$27&lt;=#REF!+#REF!),$G$5,"")),"")</f>
        <v/>
      </c>
      <c r="CC90" s="36" t="str">
        <f ca="1">IFERROR(+IF(CD$27=#REF!,Milestone_Marker,IF(AND(CD$27&gt;#REF!,CD$27&lt;=#REF!+#REF!),$G$5,"")),"")</f>
        <v/>
      </c>
      <c r="CD90" s="36" t="str">
        <f ca="1">IFERROR(+IF(CE$27=#REF!,Milestone_Marker,IF(AND(CE$27&gt;#REF!,CE$27&lt;=#REF!+#REF!),$G$5,"")),"")</f>
        <v/>
      </c>
      <c r="CE90" s="36" t="str">
        <f ca="1">IFERROR(+IF(CF$27=#REF!,Milestone_Marker,IF(AND(CF$27&gt;#REF!,CF$27&lt;=#REF!+#REF!),$G$5,"")),"")</f>
        <v/>
      </c>
      <c r="CF90" s="36" t="str">
        <f ca="1">IFERROR(+IF(CG$27=#REF!,Milestone_Marker,IF(AND(CG$27&gt;#REF!,CG$27&lt;=#REF!+#REF!),$G$5,"")),"")</f>
        <v/>
      </c>
      <c r="CG90" s="36" t="str">
        <f ca="1">IFERROR(+IF(CH$27=#REF!,Milestone_Marker,IF(AND(CH$27&gt;#REF!,CH$27&lt;=#REF!+#REF!),$G$5,"")),"")</f>
        <v/>
      </c>
      <c r="CH90" s="36" t="str">
        <f ca="1">IFERROR(+IF(CI$27=#REF!,Milestone_Marker,IF(AND(CI$27&gt;#REF!,CI$27&lt;=#REF!+#REF!),$G$5,"")),"")</f>
        <v/>
      </c>
      <c r="CI90" s="36" t="str">
        <f ca="1">IFERROR(+IF(CJ$27=#REF!,Milestone_Marker,IF(AND(CJ$27&gt;#REF!,CJ$27&lt;=#REF!+#REF!),$G$5,"")),"")</f>
        <v/>
      </c>
      <c r="CJ90" s="36" t="str">
        <f ca="1">IFERROR(+IF(CK$27=#REF!,Milestone_Marker,IF(AND(CK$27&gt;#REF!,CK$27&lt;=#REF!+#REF!),$G$5,"")),"")</f>
        <v/>
      </c>
      <c r="CK90" s="36" t="str">
        <f ca="1">IFERROR(+IF(CL$27=#REF!,Milestone_Marker,IF(AND(CL$27&gt;#REF!,CL$27&lt;=#REF!+#REF!),$G$5,"")),"")</f>
        <v/>
      </c>
      <c r="CL90" s="36" t="str">
        <f ca="1">IFERROR(+IF(CM$27=#REF!,Milestone_Marker,IF(AND(CM$27&gt;#REF!,CM$27&lt;=#REF!+#REF!),$G$5,"")),"")</f>
        <v/>
      </c>
      <c r="CM90" s="36" t="str">
        <f ca="1">IFERROR(+IF(CN$27=#REF!,Milestone_Marker,IF(AND(CN$27&gt;#REF!,CN$27&lt;=#REF!+#REF!),$G$5,"")),"")</f>
        <v/>
      </c>
      <c r="CN90" s="36" t="str">
        <f ca="1">IFERROR(+IF(CO$27=#REF!,Milestone_Marker,IF(AND(CO$27&gt;#REF!,CO$27&lt;=#REF!+#REF!),$G$5,"")),"")</f>
        <v/>
      </c>
      <c r="CO90" s="36" t="str">
        <f ca="1">IFERROR(+IF(CP$27=#REF!,Milestone_Marker,IF(AND(CP$27&gt;#REF!,CP$27&lt;=#REF!+#REF!),$G$5,"")),"")</f>
        <v/>
      </c>
      <c r="CP90" s="36" t="str">
        <f ca="1">IFERROR(+IF(CQ$27=#REF!,Milestone_Marker,IF(AND(CQ$27&gt;#REF!,CQ$27&lt;=#REF!+#REF!),$G$5,"")),"")</f>
        <v/>
      </c>
      <c r="CQ90" s="36" t="str">
        <f ca="1">IFERROR(+IF(CR$27=#REF!,Milestone_Marker,IF(AND(CR$27&gt;#REF!,CR$27&lt;=#REF!+#REF!),$G$5,"")),"")</f>
        <v/>
      </c>
      <c r="CR90" s="36" t="str">
        <f ca="1">IFERROR(+IF(CS$27=#REF!,Milestone_Marker,IF(AND(CS$27&gt;#REF!,CS$27&lt;=#REF!+#REF!),$G$5,"")),"")</f>
        <v/>
      </c>
      <c r="CS90" s="36" t="str">
        <f ca="1">IFERROR(+IF(CT$27=#REF!,Milestone_Marker,IF(AND(CT$27&gt;#REF!,CT$27&lt;=#REF!+#REF!),$G$5,"")),"")</f>
        <v/>
      </c>
      <c r="CT90" s="36" t="str">
        <f ca="1">IFERROR(+IF(CU$27=#REF!,Milestone_Marker,IF(AND(CU$27&gt;#REF!,CU$27&lt;=#REF!+#REF!),$G$5,"")),"")</f>
        <v/>
      </c>
    </row>
    <row r="91" spans="1:125" ht="18" customHeight="1" x14ac:dyDescent="0.25">
      <c r="A91" t="s">
        <v>523</v>
      </c>
      <c r="B91">
        <v>73</v>
      </c>
      <c r="C91" t="s">
        <v>1077</v>
      </c>
      <c r="D91" t="s">
        <v>1059</v>
      </c>
      <c r="E91" s="568" t="s">
        <v>1053</v>
      </c>
      <c r="F91">
        <v>1</v>
      </c>
      <c r="G91" s="14"/>
      <c r="H91" s="14"/>
      <c r="I91" t="s">
        <v>3</v>
      </c>
      <c r="J91">
        <v>2</v>
      </c>
      <c r="K91" s="249"/>
      <c r="L91"/>
      <c r="M91" s="14"/>
      <c r="N91" s="300"/>
      <c r="O91" s="554"/>
      <c r="P91" s="36" t="str">
        <f ca="1">IFERROR(+IF(Q$27=#REF!,Milestone_Marker,IF(AND(Q$27&gt;#REF!,Q$27&lt;=#REF!+#REF!),$G$5,"")),"")</f>
        <v/>
      </c>
      <c r="Q91" s="36" t="str">
        <f ca="1">IFERROR(+IF(R$27=#REF!,Milestone_Marker,IF(AND(R$27&gt;#REF!,R$27&lt;=#REF!+#REF!),$G$5,"")),"")</f>
        <v/>
      </c>
      <c r="R91" s="36" t="str">
        <f ca="1">IFERROR(+IF(S$27=#REF!,Milestone_Marker,IF(AND(S$27&gt;#REF!,S$27&lt;=#REF!+#REF!),$G$5,"")),"")</f>
        <v/>
      </c>
      <c r="S91" s="36" t="str">
        <f ca="1">IFERROR(+IF(T$27=#REF!,Milestone_Marker,IF(AND(T$27&gt;#REF!,T$27&lt;=#REF!+#REF!),$G$5,"")),"")</f>
        <v/>
      </c>
      <c r="T91" s="36" t="str">
        <f ca="1">IFERROR(+IF(U$27=#REF!,Milestone_Marker,IF(AND(U$27&gt;#REF!,U$27&lt;=#REF!+#REF!),$G$5,"")),"")</f>
        <v/>
      </c>
      <c r="U91" s="36" t="str">
        <f ca="1">IFERROR(+IF(V$27=#REF!,Milestone_Marker,IF(AND(V$27&gt;#REF!,V$27&lt;=#REF!+#REF!),$G$5,"")),"")</f>
        <v/>
      </c>
      <c r="V91" s="36" t="str">
        <f ca="1">IFERROR(+IF(W$27=#REF!,Milestone_Marker,IF(AND(W$27&gt;#REF!,W$27&lt;=#REF!+#REF!),$G$5,"")),"")</f>
        <v/>
      </c>
      <c r="W91" s="36" t="str">
        <f ca="1">IFERROR(+IF(X$27=#REF!,Milestone_Marker,IF(AND(X$27&gt;#REF!,X$27&lt;=#REF!+#REF!),$G$5,"")),"")</f>
        <v/>
      </c>
      <c r="X91" s="36" t="str">
        <f ca="1">IFERROR(+IF(Y$27=#REF!,Milestone_Marker,IF(AND(Y$27&gt;#REF!,Y$27&lt;=#REF!+#REF!),$G$5,"")),"")</f>
        <v/>
      </c>
      <c r="Y91" s="36" t="str">
        <f ca="1">IFERROR(+IF(Z$27=#REF!,Milestone_Marker,IF(AND(Z$27&gt;#REF!,Z$27&lt;=#REF!+#REF!),$G$5,"")),"")</f>
        <v/>
      </c>
      <c r="Z91" s="36" t="str">
        <f ca="1">IFERROR(+IF(AA$27=#REF!,Milestone_Marker,IF(AND(AA$27&gt;#REF!,AA$27&lt;=#REF!+#REF!),$G$5,"")),"")</f>
        <v/>
      </c>
      <c r="AA91" s="36" t="str">
        <f ca="1">IFERROR(+IF(AB$27=#REF!,Milestone_Marker,IF(AND(AB$27&gt;#REF!,AB$27&lt;=#REF!+#REF!),$G$5,"")),"")</f>
        <v/>
      </c>
      <c r="AB91" s="36" t="str">
        <f ca="1">IFERROR(+IF(AC$27=#REF!,Milestone_Marker,IF(AND(AC$27&gt;#REF!,AC$27&lt;=#REF!+#REF!),$G$5,"")),"")</f>
        <v/>
      </c>
      <c r="AC91" s="36" t="str">
        <f ca="1">IFERROR(+IF(AD$27=#REF!,Milestone_Marker,IF(AND(AD$27&gt;#REF!,AD$27&lt;=#REF!+#REF!),$G$5,"")),"")</f>
        <v/>
      </c>
      <c r="AD91" s="36" t="str">
        <f ca="1">IFERROR(+IF(AE$27=#REF!,Milestone_Marker,IF(AND(AE$27&gt;#REF!,AE$27&lt;=#REF!+#REF!),$G$5,"")),"")</f>
        <v/>
      </c>
      <c r="AE91" s="36" t="str">
        <f ca="1">IFERROR(+IF(AF$27=#REF!,Milestone_Marker,IF(AND(AF$27&gt;#REF!,AF$27&lt;=#REF!+#REF!),$G$5,"")),"")</f>
        <v/>
      </c>
      <c r="AF91" s="36" t="str">
        <f ca="1">IFERROR(+IF(AG$27=#REF!,Milestone_Marker,IF(AND(AG$27&gt;#REF!,AG$27&lt;=#REF!+#REF!),$G$5,"")),"")</f>
        <v/>
      </c>
      <c r="AG91" s="36" t="str">
        <f ca="1">IFERROR(+IF(AH$27=#REF!,Milestone_Marker,IF(AND(AH$27&gt;#REF!,AH$27&lt;=#REF!+#REF!),$G$5,"")),"")</f>
        <v/>
      </c>
      <c r="AH91" s="36" t="str">
        <f ca="1">IFERROR(+IF(AI$27=#REF!,Milestone_Marker,IF(AND(AI$27&gt;#REF!,AI$27&lt;=#REF!+#REF!),$G$5,"")),"")</f>
        <v/>
      </c>
      <c r="AI91" s="36" t="str">
        <f ca="1">IFERROR(+IF(AJ$27=#REF!,Milestone_Marker,IF(AND(AJ$27&gt;#REF!,AJ$27&lt;=#REF!+#REF!),$G$5,"")),"")</f>
        <v/>
      </c>
      <c r="AJ91" s="36" t="str">
        <f ca="1">IFERROR(+IF(AK$27=#REF!,Milestone_Marker,IF(AND(AK$27&gt;#REF!,AK$27&lt;=#REF!+#REF!),$G$5,"")),"")</f>
        <v/>
      </c>
      <c r="AK91" s="36" t="str">
        <f ca="1">IFERROR(+IF(AL$27=#REF!,Milestone_Marker,IF(AND(AL$27&gt;#REF!,AL$27&lt;=#REF!+#REF!),$G$5,"")),"")</f>
        <v/>
      </c>
      <c r="AL91" s="36" t="str">
        <f ca="1">IFERROR(+IF(AM$27=#REF!,Milestone_Marker,IF(AND(AM$27&gt;#REF!,AM$27&lt;=#REF!+#REF!),$G$5,"")),"")</f>
        <v/>
      </c>
      <c r="AM91" s="36" t="str">
        <f ca="1">IFERROR(+IF(AN$27=#REF!,Milestone_Marker,IF(AND(AN$27&gt;#REF!,AN$27&lt;=#REF!+#REF!),$G$5,"")),"")</f>
        <v/>
      </c>
      <c r="AN91" s="36" t="str">
        <f ca="1">IFERROR(+IF(AO$27=#REF!,Milestone_Marker,IF(AND(AO$27&gt;#REF!,AO$27&lt;=#REF!+#REF!),$G$5,"")),"")</f>
        <v/>
      </c>
      <c r="AO91" s="36" t="str">
        <f ca="1">IFERROR(+IF(AP$27=#REF!,Milestone_Marker,IF(AND(AP$27&gt;#REF!,AP$27&lt;=#REF!+#REF!),$G$5,"")),"")</f>
        <v/>
      </c>
      <c r="AP91" s="36" t="str">
        <f ca="1">IFERROR(+IF(AQ$27=#REF!,Milestone_Marker,IF(AND(AQ$27&gt;#REF!,AQ$27&lt;=#REF!+#REF!),$G$5,"")),"")</f>
        <v/>
      </c>
      <c r="AQ91" s="36" t="str">
        <f ca="1">IFERROR(+IF(AR$27=#REF!,Milestone_Marker,IF(AND(AR$27&gt;#REF!,AR$27&lt;=#REF!+#REF!),$G$5,"")),"")</f>
        <v/>
      </c>
      <c r="AR91" s="36" t="str">
        <f ca="1">IFERROR(+IF(AS$27=#REF!,Milestone_Marker,IF(AND(AS$27&gt;#REF!,AS$27&lt;=#REF!+#REF!),$G$5,"")),"")</f>
        <v/>
      </c>
      <c r="AS91" s="36" t="str">
        <f ca="1">IFERROR(+IF(AT$27=#REF!,Milestone_Marker,IF(AND(AT$27&gt;#REF!,AT$27&lt;=#REF!+#REF!),$G$5,"")),"")</f>
        <v/>
      </c>
      <c r="AT91" s="36" t="str">
        <f ca="1">IFERROR(+IF(AU$27=#REF!,Milestone_Marker,IF(AND(AU$27&gt;#REF!,AU$27&lt;=#REF!+#REF!),$G$5,"")),"")</f>
        <v/>
      </c>
      <c r="AU91" s="36" t="str">
        <f ca="1">IFERROR(+IF(AV$27=#REF!,Milestone_Marker,IF(AND(AV$27&gt;#REF!,AV$27&lt;=#REF!+#REF!),$G$5,"")),"")</f>
        <v/>
      </c>
      <c r="AV91" s="36" t="str">
        <f ca="1">IFERROR(+IF(AW$27=#REF!,Milestone_Marker,IF(AND(AW$27&gt;#REF!,AW$27&lt;=#REF!+#REF!),$G$5,"")),"")</f>
        <v/>
      </c>
      <c r="AW91" s="36" t="str">
        <f ca="1">IFERROR(+IF(AX$27=#REF!,Milestone_Marker,IF(AND(AX$27&gt;#REF!,AX$27&lt;=#REF!+#REF!),$G$5,"")),"")</f>
        <v/>
      </c>
      <c r="AX91" s="36" t="str">
        <f ca="1">IFERROR(+IF(AY$27=#REF!,Milestone_Marker,IF(AND(AY$27&gt;#REF!,AY$27&lt;=#REF!+#REF!),$G$5,"")),"")</f>
        <v/>
      </c>
      <c r="AY91" s="36" t="str">
        <f ca="1">IFERROR(+IF(AZ$27=#REF!,Milestone_Marker,IF(AND(AZ$27&gt;#REF!,AZ$27&lt;=#REF!+#REF!),$G$5,"")),"")</f>
        <v/>
      </c>
      <c r="AZ91" s="36" t="str">
        <f ca="1">IFERROR(+IF(BA$27=#REF!,Milestone_Marker,IF(AND(BA$27&gt;#REF!,BA$27&lt;=#REF!+#REF!),$G$5,"")),"")</f>
        <v/>
      </c>
      <c r="BA91" s="36" t="str">
        <f ca="1">IFERROR(+IF(BB$27=#REF!,Milestone_Marker,IF(AND(BB$27&gt;#REF!,BB$27&lt;=#REF!+#REF!),$G$5,"")),"")</f>
        <v/>
      </c>
      <c r="BB91" s="36" t="str">
        <f ca="1">IFERROR(+IF(BC$27=#REF!,Milestone_Marker,IF(AND(BC$27&gt;#REF!,BC$27&lt;=#REF!+#REF!),$G$5,"")),"")</f>
        <v/>
      </c>
      <c r="BC91" s="36" t="str">
        <f ca="1">IFERROR(+IF(BD$27=#REF!,Milestone_Marker,IF(AND(BD$27&gt;#REF!,BD$27&lt;=#REF!+#REF!),$G$5,"")),"")</f>
        <v/>
      </c>
      <c r="BD91" s="36" t="str">
        <f ca="1">IFERROR(+IF(BE$27=#REF!,Milestone_Marker,IF(AND(BE$27&gt;#REF!,BE$27&lt;=#REF!+#REF!),$G$5,"")),"")</f>
        <v/>
      </c>
      <c r="BE91" s="36" t="str">
        <f ca="1">IFERROR(+IF(BF$27=#REF!,Milestone_Marker,IF(AND(BF$27&gt;#REF!,BF$27&lt;=#REF!+#REF!),$G$5,"")),"")</f>
        <v/>
      </c>
      <c r="BF91" s="36" t="str">
        <f ca="1">IFERROR(+IF(BG$27=#REF!,Milestone_Marker,IF(AND(BG$27&gt;#REF!,BG$27&lt;=#REF!+#REF!),$G$5,"")),"")</f>
        <v/>
      </c>
      <c r="BG91" s="36" t="str">
        <f ca="1">IFERROR(+IF(BH$27=#REF!,Milestone_Marker,IF(AND(BH$27&gt;#REF!,BH$27&lt;=#REF!+#REF!),$G$5,"")),"")</f>
        <v/>
      </c>
      <c r="BH91" s="36" t="str">
        <f ca="1">IFERROR(+IF(BI$27=#REF!,Milestone_Marker,IF(AND(BI$27&gt;#REF!,BI$27&lt;=#REF!+#REF!),$G$5,"")),"")</f>
        <v/>
      </c>
      <c r="BI91" s="36" t="str">
        <f ca="1">IFERROR(+IF(BJ$27=#REF!,Milestone_Marker,IF(AND(BJ$27&gt;#REF!,BJ$27&lt;=#REF!+#REF!),$G$5,"")),"")</f>
        <v/>
      </c>
      <c r="BJ91" s="36" t="str">
        <f ca="1">IFERROR(+IF(BK$27=#REF!,Milestone_Marker,IF(AND(BK$27&gt;#REF!,BK$27&lt;=#REF!+#REF!),$G$5,"")),"")</f>
        <v/>
      </c>
      <c r="BK91" s="36" t="str">
        <f ca="1">IFERROR(+IF(BL$27=#REF!,Milestone_Marker,IF(AND(BL$27&gt;#REF!,BL$27&lt;=#REF!+#REF!),$G$5,"")),"")</f>
        <v/>
      </c>
      <c r="BL91" s="36" t="str">
        <f ca="1">IFERROR(+IF(BM$27=#REF!,Milestone_Marker,IF(AND(BM$27&gt;#REF!,BM$27&lt;=#REF!+#REF!),$G$5,"")),"")</f>
        <v/>
      </c>
      <c r="BM91" s="36" t="str">
        <f ca="1">IFERROR(+IF(BN$27=#REF!,Milestone_Marker,IF(AND(BN$27&gt;#REF!,BN$27&lt;=#REF!+#REF!),$G$5,"")),"")</f>
        <v/>
      </c>
      <c r="BN91" s="36" t="str">
        <f ca="1">IFERROR(+IF(BO$27=#REF!,Milestone_Marker,IF(AND(BO$27&gt;#REF!,BO$27&lt;=#REF!+#REF!),$G$5,"")),"")</f>
        <v/>
      </c>
      <c r="BO91" s="36" t="str">
        <f ca="1">IFERROR(+IF(BP$27=#REF!,Milestone_Marker,IF(AND(BP$27&gt;#REF!,BP$27&lt;=#REF!+#REF!),$G$5,"")),"")</f>
        <v/>
      </c>
      <c r="BP91" s="36" t="str">
        <f ca="1">IFERROR(+IF(BQ$27=#REF!,Milestone_Marker,IF(AND(BQ$27&gt;#REF!,BQ$27&lt;=#REF!+#REF!),$G$5,"")),"")</f>
        <v/>
      </c>
      <c r="BQ91" s="36" t="str">
        <f ca="1">IFERROR(+IF(BR$27=#REF!,Milestone_Marker,IF(AND(BR$27&gt;#REF!,BR$27&lt;=#REF!+#REF!),$G$5,"")),"")</f>
        <v/>
      </c>
      <c r="BR91" s="36" t="str">
        <f ca="1">IFERROR(+IF(BS$27=#REF!,Milestone_Marker,IF(AND(BS$27&gt;#REF!,BS$27&lt;=#REF!+#REF!),$G$5,"")),"")</f>
        <v/>
      </c>
      <c r="BS91" s="36" t="str">
        <f ca="1">IFERROR(+IF(BT$27=#REF!,Milestone_Marker,IF(AND(BT$27&gt;#REF!,BT$27&lt;=#REF!+#REF!),$G$5,"")),"")</f>
        <v/>
      </c>
      <c r="BT91" s="36" t="str">
        <f ca="1">IFERROR(+IF(BU$27=#REF!,Milestone_Marker,IF(AND(BU$27&gt;#REF!,BU$27&lt;=#REF!+#REF!),$G$5,"")),"")</f>
        <v/>
      </c>
      <c r="BU91" s="36" t="str">
        <f ca="1">IFERROR(+IF(BV$27=#REF!,Milestone_Marker,IF(AND(BV$27&gt;#REF!,BV$27&lt;=#REF!+#REF!),$G$5,"")),"")</f>
        <v/>
      </c>
      <c r="BV91" s="36" t="str">
        <f ca="1">IFERROR(+IF(BW$27=#REF!,Milestone_Marker,IF(AND(BW$27&gt;#REF!,BW$27&lt;=#REF!+#REF!),$G$5,"")),"")</f>
        <v/>
      </c>
      <c r="BW91" s="36" t="str">
        <f ca="1">IFERROR(+IF(BX$27=#REF!,Milestone_Marker,IF(AND(BX$27&gt;#REF!,BX$27&lt;=#REF!+#REF!),$G$5,"")),"")</f>
        <v/>
      </c>
      <c r="BX91" s="36" t="str">
        <f ca="1">IFERROR(+IF(BY$27=#REF!,Milestone_Marker,IF(AND(BY$27&gt;#REF!,BY$27&lt;=#REF!+#REF!),$G$5,"")),"")</f>
        <v/>
      </c>
      <c r="BY91" s="36" t="str">
        <f ca="1">IFERROR(+IF(BZ$27=#REF!,Milestone_Marker,IF(AND(BZ$27&gt;#REF!,BZ$27&lt;=#REF!+#REF!),$G$5,"")),"")</f>
        <v/>
      </c>
      <c r="BZ91" s="36" t="str">
        <f ca="1">IFERROR(+IF(CA$27=#REF!,Milestone_Marker,IF(AND(CA$27&gt;#REF!,CA$27&lt;=#REF!+#REF!),$G$5,"")),"")</f>
        <v/>
      </c>
      <c r="CA91" s="36" t="str">
        <f ca="1">IFERROR(+IF(CB$27=#REF!,Milestone_Marker,IF(AND(CB$27&gt;#REF!,CB$27&lt;=#REF!+#REF!),$G$5,"")),"")</f>
        <v/>
      </c>
      <c r="CB91" s="36" t="str">
        <f ca="1">IFERROR(+IF(CC$27=#REF!,Milestone_Marker,IF(AND(CC$27&gt;#REF!,CC$27&lt;=#REF!+#REF!),$G$5,"")),"")</f>
        <v/>
      </c>
      <c r="CC91" s="36" t="str">
        <f ca="1">IFERROR(+IF(CD$27=#REF!,Milestone_Marker,IF(AND(CD$27&gt;#REF!,CD$27&lt;=#REF!+#REF!),$G$5,"")),"")</f>
        <v/>
      </c>
      <c r="CD91" s="36" t="str">
        <f ca="1">IFERROR(+IF(CE$27=#REF!,Milestone_Marker,IF(AND(CE$27&gt;#REF!,CE$27&lt;=#REF!+#REF!),$G$5,"")),"")</f>
        <v/>
      </c>
      <c r="CE91" s="36" t="str">
        <f ca="1">IFERROR(+IF(CF$27=#REF!,Milestone_Marker,IF(AND(CF$27&gt;#REF!,CF$27&lt;=#REF!+#REF!),$G$5,"")),"")</f>
        <v/>
      </c>
      <c r="CF91" s="36" t="str">
        <f ca="1">IFERROR(+IF(CG$27=#REF!,Milestone_Marker,IF(AND(CG$27&gt;#REF!,CG$27&lt;=#REF!+#REF!),$G$5,"")),"")</f>
        <v/>
      </c>
      <c r="CG91" s="36" t="str">
        <f ca="1">IFERROR(+IF(CH$27=#REF!,Milestone_Marker,IF(AND(CH$27&gt;#REF!,CH$27&lt;=#REF!+#REF!),$G$5,"")),"")</f>
        <v/>
      </c>
      <c r="CH91" s="36" t="str">
        <f ca="1">IFERROR(+IF(CI$27=#REF!,Milestone_Marker,IF(AND(CI$27&gt;#REF!,CI$27&lt;=#REF!+#REF!),$G$5,"")),"")</f>
        <v/>
      </c>
      <c r="CI91" s="36" t="str">
        <f ca="1">IFERROR(+IF(CJ$27=#REF!,Milestone_Marker,IF(AND(CJ$27&gt;#REF!,CJ$27&lt;=#REF!+#REF!),$G$5,"")),"")</f>
        <v/>
      </c>
      <c r="CJ91" s="36" t="str">
        <f ca="1">IFERROR(+IF(CK$27=#REF!,Milestone_Marker,IF(AND(CK$27&gt;#REF!,CK$27&lt;=#REF!+#REF!),$G$5,"")),"")</f>
        <v/>
      </c>
      <c r="CK91" s="36" t="str">
        <f ca="1">IFERROR(+IF(CL$27=#REF!,Milestone_Marker,IF(AND(CL$27&gt;#REF!,CL$27&lt;=#REF!+#REF!),$G$5,"")),"")</f>
        <v/>
      </c>
      <c r="CL91" s="36" t="str">
        <f ca="1">IFERROR(+IF(CM$27=#REF!,Milestone_Marker,IF(AND(CM$27&gt;#REF!,CM$27&lt;=#REF!+#REF!),$G$5,"")),"")</f>
        <v/>
      </c>
      <c r="CM91" s="36" t="str">
        <f ca="1">IFERROR(+IF(CN$27=#REF!,Milestone_Marker,IF(AND(CN$27&gt;#REF!,CN$27&lt;=#REF!+#REF!),$G$5,"")),"")</f>
        <v/>
      </c>
      <c r="CN91" s="36" t="str">
        <f ca="1">IFERROR(+IF(CO$27=#REF!,Milestone_Marker,IF(AND(CO$27&gt;#REF!,CO$27&lt;=#REF!+#REF!),$G$5,"")),"")</f>
        <v/>
      </c>
      <c r="CO91" s="36" t="str">
        <f ca="1">IFERROR(+IF(CP$27=#REF!,Milestone_Marker,IF(AND(CP$27&gt;#REF!,CP$27&lt;=#REF!+#REF!),$G$5,"")),"")</f>
        <v/>
      </c>
      <c r="CP91" s="36" t="str">
        <f ca="1">IFERROR(+IF(CQ$27=#REF!,Milestone_Marker,IF(AND(CQ$27&gt;#REF!,CQ$27&lt;=#REF!+#REF!),$G$5,"")),"")</f>
        <v/>
      </c>
      <c r="CQ91" s="36" t="str">
        <f ca="1">IFERROR(+IF(CR$27=#REF!,Milestone_Marker,IF(AND(CR$27&gt;#REF!,CR$27&lt;=#REF!+#REF!),$G$5,"")),"")</f>
        <v/>
      </c>
      <c r="CR91" s="36" t="str">
        <f ca="1">IFERROR(+IF(CS$27=#REF!,Milestone_Marker,IF(AND(CS$27&gt;#REF!,CS$27&lt;=#REF!+#REF!),$G$5,"")),"")</f>
        <v/>
      </c>
      <c r="CS91" s="36" t="str">
        <f ca="1">IFERROR(+IF(CT$27=#REF!,Milestone_Marker,IF(AND(CT$27&gt;#REF!,CT$27&lt;=#REF!+#REF!),$G$5,"")),"")</f>
        <v/>
      </c>
      <c r="CT91" s="36" t="str">
        <f ca="1">IFERROR(+IF(CU$27=#REF!,Milestone_Marker,IF(AND(CU$27&gt;#REF!,CU$27&lt;=#REF!+#REF!),$G$5,"")),"")</f>
        <v/>
      </c>
    </row>
    <row r="92" spans="1:125" ht="18" customHeight="1" x14ac:dyDescent="0.25">
      <c r="A92" t="s">
        <v>523</v>
      </c>
      <c r="B92">
        <v>74</v>
      </c>
      <c r="C92" t="s">
        <v>1077</v>
      </c>
      <c r="D92" t="s">
        <v>1058</v>
      </c>
      <c r="E92" s="568" t="s">
        <v>1054</v>
      </c>
      <c r="F92">
        <v>1</v>
      </c>
      <c r="G92" s="14"/>
      <c r="H92" s="14"/>
      <c r="I92" t="s">
        <v>3</v>
      </c>
      <c r="J92">
        <v>2</v>
      </c>
      <c r="K92" s="249"/>
      <c r="L92"/>
      <c r="M92" s="14"/>
      <c r="N92" s="300"/>
      <c r="O92" s="554"/>
      <c r="P92" s="36" t="str">
        <f ca="1">IFERROR(+IF(Q$27=#REF!,Milestone_Marker,IF(AND(Q$27&gt;#REF!,Q$27&lt;=#REF!+#REF!),$G$5,"")),"")</f>
        <v/>
      </c>
      <c r="Q92" s="36" t="str">
        <f ca="1">IFERROR(+IF(R$27=#REF!,Milestone_Marker,IF(AND(R$27&gt;#REF!,R$27&lt;=#REF!+#REF!),$G$5,"")),"")</f>
        <v/>
      </c>
      <c r="R92" s="36" t="str">
        <f ca="1">IFERROR(+IF(S$27=#REF!,Milestone_Marker,IF(AND(S$27&gt;#REF!,S$27&lt;=#REF!+#REF!),$G$5,"")),"")</f>
        <v/>
      </c>
      <c r="S92" s="36" t="str">
        <f ca="1">IFERROR(+IF(T$27=#REF!,Milestone_Marker,IF(AND(T$27&gt;#REF!,T$27&lt;=#REF!+#REF!),$G$5,"")),"")</f>
        <v/>
      </c>
      <c r="T92" s="36" t="str">
        <f ca="1">IFERROR(+IF(U$27=#REF!,Milestone_Marker,IF(AND(U$27&gt;#REF!,U$27&lt;=#REF!+#REF!),$G$5,"")),"")</f>
        <v/>
      </c>
      <c r="U92" s="36" t="str">
        <f ca="1">IFERROR(+IF(V$27=#REF!,Milestone_Marker,IF(AND(V$27&gt;#REF!,V$27&lt;=#REF!+#REF!),$G$5,"")),"")</f>
        <v/>
      </c>
      <c r="V92" s="36" t="str">
        <f ca="1">IFERROR(+IF(W$27=#REF!,Milestone_Marker,IF(AND(W$27&gt;#REF!,W$27&lt;=#REF!+#REF!),$G$5,"")),"")</f>
        <v/>
      </c>
      <c r="W92" s="36" t="str">
        <f ca="1">IFERROR(+IF(X$27=#REF!,Milestone_Marker,IF(AND(X$27&gt;#REF!,X$27&lt;=#REF!+#REF!),$G$5,"")),"")</f>
        <v/>
      </c>
      <c r="X92" s="36" t="str">
        <f ca="1">IFERROR(+IF(Y$27=#REF!,Milestone_Marker,IF(AND(Y$27&gt;#REF!,Y$27&lt;=#REF!+#REF!),$G$5,"")),"")</f>
        <v/>
      </c>
      <c r="Y92" s="36" t="str">
        <f ca="1">IFERROR(+IF(Z$27=#REF!,Milestone_Marker,IF(AND(Z$27&gt;#REF!,Z$27&lt;=#REF!+#REF!),$G$5,"")),"")</f>
        <v/>
      </c>
      <c r="Z92" s="36" t="str">
        <f ca="1">IFERROR(+IF(AA$27=#REF!,Milestone_Marker,IF(AND(AA$27&gt;#REF!,AA$27&lt;=#REF!+#REF!),$G$5,"")),"")</f>
        <v/>
      </c>
      <c r="AA92" s="36" t="str">
        <f ca="1">IFERROR(+IF(AB$27=#REF!,Milestone_Marker,IF(AND(AB$27&gt;#REF!,AB$27&lt;=#REF!+#REF!),$G$5,"")),"")</f>
        <v/>
      </c>
      <c r="AB92" s="36" t="str">
        <f ca="1">IFERROR(+IF(AC$27=#REF!,Milestone_Marker,IF(AND(AC$27&gt;#REF!,AC$27&lt;=#REF!+#REF!),$G$5,"")),"")</f>
        <v/>
      </c>
      <c r="AC92" s="36" t="str">
        <f ca="1">IFERROR(+IF(AD$27=#REF!,Milestone_Marker,IF(AND(AD$27&gt;#REF!,AD$27&lt;=#REF!+#REF!),$G$5,"")),"")</f>
        <v/>
      </c>
      <c r="AD92" s="36" t="str">
        <f ca="1">IFERROR(+IF(AE$27=#REF!,Milestone_Marker,IF(AND(AE$27&gt;#REF!,AE$27&lt;=#REF!+#REF!),$G$5,"")),"")</f>
        <v/>
      </c>
      <c r="AE92" s="36" t="str">
        <f ca="1">IFERROR(+IF(AF$27=#REF!,Milestone_Marker,IF(AND(AF$27&gt;#REF!,AF$27&lt;=#REF!+#REF!),$G$5,"")),"")</f>
        <v/>
      </c>
      <c r="AF92" s="36" t="str">
        <f ca="1">IFERROR(+IF(AG$27=#REF!,Milestone_Marker,IF(AND(AG$27&gt;#REF!,AG$27&lt;=#REF!+#REF!),$G$5,"")),"")</f>
        <v/>
      </c>
      <c r="AG92" s="36" t="str">
        <f ca="1">IFERROR(+IF(AH$27=#REF!,Milestone_Marker,IF(AND(AH$27&gt;#REF!,AH$27&lt;=#REF!+#REF!),$G$5,"")),"")</f>
        <v/>
      </c>
      <c r="AH92" s="36" t="str">
        <f ca="1">IFERROR(+IF(AI$27=#REF!,Milestone_Marker,IF(AND(AI$27&gt;#REF!,AI$27&lt;=#REF!+#REF!),$G$5,"")),"")</f>
        <v/>
      </c>
      <c r="AI92" s="36" t="str">
        <f ca="1">IFERROR(+IF(AJ$27=#REF!,Milestone_Marker,IF(AND(AJ$27&gt;#REF!,AJ$27&lt;=#REF!+#REF!),$G$5,"")),"")</f>
        <v/>
      </c>
      <c r="AJ92" s="36" t="str">
        <f ca="1">IFERROR(+IF(AK$27=#REF!,Milestone_Marker,IF(AND(AK$27&gt;#REF!,AK$27&lt;=#REF!+#REF!),$G$5,"")),"")</f>
        <v/>
      </c>
      <c r="AK92" s="36" t="str">
        <f ca="1">IFERROR(+IF(AL$27=#REF!,Milestone_Marker,IF(AND(AL$27&gt;#REF!,AL$27&lt;=#REF!+#REF!),$G$5,"")),"")</f>
        <v/>
      </c>
      <c r="AL92" s="36" t="str">
        <f ca="1">IFERROR(+IF(AM$27=#REF!,Milestone_Marker,IF(AND(AM$27&gt;#REF!,AM$27&lt;=#REF!+#REF!),$G$5,"")),"")</f>
        <v/>
      </c>
      <c r="AM92" s="36" t="str">
        <f ca="1">IFERROR(+IF(AN$27=#REF!,Milestone_Marker,IF(AND(AN$27&gt;#REF!,AN$27&lt;=#REF!+#REF!),$G$5,"")),"")</f>
        <v/>
      </c>
      <c r="AN92" s="36" t="str">
        <f ca="1">IFERROR(+IF(AO$27=#REF!,Milestone_Marker,IF(AND(AO$27&gt;#REF!,AO$27&lt;=#REF!+#REF!),$G$5,"")),"")</f>
        <v/>
      </c>
      <c r="AO92" s="36" t="str">
        <f ca="1">IFERROR(+IF(AP$27=#REF!,Milestone_Marker,IF(AND(AP$27&gt;#REF!,AP$27&lt;=#REF!+#REF!),$G$5,"")),"")</f>
        <v/>
      </c>
      <c r="AP92" s="36" t="str">
        <f ca="1">IFERROR(+IF(AQ$27=#REF!,Milestone_Marker,IF(AND(AQ$27&gt;#REF!,AQ$27&lt;=#REF!+#REF!),$G$5,"")),"")</f>
        <v/>
      </c>
      <c r="AQ92" s="36" t="str">
        <f ca="1">IFERROR(+IF(AR$27=#REF!,Milestone_Marker,IF(AND(AR$27&gt;#REF!,AR$27&lt;=#REF!+#REF!),$G$5,"")),"")</f>
        <v/>
      </c>
      <c r="AR92" s="36" t="str">
        <f ca="1">IFERROR(+IF(AS$27=#REF!,Milestone_Marker,IF(AND(AS$27&gt;#REF!,AS$27&lt;=#REF!+#REF!),$G$5,"")),"")</f>
        <v/>
      </c>
      <c r="AS92" s="36" t="str">
        <f ca="1">IFERROR(+IF(AT$27=#REF!,Milestone_Marker,IF(AND(AT$27&gt;#REF!,AT$27&lt;=#REF!+#REF!),$G$5,"")),"")</f>
        <v/>
      </c>
      <c r="AT92" s="36" t="str">
        <f ca="1">IFERROR(+IF(AU$27=#REF!,Milestone_Marker,IF(AND(AU$27&gt;#REF!,AU$27&lt;=#REF!+#REF!),$G$5,"")),"")</f>
        <v/>
      </c>
      <c r="AU92" s="36" t="str">
        <f ca="1">IFERROR(+IF(AV$27=#REF!,Milestone_Marker,IF(AND(AV$27&gt;#REF!,AV$27&lt;=#REF!+#REF!),$G$5,"")),"")</f>
        <v/>
      </c>
      <c r="AV92" s="36" t="str">
        <f ca="1">IFERROR(+IF(AW$27=#REF!,Milestone_Marker,IF(AND(AW$27&gt;#REF!,AW$27&lt;=#REF!+#REF!),$G$5,"")),"")</f>
        <v/>
      </c>
      <c r="AW92" s="36" t="str">
        <f ca="1">IFERROR(+IF(AX$27=#REF!,Milestone_Marker,IF(AND(AX$27&gt;#REF!,AX$27&lt;=#REF!+#REF!),$G$5,"")),"")</f>
        <v/>
      </c>
      <c r="AX92" s="36" t="str">
        <f ca="1">IFERROR(+IF(AY$27=#REF!,Milestone_Marker,IF(AND(AY$27&gt;#REF!,AY$27&lt;=#REF!+#REF!),$G$5,"")),"")</f>
        <v/>
      </c>
      <c r="AY92" s="36" t="str">
        <f ca="1">IFERROR(+IF(AZ$27=#REF!,Milestone_Marker,IF(AND(AZ$27&gt;#REF!,AZ$27&lt;=#REF!+#REF!),$G$5,"")),"")</f>
        <v/>
      </c>
      <c r="AZ92" s="36" t="str">
        <f ca="1">IFERROR(+IF(BA$27=#REF!,Milestone_Marker,IF(AND(BA$27&gt;#REF!,BA$27&lt;=#REF!+#REF!),$G$5,"")),"")</f>
        <v/>
      </c>
      <c r="BA92" s="36" t="str">
        <f ca="1">IFERROR(+IF(BB$27=#REF!,Milestone_Marker,IF(AND(BB$27&gt;#REF!,BB$27&lt;=#REF!+#REF!),$G$5,"")),"")</f>
        <v/>
      </c>
      <c r="BB92" s="36" t="str">
        <f ca="1">IFERROR(+IF(BC$27=#REF!,Milestone_Marker,IF(AND(BC$27&gt;#REF!,BC$27&lt;=#REF!+#REF!),$G$5,"")),"")</f>
        <v/>
      </c>
      <c r="BC92" s="36" t="str">
        <f ca="1">IFERROR(+IF(BD$27=#REF!,Milestone_Marker,IF(AND(BD$27&gt;#REF!,BD$27&lt;=#REF!+#REF!),$G$5,"")),"")</f>
        <v/>
      </c>
      <c r="BD92" s="36" t="str">
        <f ca="1">IFERROR(+IF(BE$27=#REF!,Milestone_Marker,IF(AND(BE$27&gt;#REF!,BE$27&lt;=#REF!+#REF!),$G$5,"")),"")</f>
        <v/>
      </c>
      <c r="BE92" s="36" t="str">
        <f ca="1">IFERROR(+IF(BF$27=#REF!,Milestone_Marker,IF(AND(BF$27&gt;#REF!,BF$27&lt;=#REF!+#REF!),$G$5,"")),"")</f>
        <v/>
      </c>
      <c r="BF92" s="36" t="str">
        <f ca="1">IFERROR(+IF(BG$27=#REF!,Milestone_Marker,IF(AND(BG$27&gt;#REF!,BG$27&lt;=#REF!+#REF!),$G$5,"")),"")</f>
        <v/>
      </c>
      <c r="BG92" s="36" t="str">
        <f ca="1">IFERROR(+IF(BH$27=#REF!,Milestone_Marker,IF(AND(BH$27&gt;#REF!,BH$27&lt;=#REF!+#REF!),$G$5,"")),"")</f>
        <v/>
      </c>
      <c r="BH92" s="36" t="str">
        <f ca="1">IFERROR(+IF(BI$27=#REF!,Milestone_Marker,IF(AND(BI$27&gt;#REF!,BI$27&lt;=#REF!+#REF!),$G$5,"")),"")</f>
        <v/>
      </c>
      <c r="BI92" s="36" t="str">
        <f ca="1">IFERROR(+IF(BJ$27=#REF!,Milestone_Marker,IF(AND(BJ$27&gt;#REF!,BJ$27&lt;=#REF!+#REF!),$G$5,"")),"")</f>
        <v/>
      </c>
      <c r="BJ92" s="36" t="str">
        <f ca="1">IFERROR(+IF(BK$27=#REF!,Milestone_Marker,IF(AND(BK$27&gt;#REF!,BK$27&lt;=#REF!+#REF!),$G$5,"")),"")</f>
        <v/>
      </c>
      <c r="BK92" s="36" t="str">
        <f ca="1">IFERROR(+IF(BL$27=#REF!,Milestone_Marker,IF(AND(BL$27&gt;#REF!,BL$27&lt;=#REF!+#REF!),$G$5,"")),"")</f>
        <v/>
      </c>
      <c r="BL92" s="36" t="str">
        <f ca="1">IFERROR(+IF(BM$27=#REF!,Milestone_Marker,IF(AND(BM$27&gt;#REF!,BM$27&lt;=#REF!+#REF!),$G$5,"")),"")</f>
        <v/>
      </c>
      <c r="BM92" s="36" t="str">
        <f ca="1">IFERROR(+IF(BN$27=#REF!,Milestone_Marker,IF(AND(BN$27&gt;#REF!,BN$27&lt;=#REF!+#REF!),$G$5,"")),"")</f>
        <v/>
      </c>
      <c r="BN92" s="36" t="str">
        <f ca="1">IFERROR(+IF(BO$27=#REF!,Milestone_Marker,IF(AND(BO$27&gt;#REF!,BO$27&lt;=#REF!+#REF!),$G$5,"")),"")</f>
        <v/>
      </c>
      <c r="BO92" s="36" t="str">
        <f ca="1">IFERROR(+IF(BP$27=#REF!,Milestone_Marker,IF(AND(BP$27&gt;#REF!,BP$27&lt;=#REF!+#REF!),$G$5,"")),"")</f>
        <v/>
      </c>
      <c r="BP92" s="36" t="str">
        <f ca="1">IFERROR(+IF(BQ$27=#REF!,Milestone_Marker,IF(AND(BQ$27&gt;#REF!,BQ$27&lt;=#REF!+#REF!),$G$5,"")),"")</f>
        <v/>
      </c>
      <c r="BQ92" s="36" t="str">
        <f ca="1">IFERROR(+IF(BR$27=#REF!,Milestone_Marker,IF(AND(BR$27&gt;#REF!,BR$27&lt;=#REF!+#REF!),$G$5,"")),"")</f>
        <v/>
      </c>
      <c r="BR92" s="36" t="str">
        <f ca="1">IFERROR(+IF(BS$27=#REF!,Milestone_Marker,IF(AND(BS$27&gt;#REF!,BS$27&lt;=#REF!+#REF!),$G$5,"")),"")</f>
        <v/>
      </c>
      <c r="BS92" s="36" t="str">
        <f ca="1">IFERROR(+IF(BT$27=#REF!,Milestone_Marker,IF(AND(BT$27&gt;#REF!,BT$27&lt;=#REF!+#REF!),$G$5,"")),"")</f>
        <v/>
      </c>
      <c r="BT92" s="36" t="str">
        <f ca="1">IFERROR(+IF(BU$27=#REF!,Milestone_Marker,IF(AND(BU$27&gt;#REF!,BU$27&lt;=#REF!+#REF!),$G$5,"")),"")</f>
        <v/>
      </c>
      <c r="BU92" s="36" t="str">
        <f ca="1">IFERROR(+IF(BV$27=#REF!,Milestone_Marker,IF(AND(BV$27&gt;#REF!,BV$27&lt;=#REF!+#REF!),$G$5,"")),"")</f>
        <v/>
      </c>
      <c r="BV92" s="36" t="str">
        <f ca="1">IFERROR(+IF(BW$27=#REF!,Milestone_Marker,IF(AND(BW$27&gt;#REF!,BW$27&lt;=#REF!+#REF!),$G$5,"")),"")</f>
        <v/>
      </c>
      <c r="BW92" s="36" t="str">
        <f ca="1">IFERROR(+IF(BX$27=#REF!,Milestone_Marker,IF(AND(BX$27&gt;#REF!,BX$27&lt;=#REF!+#REF!),$G$5,"")),"")</f>
        <v/>
      </c>
      <c r="BX92" s="36" t="str">
        <f ca="1">IFERROR(+IF(BY$27=#REF!,Milestone_Marker,IF(AND(BY$27&gt;#REF!,BY$27&lt;=#REF!+#REF!),$G$5,"")),"")</f>
        <v/>
      </c>
      <c r="BY92" s="36" t="str">
        <f ca="1">IFERROR(+IF(BZ$27=#REF!,Milestone_Marker,IF(AND(BZ$27&gt;#REF!,BZ$27&lt;=#REF!+#REF!),$G$5,"")),"")</f>
        <v/>
      </c>
      <c r="BZ92" s="36" t="str">
        <f ca="1">IFERROR(+IF(CA$27=#REF!,Milestone_Marker,IF(AND(CA$27&gt;#REF!,CA$27&lt;=#REF!+#REF!),$G$5,"")),"")</f>
        <v/>
      </c>
      <c r="CA92" s="36" t="str">
        <f ca="1">IFERROR(+IF(CB$27=#REF!,Milestone_Marker,IF(AND(CB$27&gt;#REF!,CB$27&lt;=#REF!+#REF!),$G$5,"")),"")</f>
        <v/>
      </c>
      <c r="CB92" s="36" t="str">
        <f ca="1">IFERROR(+IF(CC$27=#REF!,Milestone_Marker,IF(AND(CC$27&gt;#REF!,CC$27&lt;=#REF!+#REF!),$G$5,"")),"")</f>
        <v/>
      </c>
      <c r="CC92" s="36" t="str">
        <f ca="1">IFERROR(+IF(CD$27=#REF!,Milestone_Marker,IF(AND(CD$27&gt;#REF!,CD$27&lt;=#REF!+#REF!),$G$5,"")),"")</f>
        <v/>
      </c>
      <c r="CD92" s="36" t="str">
        <f ca="1">IFERROR(+IF(CE$27=#REF!,Milestone_Marker,IF(AND(CE$27&gt;#REF!,CE$27&lt;=#REF!+#REF!),$G$5,"")),"")</f>
        <v/>
      </c>
      <c r="CE92" s="36" t="str">
        <f ca="1">IFERROR(+IF(CF$27=#REF!,Milestone_Marker,IF(AND(CF$27&gt;#REF!,CF$27&lt;=#REF!+#REF!),$G$5,"")),"")</f>
        <v/>
      </c>
      <c r="CF92" s="36" t="str">
        <f ca="1">IFERROR(+IF(CG$27=#REF!,Milestone_Marker,IF(AND(CG$27&gt;#REF!,CG$27&lt;=#REF!+#REF!),$G$5,"")),"")</f>
        <v/>
      </c>
      <c r="CG92" s="36" t="str">
        <f ca="1">IFERROR(+IF(CH$27=#REF!,Milestone_Marker,IF(AND(CH$27&gt;#REF!,CH$27&lt;=#REF!+#REF!),$G$5,"")),"")</f>
        <v/>
      </c>
      <c r="CH92" s="36" t="str">
        <f ca="1">IFERROR(+IF(CI$27=#REF!,Milestone_Marker,IF(AND(CI$27&gt;#REF!,CI$27&lt;=#REF!+#REF!),$G$5,"")),"")</f>
        <v/>
      </c>
      <c r="CI92" s="36" t="str">
        <f ca="1">IFERROR(+IF(CJ$27=#REF!,Milestone_Marker,IF(AND(CJ$27&gt;#REF!,CJ$27&lt;=#REF!+#REF!),$G$5,"")),"")</f>
        <v/>
      </c>
      <c r="CJ92" s="36" t="str">
        <f ca="1">IFERROR(+IF(CK$27=#REF!,Milestone_Marker,IF(AND(CK$27&gt;#REF!,CK$27&lt;=#REF!+#REF!),$G$5,"")),"")</f>
        <v/>
      </c>
      <c r="CK92" s="36" t="str">
        <f ca="1">IFERROR(+IF(CL$27=#REF!,Milestone_Marker,IF(AND(CL$27&gt;#REF!,CL$27&lt;=#REF!+#REF!),$G$5,"")),"")</f>
        <v/>
      </c>
      <c r="CL92" s="36" t="str">
        <f ca="1">IFERROR(+IF(CM$27=#REF!,Milestone_Marker,IF(AND(CM$27&gt;#REF!,CM$27&lt;=#REF!+#REF!),$G$5,"")),"")</f>
        <v/>
      </c>
      <c r="CM92" s="36" t="str">
        <f ca="1">IFERROR(+IF(CN$27=#REF!,Milestone_Marker,IF(AND(CN$27&gt;#REF!,CN$27&lt;=#REF!+#REF!),$G$5,"")),"")</f>
        <v/>
      </c>
      <c r="CN92" s="36" t="str">
        <f ca="1">IFERROR(+IF(CO$27=#REF!,Milestone_Marker,IF(AND(CO$27&gt;#REF!,CO$27&lt;=#REF!+#REF!),$G$5,"")),"")</f>
        <v/>
      </c>
      <c r="CO92" s="36" t="str">
        <f ca="1">IFERROR(+IF(CP$27=#REF!,Milestone_Marker,IF(AND(CP$27&gt;#REF!,CP$27&lt;=#REF!+#REF!),$G$5,"")),"")</f>
        <v/>
      </c>
      <c r="CP92" s="36" t="str">
        <f ca="1">IFERROR(+IF(CQ$27=#REF!,Milestone_Marker,IF(AND(CQ$27&gt;#REF!,CQ$27&lt;=#REF!+#REF!),$G$5,"")),"")</f>
        <v/>
      </c>
      <c r="CQ92" s="36" t="str">
        <f ca="1">IFERROR(+IF(CR$27=#REF!,Milestone_Marker,IF(AND(CR$27&gt;#REF!,CR$27&lt;=#REF!+#REF!),$G$5,"")),"")</f>
        <v/>
      </c>
      <c r="CR92" s="36" t="str">
        <f ca="1">IFERROR(+IF(CS$27=#REF!,Milestone_Marker,IF(AND(CS$27&gt;#REF!,CS$27&lt;=#REF!+#REF!),$G$5,"")),"")</f>
        <v/>
      </c>
      <c r="CS92" s="36" t="str">
        <f ca="1">IFERROR(+IF(CT$27=#REF!,Milestone_Marker,IF(AND(CT$27&gt;#REF!,CT$27&lt;=#REF!+#REF!),$G$5,"")),"")</f>
        <v/>
      </c>
      <c r="CT92" s="36" t="str">
        <f ca="1">IFERROR(+IF(CU$27=#REF!,Milestone_Marker,IF(AND(CU$27&gt;#REF!,CU$27&lt;=#REF!+#REF!),$G$5,"")),"")</f>
        <v/>
      </c>
    </row>
    <row r="93" spans="1:125" ht="18" customHeight="1" x14ac:dyDescent="0.25">
      <c r="A93" t="s">
        <v>523</v>
      </c>
      <c r="B93">
        <v>75</v>
      </c>
      <c r="C93" t="s">
        <v>1077</v>
      </c>
      <c r="D93" t="s">
        <v>211</v>
      </c>
      <c r="E93" s="568" t="s">
        <v>1055</v>
      </c>
      <c r="F93">
        <v>1</v>
      </c>
      <c r="G93" s="14"/>
      <c r="H93" s="14"/>
      <c r="I93" t="s">
        <v>3</v>
      </c>
      <c r="J93">
        <v>2</v>
      </c>
      <c r="K93" s="249"/>
      <c r="L93"/>
      <c r="M93" s="14"/>
      <c r="N93" s="300"/>
      <c r="O93" s="554"/>
      <c r="P93" s="36" t="str">
        <f ca="1">IFERROR(+IF(Q$27=#REF!,Milestone_Marker,IF(AND(Q$27&gt;#REF!,Q$27&lt;=#REF!+#REF!),$G$5,"")),"")</f>
        <v/>
      </c>
      <c r="Q93" s="36" t="str">
        <f ca="1">IFERROR(+IF(R$27=#REF!,Milestone_Marker,IF(AND(R$27&gt;#REF!,R$27&lt;=#REF!+#REF!),$G$5,"")),"")</f>
        <v/>
      </c>
      <c r="R93" s="36" t="str">
        <f ca="1">IFERROR(+IF(S$27=#REF!,Milestone_Marker,IF(AND(S$27&gt;#REF!,S$27&lt;=#REF!+#REF!),$G$5,"")),"")</f>
        <v/>
      </c>
      <c r="S93" s="36" t="str">
        <f ca="1">IFERROR(+IF(T$27=#REF!,Milestone_Marker,IF(AND(T$27&gt;#REF!,T$27&lt;=#REF!+#REF!),$G$5,"")),"")</f>
        <v/>
      </c>
      <c r="T93" s="36" t="str">
        <f ca="1">IFERROR(+IF(U$27=#REF!,Milestone_Marker,IF(AND(U$27&gt;#REF!,U$27&lt;=#REF!+#REF!),$G$5,"")),"")</f>
        <v/>
      </c>
      <c r="U93" s="36" t="str">
        <f ca="1">IFERROR(+IF(V$27=#REF!,Milestone_Marker,IF(AND(V$27&gt;#REF!,V$27&lt;=#REF!+#REF!),$G$5,"")),"")</f>
        <v/>
      </c>
      <c r="V93" s="36" t="str">
        <f ca="1">IFERROR(+IF(W$27=#REF!,Milestone_Marker,IF(AND(W$27&gt;#REF!,W$27&lt;=#REF!+#REF!),$G$5,"")),"")</f>
        <v/>
      </c>
      <c r="W93" s="36" t="str">
        <f ca="1">IFERROR(+IF(X$27=#REF!,Milestone_Marker,IF(AND(X$27&gt;#REF!,X$27&lt;=#REF!+#REF!),$G$5,"")),"")</f>
        <v/>
      </c>
      <c r="X93" s="36" t="str">
        <f ca="1">IFERROR(+IF(Y$27=#REF!,Milestone_Marker,IF(AND(Y$27&gt;#REF!,Y$27&lt;=#REF!+#REF!),$G$5,"")),"")</f>
        <v/>
      </c>
      <c r="Y93" s="36" t="str">
        <f ca="1">IFERROR(+IF(Z$27=#REF!,Milestone_Marker,IF(AND(Z$27&gt;#REF!,Z$27&lt;=#REF!+#REF!),$G$5,"")),"")</f>
        <v/>
      </c>
      <c r="Z93" s="36" t="str">
        <f ca="1">IFERROR(+IF(AA$27=#REF!,Milestone_Marker,IF(AND(AA$27&gt;#REF!,AA$27&lt;=#REF!+#REF!),$G$5,"")),"")</f>
        <v/>
      </c>
      <c r="AA93" s="36" t="str">
        <f ca="1">IFERROR(+IF(AB$27=#REF!,Milestone_Marker,IF(AND(AB$27&gt;#REF!,AB$27&lt;=#REF!+#REF!),$G$5,"")),"")</f>
        <v/>
      </c>
      <c r="AB93" s="36" t="str">
        <f ca="1">IFERROR(+IF(AC$27=#REF!,Milestone_Marker,IF(AND(AC$27&gt;#REF!,AC$27&lt;=#REF!+#REF!),$G$5,"")),"")</f>
        <v/>
      </c>
      <c r="AC93" s="36" t="str">
        <f ca="1">IFERROR(+IF(AD$27=#REF!,Milestone_Marker,IF(AND(AD$27&gt;#REF!,AD$27&lt;=#REF!+#REF!),$G$5,"")),"")</f>
        <v/>
      </c>
      <c r="AD93" s="36" t="str">
        <f ca="1">IFERROR(+IF(AE$27=#REF!,Milestone_Marker,IF(AND(AE$27&gt;#REF!,AE$27&lt;=#REF!+#REF!),$G$5,"")),"")</f>
        <v/>
      </c>
      <c r="AE93" s="36" t="str">
        <f ca="1">IFERROR(+IF(AF$27=#REF!,Milestone_Marker,IF(AND(AF$27&gt;#REF!,AF$27&lt;=#REF!+#REF!),$G$5,"")),"")</f>
        <v/>
      </c>
      <c r="AF93" s="36" t="str">
        <f ca="1">IFERROR(+IF(AG$27=#REF!,Milestone_Marker,IF(AND(AG$27&gt;#REF!,AG$27&lt;=#REF!+#REF!),$G$5,"")),"")</f>
        <v/>
      </c>
      <c r="AG93" s="36" t="str">
        <f ca="1">IFERROR(+IF(AH$27=#REF!,Milestone_Marker,IF(AND(AH$27&gt;#REF!,AH$27&lt;=#REF!+#REF!),$G$5,"")),"")</f>
        <v/>
      </c>
      <c r="AH93" s="36" t="str">
        <f ca="1">IFERROR(+IF(AI$27=#REF!,Milestone_Marker,IF(AND(AI$27&gt;#REF!,AI$27&lt;=#REF!+#REF!),$G$5,"")),"")</f>
        <v/>
      </c>
      <c r="AI93" s="36" t="str">
        <f ca="1">IFERROR(+IF(AJ$27=#REF!,Milestone_Marker,IF(AND(AJ$27&gt;#REF!,AJ$27&lt;=#REF!+#REF!),$G$5,"")),"")</f>
        <v/>
      </c>
      <c r="AJ93" s="36" t="str">
        <f ca="1">IFERROR(+IF(AK$27=#REF!,Milestone_Marker,IF(AND(AK$27&gt;#REF!,AK$27&lt;=#REF!+#REF!),$G$5,"")),"")</f>
        <v/>
      </c>
      <c r="AK93" s="36" t="str">
        <f ca="1">IFERROR(+IF(AL$27=#REF!,Milestone_Marker,IF(AND(AL$27&gt;#REF!,AL$27&lt;=#REF!+#REF!),$G$5,"")),"")</f>
        <v/>
      </c>
      <c r="AL93" s="36" t="str">
        <f ca="1">IFERROR(+IF(AM$27=#REF!,Milestone_Marker,IF(AND(AM$27&gt;#REF!,AM$27&lt;=#REF!+#REF!),$G$5,"")),"")</f>
        <v/>
      </c>
      <c r="AM93" s="36" t="str">
        <f ca="1">IFERROR(+IF(AN$27=#REF!,Milestone_Marker,IF(AND(AN$27&gt;#REF!,AN$27&lt;=#REF!+#REF!),$G$5,"")),"")</f>
        <v/>
      </c>
      <c r="AN93" s="36" t="str">
        <f ca="1">IFERROR(+IF(AO$27=#REF!,Milestone_Marker,IF(AND(AO$27&gt;#REF!,AO$27&lt;=#REF!+#REF!),$G$5,"")),"")</f>
        <v/>
      </c>
      <c r="AO93" s="36" t="str">
        <f ca="1">IFERROR(+IF(AP$27=#REF!,Milestone_Marker,IF(AND(AP$27&gt;#REF!,AP$27&lt;=#REF!+#REF!),$G$5,"")),"")</f>
        <v/>
      </c>
      <c r="AP93" s="36" t="str">
        <f ca="1">IFERROR(+IF(AQ$27=#REF!,Milestone_Marker,IF(AND(AQ$27&gt;#REF!,AQ$27&lt;=#REF!+#REF!),$G$5,"")),"")</f>
        <v/>
      </c>
      <c r="AQ93" s="36" t="str">
        <f ca="1">IFERROR(+IF(AR$27=#REF!,Milestone_Marker,IF(AND(AR$27&gt;#REF!,AR$27&lt;=#REF!+#REF!),$G$5,"")),"")</f>
        <v/>
      </c>
      <c r="AR93" s="36" t="str">
        <f ca="1">IFERROR(+IF(AS$27=#REF!,Milestone_Marker,IF(AND(AS$27&gt;#REF!,AS$27&lt;=#REF!+#REF!),$G$5,"")),"")</f>
        <v/>
      </c>
      <c r="AS93" s="36" t="str">
        <f ca="1">IFERROR(+IF(AT$27=#REF!,Milestone_Marker,IF(AND(AT$27&gt;#REF!,AT$27&lt;=#REF!+#REF!),$G$5,"")),"")</f>
        <v/>
      </c>
      <c r="AT93" s="36" t="str">
        <f ca="1">IFERROR(+IF(AU$27=#REF!,Milestone_Marker,IF(AND(AU$27&gt;#REF!,AU$27&lt;=#REF!+#REF!),$G$5,"")),"")</f>
        <v/>
      </c>
      <c r="AU93" s="36" t="str">
        <f ca="1">IFERROR(+IF(AV$27=#REF!,Milestone_Marker,IF(AND(AV$27&gt;#REF!,AV$27&lt;=#REF!+#REF!),$G$5,"")),"")</f>
        <v/>
      </c>
      <c r="AV93" s="36" t="str">
        <f ca="1">IFERROR(+IF(AW$27=#REF!,Milestone_Marker,IF(AND(AW$27&gt;#REF!,AW$27&lt;=#REF!+#REF!),$G$5,"")),"")</f>
        <v/>
      </c>
      <c r="AW93" s="36" t="str">
        <f ca="1">IFERROR(+IF(AX$27=#REF!,Milestone_Marker,IF(AND(AX$27&gt;#REF!,AX$27&lt;=#REF!+#REF!),$G$5,"")),"")</f>
        <v/>
      </c>
      <c r="AX93" s="36" t="str">
        <f ca="1">IFERROR(+IF(AY$27=#REF!,Milestone_Marker,IF(AND(AY$27&gt;#REF!,AY$27&lt;=#REF!+#REF!),$G$5,"")),"")</f>
        <v/>
      </c>
      <c r="AY93" s="36" t="str">
        <f ca="1">IFERROR(+IF(AZ$27=#REF!,Milestone_Marker,IF(AND(AZ$27&gt;#REF!,AZ$27&lt;=#REF!+#REF!),$G$5,"")),"")</f>
        <v/>
      </c>
      <c r="AZ93" s="36" t="str">
        <f ca="1">IFERROR(+IF(BA$27=#REF!,Milestone_Marker,IF(AND(BA$27&gt;#REF!,BA$27&lt;=#REF!+#REF!),$G$5,"")),"")</f>
        <v/>
      </c>
      <c r="BA93" s="36" t="str">
        <f ca="1">IFERROR(+IF(BB$27=#REF!,Milestone_Marker,IF(AND(BB$27&gt;#REF!,BB$27&lt;=#REF!+#REF!),$G$5,"")),"")</f>
        <v/>
      </c>
      <c r="BB93" s="36" t="str">
        <f ca="1">IFERROR(+IF(BC$27=#REF!,Milestone_Marker,IF(AND(BC$27&gt;#REF!,BC$27&lt;=#REF!+#REF!),$G$5,"")),"")</f>
        <v/>
      </c>
      <c r="BC93" s="36" t="str">
        <f ca="1">IFERROR(+IF(BD$27=#REF!,Milestone_Marker,IF(AND(BD$27&gt;#REF!,BD$27&lt;=#REF!+#REF!),$G$5,"")),"")</f>
        <v/>
      </c>
      <c r="BD93" s="36" t="str">
        <f ca="1">IFERROR(+IF(BE$27=#REF!,Milestone_Marker,IF(AND(BE$27&gt;#REF!,BE$27&lt;=#REF!+#REF!),$G$5,"")),"")</f>
        <v/>
      </c>
      <c r="BE93" s="36" t="str">
        <f ca="1">IFERROR(+IF(BF$27=#REF!,Milestone_Marker,IF(AND(BF$27&gt;#REF!,BF$27&lt;=#REF!+#REF!),$G$5,"")),"")</f>
        <v/>
      </c>
      <c r="BF93" s="36" t="str">
        <f ca="1">IFERROR(+IF(BG$27=#REF!,Milestone_Marker,IF(AND(BG$27&gt;#REF!,BG$27&lt;=#REF!+#REF!),$G$5,"")),"")</f>
        <v/>
      </c>
      <c r="BG93" s="36" t="str">
        <f ca="1">IFERROR(+IF(BH$27=#REF!,Milestone_Marker,IF(AND(BH$27&gt;#REF!,BH$27&lt;=#REF!+#REF!),$G$5,"")),"")</f>
        <v/>
      </c>
      <c r="BH93" s="36" t="str">
        <f ca="1">IFERROR(+IF(BI$27=#REF!,Milestone_Marker,IF(AND(BI$27&gt;#REF!,BI$27&lt;=#REF!+#REF!),$G$5,"")),"")</f>
        <v/>
      </c>
      <c r="BI93" s="36" t="str">
        <f ca="1">IFERROR(+IF(BJ$27=#REF!,Milestone_Marker,IF(AND(BJ$27&gt;#REF!,BJ$27&lt;=#REF!+#REF!),$G$5,"")),"")</f>
        <v/>
      </c>
      <c r="BJ93" s="36" t="str">
        <f ca="1">IFERROR(+IF(BK$27=#REF!,Milestone_Marker,IF(AND(BK$27&gt;#REF!,BK$27&lt;=#REF!+#REF!),$G$5,"")),"")</f>
        <v/>
      </c>
      <c r="BK93" s="36" t="str">
        <f ca="1">IFERROR(+IF(BL$27=#REF!,Milestone_Marker,IF(AND(BL$27&gt;#REF!,BL$27&lt;=#REF!+#REF!),$G$5,"")),"")</f>
        <v/>
      </c>
      <c r="BL93" s="36" t="str">
        <f ca="1">IFERROR(+IF(BM$27=#REF!,Milestone_Marker,IF(AND(BM$27&gt;#REF!,BM$27&lt;=#REF!+#REF!),$G$5,"")),"")</f>
        <v/>
      </c>
      <c r="BM93" s="36" t="str">
        <f ca="1">IFERROR(+IF(BN$27=#REF!,Milestone_Marker,IF(AND(BN$27&gt;#REF!,BN$27&lt;=#REF!+#REF!),$G$5,"")),"")</f>
        <v/>
      </c>
      <c r="BN93" s="36" t="str">
        <f ca="1">IFERROR(+IF(BO$27=#REF!,Milestone_Marker,IF(AND(BO$27&gt;#REF!,BO$27&lt;=#REF!+#REF!),$G$5,"")),"")</f>
        <v/>
      </c>
      <c r="BO93" s="36" t="str">
        <f ca="1">IFERROR(+IF(BP$27=#REF!,Milestone_Marker,IF(AND(BP$27&gt;#REF!,BP$27&lt;=#REF!+#REF!),$G$5,"")),"")</f>
        <v/>
      </c>
      <c r="BP93" s="36" t="str">
        <f ca="1">IFERROR(+IF(BQ$27=#REF!,Milestone_Marker,IF(AND(BQ$27&gt;#REF!,BQ$27&lt;=#REF!+#REF!),$G$5,"")),"")</f>
        <v/>
      </c>
      <c r="BQ93" s="36" t="str">
        <f ca="1">IFERROR(+IF(BR$27=#REF!,Milestone_Marker,IF(AND(BR$27&gt;#REF!,BR$27&lt;=#REF!+#REF!),$G$5,"")),"")</f>
        <v/>
      </c>
      <c r="BR93" s="36" t="str">
        <f ca="1">IFERROR(+IF(BS$27=#REF!,Milestone_Marker,IF(AND(BS$27&gt;#REF!,BS$27&lt;=#REF!+#REF!),$G$5,"")),"")</f>
        <v/>
      </c>
      <c r="BS93" s="36" t="str">
        <f ca="1">IFERROR(+IF(BT$27=#REF!,Milestone_Marker,IF(AND(BT$27&gt;#REF!,BT$27&lt;=#REF!+#REF!),$G$5,"")),"")</f>
        <v/>
      </c>
      <c r="BT93" s="36" t="str">
        <f ca="1">IFERROR(+IF(BU$27=#REF!,Milestone_Marker,IF(AND(BU$27&gt;#REF!,BU$27&lt;=#REF!+#REF!),$G$5,"")),"")</f>
        <v/>
      </c>
      <c r="BU93" s="36" t="str">
        <f ca="1">IFERROR(+IF(BV$27=#REF!,Milestone_Marker,IF(AND(BV$27&gt;#REF!,BV$27&lt;=#REF!+#REF!),$G$5,"")),"")</f>
        <v/>
      </c>
      <c r="BV93" s="36" t="str">
        <f ca="1">IFERROR(+IF(BW$27=#REF!,Milestone_Marker,IF(AND(BW$27&gt;#REF!,BW$27&lt;=#REF!+#REF!),$G$5,"")),"")</f>
        <v/>
      </c>
      <c r="BW93" s="36" t="str">
        <f ca="1">IFERROR(+IF(BX$27=#REF!,Milestone_Marker,IF(AND(BX$27&gt;#REF!,BX$27&lt;=#REF!+#REF!),$G$5,"")),"")</f>
        <v/>
      </c>
      <c r="BX93" s="36" t="str">
        <f ca="1">IFERROR(+IF(BY$27=#REF!,Milestone_Marker,IF(AND(BY$27&gt;#REF!,BY$27&lt;=#REF!+#REF!),$G$5,"")),"")</f>
        <v/>
      </c>
      <c r="BY93" s="36" t="str">
        <f ca="1">IFERROR(+IF(BZ$27=#REF!,Milestone_Marker,IF(AND(BZ$27&gt;#REF!,BZ$27&lt;=#REF!+#REF!),$G$5,"")),"")</f>
        <v/>
      </c>
      <c r="BZ93" s="36" t="str">
        <f ca="1">IFERROR(+IF(CA$27=#REF!,Milestone_Marker,IF(AND(CA$27&gt;#REF!,CA$27&lt;=#REF!+#REF!),$G$5,"")),"")</f>
        <v/>
      </c>
      <c r="CA93" s="36" t="str">
        <f ca="1">IFERROR(+IF(CB$27=#REF!,Milestone_Marker,IF(AND(CB$27&gt;#REF!,CB$27&lt;=#REF!+#REF!),$G$5,"")),"")</f>
        <v/>
      </c>
      <c r="CB93" s="36" t="str">
        <f ca="1">IFERROR(+IF(CC$27=#REF!,Milestone_Marker,IF(AND(CC$27&gt;#REF!,CC$27&lt;=#REF!+#REF!),$G$5,"")),"")</f>
        <v/>
      </c>
      <c r="CC93" s="36" t="str">
        <f ca="1">IFERROR(+IF(CD$27=#REF!,Milestone_Marker,IF(AND(CD$27&gt;#REF!,CD$27&lt;=#REF!+#REF!),$G$5,"")),"")</f>
        <v/>
      </c>
      <c r="CD93" s="36" t="str">
        <f ca="1">IFERROR(+IF(CE$27=#REF!,Milestone_Marker,IF(AND(CE$27&gt;#REF!,CE$27&lt;=#REF!+#REF!),$G$5,"")),"")</f>
        <v/>
      </c>
      <c r="CE93" s="36" t="str">
        <f ca="1">IFERROR(+IF(CF$27=#REF!,Milestone_Marker,IF(AND(CF$27&gt;#REF!,CF$27&lt;=#REF!+#REF!),$G$5,"")),"")</f>
        <v/>
      </c>
      <c r="CF93" s="36" t="str">
        <f ca="1">IFERROR(+IF(CG$27=#REF!,Milestone_Marker,IF(AND(CG$27&gt;#REF!,CG$27&lt;=#REF!+#REF!),$G$5,"")),"")</f>
        <v/>
      </c>
      <c r="CG93" s="36" t="str">
        <f ca="1">IFERROR(+IF(CH$27=#REF!,Milestone_Marker,IF(AND(CH$27&gt;#REF!,CH$27&lt;=#REF!+#REF!),$G$5,"")),"")</f>
        <v/>
      </c>
      <c r="CH93" s="36" t="str">
        <f ca="1">IFERROR(+IF(CI$27=#REF!,Milestone_Marker,IF(AND(CI$27&gt;#REF!,CI$27&lt;=#REF!+#REF!),$G$5,"")),"")</f>
        <v/>
      </c>
      <c r="CI93" s="36" t="str">
        <f ca="1">IFERROR(+IF(CJ$27=#REF!,Milestone_Marker,IF(AND(CJ$27&gt;#REF!,CJ$27&lt;=#REF!+#REF!),$G$5,"")),"")</f>
        <v/>
      </c>
      <c r="CJ93" s="36" t="str">
        <f ca="1">IFERROR(+IF(CK$27=#REF!,Milestone_Marker,IF(AND(CK$27&gt;#REF!,CK$27&lt;=#REF!+#REF!),$G$5,"")),"")</f>
        <v/>
      </c>
      <c r="CK93" s="36" t="str">
        <f ca="1">IFERROR(+IF(CL$27=#REF!,Milestone_Marker,IF(AND(CL$27&gt;#REF!,CL$27&lt;=#REF!+#REF!),$G$5,"")),"")</f>
        <v/>
      </c>
      <c r="CL93" s="36" t="str">
        <f ca="1">IFERROR(+IF(CM$27=#REF!,Milestone_Marker,IF(AND(CM$27&gt;#REF!,CM$27&lt;=#REF!+#REF!),$G$5,"")),"")</f>
        <v/>
      </c>
      <c r="CM93" s="36" t="str">
        <f ca="1">IFERROR(+IF(CN$27=#REF!,Milestone_Marker,IF(AND(CN$27&gt;#REF!,CN$27&lt;=#REF!+#REF!),$G$5,"")),"")</f>
        <v/>
      </c>
      <c r="CN93" s="36" t="str">
        <f ca="1">IFERROR(+IF(CO$27=#REF!,Milestone_Marker,IF(AND(CO$27&gt;#REF!,CO$27&lt;=#REF!+#REF!),$G$5,"")),"")</f>
        <v/>
      </c>
      <c r="CO93" s="36" t="str">
        <f ca="1">IFERROR(+IF(CP$27=#REF!,Milestone_Marker,IF(AND(CP$27&gt;#REF!,CP$27&lt;=#REF!+#REF!),$G$5,"")),"")</f>
        <v/>
      </c>
      <c r="CP93" s="36" t="str">
        <f ca="1">IFERROR(+IF(CQ$27=#REF!,Milestone_Marker,IF(AND(CQ$27&gt;#REF!,CQ$27&lt;=#REF!+#REF!),$G$5,"")),"")</f>
        <v/>
      </c>
      <c r="CQ93" s="36" t="str">
        <f ca="1">IFERROR(+IF(CR$27=#REF!,Milestone_Marker,IF(AND(CR$27&gt;#REF!,CR$27&lt;=#REF!+#REF!),$G$5,"")),"")</f>
        <v/>
      </c>
      <c r="CR93" s="36" t="str">
        <f ca="1">IFERROR(+IF(CS$27=#REF!,Milestone_Marker,IF(AND(CS$27&gt;#REF!,CS$27&lt;=#REF!+#REF!),$G$5,"")),"")</f>
        <v/>
      </c>
      <c r="CS93" s="36" t="str">
        <f ca="1">IFERROR(+IF(CT$27=#REF!,Milestone_Marker,IF(AND(CT$27&gt;#REF!,CT$27&lt;=#REF!+#REF!),$G$5,"")),"")</f>
        <v/>
      </c>
      <c r="CT93" s="36" t="str">
        <f ca="1">IFERROR(+IF(CU$27=#REF!,Milestone_Marker,IF(AND(CU$27&gt;#REF!,CU$27&lt;=#REF!+#REF!),$G$5,"")),"")</f>
        <v/>
      </c>
    </row>
    <row r="94" spans="1:125" ht="18" customHeight="1" x14ac:dyDescent="0.25">
      <c r="A94" t="s">
        <v>523</v>
      </c>
      <c r="B94">
        <v>76</v>
      </c>
      <c r="C94" t="s">
        <v>1077</v>
      </c>
      <c r="D94" t="s">
        <v>1071</v>
      </c>
      <c r="E94" s="568" t="s">
        <v>1067</v>
      </c>
      <c r="F94">
        <v>1</v>
      </c>
      <c r="G94" s="14"/>
      <c r="H94" s="14"/>
      <c r="I94" t="s">
        <v>3</v>
      </c>
      <c r="J94">
        <v>2</v>
      </c>
      <c r="K94" s="249"/>
      <c r="L94"/>
      <c r="M94" s="14"/>
      <c r="N94" s="300"/>
      <c r="O94" s="554"/>
      <c r="P94" s="36" t="str">
        <f ca="1">IFERROR(+IF(Q$27=#REF!,Milestone_Marker,IF(AND(Q$27&gt;#REF!,Q$27&lt;=#REF!+#REF!),$G$5,"")),"")</f>
        <v/>
      </c>
      <c r="Q94" s="36" t="str">
        <f ca="1">IFERROR(+IF(R$27=#REF!,Milestone_Marker,IF(AND(R$27&gt;#REF!,R$27&lt;=#REF!+#REF!),$G$5,"")),"")</f>
        <v/>
      </c>
      <c r="R94" s="36" t="str">
        <f ca="1">IFERROR(+IF(S$27=#REF!,Milestone_Marker,IF(AND(S$27&gt;#REF!,S$27&lt;=#REF!+#REF!),$G$5,"")),"")</f>
        <v/>
      </c>
      <c r="S94" s="36" t="str">
        <f ca="1">IFERROR(+IF(T$27=#REF!,Milestone_Marker,IF(AND(T$27&gt;#REF!,T$27&lt;=#REF!+#REF!),$G$5,"")),"")</f>
        <v/>
      </c>
      <c r="T94" s="36" t="str">
        <f ca="1">IFERROR(+IF(U$27=#REF!,Milestone_Marker,IF(AND(U$27&gt;#REF!,U$27&lt;=#REF!+#REF!),$G$5,"")),"")</f>
        <v/>
      </c>
      <c r="U94" s="36" t="str">
        <f ca="1">IFERROR(+IF(V$27=#REF!,Milestone_Marker,IF(AND(V$27&gt;#REF!,V$27&lt;=#REF!+#REF!),$G$5,"")),"")</f>
        <v/>
      </c>
      <c r="V94" s="36" t="str">
        <f ca="1">IFERROR(+IF(W$27=#REF!,Milestone_Marker,IF(AND(W$27&gt;#REF!,W$27&lt;=#REF!+#REF!),$G$5,"")),"")</f>
        <v/>
      </c>
      <c r="W94" s="36" t="str">
        <f ca="1">IFERROR(+IF(X$27=#REF!,Milestone_Marker,IF(AND(X$27&gt;#REF!,X$27&lt;=#REF!+#REF!),$G$5,"")),"")</f>
        <v/>
      </c>
      <c r="X94" s="36" t="str">
        <f ca="1">IFERROR(+IF(Y$27=#REF!,Milestone_Marker,IF(AND(Y$27&gt;#REF!,Y$27&lt;=#REF!+#REF!),$G$5,"")),"")</f>
        <v/>
      </c>
      <c r="Y94" s="36" t="str">
        <f ca="1">IFERROR(+IF(Z$27=#REF!,Milestone_Marker,IF(AND(Z$27&gt;#REF!,Z$27&lt;=#REF!+#REF!),$G$5,"")),"")</f>
        <v/>
      </c>
      <c r="Z94" s="36" t="str">
        <f ca="1">IFERROR(+IF(AA$27=#REF!,Milestone_Marker,IF(AND(AA$27&gt;#REF!,AA$27&lt;=#REF!+#REF!),$G$5,"")),"")</f>
        <v/>
      </c>
      <c r="AA94" s="36" t="str">
        <f ca="1">IFERROR(+IF(AB$27=#REF!,Milestone_Marker,IF(AND(AB$27&gt;#REF!,AB$27&lt;=#REF!+#REF!),$G$5,"")),"")</f>
        <v/>
      </c>
      <c r="AB94" s="36" t="str">
        <f ca="1">IFERROR(+IF(AC$27=#REF!,Milestone_Marker,IF(AND(AC$27&gt;#REF!,AC$27&lt;=#REF!+#REF!),$G$5,"")),"")</f>
        <v/>
      </c>
      <c r="AC94" s="36" t="str">
        <f ca="1">IFERROR(+IF(AD$27=#REF!,Milestone_Marker,IF(AND(AD$27&gt;#REF!,AD$27&lt;=#REF!+#REF!),$G$5,"")),"")</f>
        <v/>
      </c>
      <c r="AD94" s="36" t="str">
        <f ca="1">IFERROR(+IF(AE$27=#REF!,Milestone_Marker,IF(AND(AE$27&gt;#REF!,AE$27&lt;=#REF!+#REF!),$G$5,"")),"")</f>
        <v/>
      </c>
      <c r="AE94" s="36" t="str">
        <f ca="1">IFERROR(+IF(AF$27=#REF!,Milestone_Marker,IF(AND(AF$27&gt;#REF!,AF$27&lt;=#REF!+#REF!),$G$5,"")),"")</f>
        <v/>
      </c>
      <c r="AF94" s="36" t="str">
        <f ca="1">IFERROR(+IF(AG$27=#REF!,Milestone_Marker,IF(AND(AG$27&gt;#REF!,AG$27&lt;=#REF!+#REF!),$G$5,"")),"")</f>
        <v/>
      </c>
      <c r="AG94" s="36" t="str">
        <f ca="1">IFERROR(+IF(AH$27=#REF!,Milestone_Marker,IF(AND(AH$27&gt;#REF!,AH$27&lt;=#REF!+#REF!),$G$5,"")),"")</f>
        <v/>
      </c>
      <c r="AH94" s="36" t="str">
        <f ca="1">IFERROR(+IF(AI$27=#REF!,Milestone_Marker,IF(AND(AI$27&gt;#REF!,AI$27&lt;=#REF!+#REF!),$G$5,"")),"")</f>
        <v/>
      </c>
      <c r="AI94" s="36" t="str">
        <f ca="1">IFERROR(+IF(AJ$27=#REF!,Milestone_Marker,IF(AND(AJ$27&gt;#REF!,AJ$27&lt;=#REF!+#REF!),$G$5,"")),"")</f>
        <v/>
      </c>
      <c r="AJ94" s="36" t="str">
        <f ca="1">IFERROR(+IF(AK$27=#REF!,Milestone_Marker,IF(AND(AK$27&gt;#REF!,AK$27&lt;=#REF!+#REF!),$G$5,"")),"")</f>
        <v/>
      </c>
      <c r="AK94" s="36" t="str">
        <f ca="1">IFERROR(+IF(AL$27=#REF!,Milestone_Marker,IF(AND(AL$27&gt;#REF!,AL$27&lt;=#REF!+#REF!),$G$5,"")),"")</f>
        <v/>
      </c>
      <c r="AL94" s="36" t="str">
        <f ca="1">IFERROR(+IF(AM$27=#REF!,Milestone_Marker,IF(AND(AM$27&gt;#REF!,AM$27&lt;=#REF!+#REF!),$G$5,"")),"")</f>
        <v/>
      </c>
      <c r="AM94" s="36" t="str">
        <f ca="1">IFERROR(+IF(AN$27=#REF!,Milestone_Marker,IF(AND(AN$27&gt;#REF!,AN$27&lt;=#REF!+#REF!),$G$5,"")),"")</f>
        <v/>
      </c>
      <c r="AN94" s="36" t="str">
        <f ca="1">IFERROR(+IF(AO$27=#REF!,Milestone_Marker,IF(AND(AO$27&gt;#REF!,AO$27&lt;=#REF!+#REF!),$G$5,"")),"")</f>
        <v/>
      </c>
      <c r="AO94" s="36" t="str">
        <f ca="1">IFERROR(+IF(AP$27=#REF!,Milestone_Marker,IF(AND(AP$27&gt;#REF!,AP$27&lt;=#REF!+#REF!),$G$5,"")),"")</f>
        <v/>
      </c>
      <c r="AP94" s="36" t="str">
        <f ca="1">IFERROR(+IF(AQ$27=#REF!,Milestone_Marker,IF(AND(AQ$27&gt;#REF!,AQ$27&lt;=#REF!+#REF!),$G$5,"")),"")</f>
        <v/>
      </c>
      <c r="AQ94" s="36" t="str">
        <f ca="1">IFERROR(+IF(AR$27=#REF!,Milestone_Marker,IF(AND(AR$27&gt;#REF!,AR$27&lt;=#REF!+#REF!),$G$5,"")),"")</f>
        <v/>
      </c>
      <c r="AR94" s="36" t="str">
        <f ca="1">IFERROR(+IF(AS$27=#REF!,Milestone_Marker,IF(AND(AS$27&gt;#REF!,AS$27&lt;=#REF!+#REF!),$G$5,"")),"")</f>
        <v/>
      </c>
      <c r="AS94" s="36" t="str">
        <f ca="1">IFERROR(+IF(AT$27=#REF!,Milestone_Marker,IF(AND(AT$27&gt;#REF!,AT$27&lt;=#REF!+#REF!),$G$5,"")),"")</f>
        <v/>
      </c>
      <c r="AT94" s="36" t="str">
        <f ca="1">IFERROR(+IF(AU$27=#REF!,Milestone_Marker,IF(AND(AU$27&gt;#REF!,AU$27&lt;=#REF!+#REF!),$G$5,"")),"")</f>
        <v/>
      </c>
      <c r="AU94" s="36" t="str">
        <f ca="1">IFERROR(+IF(AV$27=#REF!,Milestone_Marker,IF(AND(AV$27&gt;#REF!,AV$27&lt;=#REF!+#REF!),$G$5,"")),"")</f>
        <v/>
      </c>
      <c r="AV94" s="36" t="str">
        <f ca="1">IFERROR(+IF(AW$27=#REF!,Milestone_Marker,IF(AND(AW$27&gt;#REF!,AW$27&lt;=#REF!+#REF!),$G$5,"")),"")</f>
        <v/>
      </c>
      <c r="AW94" s="36" t="str">
        <f ca="1">IFERROR(+IF(AX$27=#REF!,Milestone_Marker,IF(AND(AX$27&gt;#REF!,AX$27&lt;=#REF!+#REF!),$G$5,"")),"")</f>
        <v/>
      </c>
      <c r="AX94" s="36" t="str">
        <f ca="1">IFERROR(+IF(AY$27=#REF!,Milestone_Marker,IF(AND(AY$27&gt;#REF!,AY$27&lt;=#REF!+#REF!),$G$5,"")),"")</f>
        <v/>
      </c>
      <c r="AY94" s="36" t="str">
        <f ca="1">IFERROR(+IF(AZ$27=#REF!,Milestone_Marker,IF(AND(AZ$27&gt;#REF!,AZ$27&lt;=#REF!+#REF!),$G$5,"")),"")</f>
        <v/>
      </c>
      <c r="AZ94" s="36" t="str">
        <f ca="1">IFERROR(+IF(BA$27=#REF!,Milestone_Marker,IF(AND(BA$27&gt;#REF!,BA$27&lt;=#REF!+#REF!),$G$5,"")),"")</f>
        <v/>
      </c>
      <c r="BA94" s="36" t="str">
        <f ca="1">IFERROR(+IF(BB$27=#REF!,Milestone_Marker,IF(AND(BB$27&gt;#REF!,BB$27&lt;=#REF!+#REF!),$G$5,"")),"")</f>
        <v/>
      </c>
      <c r="BB94" s="36" t="str">
        <f ca="1">IFERROR(+IF(BC$27=#REF!,Milestone_Marker,IF(AND(BC$27&gt;#REF!,BC$27&lt;=#REF!+#REF!),$G$5,"")),"")</f>
        <v/>
      </c>
      <c r="BC94" s="36" t="str">
        <f ca="1">IFERROR(+IF(BD$27=#REF!,Milestone_Marker,IF(AND(BD$27&gt;#REF!,BD$27&lt;=#REF!+#REF!),$G$5,"")),"")</f>
        <v/>
      </c>
      <c r="BD94" s="36" t="str">
        <f ca="1">IFERROR(+IF(BE$27=#REF!,Milestone_Marker,IF(AND(BE$27&gt;#REF!,BE$27&lt;=#REF!+#REF!),$G$5,"")),"")</f>
        <v/>
      </c>
      <c r="BE94" s="36" t="str">
        <f ca="1">IFERROR(+IF(BF$27=#REF!,Milestone_Marker,IF(AND(BF$27&gt;#REF!,BF$27&lt;=#REF!+#REF!),$G$5,"")),"")</f>
        <v/>
      </c>
      <c r="BF94" s="36" t="str">
        <f ca="1">IFERROR(+IF(BG$27=#REF!,Milestone_Marker,IF(AND(BG$27&gt;#REF!,BG$27&lt;=#REF!+#REF!),$G$5,"")),"")</f>
        <v/>
      </c>
      <c r="BG94" s="36" t="str">
        <f ca="1">IFERROR(+IF(BH$27=#REF!,Milestone_Marker,IF(AND(BH$27&gt;#REF!,BH$27&lt;=#REF!+#REF!),$G$5,"")),"")</f>
        <v/>
      </c>
      <c r="BH94" s="36" t="str">
        <f ca="1">IFERROR(+IF(BI$27=#REF!,Milestone_Marker,IF(AND(BI$27&gt;#REF!,BI$27&lt;=#REF!+#REF!),$G$5,"")),"")</f>
        <v/>
      </c>
      <c r="BI94" s="36" t="str">
        <f ca="1">IFERROR(+IF(BJ$27=#REF!,Milestone_Marker,IF(AND(BJ$27&gt;#REF!,BJ$27&lt;=#REF!+#REF!),$G$5,"")),"")</f>
        <v/>
      </c>
      <c r="BJ94" s="36" t="str">
        <f ca="1">IFERROR(+IF(BK$27=#REF!,Milestone_Marker,IF(AND(BK$27&gt;#REF!,BK$27&lt;=#REF!+#REF!),$G$5,"")),"")</f>
        <v/>
      </c>
      <c r="BK94" s="36" t="str">
        <f ca="1">IFERROR(+IF(BL$27=#REF!,Milestone_Marker,IF(AND(BL$27&gt;#REF!,BL$27&lt;=#REF!+#REF!),$G$5,"")),"")</f>
        <v/>
      </c>
      <c r="BL94" s="36" t="str">
        <f ca="1">IFERROR(+IF(BM$27=#REF!,Milestone_Marker,IF(AND(BM$27&gt;#REF!,BM$27&lt;=#REF!+#REF!),$G$5,"")),"")</f>
        <v/>
      </c>
      <c r="BM94" s="36" t="str">
        <f ca="1">IFERROR(+IF(BN$27=#REF!,Milestone_Marker,IF(AND(BN$27&gt;#REF!,BN$27&lt;=#REF!+#REF!),$G$5,"")),"")</f>
        <v/>
      </c>
      <c r="BN94" s="36" t="str">
        <f ca="1">IFERROR(+IF(BO$27=#REF!,Milestone_Marker,IF(AND(BO$27&gt;#REF!,BO$27&lt;=#REF!+#REF!),$G$5,"")),"")</f>
        <v/>
      </c>
      <c r="BO94" s="36" t="str">
        <f ca="1">IFERROR(+IF(BP$27=#REF!,Milestone_Marker,IF(AND(BP$27&gt;#REF!,BP$27&lt;=#REF!+#REF!),$G$5,"")),"")</f>
        <v/>
      </c>
      <c r="BP94" s="36" t="str">
        <f ca="1">IFERROR(+IF(BQ$27=#REF!,Milestone_Marker,IF(AND(BQ$27&gt;#REF!,BQ$27&lt;=#REF!+#REF!),$G$5,"")),"")</f>
        <v/>
      </c>
      <c r="BQ94" s="36" t="str">
        <f ca="1">IFERROR(+IF(BR$27=#REF!,Milestone_Marker,IF(AND(BR$27&gt;#REF!,BR$27&lt;=#REF!+#REF!),$G$5,"")),"")</f>
        <v/>
      </c>
      <c r="BR94" s="36" t="str">
        <f ca="1">IFERROR(+IF(BS$27=#REF!,Milestone_Marker,IF(AND(BS$27&gt;#REF!,BS$27&lt;=#REF!+#REF!),$G$5,"")),"")</f>
        <v/>
      </c>
      <c r="BS94" s="36" t="str">
        <f ca="1">IFERROR(+IF(BT$27=#REF!,Milestone_Marker,IF(AND(BT$27&gt;#REF!,BT$27&lt;=#REF!+#REF!),$G$5,"")),"")</f>
        <v/>
      </c>
      <c r="BT94" s="36" t="str">
        <f ca="1">IFERROR(+IF(BU$27=#REF!,Milestone_Marker,IF(AND(BU$27&gt;#REF!,BU$27&lt;=#REF!+#REF!),$G$5,"")),"")</f>
        <v/>
      </c>
      <c r="BU94" s="36" t="str">
        <f ca="1">IFERROR(+IF(BV$27=#REF!,Milestone_Marker,IF(AND(BV$27&gt;#REF!,BV$27&lt;=#REF!+#REF!),$G$5,"")),"")</f>
        <v/>
      </c>
      <c r="BV94" s="36" t="str">
        <f ca="1">IFERROR(+IF(BW$27=#REF!,Milestone_Marker,IF(AND(BW$27&gt;#REF!,BW$27&lt;=#REF!+#REF!),$G$5,"")),"")</f>
        <v/>
      </c>
      <c r="BW94" s="36" t="str">
        <f ca="1">IFERROR(+IF(BX$27=#REF!,Milestone_Marker,IF(AND(BX$27&gt;#REF!,BX$27&lt;=#REF!+#REF!),$G$5,"")),"")</f>
        <v/>
      </c>
      <c r="BX94" s="36" t="str">
        <f ca="1">IFERROR(+IF(BY$27=#REF!,Milestone_Marker,IF(AND(BY$27&gt;#REF!,BY$27&lt;=#REF!+#REF!),$G$5,"")),"")</f>
        <v/>
      </c>
      <c r="BY94" s="36" t="str">
        <f ca="1">IFERROR(+IF(BZ$27=#REF!,Milestone_Marker,IF(AND(BZ$27&gt;#REF!,BZ$27&lt;=#REF!+#REF!),$G$5,"")),"")</f>
        <v/>
      </c>
      <c r="BZ94" s="36" t="str">
        <f ca="1">IFERROR(+IF(CA$27=#REF!,Milestone_Marker,IF(AND(CA$27&gt;#REF!,CA$27&lt;=#REF!+#REF!),$G$5,"")),"")</f>
        <v/>
      </c>
      <c r="CA94" s="36" t="str">
        <f ca="1">IFERROR(+IF(CB$27=#REF!,Milestone_Marker,IF(AND(CB$27&gt;#REF!,CB$27&lt;=#REF!+#REF!),$G$5,"")),"")</f>
        <v/>
      </c>
      <c r="CB94" s="36" t="str">
        <f ca="1">IFERROR(+IF(CC$27=#REF!,Milestone_Marker,IF(AND(CC$27&gt;#REF!,CC$27&lt;=#REF!+#REF!),$G$5,"")),"")</f>
        <v/>
      </c>
      <c r="CC94" s="36" t="str">
        <f ca="1">IFERROR(+IF(CD$27=#REF!,Milestone_Marker,IF(AND(CD$27&gt;#REF!,CD$27&lt;=#REF!+#REF!),$G$5,"")),"")</f>
        <v/>
      </c>
      <c r="CD94" s="36" t="str">
        <f ca="1">IFERROR(+IF(CE$27=#REF!,Milestone_Marker,IF(AND(CE$27&gt;#REF!,CE$27&lt;=#REF!+#REF!),$G$5,"")),"")</f>
        <v/>
      </c>
      <c r="CE94" s="36" t="str">
        <f ca="1">IFERROR(+IF(CF$27=#REF!,Milestone_Marker,IF(AND(CF$27&gt;#REF!,CF$27&lt;=#REF!+#REF!),$G$5,"")),"")</f>
        <v/>
      </c>
      <c r="CF94" s="36" t="str">
        <f ca="1">IFERROR(+IF(CG$27=#REF!,Milestone_Marker,IF(AND(CG$27&gt;#REF!,CG$27&lt;=#REF!+#REF!),$G$5,"")),"")</f>
        <v/>
      </c>
      <c r="CG94" s="36" t="str">
        <f ca="1">IFERROR(+IF(CH$27=#REF!,Milestone_Marker,IF(AND(CH$27&gt;#REF!,CH$27&lt;=#REF!+#REF!),$G$5,"")),"")</f>
        <v/>
      </c>
      <c r="CH94" s="36" t="str">
        <f ca="1">IFERROR(+IF(CI$27=#REF!,Milestone_Marker,IF(AND(CI$27&gt;#REF!,CI$27&lt;=#REF!+#REF!),$G$5,"")),"")</f>
        <v/>
      </c>
      <c r="CI94" s="36" t="str">
        <f ca="1">IFERROR(+IF(CJ$27=#REF!,Milestone_Marker,IF(AND(CJ$27&gt;#REF!,CJ$27&lt;=#REF!+#REF!),$G$5,"")),"")</f>
        <v/>
      </c>
      <c r="CJ94" s="36" t="str">
        <f ca="1">IFERROR(+IF(CK$27=#REF!,Milestone_Marker,IF(AND(CK$27&gt;#REF!,CK$27&lt;=#REF!+#REF!),$G$5,"")),"")</f>
        <v/>
      </c>
      <c r="CK94" s="36" t="str">
        <f ca="1">IFERROR(+IF(CL$27=#REF!,Milestone_Marker,IF(AND(CL$27&gt;#REF!,CL$27&lt;=#REF!+#REF!),$G$5,"")),"")</f>
        <v/>
      </c>
      <c r="CL94" s="36" t="str">
        <f ca="1">IFERROR(+IF(CM$27=#REF!,Milestone_Marker,IF(AND(CM$27&gt;#REF!,CM$27&lt;=#REF!+#REF!),$G$5,"")),"")</f>
        <v/>
      </c>
      <c r="CM94" s="36" t="str">
        <f ca="1">IFERROR(+IF(CN$27=#REF!,Milestone_Marker,IF(AND(CN$27&gt;#REF!,CN$27&lt;=#REF!+#REF!),$G$5,"")),"")</f>
        <v/>
      </c>
      <c r="CN94" s="36" t="str">
        <f ca="1">IFERROR(+IF(CO$27=#REF!,Milestone_Marker,IF(AND(CO$27&gt;#REF!,CO$27&lt;=#REF!+#REF!),$G$5,"")),"")</f>
        <v/>
      </c>
      <c r="CO94" s="36" t="str">
        <f ca="1">IFERROR(+IF(CP$27=#REF!,Milestone_Marker,IF(AND(CP$27&gt;#REF!,CP$27&lt;=#REF!+#REF!),$G$5,"")),"")</f>
        <v/>
      </c>
      <c r="CP94" s="36" t="str">
        <f ca="1">IFERROR(+IF(CQ$27=#REF!,Milestone_Marker,IF(AND(CQ$27&gt;#REF!,CQ$27&lt;=#REF!+#REF!),$G$5,"")),"")</f>
        <v/>
      </c>
      <c r="CQ94" s="36" t="str">
        <f ca="1">IFERROR(+IF(CR$27=#REF!,Milestone_Marker,IF(AND(CR$27&gt;#REF!,CR$27&lt;=#REF!+#REF!),$G$5,"")),"")</f>
        <v/>
      </c>
      <c r="CR94" s="36" t="str">
        <f ca="1">IFERROR(+IF(CS$27=#REF!,Milestone_Marker,IF(AND(CS$27&gt;#REF!,CS$27&lt;=#REF!+#REF!),$G$5,"")),"")</f>
        <v/>
      </c>
      <c r="CS94" s="36" t="str">
        <f ca="1">IFERROR(+IF(CT$27=#REF!,Milestone_Marker,IF(AND(CT$27&gt;#REF!,CT$27&lt;=#REF!+#REF!),$G$5,"")),"")</f>
        <v/>
      </c>
      <c r="CT94" s="36" t="str">
        <f ca="1">IFERROR(+IF(CU$27=#REF!,Milestone_Marker,IF(AND(CU$27&gt;#REF!,CU$27&lt;=#REF!+#REF!),$G$5,"")),"")</f>
        <v/>
      </c>
    </row>
    <row r="95" spans="1:125" ht="18" customHeight="1" x14ac:dyDescent="0.25">
      <c r="A95" t="s">
        <v>523</v>
      </c>
      <c r="B95">
        <v>77</v>
      </c>
      <c r="C95" t="s">
        <v>1077</v>
      </c>
      <c r="D95" t="s">
        <v>1072</v>
      </c>
      <c r="E95" s="568" t="s">
        <v>1068</v>
      </c>
      <c r="F95">
        <v>1</v>
      </c>
      <c r="G95" s="14"/>
      <c r="H95" s="14"/>
      <c r="I95" t="s">
        <v>3</v>
      </c>
      <c r="J95">
        <v>2</v>
      </c>
      <c r="K95" s="249"/>
      <c r="L95"/>
      <c r="M95" s="14"/>
      <c r="N95" s="300"/>
      <c r="O95" s="554"/>
    </row>
    <row r="96" spans="1:125" ht="18" customHeight="1" x14ac:dyDescent="0.25">
      <c r="A96" t="s">
        <v>523</v>
      </c>
      <c r="B96">
        <v>78</v>
      </c>
      <c r="C96" t="s">
        <v>1077</v>
      </c>
      <c r="D96" t="s">
        <v>1044</v>
      </c>
      <c r="E96" s="568" t="s">
        <v>1069</v>
      </c>
      <c r="F96">
        <v>1</v>
      </c>
      <c r="G96" s="14"/>
      <c r="H96" s="14"/>
      <c r="I96" t="s">
        <v>3</v>
      </c>
      <c r="J96">
        <v>2</v>
      </c>
      <c r="K96" s="249"/>
      <c r="L96"/>
      <c r="M96" s="14"/>
      <c r="N96" s="300"/>
      <c r="O96" s="554"/>
    </row>
    <row r="97" spans="1:15" ht="18" customHeight="1" x14ac:dyDescent="0.25">
      <c r="A97" t="s">
        <v>523</v>
      </c>
      <c r="B97">
        <v>79</v>
      </c>
      <c r="C97" t="s">
        <v>1077</v>
      </c>
      <c r="D97" t="s">
        <v>1044</v>
      </c>
      <c r="E97" s="568" t="s">
        <v>1070</v>
      </c>
      <c r="F97">
        <v>1</v>
      </c>
      <c r="G97" s="14"/>
      <c r="H97" s="14"/>
      <c r="I97" t="s">
        <v>3</v>
      </c>
      <c r="J97">
        <v>2</v>
      </c>
      <c r="K97" s="249"/>
      <c r="L97"/>
      <c r="M97" s="14"/>
      <c r="N97" s="300"/>
      <c r="O97" s="554"/>
    </row>
    <row r="98" spans="1:15" ht="18" customHeight="1" x14ac:dyDescent="0.25">
      <c r="A98" t="s">
        <v>523</v>
      </c>
      <c r="B98">
        <v>80</v>
      </c>
      <c r="C98" t="s">
        <v>1077</v>
      </c>
      <c r="D98" t="s">
        <v>1073</v>
      </c>
      <c r="E98" s="568" t="s">
        <v>1063</v>
      </c>
      <c r="F98">
        <v>1</v>
      </c>
      <c r="G98" s="14"/>
      <c r="H98" s="14"/>
      <c r="I98" t="s">
        <v>3</v>
      </c>
      <c r="J98">
        <v>2</v>
      </c>
      <c r="K98" s="249"/>
      <c r="L98"/>
      <c r="M98" s="14"/>
      <c r="N98" s="300"/>
      <c r="O98" s="554"/>
    </row>
    <row r="99" spans="1:15" ht="18" customHeight="1" x14ac:dyDescent="0.25">
      <c r="A99" t="s">
        <v>523</v>
      </c>
      <c r="B99">
        <v>81</v>
      </c>
      <c r="C99" t="s">
        <v>1077</v>
      </c>
      <c r="D99" t="s">
        <v>1073</v>
      </c>
      <c r="E99" s="568" t="s">
        <v>1065</v>
      </c>
      <c r="F99">
        <v>1</v>
      </c>
      <c r="G99" s="14"/>
      <c r="H99" s="14"/>
      <c r="I99" t="s">
        <v>3</v>
      </c>
      <c r="J99">
        <v>2</v>
      </c>
      <c r="K99" s="249"/>
      <c r="L99"/>
      <c r="M99" s="14"/>
      <c r="N99" s="300"/>
      <c r="O99" s="554"/>
    </row>
    <row r="100" spans="1:15" ht="18" customHeight="1" x14ac:dyDescent="0.25">
      <c r="A100" t="s">
        <v>523</v>
      </c>
      <c r="B100">
        <v>82</v>
      </c>
      <c r="C100" t="s">
        <v>1077</v>
      </c>
      <c r="D100" t="s">
        <v>1073</v>
      </c>
      <c r="E100" s="568" t="s">
        <v>1064</v>
      </c>
      <c r="F100">
        <v>1</v>
      </c>
      <c r="G100" s="14"/>
      <c r="H100" s="14"/>
      <c r="I100" t="s">
        <v>3</v>
      </c>
      <c r="J100">
        <v>2</v>
      </c>
      <c r="K100" s="249"/>
      <c r="L100"/>
      <c r="M100" s="14"/>
      <c r="N100" s="300"/>
      <c r="O100" s="554"/>
    </row>
    <row r="101" spans="1:15" ht="18" customHeight="1" x14ac:dyDescent="0.25">
      <c r="A101" t="s">
        <v>523</v>
      </c>
      <c r="B101">
        <v>83</v>
      </c>
      <c r="C101" t="s">
        <v>1077</v>
      </c>
      <c r="D101" t="s">
        <v>1057</v>
      </c>
      <c r="E101" s="568" t="s">
        <v>1056</v>
      </c>
      <c r="F101">
        <v>1</v>
      </c>
      <c r="G101" s="14">
        <v>1595</v>
      </c>
      <c r="H101" s="14">
        <v>1595</v>
      </c>
      <c r="I101" t="s">
        <v>3</v>
      </c>
      <c r="J101">
        <v>2</v>
      </c>
      <c r="K101" s="249"/>
      <c r="L101"/>
      <c r="M101" s="14">
        <v>1595</v>
      </c>
      <c r="N101" s="300">
        <v>1595</v>
      </c>
      <c r="O101" s="554"/>
    </row>
    <row r="102" spans="1:15" ht="18" customHeight="1" x14ac:dyDescent="0.25">
      <c r="A102" t="s">
        <v>523</v>
      </c>
      <c r="B102">
        <v>84</v>
      </c>
      <c r="C102" t="s">
        <v>1077</v>
      </c>
      <c r="D102" t="s">
        <v>1073</v>
      </c>
      <c r="E102" s="568" t="s">
        <v>1066</v>
      </c>
      <c r="F102">
        <v>1</v>
      </c>
      <c r="G102" s="14"/>
      <c r="H102" s="14"/>
      <c r="I102" t="s">
        <v>3</v>
      </c>
      <c r="J102">
        <v>2</v>
      </c>
      <c r="K102" s="249"/>
      <c r="L102"/>
      <c r="M102" s="14"/>
      <c r="N102" s="300"/>
      <c r="O102" s="554"/>
    </row>
    <row r="103" spans="1:15" ht="18" customHeight="1" x14ac:dyDescent="0.25">
      <c r="A103" t="s">
        <v>523</v>
      </c>
      <c r="B103">
        <v>85</v>
      </c>
      <c r="C103" t="s">
        <v>1077</v>
      </c>
      <c r="D103" t="s">
        <v>1074</v>
      </c>
      <c r="E103" s="568" t="s">
        <v>1075</v>
      </c>
      <c r="F103">
        <v>1</v>
      </c>
      <c r="G103" s="14">
        <v>250</v>
      </c>
      <c r="H103" s="14">
        <v>250</v>
      </c>
      <c r="I103" t="s">
        <v>3</v>
      </c>
      <c r="J103">
        <v>2</v>
      </c>
      <c r="K103" s="249"/>
      <c r="L103"/>
      <c r="M103" s="14">
        <v>250</v>
      </c>
      <c r="N103" s="300">
        <v>250</v>
      </c>
      <c r="O103" s="554"/>
    </row>
    <row r="104" spans="1:15" ht="18" customHeight="1" x14ac:dyDescent="0.25">
      <c r="A104" t="s">
        <v>523</v>
      </c>
      <c r="B104">
        <v>5</v>
      </c>
      <c r="C104" t="s">
        <v>211</v>
      </c>
      <c r="D104" t="s">
        <v>212</v>
      </c>
      <c r="E104" s="568" t="s">
        <v>529</v>
      </c>
      <c r="F104">
        <v>0</v>
      </c>
      <c r="G104" s="14">
        <v>0</v>
      </c>
      <c r="H104" s="14">
        <v>0</v>
      </c>
      <c r="I104"/>
      <c r="J104">
        <v>3</v>
      </c>
      <c r="K104" s="249"/>
      <c r="L104"/>
      <c r="M104" s="14"/>
      <c r="N104" s="300"/>
      <c r="O104" s="554"/>
    </row>
    <row r="105" spans="1:15" ht="18" customHeight="1" x14ac:dyDescent="0.25">
      <c r="A105" t="s">
        <v>523</v>
      </c>
      <c r="B105">
        <v>6</v>
      </c>
      <c r="C105" t="s">
        <v>213</v>
      </c>
      <c r="D105" t="s">
        <v>212</v>
      </c>
      <c r="E105" s="568" t="s">
        <v>524</v>
      </c>
      <c r="F105">
        <v>0</v>
      </c>
      <c r="G105" s="14">
        <v>0</v>
      </c>
      <c r="H105" s="14">
        <v>0</v>
      </c>
      <c r="I105"/>
      <c r="J105">
        <v>3</v>
      </c>
      <c r="K105" s="249"/>
      <c r="L105"/>
      <c r="M105" s="14"/>
      <c r="N105" s="300"/>
      <c r="O105" s="554"/>
    </row>
    <row r="106" spans="1:15" ht="18" customHeight="1" x14ac:dyDescent="0.25">
      <c r="A106" t="s">
        <v>523</v>
      </c>
      <c r="B106">
        <v>7</v>
      </c>
      <c r="C106" t="s">
        <v>214</v>
      </c>
      <c r="D106" t="s">
        <v>212</v>
      </c>
      <c r="E106" s="568" t="s">
        <v>525</v>
      </c>
      <c r="F106">
        <v>0</v>
      </c>
      <c r="G106" s="14">
        <v>0</v>
      </c>
      <c r="H106" s="14">
        <v>0</v>
      </c>
      <c r="I106"/>
      <c r="J106">
        <v>3</v>
      </c>
      <c r="K106" s="249"/>
      <c r="L106"/>
      <c r="M106" s="14"/>
      <c r="N106" s="300"/>
      <c r="O106" s="554"/>
    </row>
    <row r="107" spans="1:15" ht="18" customHeight="1" x14ac:dyDescent="0.25">
      <c r="A107" t="s">
        <v>523</v>
      </c>
      <c r="B107">
        <v>8</v>
      </c>
      <c r="C107" t="s">
        <v>216</v>
      </c>
      <c r="D107" t="s">
        <v>212</v>
      </c>
      <c r="E107" s="568" t="s">
        <v>526</v>
      </c>
      <c r="F107">
        <v>0</v>
      </c>
      <c r="G107" s="14">
        <v>0</v>
      </c>
      <c r="H107" s="14">
        <v>0</v>
      </c>
      <c r="I107"/>
      <c r="J107">
        <v>3</v>
      </c>
      <c r="K107" s="249"/>
      <c r="L107"/>
      <c r="M107" s="14"/>
      <c r="N107" s="300"/>
      <c r="O107" s="554"/>
    </row>
    <row r="108" spans="1:15" ht="18" customHeight="1" x14ac:dyDescent="0.25">
      <c r="A108" t="s">
        <v>523</v>
      </c>
      <c r="B108">
        <v>9</v>
      </c>
      <c r="C108" t="s">
        <v>217</v>
      </c>
      <c r="D108" t="s">
        <v>212</v>
      </c>
      <c r="E108" s="568" t="s">
        <v>527</v>
      </c>
      <c r="F108">
        <v>0</v>
      </c>
      <c r="G108" s="14">
        <v>0</v>
      </c>
      <c r="H108" s="14">
        <v>0</v>
      </c>
      <c r="I108"/>
      <c r="J108">
        <v>3</v>
      </c>
      <c r="K108" s="249"/>
      <c r="L108"/>
      <c r="M108" s="14"/>
      <c r="N108" s="300"/>
      <c r="O108" s="554"/>
    </row>
    <row r="109" spans="1:15" ht="18" customHeight="1" x14ac:dyDescent="0.25">
      <c r="A109" t="s">
        <v>523</v>
      </c>
      <c r="B109">
        <v>1</v>
      </c>
      <c r="C109" t="s">
        <v>203</v>
      </c>
      <c r="D109" t="s">
        <v>203</v>
      </c>
      <c r="E109" s="568" t="s">
        <v>204</v>
      </c>
      <c r="F109">
        <v>0</v>
      </c>
      <c r="G109" s="14"/>
      <c r="H109" s="14"/>
      <c r="I109"/>
      <c r="J109">
        <v>4</v>
      </c>
      <c r="K109" s="249">
        <v>45363</v>
      </c>
      <c r="L109"/>
      <c r="M109" s="14"/>
      <c r="N109" s="300"/>
      <c r="O109" s="554"/>
    </row>
    <row r="110" spans="1:15" ht="18" customHeight="1" x14ac:dyDescent="0.25">
      <c r="A110" t="s">
        <v>523</v>
      </c>
      <c r="B110">
        <v>2</v>
      </c>
      <c r="C110" t="s">
        <v>205</v>
      </c>
      <c r="D110" t="s">
        <v>206</v>
      </c>
      <c r="E110" s="568" t="s">
        <v>980</v>
      </c>
      <c r="F110">
        <v>0</v>
      </c>
      <c r="G110" s="14">
        <v>2525.1</v>
      </c>
      <c r="H110" s="14">
        <v>0</v>
      </c>
      <c r="I110"/>
      <c r="J110">
        <v>4</v>
      </c>
      <c r="K110" s="249"/>
      <c r="L110"/>
      <c r="M110" s="14">
        <v>2525.1</v>
      </c>
      <c r="N110" s="300"/>
      <c r="O110" s="554"/>
    </row>
    <row r="111" spans="1:15" ht="18" customHeight="1" x14ac:dyDescent="0.25">
      <c r="A111" t="s">
        <v>523</v>
      </c>
      <c r="B111">
        <v>3</v>
      </c>
      <c r="C111" t="s">
        <v>205</v>
      </c>
      <c r="D111" t="s">
        <v>208</v>
      </c>
      <c r="E111" s="568" t="s">
        <v>994</v>
      </c>
      <c r="F111">
        <v>0</v>
      </c>
      <c r="G111" s="14">
        <v>717.5</v>
      </c>
      <c r="H111" s="14">
        <v>0</v>
      </c>
      <c r="I111"/>
      <c r="J111">
        <v>4</v>
      </c>
      <c r="K111" s="249"/>
      <c r="L111"/>
      <c r="M111" s="14">
        <v>717.5</v>
      </c>
      <c r="N111" s="300"/>
      <c r="O111" s="554"/>
    </row>
    <row r="112" spans="1:15" ht="18" customHeight="1" x14ac:dyDescent="0.25">
      <c r="A112" t="s">
        <v>267</v>
      </c>
      <c r="B112">
        <v>4</v>
      </c>
      <c r="C112"/>
      <c r="D112" t="s">
        <v>209</v>
      </c>
      <c r="E112" s="568" t="s">
        <v>210</v>
      </c>
      <c r="F112">
        <v>6</v>
      </c>
      <c r="G112" s="14"/>
      <c r="H112" s="14"/>
      <c r="I112"/>
      <c r="J112">
        <v>5</v>
      </c>
      <c r="K112" s="249"/>
      <c r="L112"/>
      <c r="M112" s="14"/>
      <c r="N112" s="300"/>
      <c r="O112" s="554"/>
    </row>
  </sheetData>
  <mergeCells count="22">
    <mergeCell ref="M1:N1"/>
    <mergeCell ref="AA22:AH23"/>
    <mergeCell ref="J1:K1"/>
    <mergeCell ref="E4:F4"/>
    <mergeCell ref="H2:I2"/>
    <mergeCell ref="H3:I3"/>
    <mergeCell ref="H4:I4"/>
    <mergeCell ref="M4:N4"/>
    <mergeCell ref="M5:N5"/>
    <mergeCell ref="M3:N3"/>
    <mergeCell ref="M2:N2"/>
    <mergeCell ref="A3:D3"/>
    <mergeCell ref="A4:D4"/>
    <mergeCell ref="H5:I5"/>
    <mergeCell ref="J2:K2"/>
    <mergeCell ref="E5:F5"/>
    <mergeCell ref="J3:K3"/>
    <mergeCell ref="J4:K4"/>
    <mergeCell ref="J5:K5"/>
    <mergeCell ref="F2:G2"/>
    <mergeCell ref="C2:D2"/>
    <mergeCell ref="A2:B2"/>
  </mergeCells>
  <phoneticPr fontId="26" type="noConversion"/>
  <conditionalFormatting sqref="P7:BR7">
    <cfRule type="expression" dxfId="5" priority="1">
      <formula>P$27&lt;=TODAY()</formula>
    </cfRule>
  </conditionalFormatting>
  <conditionalFormatting sqref="P27:CU27">
    <cfRule type="expression" dxfId="4" priority="27">
      <formula>P$27&lt;=TODAY()</formula>
    </cfRule>
  </conditionalFormatting>
  <conditionalFormatting sqref="P7:DT7 AQ10:AQ15 AP14:AP15 AR14:DU15 AP16:DU16 P26:CU82 P28:DU34 AA35:DU35 P36:DU76 R73:CW82 P73:CT94 AP17:AP21 AQ17:DU23 AQ8:DU9">
    <cfRule type="expression" dxfId="3" priority="12">
      <formula>#REF!&lt;=Today</formula>
    </cfRule>
  </conditionalFormatting>
  <conditionalFormatting sqref="P28:DU34 P28:CU82 AA35:DU35 P36:DU76 AP73:DU81 R73:CW82 P73:CT94">
    <cfRule type="expression" dxfId="2" priority="4">
      <formula>#REF!&lt;=Today</formula>
    </cfRule>
  </conditionalFormatting>
  <conditionalFormatting sqref="AP77:DR81">
    <cfRule type="expression" dxfId="1" priority="2">
      <formula>#REF!&lt;=Today</formula>
    </cfRule>
  </conditionalFormatting>
  <conditionalFormatting sqref="AR10:DU11 AR13:DU19">
    <cfRule type="expression" dxfId="0" priority="11">
      <formula>#REF!&lt;=Today</formula>
    </cfRule>
  </conditionalFormatting>
  <pageMargins left="0.7" right="0.7" top="0.75" bottom="0.75" header="0.3" footer="0.3"/>
  <pageSetup scale="22"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9697" r:id="rId4" name="Scroll Bar 1">
              <controlPr defaultSize="0" autoPict="0" altText="Scrollbar for scrolling through the Gantt Timeline.">
                <anchor moveWithCells="1">
                  <from>
                    <xdr:col>18</xdr:col>
                    <xdr:colOff>66675</xdr:colOff>
                    <xdr:row>21</xdr:row>
                    <xdr:rowOff>247650</xdr:rowOff>
                  </from>
                  <to>
                    <xdr:col>25</xdr:col>
                    <xdr:colOff>0</xdr:colOff>
                    <xdr:row>23</xdr:row>
                    <xdr:rowOff>66675</xdr:rowOff>
                  </to>
                </anchor>
              </controlPr>
            </control>
          </mc:Choice>
        </mc:AlternateContent>
      </controls>
    </mc:Choice>
  </mc:AlternateContent>
  <tableParts count="1">
    <tablePart r:id="rId5"/>
  </tableParts>
  <extLst>
    <ext xmlns:x14="http://schemas.microsoft.com/office/spreadsheetml/2009/9/main" uri="{78C0D931-6437-407d-A8EE-F0AAD7539E65}">
      <x14:conditionalFormattings>
        <x14:conditionalFormatting xmlns:xm="http://schemas.microsoft.com/office/excel/2006/main">
          <x14:cfRule type="iconSet" priority="17" id="{11B8DE43-BE8A-4186-A5DE-AA449FB858A9}">
            <x14:iconSet iconSet="3Stars" showValue="0" custom="1">
              <x14:cfvo type="percent">
                <xm:f>0</xm:f>
              </x14:cfvo>
              <x14:cfvo type="num">
                <xm:f>1</xm:f>
              </x14:cfvo>
              <x14:cfvo type="num">
                <xm:f>2</xm:f>
              </x14:cfvo>
              <x14:cfIcon iconSet="3Signs" iconId="1"/>
              <x14:cfIcon iconSet="3Flags" iconId="0"/>
              <x14:cfIcon iconSet="3Signs" iconId="0"/>
            </x14:iconSet>
          </x14:cfRule>
          <xm:sqref>P50:CI50</xm:sqref>
        </x14:conditionalFormatting>
        <x14:conditionalFormatting xmlns:xm="http://schemas.microsoft.com/office/excel/2006/main">
          <x14:cfRule type="iconSet" priority="18" id="{32C4EBB1-C3AF-4C89-A311-F2447EEDC37E}">
            <x14:iconSet iconSet="3Stars" showValue="0" custom="1">
              <x14:cfvo type="percent">
                <xm:f>0</xm:f>
              </x14:cfvo>
              <x14:cfvo type="num">
                <xm:f>1</xm:f>
              </x14:cfvo>
              <x14:cfvo type="num">
                <xm:f>2</xm:f>
              </x14:cfvo>
              <x14:cfIcon iconSet="3Signs" iconId="1"/>
              <x14:cfIcon iconSet="3Flags" iconId="0"/>
              <x14:cfIcon iconSet="3Signs" iconId="0"/>
            </x14:iconSet>
          </x14:cfRule>
          <xm:sqref>P28:DU34 AP73:DU81 R73:CW82 P73:CT94 P36:DU76 AA35:DU35 P28:CU82</xm:sqref>
        </x14:conditionalFormatting>
        <x14:conditionalFormatting xmlns:xm="http://schemas.microsoft.com/office/excel/2006/main">
          <x14:cfRule type="iconSet" priority="24" id="{E473E98C-287A-46DB-A3C1-8B7E973AF915}">
            <x14:iconSet iconSet="3Stars" showValue="0" custom="1">
              <x14:cfvo type="percent">
                <xm:f>0</xm:f>
              </x14:cfvo>
              <x14:cfvo type="num">
                <xm:f>1</xm:f>
              </x14:cfvo>
              <x14:cfvo type="num">
                <xm:f>2</xm:f>
              </x14:cfvo>
              <x14:cfIcon iconSet="3Signs" iconId="1"/>
              <x14:cfIcon iconSet="3Flags" iconId="0"/>
              <x14:cfIcon iconSet="3Signs" iconId="0"/>
            </x14:iconSet>
          </x14:cfRule>
          <xm:sqref>P28:DU34 AQ8:DL9 BS7:DK7 AR10:DL11 AR13:DL15 AP14:AQ15 DM14:DU15 R73:CW82 AQ22:AQ23 P73:CT94 P36:DU76 AA35:DU35 P28:CU82 AP17:AQ21 AR17:DU23 AP16:DU16</xm:sqref>
        </x14:conditionalFormatting>
        <x14:conditionalFormatting xmlns:xm="http://schemas.microsoft.com/office/excel/2006/main">
          <x14:cfRule type="iconSet" priority="19" id="{8952E159-8216-41EC-9A00-6176EE9B3527}">
            <x14:iconSet iconSet="3Stars" showValue="0" custom="1">
              <x14:cfvo type="percent">
                <xm:f>0</xm:f>
              </x14:cfvo>
              <x14:cfvo type="num">
                <xm:f>1</xm:f>
              </x14:cfvo>
              <x14:cfvo type="num">
                <xm:f>2</xm:f>
              </x14:cfvo>
              <x14:cfIcon iconSet="3Signs" iconId="1"/>
              <x14:cfIcon iconSet="3Flags" iconId="0"/>
              <x14:cfIcon iconSet="3Signs" iconId="0"/>
            </x14:iconSet>
          </x14:cfRule>
          <xm:sqref>AP77:DR81</xm:sqref>
        </x14:conditionalFormatting>
        <x14:conditionalFormatting xmlns:xm="http://schemas.microsoft.com/office/excel/2006/main">
          <x14:cfRule type="iconSet" priority="8" id="{02E2F895-53F7-4353-B1B1-6B803807E861}">
            <x14:iconSet iconSet="3Stars" showValue="0" custom="1">
              <x14:cfvo type="percent">
                <xm:f>0</xm:f>
              </x14:cfvo>
              <x14:cfvo type="num">
                <xm:f>1</xm:f>
              </x14:cfvo>
              <x14:cfvo type="num">
                <xm:f>2</xm:f>
              </x14:cfvo>
              <x14:cfIcon iconSet="3Signs" iconId="1"/>
              <x14:cfIcon iconSet="3Flags" iconId="0"/>
              <x14:cfIcon iconSet="3Signs" iconId="0"/>
            </x14:iconSet>
          </x14:cfRule>
          <xm:sqref>CJ50:CO50</xm:sqref>
        </x14:conditionalFormatting>
        <x14:conditionalFormatting xmlns:xm="http://schemas.microsoft.com/office/excel/2006/main">
          <x14:cfRule type="iconSet" priority="22" id="{EC1D6B67-BED0-4DC7-97C6-919BB3551B69}">
            <x14:iconSet iconSet="3Stars" showValue="0" custom="1">
              <x14:cfvo type="percent">
                <xm:f>0</xm:f>
              </x14:cfvo>
              <x14:cfvo type="num">
                <xm:f>1</xm:f>
              </x14:cfvo>
              <x14:cfvo type="num">
                <xm:f>2</xm:f>
              </x14:cfvo>
              <x14:cfIcon iconSet="3Signs" iconId="1"/>
              <x14:cfIcon iconSet="3Flags" iconId="0"/>
              <x14:cfIcon iconSet="3Signs" iconId="0"/>
            </x14:iconSet>
          </x14:cfRule>
          <xm:sqref>CJ51:CO69 DM8:DR11 DL7:DQ7 DM21:DR23 CJ31:CO49 CI29:CN30 DM13:DR19</xm:sqref>
        </x14:conditionalFormatting>
        <x14:conditionalFormatting xmlns:xm="http://schemas.microsoft.com/office/excel/2006/main">
          <x14:cfRule type="iconSet" priority="9" id="{65B57FED-3C5D-4FE2-B960-7071AFE87695}">
            <x14:iconSet iconSet="3Stars" showValue="0" custom="1">
              <x14:cfvo type="percent">
                <xm:f>0</xm:f>
              </x14:cfvo>
              <x14:cfvo type="num">
                <xm:f>1</xm:f>
              </x14:cfvo>
              <x14:cfvo type="num">
                <xm:f>2</xm:f>
              </x14:cfvo>
              <x14:cfIcon iconSet="3Signs" iconId="1"/>
              <x14:cfIcon iconSet="3Flags" iconId="0"/>
              <x14:cfIcon iconSet="3Signs" iconId="0"/>
            </x14:iconSet>
          </x14:cfRule>
          <xm:sqref>CP50:CR50</xm:sqref>
        </x14:conditionalFormatting>
        <x14:conditionalFormatting xmlns:xm="http://schemas.microsoft.com/office/excel/2006/main">
          <x14:cfRule type="iconSet" priority="23" id="{E1FA3778-36D6-4EC4-B65E-1E331FF5D5CD}">
            <x14:iconSet iconSet="3Stars" showValue="0" custom="1">
              <x14:cfvo type="percent">
                <xm:f>0</xm:f>
              </x14:cfvo>
              <x14:cfvo type="num">
                <xm:f>1</xm:f>
              </x14:cfvo>
              <x14:cfvo type="num">
                <xm:f>2</xm:f>
              </x14:cfvo>
              <x14:cfIcon iconSet="3Signs" iconId="1"/>
              <x14:cfIcon iconSet="3Flags" iconId="0"/>
              <x14:cfIcon iconSet="3Signs" iconId="0"/>
            </x14:iconSet>
          </x14:cfRule>
          <xm:sqref>CP51:CR69 DS8:DU11 DR7:DT7 DS21:DU23 CP31:CR49 CO29:CQ30 DS13:DU19</xm:sqref>
        </x14:conditionalFormatting>
        <x14:conditionalFormatting xmlns:xm="http://schemas.microsoft.com/office/excel/2006/main">
          <x14:cfRule type="iconSet" priority="86" id="{C4D9873F-4604-46C4-84EF-1E6C84231C68}">
            <x14:iconSet iconSet="3Stars" showValue="0" custom="1">
              <x14:cfvo type="percent">
                <xm:f>0</xm:f>
              </x14:cfvo>
              <x14:cfvo type="num">
                <xm:f>1</xm:f>
              </x14:cfvo>
              <x14:cfvo type="num">
                <xm:f>2</xm:f>
              </x14:cfvo>
              <x14:cfIcon iconSet="3Signs" iconId="1"/>
              <x14:cfIcon iconSet="3Flags" iconId="0"/>
              <x14:cfIcon iconSet="3Signs" iconId="0"/>
            </x14:iconSet>
          </x14:cfRule>
          <xm:sqref>AQ10:AQ19</xm:sqref>
        </x14:conditionalFormatting>
      </x14:conditionalFormatting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4F3CB8-1393-4F62-AB92-7BBF12439437}">
  <sheetPr codeName="Sheet9">
    <tabColor theme="5" tint="0.59999389629810485"/>
  </sheetPr>
  <dimension ref="A1:W17"/>
  <sheetViews>
    <sheetView workbookViewId="0">
      <pane ySplit="4" topLeftCell="A5" activePane="bottomLeft" state="frozen"/>
      <selection pane="bottomLeft" activeCell="C28" sqref="C28"/>
    </sheetView>
  </sheetViews>
  <sheetFormatPr defaultRowHeight="15" x14ac:dyDescent="0.25"/>
  <cols>
    <col min="1" max="1" width="9.7109375" bestFit="1" customWidth="1"/>
    <col min="2" max="2" width="17.140625" bestFit="1" customWidth="1"/>
    <col min="3" max="3" width="43.28515625" bestFit="1" customWidth="1"/>
    <col min="4" max="4" width="10.7109375" bestFit="1" customWidth="1"/>
    <col min="5" max="5" width="14.28515625" style="259" bestFit="1" customWidth="1"/>
    <col min="6" max="6" width="10" style="259" bestFit="1" customWidth="1"/>
    <col min="7" max="8" width="10.28515625" style="259" bestFit="1" customWidth="1"/>
    <col min="9" max="9" width="5.42578125" style="259" customWidth="1"/>
    <col min="10" max="10" width="50.7109375" bestFit="1" customWidth="1"/>
    <col min="11" max="12" width="9.7109375" bestFit="1" customWidth="1"/>
    <col min="13" max="13" width="8.7109375" style="249" customWidth="1"/>
    <col min="14" max="14" width="9.7109375" bestFit="1" customWidth="1"/>
    <col min="15" max="15" width="9.5703125" bestFit="1" customWidth="1"/>
    <col min="16" max="16" width="15.7109375" bestFit="1" customWidth="1"/>
    <col min="17" max="17" width="14.28515625" bestFit="1" customWidth="1"/>
    <col min="18" max="18" width="9.7109375" bestFit="1" customWidth="1"/>
    <col min="19" max="20" width="10.28515625" bestFit="1" customWidth="1"/>
    <col min="21" max="21" width="8" bestFit="1" customWidth="1"/>
    <col min="22" max="22" width="12" bestFit="1" customWidth="1"/>
    <col min="23" max="23" width="12" style="249" bestFit="1" customWidth="1"/>
    <col min="24" max="25" width="14.28515625" bestFit="1" customWidth="1"/>
  </cols>
  <sheetData>
    <row r="1" spans="1:23" x14ac:dyDescent="0.25">
      <c r="A1" s="887" t="s">
        <v>268</v>
      </c>
      <c r="B1" s="888"/>
      <c r="C1" s="843"/>
      <c r="D1" s="843"/>
      <c r="E1" s="843"/>
      <c r="F1" s="843"/>
      <c r="G1" s="746"/>
      <c r="I1" s="883" t="s">
        <v>269</v>
      </c>
      <c r="J1" s="884"/>
      <c r="K1" s="885"/>
      <c r="L1" s="886"/>
      <c r="M1"/>
      <c r="N1" s="873" t="s">
        <v>270</v>
      </c>
      <c r="O1" s="874"/>
      <c r="P1" s="874"/>
      <c r="Q1" s="874"/>
      <c r="R1" s="874"/>
      <c r="S1" s="875"/>
      <c r="W1"/>
    </row>
    <row r="2" spans="1:23" ht="15.75" thickBot="1" x14ac:dyDescent="0.3">
      <c r="A2" s="887" t="s">
        <v>271</v>
      </c>
      <c r="B2" s="888"/>
      <c r="C2" s="843"/>
      <c r="D2" s="843"/>
      <c r="E2" s="843"/>
      <c r="F2" s="843"/>
      <c r="G2" s="746"/>
      <c r="I2" s="879" t="s">
        <v>272</v>
      </c>
      <c r="J2" s="880"/>
      <c r="K2" s="881"/>
      <c r="L2" s="882"/>
      <c r="M2"/>
      <c r="N2" s="876" t="str">
        <f>"Recap Summary Table - " &amp; +Profit!B2</f>
        <v>Recap Summary Table - 1343 Old Buckhorn Rd</v>
      </c>
      <c r="O2" s="877"/>
      <c r="P2" s="877"/>
      <c r="Q2" s="877"/>
      <c r="R2" s="877"/>
      <c r="S2" s="878"/>
      <c r="W2"/>
    </row>
    <row r="4" spans="1:23" s="62" customFormat="1" x14ac:dyDescent="0.25">
      <c r="A4" s="62" t="s">
        <v>227</v>
      </c>
      <c r="B4" s="22" t="s">
        <v>229</v>
      </c>
      <c r="C4" s="62" t="s">
        <v>230</v>
      </c>
      <c r="D4" s="3" t="s">
        <v>273</v>
      </c>
      <c r="E4" s="286" t="s">
        <v>234</v>
      </c>
      <c r="F4" s="3" t="s">
        <v>231</v>
      </c>
      <c r="G4" s="62" t="s">
        <v>232</v>
      </c>
      <c r="I4" s="62" t="s">
        <v>227</v>
      </c>
      <c r="J4" s="62" t="s">
        <v>274</v>
      </c>
      <c r="K4" s="287" t="s">
        <v>275</v>
      </c>
      <c r="L4" s="62" t="s">
        <v>232</v>
      </c>
      <c r="N4" s="3" t="s">
        <v>227</v>
      </c>
      <c r="O4" s="22" t="s">
        <v>229</v>
      </c>
      <c r="P4" s="3" t="s">
        <v>230</v>
      </c>
      <c r="Q4" s="3" t="s">
        <v>274</v>
      </c>
      <c r="R4" s="3" t="s">
        <v>275</v>
      </c>
      <c r="S4" s="3" t="s">
        <v>232</v>
      </c>
    </row>
    <row r="5" spans="1:23" x14ac:dyDescent="0.25">
      <c r="A5">
        <v>12</v>
      </c>
      <c r="B5" t="s">
        <v>879</v>
      </c>
      <c r="C5" t="s">
        <v>880</v>
      </c>
      <c r="D5">
        <v>1</v>
      </c>
      <c r="F5" s="288"/>
      <c r="G5"/>
      <c r="H5"/>
      <c r="I5"/>
      <c r="K5" s="249"/>
      <c r="M5"/>
      <c r="R5" s="249"/>
      <c r="W5"/>
    </row>
    <row r="6" spans="1:23" x14ac:dyDescent="0.25">
      <c r="A6">
        <v>13</v>
      </c>
      <c r="B6" t="s">
        <v>886</v>
      </c>
      <c r="C6" t="s">
        <v>936</v>
      </c>
      <c r="D6">
        <v>1</v>
      </c>
      <c r="F6" s="288"/>
      <c r="G6"/>
      <c r="H6"/>
      <c r="I6"/>
      <c r="K6" s="249"/>
      <c r="M6"/>
      <c r="W6"/>
    </row>
    <row r="7" spans="1:23" x14ac:dyDescent="0.25">
      <c r="A7">
        <v>43</v>
      </c>
      <c r="B7" t="s">
        <v>956</v>
      </c>
      <c r="C7" t="s">
        <v>955</v>
      </c>
      <c r="D7">
        <v>1</v>
      </c>
      <c r="F7" s="288"/>
      <c r="G7"/>
      <c r="H7"/>
      <c r="I7"/>
      <c r="K7" s="249"/>
      <c r="M7"/>
      <c r="W7"/>
    </row>
    <row r="8" spans="1:23" x14ac:dyDescent="0.25">
      <c r="A8">
        <v>47</v>
      </c>
      <c r="B8" t="s">
        <v>962</v>
      </c>
      <c r="C8" t="s">
        <v>963</v>
      </c>
      <c r="D8">
        <v>1</v>
      </c>
      <c r="F8" s="288"/>
      <c r="G8"/>
      <c r="H8"/>
      <c r="I8"/>
      <c r="K8" s="249"/>
      <c r="M8"/>
      <c r="W8"/>
    </row>
    <row r="9" spans="1:23" x14ac:dyDescent="0.25">
      <c r="A9">
        <v>5</v>
      </c>
      <c r="B9" t="s">
        <v>212</v>
      </c>
      <c r="C9" t="s">
        <v>529</v>
      </c>
      <c r="D9">
        <v>3</v>
      </c>
      <c r="F9" s="288">
        <v>0</v>
      </c>
      <c r="G9"/>
      <c r="H9"/>
      <c r="I9"/>
      <c r="K9" s="249"/>
      <c r="M9"/>
      <c r="W9"/>
    </row>
    <row r="10" spans="1:23" x14ac:dyDescent="0.25">
      <c r="A10">
        <v>6</v>
      </c>
      <c r="B10" t="s">
        <v>212</v>
      </c>
      <c r="C10" t="s">
        <v>524</v>
      </c>
      <c r="D10">
        <v>3</v>
      </c>
      <c r="F10" s="288">
        <v>0</v>
      </c>
      <c r="G10"/>
      <c r="H10"/>
      <c r="I10"/>
      <c r="K10" s="249"/>
      <c r="M10"/>
      <c r="W10"/>
    </row>
    <row r="11" spans="1:23" x14ac:dyDescent="0.25">
      <c r="A11">
        <v>7</v>
      </c>
      <c r="B11" t="s">
        <v>212</v>
      </c>
      <c r="C11" t="s">
        <v>525</v>
      </c>
      <c r="D11">
        <v>3</v>
      </c>
      <c r="F11" s="288">
        <v>0</v>
      </c>
      <c r="G11"/>
      <c r="H11"/>
      <c r="I11"/>
      <c r="K11" s="249"/>
      <c r="M11"/>
      <c r="W11"/>
    </row>
    <row r="12" spans="1:23" x14ac:dyDescent="0.25">
      <c r="A12">
        <v>8</v>
      </c>
      <c r="B12" t="s">
        <v>212</v>
      </c>
      <c r="C12" t="s">
        <v>526</v>
      </c>
      <c r="D12">
        <v>3</v>
      </c>
      <c r="F12" s="288">
        <v>0</v>
      </c>
      <c r="G12"/>
      <c r="H12"/>
      <c r="I12"/>
      <c r="K12" s="249"/>
      <c r="M12"/>
      <c r="W12"/>
    </row>
    <row r="13" spans="1:23" x14ac:dyDescent="0.25">
      <c r="A13">
        <v>9</v>
      </c>
      <c r="B13" t="s">
        <v>212</v>
      </c>
      <c r="C13" t="s">
        <v>527</v>
      </c>
      <c r="D13">
        <v>3</v>
      </c>
      <c r="F13" s="288">
        <v>0</v>
      </c>
      <c r="G13"/>
      <c r="H13"/>
      <c r="I13"/>
      <c r="K13" s="249"/>
      <c r="M13"/>
      <c r="U13" s="249"/>
      <c r="W13"/>
    </row>
    <row r="14" spans="1:23" x14ac:dyDescent="0.25">
      <c r="A14">
        <v>2</v>
      </c>
      <c r="B14" t="s">
        <v>207</v>
      </c>
      <c r="C14" t="s">
        <v>980</v>
      </c>
      <c r="D14">
        <v>4</v>
      </c>
      <c r="F14" s="288">
        <v>0</v>
      </c>
      <c r="G14"/>
      <c r="H14"/>
      <c r="I14"/>
      <c r="K14" s="249"/>
      <c r="M14"/>
      <c r="U14" s="249"/>
      <c r="W14"/>
    </row>
    <row r="15" spans="1:23" x14ac:dyDescent="0.25">
      <c r="A15">
        <v>3</v>
      </c>
      <c r="B15" t="s">
        <v>208</v>
      </c>
      <c r="C15" t="s">
        <v>994</v>
      </c>
      <c r="D15">
        <v>4</v>
      </c>
      <c r="F15" s="288">
        <v>0</v>
      </c>
      <c r="G15"/>
    </row>
    <row r="16" spans="1:23" x14ac:dyDescent="0.25">
      <c r="A16">
        <v>1</v>
      </c>
      <c r="B16" t="s">
        <v>203</v>
      </c>
      <c r="C16" t="s">
        <v>204</v>
      </c>
      <c r="D16">
        <v>4</v>
      </c>
      <c r="E16" s="259">
        <v>45363</v>
      </c>
      <c r="F16" s="288"/>
      <c r="G16"/>
    </row>
    <row r="17" spans="1:7" x14ac:dyDescent="0.25">
      <c r="A17">
        <v>4</v>
      </c>
      <c r="B17" t="s">
        <v>209</v>
      </c>
      <c r="C17" t="s">
        <v>210</v>
      </c>
      <c r="D17">
        <v>5</v>
      </c>
      <c r="F17" s="288"/>
      <c r="G17"/>
    </row>
  </sheetData>
  <mergeCells count="6">
    <mergeCell ref="N1:S1"/>
    <mergeCell ref="N2:S2"/>
    <mergeCell ref="I2:L2"/>
    <mergeCell ref="I1:L1"/>
    <mergeCell ref="A1:G1"/>
    <mergeCell ref="A2:G2"/>
  </mergeCells>
  <pageMargins left="0.7" right="0.7" top="0.75" bottom="0.75" header="0.3" footer="0.3"/>
  <tableParts count="3">
    <tablePart r:id="rId1"/>
    <tablePart r:id="rId2"/>
    <tablePart r:id="rId3"/>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269E03-D4BE-4932-9726-F5502B27FBAE}">
  <sheetPr codeName="Sheet10">
    <tabColor theme="4" tint="-0.249977111117893"/>
  </sheetPr>
  <dimension ref="A1:K31"/>
  <sheetViews>
    <sheetView workbookViewId="0">
      <selection activeCell="G8" sqref="G8"/>
    </sheetView>
  </sheetViews>
  <sheetFormatPr defaultRowHeight="15" x14ac:dyDescent="0.25"/>
  <cols>
    <col min="1" max="2" width="26.7109375" style="2" bestFit="1" customWidth="1"/>
    <col min="3" max="3" width="22.28515625" customWidth="1"/>
    <col min="4" max="4" width="9.28515625" style="5" bestFit="1" customWidth="1"/>
    <col min="5" max="5" width="9.28515625" style="26" bestFit="1" customWidth="1"/>
    <col min="6" max="8" width="9.28515625" bestFit="1" customWidth="1"/>
    <col min="9" max="9" width="19.28515625" bestFit="1" customWidth="1"/>
    <col min="10" max="10" width="9.7109375" bestFit="1" customWidth="1"/>
  </cols>
  <sheetData>
    <row r="1" spans="1:11" ht="15.75" thickBot="1" x14ac:dyDescent="0.3">
      <c r="B1" s="2" t="s">
        <v>503</v>
      </c>
    </row>
    <row r="2" spans="1:11" x14ac:dyDescent="0.25">
      <c r="I2" s="891" t="s">
        <v>2</v>
      </c>
      <c r="J2" s="891" t="str">
        <f>IF(Profit!$S$6,IF(K2="No","No","Yes"),"No")</f>
        <v>No</v>
      </c>
      <c r="K2" s="893"/>
    </row>
    <row r="3" spans="1:11" s="3" customFormat="1" ht="15.75" thickBot="1" x14ac:dyDescent="0.3">
      <c r="A3" s="3" t="s">
        <v>327</v>
      </c>
      <c r="B3" s="3" t="s">
        <v>275</v>
      </c>
      <c r="C3" s="13" t="s">
        <v>328</v>
      </c>
      <c r="D3" s="3" t="s">
        <v>329</v>
      </c>
      <c r="E3" s="13" t="s">
        <v>330</v>
      </c>
      <c r="F3" s="3" t="s">
        <v>331</v>
      </c>
      <c r="I3" s="892"/>
      <c r="J3" s="892"/>
      <c r="K3" s="894"/>
    </row>
    <row r="4" spans="1:11" s="3" customFormat="1" x14ac:dyDescent="0.25">
      <c r="C4" s="13"/>
      <c r="E4" s="13"/>
    </row>
    <row r="5" spans="1:11" s="3" customFormat="1" x14ac:dyDescent="0.25">
      <c r="A5" s="2" t="s">
        <v>500</v>
      </c>
      <c r="B5" s="12">
        <v>45316</v>
      </c>
      <c r="C5" s="314"/>
      <c r="D5">
        <v>2</v>
      </c>
      <c r="E5" s="14">
        <v>35</v>
      </c>
      <c r="F5" s="14">
        <f>+D5*E5</f>
        <v>70</v>
      </c>
    </row>
    <row r="6" spans="1:11" s="3" customFormat="1" x14ac:dyDescent="0.25">
      <c r="C6" s="13"/>
      <c r="E6" s="13"/>
    </row>
    <row r="7" spans="1:11" s="3" customFormat="1" ht="15.75" thickBot="1" x14ac:dyDescent="0.3">
      <c r="C7" s="13"/>
      <c r="E7" s="13"/>
      <c r="F7" s="23"/>
      <c r="G7" s="23"/>
    </row>
    <row r="8" spans="1:11" s="3" customFormat="1" x14ac:dyDescent="0.25">
      <c r="C8" s="13"/>
      <c r="E8" s="13"/>
      <c r="F8" s="14"/>
      <c r="G8" s="5">
        <f>IF(J2="Yes",SUM(F5:F7),0)</f>
        <v>0</v>
      </c>
    </row>
    <row r="9" spans="1:11" x14ac:dyDescent="0.25">
      <c r="B9"/>
      <c r="C9" s="14"/>
      <c r="D9"/>
      <c r="E9" s="14"/>
      <c r="F9" s="14">
        <f t="shared" ref="F9:F21" si="0">+D9*E9</f>
        <v>0</v>
      </c>
    </row>
    <row r="10" spans="1:11" s="22" customFormat="1" x14ac:dyDescent="0.25">
      <c r="A10" s="2" t="s">
        <v>500</v>
      </c>
      <c r="B10" s="12">
        <v>45316</v>
      </c>
      <c r="C10" s="314"/>
      <c r="D10">
        <v>0</v>
      </c>
      <c r="E10" s="14">
        <v>35</v>
      </c>
      <c r="F10" s="14">
        <f t="shared" si="0"/>
        <v>0</v>
      </c>
      <c r="G10"/>
      <c r="H10" s="3"/>
      <c r="I10" s="3"/>
    </row>
    <row r="11" spans="1:11" x14ac:dyDescent="0.25">
      <c r="A11" s="2" t="s">
        <v>500</v>
      </c>
      <c r="B11" s="12">
        <v>45322</v>
      </c>
      <c r="C11" s="314"/>
      <c r="D11">
        <v>0</v>
      </c>
      <c r="E11" s="14">
        <v>55</v>
      </c>
      <c r="F11" s="14">
        <f t="shared" si="0"/>
        <v>0</v>
      </c>
    </row>
    <row r="12" spans="1:11" x14ac:dyDescent="0.25">
      <c r="A12" s="2" t="s">
        <v>501</v>
      </c>
      <c r="B12" s="12"/>
      <c r="C12" s="314"/>
      <c r="D12">
        <v>0</v>
      </c>
      <c r="E12" s="14"/>
      <c r="F12" s="14">
        <f t="shared" si="0"/>
        <v>0</v>
      </c>
    </row>
    <row r="13" spans="1:11" x14ac:dyDescent="0.25">
      <c r="A13" s="2" t="s">
        <v>558</v>
      </c>
      <c r="B13" s="12">
        <v>45315</v>
      </c>
      <c r="C13" s="314"/>
      <c r="D13">
        <v>0</v>
      </c>
      <c r="E13" s="14">
        <v>201.25</v>
      </c>
      <c r="F13" s="14">
        <f t="shared" si="0"/>
        <v>0</v>
      </c>
    </row>
    <row r="14" spans="1:11" x14ac:dyDescent="0.25">
      <c r="A14" s="2" t="s">
        <v>559</v>
      </c>
      <c r="B14" s="12">
        <v>45322</v>
      </c>
      <c r="C14" s="314"/>
      <c r="D14">
        <v>0</v>
      </c>
      <c r="E14" s="14">
        <v>46</v>
      </c>
      <c r="F14" s="14">
        <f t="shared" si="0"/>
        <v>0</v>
      </c>
    </row>
    <row r="15" spans="1:11" x14ac:dyDescent="0.25">
      <c r="A15" s="2" t="s">
        <v>560</v>
      </c>
      <c r="B15" s="12">
        <v>45322</v>
      </c>
      <c r="C15" s="314"/>
      <c r="D15">
        <v>0</v>
      </c>
      <c r="E15" s="14">
        <v>10</v>
      </c>
      <c r="F15" s="14">
        <f t="shared" si="0"/>
        <v>0</v>
      </c>
    </row>
    <row r="16" spans="1:11" x14ac:dyDescent="0.25">
      <c r="B16" s="12"/>
      <c r="C16" s="314"/>
      <c r="D16">
        <v>1</v>
      </c>
      <c r="E16" s="14"/>
      <c r="F16" s="14">
        <f t="shared" si="0"/>
        <v>0</v>
      </c>
    </row>
    <row r="17" spans="1:10" x14ac:dyDescent="0.25">
      <c r="B17" s="12"/>
      <c r="C17" s="314"/>
      <c r="D17">
        <v>1</v>
      </c>
      <c r="E17" s="14"/>
      <c r="F17" s="14">
        <f t="shared" si="0"/>
        <v>0</v>
      </c>
    </row>
    <row r="18" spans="1:10" x14ac:dyDescent="0.25">
      <c r="B18" s="178"/>
      <c r="C18" s="14"/>
      <c r="D18"/>
      <c r="E18" s="14"/>
      <c r="F18" s="14">
        <f t="shared" si="0"/>
        <v>0</v>
      </c>
    </row>
    <row r="19" spans="1:10" x14ac:dyDescent="0.25">
      <c r="B19" s="178"/>
      <c r="C19" s="14"/>
      <c r="D19"/>
      <c r="E19" s="14"/>
      <c r="F19" s="14">
        <f t="shared" si="0"/>
        <v>0</v>
      </c>
    </row>
    <row r="20" spans="1:10" x14ac:dyDescent="0.25">
      <c r="B20"/>
      <c r="C20" s="14"/>
      <c r="D20"/>
      <c r="E20" s="14"/>
      <c r="F20" s="14">
        <f t="shared" si="0"/>
        <v>0</v>
      </c>
    </row>
    <row r="21" spans="1:10" x14ac:dyDescent="0.25">
      <c r="B21"/>
      <c r="C21" s="14"/>
      <c r="D21">
        <v>1</v>
      </c>
      <c r="E21" s="14"/>
      <c r="F21" s="14">
        <f t="shared" si="0"/>
        <v>0</v>
      </c>
    </row>
    <row r="22" spans="1:10" x14ac:dyDescent="0.25">
      <c r="B22"/>
      <c r="C22" s="14"/>
      <c r="D22"/>
      <c r="E22" s="14"/>
    </row>
    <row r="23" spans="1:10" ht="15.75" thickBot="1" x14ac:dyDescent="0.3">
      <c r="B23"/>
      <c r="C23" s="14"/>
      <c r="D23"/>
      <c r="E23" s="14"/>
      <c r="F23" s="23"/>
      <c r="G23" s="23"/>
    </row>
    <row r="24" spans="1:10" x14ac:dyDescent="0.25">
      <c r="B24"/>
      <c r="C24" s="14"/>
      <c r="D24"/>
      <c r="E24" s="14"/>
      <c r="F24" s="14"/>
      <c r="G24" s="5">
        <f>IF(J2="No",SUM(F9:F23),0)</f>
        <v>0</v>
      </c>
    </row>
    <row r="25" spans="1:10" x14ac:dyDescent="0.25">
      <c r="A25"/>
      <c r="C25" s="11"/>
    </row>
    <row r="26" spans="1:10" x14ac:dyDescent="0.25">
      <c r="A26"/>
      <c r="C26" s="11"/>
    </row>
    <row r="27" spans="1:10" ht="15.75" thickBot="1" x14ac:dyDescent="0.3">
      <c r="C27" s="11"/>
      <c r="E27" s="29"/>
      <c r="F27" s="29"/>
      <c r="I27" s="2"/>
      <c r="J27" s="12"/>
    </row>
    <row r="28" spans="1:10" x14ac:dyDescent="0.25">
      <c r="C28" s="889"/>
      <c r="D28" s="890"/>
      <c r="E28" s="890"/>
      <c r="F28" s="4"/>
      <c r="I28" s="2"/>
    </row>
    <row r="30" spans="1:10" x14ac:dyDescent="0.25">
      <c r="E30" s="2"/>
      <c r="F30" s="2"/>
    </row>
    <row r="31" spans="1:10" x14ac:dyDescent="0.25">
      <c r="F31" s="4"/>
    </row>
  </sheetData>
  <mergeCells count="4">
    <mergeCell ref="C28:E28"/>
    <mergeCell ref="I2:I3"/>
    <mergeCell ref="J2:J3"/>
    <mergeCell ref="K2:K3"/>
  </mergeCells>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1"/>
  <dimension ref="A1:E11"/>
  <sheetViews>
    <sheetView workbookViewId="0">
      <selection activeCell="D4" sqref="D4"/>
    </sheetView>
  </sheetViews>
  <sheetFormatPr defaultRowHeight="15" x14ac:dyDescent="0.25"/>
  <cols>
    <col min="1" max="1" width="26" style="2" bestFit="1" customWidth="1"/>
    <col min="2" max="2" width="9.140625" style="1"/>
    <col min="3" max="3" width="11.85546875" style="1" bestFit="1" customWidth="1"/>
  </cols>
  <sheetData>
    <row r="1" spans="1:5" ht="60" x14ac:dyDescent="0.25">
      <c r="A1" s="3" t="s">
        <v>277</v>
      </c>
      <c r="B1" s="7" t="s">
        <v>278</v>
      </c>
    </row>
    <row r="2" spans="1:5" x14ac:dyDescent="0.25">
      <c r="A2" s="3" t="s">
        <v>279</v>
      </c>
      <c r="B2" s="6"/>
      <c r="C2" s="4"/>
    </row>
    <row r="4" spans="1:5" x14ac:dyDescent="0.25">
      <c r="A4" s="2" t="s">
        <v>280</v>
      </c>
      <c r="B4" s="1">
        <v>0</v>
      </c>
      <c r="C4" s="1">
        <v>0</v>
      </c>
    </row>
    <row r="5" spans="1:5" x14ac:dyDescent="0.25">
      <c r="A5" s="2" t="s">
        <v>281</v>
      </c>
      <c r="B5" s="1">
        <v>33</v>
      </c>
      <c r="C5"/>
      <c r="D5" s="1"/>
    </row>
    <row r="6" spans="1:5" ht="15.75" thickBot="1" x14ac:dyDescent="0.3">
      <c r="A6" s="2" t="s">
        <v>282</v>
      </c>
      <c r="B6" s="20">
        <v>0</v>
      </c>
      <c r="C6" s="20">
        <f>B5*B6</f>
        <v>0</v>
      </c>
      <c r="D6" s="29"/>
    </row>
    <row r="7" spans="1:5" x14ac:dyDescent="0.25">
      <c r="C7" s="9" t="s">
        <v>283</v>
      </c>
      <c r="D7" s="1">
        <f>SUM(C4:C6)</f>
        <v>0</v>
      </c>
    </row>
    <row r="8" spans="1:5" x14ac:dyDescent="0.25">
      <c r="D8" s="1"/>
    </row>
    <row r="10" spans="1:5" ht="15.75" thickBot="1" x14ac:dyDescent="0.3">
      <c r="D10" s="29"/>
    </row>
    <row r="11" spans="1:5" x14ac:dyDescent="0.25">
      <c r="D11" s="30" t="s">
        <v>284</v>
      </c>
      <c r="E11" s="1">
        <f>+SUM(C4:C10)</f>
        <v>0</v>
      </c>
    </row>
  </sheetData>
  <pageMargins left="0.7" right="0.7" top="0.75" bottom="0.75" header="0.3" footer="0.3"/>
  <pageSetup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CC5F0F-F50D-4240-B814-4797EC2276C3}">
  <sheetPr codeName="Sheet12"/>
  <dimension ref="A1:G62"/>
  <sheetViews>
    <sheetView workbookViewId="0">
      <pane ySplit="2" topLeftCell="A45" activePane="bottomLeft" state="frozen"/>
      <selection pane="bottomLeft" activeCell="C46" sqref="C46"/>
    </sheetView>
  </sheetViews>
  <sheetFormatPr defaultColWidth="9.140625" defaultRowHeight="15" x14ac:dyDescent="0.25"/>
  <cols>
    <col min="1" max="1" width="39.7109375" bestFit="1" customWidth="1"/>
    <col min="2" max="2" width="26.85546875" style="2" customWidth="1"/>
    <col min="5" max="5" width="9.28515625" bestFit="1" customWidth="1"/>
    <col min="6" max="6" width="9.28515625" customWidth="1"/>
  </cols>
  <sheetData>
    <row r="1" spans="1:7" x14ac:dyDescent="0.25">
      <c r="A1" s="15" t="s">
        <v>285</v>
      </c>
    </row>
    <row r="2" spans="1:7" s="3" customFormat="1" x14ac:dyDescent="0.25">
      <c r="B2" s="3" t="s">
        <v>286</v>
      </c>
      <c r="C2" s="3" t="s">
        <v>287</v>
      </c>
      <c r="D2" s="8" t="s">
        <v>288</v>
      </c>
      <c r="E2" s="3" t="s">
        <v>289</v>
      </c>
      <c r="F2" s="8" t="s">
        <v>276</v>
      </c>
      <c r="G2" s="3" t="s">
        <v>290</v>
      </c>
    </row>
    <row r="3" spans="1:7" x14ac:dyDescent="0.25">
      <c r="A3" s="187" t="s">
        <v>291</v>
      </c>
      <c r="B3" s="187"/>
      <c r="C3" s="188">
        <v>0</v>
      </c>
      <c r="D3" s="189">
        <v>0</v>
      </c>
      <c r="E3">
        <f>+C3*D3</f>
        <v>0</v>
      </c>
      <c r="F3" s="26">
        <f t="shared" ref="F3:F44" si="0">+E3*0.0725</f>
        <v>0</v>
      </c>
    </row>
    <row r="4" spans="1:7" x14ac:dyDescent="0.25">
      <c r="A4" s="187" t="s">
        <v>292</v>
      </c>
      <c r="B4" s="187"/>
      <c r="C4" s="188">
        <v>0</v>
      </c>
      <c r="D4" s="189">
        <v>0</v>
      </c>
      <c r="E4">
        <f t="shared" ref="E4:E61" si="1">+C4*D4</f>
        <v>0</v>
      </c>
      <c r="F4" s="26">
        <f t="shared" si="0"/>
        <v>0</v>
      </c>
    </row>
    <row r="5" spans="1:7" x14ac:dyDescent="0.25">
      <c r="A5" s="187" t="s">
        <v>293</v>
      </c>
      <c r="B5" s="187"/>
      <c r="C5" s="188">
        <v>0</v>
      </c>
      <c r="D5" s="189">
        <v>0</v>
      </c>
      <c r="E5">
        <f t="shared" si="1"/>
        <v>0</v>
      </c>
      <c r="F5" s="26">
        <f t="shared" si="0"/>
        <v>0</v>
      </c>
    </row>
    <row r="6" spans="1:7" x14ac:dyDescent="0.25">
      <c r="A6" s="187" t="s">
        <v>294</v>
      </c>
      <c r="B6" s="187"/>
      <c r="C6" s="188">
        <v>0</v>
      </c>
      <c r="D6" s="189">
        <v>0</v>
      </c>
      <c r="E6">
        <f t="shared" si="1"/>
        <v>0</v>
      </c>
      <c r="F6" s="26">
        <f t="shared" si="0"/>
        <v>0</v>
      </c>
    </row>
    <row r="7" spans="1:7" x14ac:dyDescent="0.25">
      <c r="A7" s="187" t="s">
        <v>295</v>
      </c>
      <c r="B7" s="187"/>
      <c r="C7" s="188">
        <v>0</v>
      </c>
      <c r="D7" s="189">
        <v>0</v>
      </c>
      <c r="E7">
        <f t="shared" si="1"/>
        <v>0</v>
      </c>
      <c r="F7" s="26">
        <f t="shared" si="0"/>
        <v>0</v>
      </c>
    </row>
    <row r="8" spans="1:7" x14ac:dyDescent="0.25">
      <c r="A8" s="187" t="s">
        <v>296</v>
      </c>
      <c r="B8" s="187"/>
      <c r="C8" s="188">
        <v>0</v>
      </c>
      <c r="D8" s="189">
        <v>0</v>
      </c>
      <c r="E8">
        <f t="shared" si="1"/>
        <v>0</v>
      </c>
      <c r="F8" s="26">
        <f t="shared" si="0"/>
        <v>0</v>
      </c>
    </row>
    <row r="9" spans="1:7" x14ac:dyDescent="0.25">
      <c r="A9" s="187" t="s">
        <v>297</v>
      </c>
      <c r="B9" s="187"/>
      <c r="C9" s="188">
        <v>0</v>
      </c>
      <c r="D9" s="189">
        <v>0</v>
      </c>
      <c r="E9">
        <f t="shared" si="1"/>
        <v>0</v>
      </c>
      <c r="F9" s="26">
        <f t="shared" si="0"/>
        <v>0</v>
      </c>
    </row>
    <row r="10" spans="1:7" x14ac:dyDescent="0.25">
      <c r="A10" s="187" t="s">
        <v>155</v>
      </c>
      <c r="B10" s="187"/>
      <c r="C10" s="188">
        <v>0</v>
      </c>
      <c r="D10" s="189">
        <v>0</v>
      </c>
      <c r="E10">
        <f t="shared" si="1"/>
        <v>0</v>
      </c>
      <c r="F10" s="26">
        <f t="shared" si="0"/>
        <v>0</v>
      </c>
    </row>
    <row r="11" spans="1:7" x14ac:dyDescent="0.25">
      <c r="A11" s="187"/>
      <c r="B11" s="187"/>
      <c r="C11" s="188">
        <v>0</v>
      </c>
      <c r="D11" s="189">
        <v>0</v>
      </c>
      <c r="E11">
        <f t="shared" si="1"/>
        <v>0</v>
      </c>
      <c r="F11" s="26">
        <f t="shared" si="0"/>
        <v>0</v>
      </c>
    </row>
    <row r="12" spans="1:7" x14ac:dyDescent="0.25">
      <c r="A12" s="187" t="s">
        <v>298</v>
      </c>
      <c r="B12" s="187"/>
      <c r="C12" s="188">
        <v>0</v>
      </c>
      <c r="D12" s="189">
        <v>0</v>
      </c>
      <c r="E12">
        <f t="shared" si="1"/>
        <v>0</v>
      </c>
      <c r="F12" s="26">
        <f t="shared" si="0"/>
        <v>0</v>
      </c>
    </row>
    <row r="13" spans="1:7" x14ac:dyDescent="0.25">
      <c r="A13" s="187" t="s">
        <v>299</v>
      </c>
      <c r="B13" s="187"/>
      <c r="C13" s="188">
        <v>0</v>
      </c>
      <c r="D13" s="189">
        <v>0</v>
      </c>
      <c r="E13">
        <f t="shared" si="1"/>
        <v>0</v>
      </c>
      <c r="F13" s="26">
        <f t="shared" si="0"/>
        <v>0</v>
      </c>
    </row>
    <row r="14" spans="1:7" x14ac:dyDescent="0.25">
      <c r="A14" s="187" t="s">
        <v>300</v>
      </c>
      <c r="B14" s="187"/>
      <c r="C14" s="188">
        <v>0</v>
      </c>
      <c r="D14" s="189">
        <v>0</v>
      </c>
      <c r="E14">
        <f t="shared" si="1"/>
        <v>0</v>
      </c>
      <c r="F14" s="26">
        <f t="shared" si="0"/>
        <v>0</v>
      </c>
    </row>
    <row r="15" spans="1:7" x14ac:dyDescent="0.25">
      <c r="A15" s="187" t="s">
        <v>301</v>
      </c>
      <c r="B15" s="187"/>
      <c r="C15" s="188">
        <v>0</v>
      </c>
      <c r="D15" s="189">
        <v>0</v>
      </c>
      <c r="E15">
        <f t="shared" si="1"/>
        <v>0</v>
      </c>
      <c r="F15" s="26">
        <f t="shared" si="0"/>
        <v>0</v>
      </c>
    </row>
    <row r="16" spans="1:7" x14ac:dyDescent="0.25">
      <c r="A16" s="187"/>
      <c r="B16" s="187"/>
      <c r="C16" s="188">
        <v>0</v>
      </c>
      <c r="D16" s="189">
        <v>0</v>
      </c>
      <c r="E16">
        <f t="shared" si="1"/>
        <v>0</v>
      </c>
      <c r="F16" s="26">
        <f t="shared" si="0"/>
        <v>0</v>
      </c>
    </row>
    <row r="17" spans="1:6" x14ac:dyDescent="0.25">
      <c r="A17" s="187" t="s">
        <v>302</v>
      </c>
      <c r="B17" s="187"/>
      <c r="C17" s="188">
        <v>0</v>
      </c>
      <c r="D17" s="189">
        <v>0</v>
      </c>
      <c r="E17">
        <f t="shared" si="1"/>
        <v>0</v>
      </c>
      <c r="F17" s="26">
        <f t="shared" si="0"/>
        <v>0</v>
      </c>
    </row>
    <row r="18" spans="1:6" x14ac:dyDescent="0.25">
      <c r="A18" s="187" t="s">
        <v>303</v>
      </c>
      <c r="B18" s="187"/>
      <c r="C18" s="188">
        <v>0</v>
      </c>
      <c r="D18" s="189">
        <v>0</v>
      </c>
      <c r="E18">
        <f t="shared" si="1"/>
        <v>0</v>
      </c>
      <c r="F18" s="26">
        <f t="shared" si="0"/>
        <v>0</v>
      </c>
    </row>
    <row r="19" spans="1:6" x14ac:dyDescent="0.25">
      <c r="A19" s="187"/>
      <c r="B19" s="187"/>
      <c r="C19" s="188">
        <v>0</v>
      </c>
      <c r="D19" s="189">
        <v>0</v>
      </c>
      <c r="E19">
        <f t="shared" si="1"/>
        <v>0</v>
      </c>
      <c r="F19" s="26">
        <f t="shared" si="0"/>
        <v>0</v>
      </c>
    </row>
    <row r="20" spans="1:6" x14ac:dyDescent="0.25">
      <c r="A20" s="187" t="s">
        <v>304</v>
      </c>
      <c r="B20" s="187"/>
      <c r="C20" s="188">
        <v>0</v>
      </c>
      <c r="D20" s="189">
        <v>0</v>
      </c>
      <c r="E20">
        <f t="shared" si="1"/>
        <v>0</v>
      </c>
      <c r="F20" s="26">
        <f t="shared" si="0"/>
        <v>0</v>
      </c>
    </row>
    <row r="21" spans="1:6" x14ac:dyDescent="0.25">
      <c r="A21" s="187" t="s">
        <v>305</v>
      </c>
      <c r="B21" s="187"/>
      <c r="C21" s="188">
        <v>0</v>
      </c>
      <c r="D21" s="189">
        <v>0</v>
      </c>
      <c r="E21">
        <f t="shared" si="1"/>
        <v>0</v>
      </c>
      <c r="F21" s="26">
        <f t="shared" si="0"/>
        <v>0</v>
      </c>
    </row>
    <row r="22" spans="1:6" x14ac:dyDescent="0.25">
      <c r="A22" s="187"/>
      <c r="B22" s="187"/>
      <c r="C22" s="188">
        <v>0</v>
      </c>
      <c r="D22" s="189">
        <v>0</v>
      </c>
      <c r="E22">
        <f t="shared" si="1"/>
        <v>0</v>
      </c>
      <c r="F22" s="26">
        <f t="shared" si="0"/>
        <v>0</v>
      </c>
    </row>
    <row r="23" spans="1:6" x14ac:dyDescent="0.25">
      <c r="A23" s="187" t="s">
        <v>306</v>
      </c>
      <c r="B23" s="187"/>
      <c r="C23" s="188">
        <v>0</v>
      </c>
      <c r="D23" s="189">
        <v>0</v>
      </c>
      <c r="E23">
        <f t="shared" si="1"/>
        <v>0</v>
      </c>
      <c r="F23" s="26">
        <f t="shared" si="0"/>
        <v>0</v>
      </c>
    </row>
    <row r="24" spans="1:6" x14ac:dyDescent="0.25">
      <c r="A24" s="187"/>
      <c r="B24" s="187"/>
      <c r="C24" s="188">
        <v>0</v>
      </c>
      <c r="D24" s="189">
        <v>0</v>
      </c>
      <c r="E24">
        <f t="shared" si="1"/>
        <v>0</v>
      </c>
      <c r="F24" s="26">
        <f t="shared" si="0"/>
        <v>0</v>
      </c>
    </row>
    <row r="25" spans="1:6" x14ac:dyDescent="0.25">
      <c r="A25" s="187"/>
      <c r="B25" s="187"/>
      <c r="C25" s="188">
        <v>0</v>
      </c>
      <c r="D25" s="189">
        <v>0</v>
      </c>
      <c r="E25">
        <f t="shared" si="1"/>
        <v>0</v>
      </c>
      <c r="F25" s="26">
        <f t="shared" si="0"/>
        <v>0</v>
      </c>
    </row>
    <row r="26" spans="1:6" x14ac:dyDescent="0.25">
      <c r="A26" s="187" t="s">
        <v>307</v>
      </c>
      <c r="B26" s="187"/>
      <c r="C26" s="188">
        <v>0</v>
      </c>
      <c r="D26" s="189">
        <v>0</v>
      </c>
      <c r="E26">
        <f t="shared" si="1"/>
        <v>0</v>
      </c>
      <c r="F26" s="26">
        <f t="shared" si="0"/>
        <v>0</v>
      </c>
    </row>
    <row r="27" spans="1:6" x14ac:dyDescent="0.25">
      <c r="A27" s="187" t="s">
        <v>308</v>
      </c>
      <c r="B27" s="187"/>
      <c r="C27" s="188">
        <v>0</v>
      </c>
      <c r="D27" s="189">
        <v>0</v>
      </c>
      <c r="E27">
        <f t="shared" si="1"/>
        <v>0</v>
      </c>
      <c r="F27" s="26">
        <f t="shared" si="0"/>
        <v>0</v>
      </c>
    </row>
    <row r="28" spans="1:6" x14ac:dyDescent="0.25">
      <c r="A28" s="187" t="s">
        <v>309</v>
      </c>
      <c r="B28" s="187"/>
      <c r="C28" s="188">
        <v>0</v>
      </c>
      <c r="D28" s="189">
        <v>0</v>
      </c>
      <c r="E28">
        <f t="shared" si="1"/>
        <v>0</v>
      </c>
      <c r="F28" s="26">
        <f t="shared" si="0"/>
        <v>0</v>
      </c>
    </row>
    <row r="29" spans="1:6" x14ac:dyDescent="0.25">
      <c r="A29" s="187" t="s">
        <v>310</v>
      </c>
      <c r="B29" s="187"/>
      <c r="C29" s="188">
        <v>0</v>
      </c>
      <c r="D29" s="189">
        <v>0</v>
      </c>
      <c r="E29">
        <f t="shared" si="1"/>
        <v>0</v>
      </c>
      <c r="F29" s="26">
        <f t="shared" si="0"/>
        <v>0</v>
      </c>
    </row>
    <row r="30" spans="1:6" x14ac:dyDescent="0.25">
      <c r="A30" s="187" t="s">
        <v>311</v>
      </c>
      <c r="B30" s="187"/>
      <c r="C30" s="188">
        <v>0</v>
      </c>
      <c r="D30" s="189">
        <v>0</v>
      </c>
      <c r="E30">
        <f t="shared" si="1"/>
        <v>0</v>
      </c>
      <c r="F30" s="26">
        <f t="shared" si="0"/>
        <v>0</v>
      </c>
    </row>
    <row r="31" spans="1:6" x14ac:dyDescent="0.25">
      <c r="A31" s="187" t="s">
        <v>312</v>
      </c>
      <c r="B31" s="187"/>
      <c r="C31" s="188">
        <v>0</v>
      </c>
      <c r="D31" s="189">
        <v>0</v>
      </c>
      <c r="E31">
        <f t="shared" si="1"/>
        <v>0</v>
      </c>
      <c r="F31" s="26">
        <f t="shared" si="0"/>
        <v>0</v>
      </c>
    </row>
    <row r="32" spans="1:6" x14ac:dyDescent="0.25">
      <c r="A32" s="187" t="s">
        <v>313</v>
      </c>
      <c r="B32" s="187"/>
      <c r="C32" s="188">
        <v>0</v>
      </c>
      <c r="D32" s="189">
        <v>0</v>
      </c>
      <c r="E32">
        <f t="shared" si="1"/>
        <v>0</v>
      </c>
      <c r="F32" s="26">
        <f t="shared" si="0"/>
        <v>0</v>
      </c>
    </row>
    <row r="33" spans="1:6" x14ac:dyDescent="0.25">
      <c r="A33" s="187" t="s">
        <v>314</v>
      </c>
      <c r="B33" s="187"/>
      <c r="C33" s="188">
        <v>0</v>
      </c>
      <c r="D33" s="189">
        <v>0</v>
      </c>
      <c r="E33">
        <f t="shared" si="1"/>
        <v>0</v>
      </c>
      <c r="F33" s="26">
        <f t="shared" si="0"/>
        <v>0</v>
      </c>
    </row>
    <row r="34" spans="1:6" x14ac:dyDescent="0.25">
      <c r="A34" s="187" t="s">
        <v>315</v>
      </c>
      <c r="B34" s="187"/>
      <c r="C34" s="188">
        <v>0</v>
      </c>
      <c r="D34" s="189">
        <v>0</v>
      </c>
      <c r="E34">
        <f t="shared" si="1"/>
        <v>0</v>
      </c>
      <c r="F34" s="26">
        <f t="shared" si="0"/>
        <v>0</v>
      </c>
    </row>
    <row r="35" spans="1:6" x14ac:dyDescent="0.25">
      <c r="A35" s="187" t="s">
        <v>316</v>
      </c>
      <c r="B35" s="187"/>
      <c r="C35" s="188">
        <v>0</v>
      </c>
      <c r="D35" s="189">
        <v>0</v>
      </c>
      <c r="E35">
        <f t="shared" si="1"/>
        <v>0</v>
      </c>
      <c r="F35" s="26">
        <f t="shared" si="0"/>
        <v>0</v>
      </c>
    </row>
    <row r="36" spans="1:6" x14ac:dyDescent="0.25">
      <c r="A36" s="187" t="s">
        <v>317</v>
      </c>
      <c r="B36" s="187"/>
      <c r="C36" s="188">
        <v>0</v>
      </c>
      <c r="D36" s="189">
        <v>0</v>
      </c>
      <c r="E36">
        <f t="shared" si="1"/>
        <v>0</v>
      </c>
      <c r="F36" s="26">
        <f t="shared" si="0"/>
        <v>0</v>
      </c>
    </row>
    <row r="37" spans="1:6" x14ac:dyDescent="0.25">
      <c r="A37" s="187"/>
      <c r="B37" s="187"/>
      <c r="C37" s="188">
        <v>0</v>
      </c>
      <c r="D37" s="189">
        <v>0</v>
      </c>
      <c r="E37">
        <f t="shared" si="1"/>
        <v>0</v>
      </c>
      <c r="F37" s="26">
        <f t="shared" si="0"/>
        <v>0</v>
      </c>
    </row>
    <row r="38" spans="1:6" x14ac:dyDescent="0.25">
      <c r="A38" s="187" t="s">
        <v>318</v>
      </c>
      <c r="B38" s="187"/>
      <c r="C38" s="188">
        <v>0</v>
      </c>
      <c r="D38" s="189">
        <v>0</v>
      </c>
      <c r="E38">
        <f t="shared" si="1"/>
        <v>0</v>
      </c>
      <c r="F38" s="26">
        <f t="shared" si="0"/>
        <v>0</v>
      </c>
    </row>
    <row r="39" spans="1:6" x14ac:dyDescent="0.25">
      <c r="A39" s="187" t="s">
        <v>319</v>
      </c>
      <c r="B39" s="187"/>
      <c r="C39" s="188">
        <v>0</v>
      </c>
      <c r="D39" s="189">
        <v>0</v>
      </c>
      <c r="E39">
        <f t="shared" si="1"/>
        <v>0</v>
      </c>
      <c r="F39" s="26">
        <f t="shared" si="0"/>
        <v>0</v>
      </c>
    </row>
    <row r="40" spans="1:6" x14ac:dyDescent="0.25">
      <c r="A40" s="187" t="s">
        <v>320</v>
      </c>
      <c r="B40" s="187"/>
      <c r="C40" s="188">
        <v>0</v>
      </c>
      <c r="D40" s="189">
        <v>0</v>
      </c>
      <c r="E40">
        <f t="shared" si="1"/>
        <v>0</v>
      </c>
      <c r="F40" s="26">
        <f t="shared" si="0"/>
        <v>0</v>
      </c>
    </row>
    <row r="41" spans="1:6" x14ac:dyDescent="0.25">
      <c r="A41" s="187" t="s">
        <v>321</v>
      </c>
      <c r="B41" s="187"/>
      <c r="C41" s="188">
        <v>0</v>
      </c>
      <c r="D41" s="189">
        <v>0</v>
      </c>
      <c r="E41">
        <f t="shared" si="1"/>
        <v>0</v>
      </c>
      <c r="F41" s="26">
        <f t="shared" si="0"/>
        <v>0</v>
      </c>
    </row>
    <row r="42" spans="1:6" x14ac:dyDescent="0.25">
      <c r="A42" s="187"/>
      <c r="B42" s="187"/>
      <c r="C42" s="188">
        <v>0</v>
      </c>
      <c r="D42" s="189">
        <v>0</v>
      </c>
      <c r="E42">
        <f t="shared" si="1"/>
        <v>0</v>
      </c>
      <c r="F42" s="26">
        <f t="shared" si="0"/>
        <v>0</v>
      </c>
    </row>
    <row r="43" spans="1:6" x14ac:dyDescent="0.25">
      <c r="A43" s="187" t="s">
        <v>322</v>
      </c>
      <c r="B43" s="187"/>
      <c r="C43" s="188">
        <v>0</v>
      </c>
      <c r="D43" s="189">
        <v>0</v>
      </c>
      <c r="E43">
        <f t="shared" ref="E43:E57" si="2">+C43*D43</f>
        <v>0</v>
      </c>
      <c r="F43" s="26">
        <f t="shared" si="0"/>
        <v>0</v>
      </c>
    </row>
    <row r="44" spans="1:6" x14ac:dyDescent="0.25">
      <c r="A44" s="187" t="s">
        <v>323</v>
      </c>
      <c r="B44" s="187"/>
      <c r="C44" s="188">
        <v>0</v>
      </c>
      <c r="D44" s="189">
        <v>0</v>
      </c>
      <c r="E44">
        <f t="shared" si="2"/>
        <v>0</v>
      </c>
      <c r="F44" s="26">
        <f t="shared" si="0"/>
        <v>0</v>
      </c>
    </row>
    <row r="45" spans="1:6" x14ac:dyDescent="0.25">
      <c r="A45" s="187" t="s">
        <v>324</v>
      </c>
      <c r="B45" s="187">
        <v>6973242570225</v>
      </c>
      <c r="C45" s="188">
        <v>0</v>
      </c>
      <c r="D45" s="189">
        <v>49.97</v>
      </c>
      <c r="E45">
        <f t="shared" si="2"/>
        <v>0</v>
      </c>
      <c r="F45" s="26">
        <f>+E45*0.0725</f>
        <v>0</v>
      </c>
    </row>
    <row r="46" spans="1:6" x14ac:dyDescent="0.25">
      <c r="A46" s="187" t="s">
        <v>325</v>
      </c>
      <c r="B46" s="187"/>
      <c r="C46" s="188">
        <v>0</v>
      </c>
      <c r="D46" s="189">
        <v>69.989999999999995</v>
      </c>
      <c r="E46">
        <f t="shared" si="2"/>
        <v>0</v>
      </c>
      <c r="F46" s="26">
        <f t="shared" ref="F46:F60" si="3">+E46*0.0725</f>
        <v>0</v>
      </c>
    </row>
    <row r="47" spans="1:6" x14ac:dyDescent="0.25">
      <c r="A47" s="187"/>
      <c r="B47" s="187"/>
      <c r="C47" s="188">
        <v>0</v>
      </c>
      <c r="D47" s="189">
        <v>0</v>
      </c>
      <c r="E47">
        <f t="shared" si="2"/>
        <v>0</v>
      </c>
      <c r="F47" s="26">
        <f t="shared" si="3"/>
        <v>0</v>
      </c>
    </row>
    <row r="48" spans="1:6" x14ac:dyDescent="0.25">
      <c r="A48" s="187"/>
      <c r="B48" s="187"/>
      <c r="C48" s="188">
        <v>0</v>
      </c>
      <c r="D48" s="189">
        <v>0</v>
      </c>
      <c r="E48">
        <f t="shared" si="2"/>
        <v>0</v>
      </c>
      <c r="F48" s="26">
        <f t="shared" si="3"/>
        <v>0</v>
      </c>
    </row>
    <row r="49" spans="1:7" x14ac:dyDescent="0.25">
      <c r="A49" s="187"/>
      <c r="B49" s="187"/>
      <c r="C49" s="188">
        <v>0</v>
      </c>
      <c r="D49" s="189">
        <v>0</v>
      </c>
      <c r="E49">
        <f t="shared" si="2"/>
        <v>0</v>
      </c>
      <c r="F49" s="26">
        <f t="shared" si="3"/>
        <v>0</v>
      </c>
    </row>
    <row r="50" spans="1:7" x14ac:dyDescent="0.25">
      <c r="A50" s="187"/>
      <c r="B50" s="187"/>
      <c r="C50" s="188">
        <v>0</v>
      </c>
      <c r="D50" s="189">
        <v>0</v>
      </c>
      <c r="E50">
        <f t="shared" si="2"/>
        <v>0</v>
      </c>
      <c r="F50" s="26">
        <f t="shared" si="3"/>
        <v>0</v>
      </c>
    </row>
    <row r="51" spans="1:7" x14ac:dyDescent="0.25">
      <c r="A51" s="187"/>
      <c r="B51" s="187"/>
      <c r="C51" s="188">
        <v>0</v>
      </c>
      <c r="D51" s="189">
        <v>0</v>
      </c>
      <c r="E51">
        <f t="shared" si="2"/>
        <v>0</v>
      </c>
      <c r="F51" s="26">
        <f t="shared" si="3"/>
        <v>0</v>
      </c>
    </row>
    <row r="52" spans="1:7" x14ac:dyDescent="0.25">
      <c r="A52" s="187"/>
      <c r="B52" s="187"/>
      <c r="C52" s="188">
        <v>0</v>
      </c>
      <c r="D52" s="189">
        <v>0</v>
      </c>
      <c r="E52">
        <f t="shared" si="2"/>
        <v>0</v>
      </c>
      <c r="F52" s="26">
        <f t="shared" si="3"/>
        <v>0</v>
      </c>
    </row>
    <row r="53" spans="1:7" x14ac:dyDescent="0.25">
      <c r="A53" s="187"/>
      <c r="B53" s="187"/>
      <c r="C53" s="188">
        <v>0</v>
      </c>
      <c r="D53" s="189">
        <v>0</v>
      </c>
      <c r="E53">
        <f t="shared" si="2"/>
        <v>0</v>
      </c>
      <c r="F53" s="26">
        <f t="shared" si="3"/>
        <v>0</v>
      </c>
    </row>
    <row r="54" spans="1:7" x14ac:dyDescent="0.25">
      <c r="A54" s="187"/>
      <c r="B54" s="187"/>
      <c r="C54" s="188">
        <v>0</v>
      </c>
      <c r="D54" s="189">
        <v>0</v>
      </c>
      <c r="E54">
        <f t="shared" si="2"/>
        <v>0</v>
      </c>
      <c r="F54" s="26">
        <f t="shared" si="3"/>
        <v>0</v>
      </c>
    </row>
    <row r="55" spans="1:7" x14ac:dyDescent="0.25">
      <c r="A55" s="187"/>
      <c r="B55" s="187"/>
      <c r="C55" s="188">
        <v>0</v>
      </c>
      <c r="D55" s="189">
        <v>0</v>
      </c>
      <c r="E55">
        <f t="shared" si="2"/>
        <v>0</v>
      </c>
      <c r="F55" s="26">
        <f t="shared" si="3"/>
        <v>0</v>
      </c>
    </row>
    <row r="56" spans="1:7" x14ac:dyDescent="0.25">
      <c r="A56" s="187"/>
      <c r="B56" s="187"/>
      <c r="C56" s="188">
        <v>0</v>
      </c>
      <c r="D56" s="189">
        <v>0</v>
      </c>
      <c r="E56">
        <f t="shared" si="2"/>
        <v>0</v>
      </c>
      <c r="F56" s="26">
        <f t="shared" si="3"/>
        <v>0</v>
      </c>
    </row>
    <row r="57" spans="1:7" x14ac:dyDescent="0.25">
      <c r="A57" s="187"/>
      <c r="B57" s="187"/>
      <c r="C57" s="188">
        <v>0</v>
      </c>
      <c r="D57" s="189">
        <v>0</v>
      </c>
      <c r="E57">
        <f t="shared" si="2"/>
        <v>0</v>
      </c>
      <c r="F57" s="26">
        <f t="shared" si="3"/>
        <v>0</v>
      </c>
    </row>
    <row r="58" spans="1:7" x14ac:dyDescent="0.25">
      <c r="A58" s="187"/>
      <c r="B58" s="187"/>
      <c r="C58" s="188">
        <v>0</v>
      </c>
      <c r="D58" s="189">
        <v>0</v>
      </c>
      <c r="E58">
        <f t="shared" si="1"/>
        <v>0</v>
      </c>
      <c r="F58" s="26">
        <f t="shared" si="3"/>
        <v>0</v>
      </c>
    </row>
    <row r="59" spans="1:7" x14ac:dyDescent="0.25">
      <c r="A59" s="187" t="s">
        <v>326</v>
      </c>
      <c r="B59" s="187"/>
      <c r="C59" s="188">
        <v>0</v>
      </c>
      <c r="D59" s="189">
        <v>0</v>
      </c>
      <c r="E59">
        <f t="shared" si="1"/>
        <v>0</v>
      </c>
      <c r="F59" s="26">
        <f t="shared" si="3"/>
        <v>0</v>
      </c>
    </row>
    <row r="60" spans="1:7" x14ac:dyDescent="0.25">
      <c r="A60" s="186"/>
      <c r="B60" s="187"/>
      <c r="C60" s="188">
        <v>0</v>
      </c>
      <c r="D60" s="189">
        <v>0</v>
      </c>
      <c r="E60">
        <f t="shared" si="1"/>
        <v>0</v>
      </c>
      <c r="F60" s="26">
        <f t="shared" si="3"/>
        <v>0</v>
      </c>
    </row>
    <row r="61" spans="1:7" ht="15.75" thickBot="1" x14ac:dyDescent="0.3">
      <c r="A61" s="186"/>
      <c r="B61" s="187"/>
      <c r="C61" s="188">
        <v>0</v>
      </c>
      <c r="D61" s="189">
        <v>0</v>
      </c>
      <c r="E61">
        <f t="shared" si="1"/>
        <v>0</v>
      </c>
      <c r="G61" s="23"/>
    </row>
    <row r="62" spans="1:7" x14ac:dyDescent="0.25">
      <c r="G62" s="26">
        <f>+SUM(E3:E61)+SUM(F3:F61)</f>
        <v>0</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231"/>
  <dimension ref="A1:M37"/>
  <sheetViews>
    <sheetView workbookViewId="0">
      <pane ySplit="2" topLeftCell="A3" activePane="bottomLeft" state="frozen"/>
      <selection pane="bottomLeft" activeCell="E14" sqref="E14:E15"/>
    </sheetView>
  </sheetViews>
  <sheetFormatPr defaultRowHeight="15" x14ac:dyDescent="0.25"/>
  <cols>
    <col min="1" max="1" width="10.42578125" style="552" bestFit="1" customWidth="1"/>
    <col min="2" max="2" width="21" bestFit="1" customWidth="1"/>
    <col min="3" max="3" width="39.5703125" style="2" bestFit="1" customWidth="1"/>
    <col min="4" max="4" width="6" style="2" bestFit="1" customWidth="1"/>
    <col min="5" max="5" width="15.28515625" style="18" customWidth="1"/>
    <col min="6" max="6" width="10.140625" bestFit="1" customWidth="1"/>
    <col min="8" max="8" width="10.140625" bestFit="1" customWidth="1"/>
    <col min="10" max="10" width="19.28515625" bestFit="1" customWidth="1"/>
    <col min="11" max="11" width="12.7109375" bestFit="1" customWidth="1"/>
  </cols>
  <sheetData>
    <row r="1" spans="1:13" s="3" customFormat="1" x14ac:dyDescent="0.25">
      <c r="A1" s="550" t="s">
        <v>679</v>
      </c>
      <c r="D1" s="32"/>
      <c r="E1" s="16"/>
      <c r="J1"/>
      <c r="K1" s="891" t="s">
        <v>2</v>
      </c>
      <c r="L1" s="891" t="str">
        <f>IF(Profit!$S$6,IF(M1,"Yes","No"),"No")</f>
        <v>No</v>
      </c>
      <c r="M1" s="895" t="b">
        <v>1</v>
      </c>
    </row>
    <row r="2" spans="1:13" s="62" customFormat="1" ht="30.75" thickBot="1" x14ac:dyDescent="0.3">
      <c r="A2" s="551" t="s">
        <v>275</v>
      </c>
      <c r="B2" s="62" t="s">
        <v>167</v>
      </c>
      <c r="C2" s="62" t="s">
        <v>227</v>
      </c>
      <c r="D2" s="62" t="s">
        <v>201</v>
      </c>
      <c r="E2" s="324" t="s">
        <v>482</v>
      </c>
      <c r="F2" s="62" t="s">
        <v>290</v>
      </c>
      <c r="G2" s="62" t="s">
        <v>483</v>
      </c>
      <c r="H2" s="262"/>
      <c r="I2" s="324">
        <v>20</v>
      </c>
      <c r="J2"/>
      <c r="K2" s="892"/>
      <c r="L2" s="892"/>
      <c r="M2" s="896"/>
    </row>
    <row r="3" spans="1:13" s="62" customFormat="1" x14ac:dyDescent="0.25">
      <c r="A3" s="551"/>
      <c r="E3" s="324"/>
      <c r="H3" s="262"/>
      <c r="I3" s="324"/>
      <c r="J3"/>
      <c r="K3"/>
      <c r="L3"/>
      <c r="M3"/>
    </row>
    <row r="4" spans="1:13" s="62" customFormat="1" x14ac:dyDescent="0.25">
      <c r="A4" s="551"/>
      <c r="C4" s="529"/>
      <c r="D4" s="529"/>
      <c r="E4" s="530"/>
      <c r="F4" s="529"/>
      <c r="G4" s="529"/>
      <c r="H4" s="528"/>
      <c r="I4" s="324"/>
      <c r="J4"/>
      <c r="K4"/>
      <c r="L4"/>
      <c r="M4"/>
    </row>
    <row r="5" spans="1:13" s="62" customFormat="1" x14ac:dyDescent="0.25">
      <c r="A5" s="551"/>
      <c r="B5" s="549"/>
      <c r="C5" s="422" t="s">
        <v>858</v>
      </c>
      <c r="D5" s="534">
        <f>+Profit!K9</f>
        <v>1689</v>
      </c>
      <c r="E5" s="531">
        <v>6.159478981645945</v>
      </c>
      <c r="F5" s="430">
        <f t="shared" ref="F5" si="0">+D5*E5</f>
        <v>10403.36</v>
      </c>
      <c r="G5" s="529"/>
      <c r="H5" s="528"/>
      <c r="I5" s="324"/>
      <c r="J5"/>
      <c r="K5"/>
      <c r="L5"/>
      <c r="M5"/>
    </row>
    <row r="6" spans="1:13" s="62" customFormat="1" x14ac:dyDescent="0.25">
      <c r="A6" s="551"/>
      <c r="C6" s="422" t="s">
        <v>858</v>
      </c>
      <c r="D6" s="534">
        <f>+D5</f>
        <v>1689</v>
      </c>
      <c r="E6" s="531">
        <v>4.7365304914150386</v>
      </c>
      <c r="F6" s="430">
        <f t="shared" ref="F6" si="1">+D6*E6</f>
        <v>8000</v>
      </c>
      <c r="G6" s="529"/>
      <c r="H6" s="528"/>
      <c r="I6" s="324"/>
      <c r="J6"/>
      <c r="K6"/>
      <c r="L6"/>
      <c r="M6"/>
    </row>
    <row r="7" spans="1:13" s="62" customFormat="1" ht="15.75" thickBot="1" x14ac:dyDescent="0.3">
      <c r="A7" s="551"/>
      <c r="C7" s="529"/>
      <c r="D7" s="529"/>
      <c r="E7" s="530"/>
      <c r="F7" s="529"/>
      <c r="G7" s="529"/>
      <c r="H7" s="432"/>
      <c r="I7" s="324"/>
      <c r="J7"/>
      <c r="K7"/>
      <c r="L7"/>
      <c r="M7"/>
    </row>
    <row r="8" spans="1:13" x14ac:dyDescent="0.25">
      <c r="C8" s="422"/>
      <c r="D8" s="422"/>
      <c r="E8" s="531"/>
      <c r="F8" s="423"/>
      <c r="G8" s="423"/>
      <c r="H8" s="424">
        <f>IF(L1="yes",SUM(F3:F6),0)</f>
        <v>0</v>
      </c>
    </row>
    <row r="9" spans="1:13" x14ac:dyDescent="0.25">
      <c r="C9" s="2" t="s">
        <v>215</v>
      </c>
      <c r="D9" s="2">
        <v>0</v>
      </c>
      <c r="E9" s="553">
        <v>800</v>
      </c>
      <c r="F9" s="5">
        <f>+D9*E9</f>
        <v>0</v>
      </c>
    </row>
    <row r="10" spans="1:13" x14ac:dyDescent="0.25">
      <c r="C10" s="2" t="s">
        <v>484</v>
      </c>
      <c r="D10" s="2">
        <v>0</v>
      </c>
      <c r="E10" s="553">
        <v>28.46</v>
      </c>
      <c r="F10" s="5">
        <f t="shared" ref="F10:F20" si="2">+D10*E10</f>
        <v>0</v>
      </c>
    </row>
    <row r="11" spans="1:13" x14ac:dyDescent="0.25">
      <c r="C11" s="2" t="s">
        <v>485</v>
      </c>
      <c r="D11" s="2">
        <v>0</v>
      </c>
      <c r="E11" s="553">
        <v>32.979999999999997</v>
      </c>
      <c r="F11" s="5">
        <f t="shared" si="2"/>
        <v>0</v>
      </c>
    </row>
    <row r="12" spans="1:13" x14ac:dyDescent="0.25">
      <c r="C12" s="2" t="s">
        <v>486</v>
      </c>
      <c r="D12" s="2">
        <v>0</v>
      </c>
      <c r="E12" s="553">
        <v>28.47</v>
      </c>
      <c r="F12" s="5">
        <f t="shared" si="2"/>
        <v>0</v>
      </c>
    </row>
    <row r="13" spans="1:13" x14ac:dyDescent="0.25">
      <c r="C13" s="2" t="s">
        <v>487</v>
      </c>
      <c r="E13" s="553"/>
      <c r="F13" s="5">
        <f t="shared" si="2"/>
        <v>0</v>
      </c>
    </row>
    <row r="14" spans="1:13" x14ac:dyDescent="0.25">
      <c r="A14" s="552">
        <v>45873</v>
      </c>
      <c r="B14" t="s">
        <v>931</v>
      </c>
      <c r="C14" s="2" t="s">
        <v>928</v>
      </c>
      <c r="D14" s="476">
        <v>1</v>
      </c>
      <c r="E14" s="553">
        <v>12500</v>
      </c>
      <c r="F14" s="5">
        <f t="shared" si="2"/>
        <v>12500</v>
      </c>
    </row>
    <row r="15" spans="1:13" x14ac:dyDescent="0.25">
      <c r="A15" s="552">
        <v>45873</v>
      </c>
      <c r="B15" t="s">
        <v>931</v>
      </c>
      <c r="C15" s="2" t="s">
        <v>929</v>
      </c>
      <c r="D15" s="476">
        <v>1</v>
      </c>
      <c r="E15" s="553">
        <v>800</v>
      </c>
      <c r="F15" s="5">
        <f t="shared" si="2"/>
        <v>800</v>
      </c>
    </row>
    <row r="16" spans="1:13" x14ac:dyDescent="0.25">
      <c r="A16" s="552">
        <v>45873</v>
      </c>
      <c r="B16" t="s">
        <v>930</v>
      </c>
      <c r="C16" s="2" t="s">
        <v>932</v>
      </c>
      <c r="D16" s="2">
        <v>1</v>
      </c>
      <c r="E16" s="553">
        <v>7573.87</v>
      </c>
      <c r="F16" s="5">
        <f t="shared" si="2"/>
        <v>7573.87</v>
      </c>
    </row>
    <row r="17" spans="1:11" x14ac:dyDescent="0.25">
      <c r="C17" s="2" t="s">
        <v>488</v>
      </c>
      <c r="D17" s="2">
        <v>0</v>
      </c>
      <c r="E17" s="553">
        <v>5500</v>
      </c>
      <c r="F17" s="5">
        <f t="shared" si="2"/>
        <v>0</v>
      </c>
    </row>
    <row r="18" spans="1:11" x14ac:dyDescent="0.25">
      <c r="A18" s="552">
        <v>45912</v>
      </c>
      <c r="B18" t="s">
        <v>965</v>
      </c>
      <c r="C18" s="2" t="s">
        <v>966</v>
      </c>
      <c r="D18" s="2">
        <v>1</v>
      </c>
      <c r="E18" s="553">
        <v>475</v>
      </c>
      <c r="F18" s="5">
        <f t="shared" si="2"/>
        <v>475</v>
      </c>
    </row>
    <row r="19" spans="1:11" x14ac:dyDescent="0.25">
      <c r="C19" s="2" t="s">
        <v>489</v>
      </c>
      <c r="E19" s="553">
        <v>228556</v>
      </c>
      <c r="F19" s="5">
        <f t="shared" si="2"/>
        <v>0</v>
      </c>
    </row>
    <row r="20" spans="1:11" x14ac:dyDescent="0.25">
      <c r="C20" s="2" t="s">
        <v>933</v>
      </c>
      <c r="D20" s="2">
        <v>1</v>
      </c>
      <c r="E20" s="553">
        <v>23.34</v>
      </c>
      <c r="F20" s="5">
        <f t="shared" si="2"/>
        <v>23.34</v>
      </c>
      <c r="K20" s="3" t="s">
        <v>155</v>
      </c>
    </row>
    <row r="21" spans="1:11" x14ac:dyDescent="0.25">
      <c r="C21" s="2" t="s">
        <v>490</v>
      </c>
      <c r="D21" s="2">
        <v>0</v>
      </c>
      <c r="E21" s="553">
        <v>7.33</v>
      </c>
      <c r="F21" s="5">
        <f>+D21*E21</f>
        <v>0</v>
      </c>
      <c r="K21" s="3"/>
    </row>
    <row r="22" spans="1:11" x14ac:dyDescent="0.25">
      <c r="C22" s="2" t="s">
        <v>491</v>
      </c>
      <c r="D22" s="2">
        <v>0</v>
      </c>
      <c r="E22" s="553">
        <v>9.9700000000000006</v>
      </c>
      <c r="F22" s="5">
        <f>+D22*E22</f>
        <v>0</v>
      </c>
      <c r="K22" s="3"/>
    </row>
    <row r="23" spans="1:11" x14ac:dyDescent="0.25">
      <c r="C23" s="2" t="s">
        <v>492</v>
      </c>
      <c r="D23" s="2">
        <v>0</v>
      </c>
      <c r="E23" s="553">
        <v>3.98</v>
      </c>
      <c r="F23" s="5">
        <f>+D23*E23</f>
        <v>0</v>
      </c>
      <c r="K23" s="3"/>
    </row>
    <row r="24" spans="1:11" x14ac:dyDescent="0.25">
      <c r="C24" s="2" t="s">
        <v>537</v>
      </c>
      <c r="D24" s="2">
        <v>0</v>
      </c>
      <c r="E24" s="553">
        <v>7.68</v>
      </c>
      <c r="F24" s="5">
        <f>+D24*E24</f>
        <v>0</v>
      </c>
      <c r="J24" s="1"/>
      <c r="K24" t="s">
        <v>155</v>
      </c>
    </row>
    <row r="25" spans="1:11" x14ac:dyDescent="0.25">
      <c r="C25" s="2" t="s">
        <v>601</v>
      </c>
      <c r="D25" s="2">
        <v>0</v>
      </c>
      <c r="E25" s="553">
        <v>10000</v>
      </c>
      <c r="F25" s="5">
        <f>+D25*E25</f>
        <v>0</v>
      </c>
    </row>
    <row r="26" spans="1:11" ht="15.75" thickBot="1" x14ac:dyDescent="0.3">
      <c r="H26" s="21"/>
    </row>
    <row r="27" spans="1:11" x14ac:dyDescent="0.25">
      <c r="H27" s="5">
        <f>IF(L1="yes",0,SUM(F9:F25))</f>
        <v>21372.21</v>
      </c>
    </row>
    <row r="28" spans="1:11" x14ac:dyDescent="0.25">
      <c r="I28" s="14">
        <f>SUM(H8:H27)</f>
        <v>21372.21</v>
      </c>
      <c r="K28" s="2"/>
    </row>
    <row r="29" spans="1:11" x14ac:dyDescent="0.25">
      <c r="K29" s="2"/>
    </row>
    <row r="31" spans="1:11" x14ac:dyDescent="0.25">
      <c r="C31"/>
      <c r="D31"/>
      <c r="E31"/>
    </row>
    <row r="32" spans="1:11" x14ac:dyDescent="0.25">
      <c r="C32"/>
      <c r="D32"/>
      <c r="E32"/>
    </row>
    <row r="33" spans="1:1" customFormat="1" x14ac:dyDescent="0.25">
      <c r="A33" s="552"/>
    </row>
    <row r="34" spans="1:1" customFormat="1" x14ac:dyDescent="0.25">
      <c r="A34" s="552"/>
    </row>
    <row r="35" spans="1:1" customFormat="1" x14ac:dyDescent="0.25">
      <c r="A35" s="552"/>
    </row>
    <row r="36" spans="1:1" customFormat="1" x14ac:dyDescent="0.25">
      <c r="A36" s="552"/>
    </row>
    <row r="37" spans="1:1" customFormat="1" x14ac:dyDescent="0.25">
      <c r="A37" s="552"/>
    </row>
  </sheetData>
  <mergeCells count="3">
    <mergeCell ref="M1:M2"/>
    <mergeCell ref="K1:K2"/>
    <mergeCell ref="L1:L2"/>
  </mergeCells>
  <printOptions headings="1" gridLines="1"/>
  <pageMargins left="0.7" right="0.7" top="0.75" bottom="0.75" header="0.3" footer="0.3"/>
  <pageSetup orientation="portrait"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93E0E86-D18D-4C03-9745-B4C38BEC92ED}">
  <sheetPr codeName="Sheet13"/>
  <dimension ref="A1:J31"/>
  <sheetViews>
    <sheetView workbookViewId="0">
      <selection activeCell="F15" sqref="F15"/>
    </sheetView>
  </sheetViews>
  <sheetFormatPr defaultColWidth="9.140625" defaultRowHeight="15" x14ac:dyDescent="0.25"/>
  <cols>
    <col min="1" max="2" width="26.85546875" style="2" bestFit="1" customWidth="1"/>
    <col min="3" max="3" width="22.28515625" customWidth="1"/>
    <col min="4" max="4" width="9.140625" style="5"/>
    <col min="5" max="5" width="9.140625" style="26"/>
    <col min="7" max="7" width="9.140625" bestFit="1" customWidth="1"/>
    <col min="8" max="8" width="19.28515625" bestFit="1" customWidth="1"/>
    <col min="9" max="9" width="12.7109375" bestFit="1" customWidth="1"/>
    <col min="10" max="10" width="9.7109375" bestFit="1" customWidth="1"/>
  </cols>
  <sheetData>
    <row r="1" spans="1:10" s="3" customFormat="1" x14ac:dyDescent="0.25">
      <c r="A1" s="3" t="s">
        <v>327</v>
      </c>
      <c r="B1" s="3" t="s">
        <v>275</v>
      </c>
      <c r="C1" s="13" t="s">
        <v>328</v>
      </c>
      <c r="D1" s="3" t="s">
        <v>329</v>
      </c>
      <c r="E1" s="13" t="s">
        <v>330</v>
      </c>
      <c r="F1" s="3" t="s">
        <v>331</v>
      </c>
    </row>
    <row r="2" spans="1:10" ht="15.75" thickBot="1" x14ac:dyDescent="0.3">
      <c r="A2" s="422" t="s">
        <v>668</v>
      </c>
      <c r="B2" s="423"/>
      <c r="C2" s="424"/>
      <c r="D2" s="423"/>
      <c r="E2" s="424"/>
      <c r="F2" s="424">
        <v>0</v>
      </c>
    </row>
    <row r="3" spans="1:10" x14ac:dyDescent="0.25">
      <c r="A3" s="422" t="s">
        <v>332</v>
      </c>
      <c r="B3" s="425"/>
      <c r="C3" s="424" t="s">
        <v>629</v>
      </c>
      <c r="D3" s="423">
        <v>1</v>
      </c>
      <c r="E3" s="424">
        <v>75</v>
      </c>
      <c r="F3" s="424">
        <f>IF($I$3="Yes",+D3*E3,0)</f>
        <v>0</v>
      </c>
      <c r="H3" s="891" t="s">
        <v>2</v>
      </c>
      <c r="I3" s="891" t="str">
        <f>IF(Profit!$S$6,IF(J3,"Yes","N0"),"no")</f>
        <v>no</v>
      </c>
      <c r="J3" s="895" t="b">
        <v>1</v>
      </c>
    </row>
    <row r="4" spans="1:10" ht="15.75" thickBot="1" x14ac:dyDescent="0.3">
      <c r="A4" s="422" t="s">
        <v>332</v>
      </c>
      <c r="B4" s="426"/>
      <c r="C4" s="424" t="s">
        <v>333</v>
      </c>
      <c r="D4" s="423">
        <v>3</v>
      </c>
      <c r="E4" s="424">
        <v>325</v>
      </c>
      <c r="F4" s="424">
        <f>IF($I$3="Yes",+D4*E4,0)</f>
        <v>0</v>
      </c>
      <c r="H4" s="892"/>
      <c r="I4" s="892"/>
      <c r="J4" s="896"/>
    </row>
    <row r="5" spans="1:10" x14ac:dyDescent="0.25">
      <c r="A5" s="422" t="s">
        <v>332</v>
      </c>
      <c r="B5" s="423"/>
      <c r="C5" s="424" t="s">
        <v>334</v>
      </c>
      <c r="D5" s="423">
        <v>0</v>
      </c>
      <c r="E5" s="424">
        <v>104</v>
      </c>
      <c r="F5" s="424">
        <f>IF($I$3="Yes",+D5*E5,0)</f>
        <v>0</v>
      </c>
      <c r="G5">
        <f>IF(I3="yes",+SUM(F2:F5),0)</f>
        <v>0</v>
      </c>
    </row>
    <row r="6" spans="1:10" s="22" customFormat="1" x14ac:dyDescent="0.25">
      <c r="A6" s="149" t="s">
        <v>332</v>
      </c>
      <c r="B6" s="459">
        <v>45579</v>
      </c>
      <c r="C6" s="460" t="s">
        <v>629</v>
      </c>
      <c r="D6" s="267">
        <v>0</v>
      </c>
      <c r="E6" s="460">
        <v>75</v>
      </c>
      <c r="F6" s="460">
        <f>IF($I$3="Yes",0,+D6*E6)</f>
        <v>0</v>
      </c>
      <c r="G6"/>
    </row>
    <row r="7" spans="1:10" x14ac:dyDescent="0.25">
      <c r="A7" s="149" t="s">
        <v>332</v>
      </c>
      <c r="B7" s="461">
        <v>45211</v>
      </c>
      <c r="C7" s="460" t="s">
        <v>333</v>
      </c>
      <c r="D7" s="267">
        <v>0</v>
      </c>
      <c r="E7" s="460">
        <v>325</v>
      </c>
      <c r="F7" s="460">
        <f t="shared" ref="F7:F19" si="0">IF($I$3="Yes",0,+D7*E7)</f>
        <v>0</v>
      </c>
    </row>
    <row r="8" spans="1:10" x14ac:dyDescent="0.25">
      <c r="A8" s="149" t="s">
        <v>332</v>
      </c>
      <c r="B8" s="267"/>
      <c r="C8" s="460" t="s">
        <v>334</v>
      </c>
      <c r="D8" s="267">
        <v>0</v>
      </c>
      <c r="E8" s="460">
        <v>104</v>
      </c>
      <c r="F8" s="460">
        <f t="shared" si="0"/>
        <v>0</v>
      </c>
    </row>
    <row r="9" spans="1:10" x14ac:dyDescent="0.25">
      <c r="A9" s="149" t="s">
        <v>332</v>
      </c>
      <c r="B9" s="267"/>
      <c r="C9" s="460" t="s">
        <v>335</v>
      </c>
      <c r="D9" s="267">
        <v>0</v>
      </c>
      <c r="E9" s="460">
        <f>+(12.13+31.46+41.63)/3</f>
        <v>28.406666666666666</v>
      </c>
      <c r="F9" s="460">
        <f t="shared" si="0"/>
        <v>0</v>
      </c>
    </row>
    <row r="10" spans="1:10" x14ac:dyDescent="0.25">
      <c r="A10" s="149" t="s">
        <v>332</v>
      </c>
      <c r="B10" s="267"/>
      <c r="C10" s="460" t="s">
        <v>336</v>
      </c>
      <c r="D10" s="267">
        <v>0</v>
      </c>
      <c r="E10" s="460">
        <v>6.35</v>
      </c>
      <c r="F10" s="460">
        <f t="shared" si="0"/>
        <v>0</v>
      </c>
    </row>
    <row r="11" spans="1:10" x14ac:dyDescent="0.25">
      <c r="A11" s="149" t="s">
        <v>332</v>
      </c>
      <c r="B11" s="267"/>
      <c r="C11" s="460" t="s">
        <v>337</v>
      </c>
      <c r="D11" s="267"/>
      <c r="E11" s="460">
        <v>2.5</v>
      </c>
      <c r="F11" s="460">
        <f t="shared" si="0"/>
        <v>0</v>
      </c>
    </row>
    <row r="12" spans="1:10" x14ac:dyDescent="0.25">
      <c r="A12" s="149" t="s">
        <v>332</v>
      </c>
      <c r="B12" s="267"/>
      <c r="C12" s="460" t="s">
        <v>338</v>
      </c>
      <c r="D12" s="267">
        <v>0</v>
      </c>
      <c r="E12" s="460">
        <f>(8.5+10+17.34)/3</f>
        <v>11.946666666666667</v>
      </c>
      <c r="F12" s="460">
        <f t="shared" si="0"/>
        <v>0</v>
      </c>
    </row>
    <row r="13" spans="1:10" x14ac:dyDescent="0.25">
      <c r="A13" s="149" t="s">
        <v>332</v>
      </c>
      <c r="B13" s="461"/>
      <c r="C13" s="460" t="s">
        <v>339</v>
      </c>
      <c r="D13" s="267">
        <v>0</v>
      </c>
      <c r="E13" s="460">
        <v>73.13</v>
      </c>
      <c r="F13" s="460">
        <f t="shared" si="0"/>
        <v>0</v>
      </c>
    </row>
    <row r="14" spans="1:10" x14ac:dyDescent="0.25">
      <c r="A14" s="149" t="s">
        <v>332</v>
      </c>
      <c r="B14" s="461"/>
      <c r="C14" s="460" t="s">
        <v>340</v>
      </c>
      <c r="D14" s="267">
        <v>0</v>
      </c>
      <c r="E14" s="460">
        <v>472</v>
      </c>
      <c r="F14" s="460">
        <f t="shared" si="0"/>
        <v>0</v>
      </c>
    </row>
    <row r="15" spans="1:10" x14ac:dyDescent="0.25">
      <c r="A15" s="149" t="s">
        <v>991</v>
      </c>
      <c r="B15" s="461">
        <v>45929</v>
      </c>
      <c r="C15" s="460" t="s">
        <v>992</v>
      </c>
      <c r="D15" s="267">
        <v>1</v>
      </c>
      <c r="E15" s="460">
        <v>350</v>
      </c>
      <c r="F15" s="460">
        <f t="shared" si="0"/>
        <v>350</v>
      </c>
    </row>
    <row r="16" spans="1:10" x14ac:dyDescent="0.25">
      <c r="A16" s="149" t="s">
        <v>584</v>
      </c>
      <c r="B16" s="461"/>
      <c r="C16" s="149" t="s">
        <v>555</v>
      </c>
      <c r="D16" s="267">
        <v>0</v>
      </c>
      <c r="E16" s="460">
        <v>300</v>
      </c>
      <c r="F16" s="460">
        <f t="shared" si="0"/>
        <v>0</v>
      </c>
    </row>
    <row r="17" spans="1:10" x14ac:dyDescent="0.25">
      <c r="A17" s="149" t="s">
        <v>341</v>
      </c>
      <c r="B17" s="462"/>
      <c r="C17" s="149" t="s">
        <v>583</v>
      </c>
      <c r="D17" s="267">
        <v>0</v>
      </c>
      <c r="E17" s="460">
        <v>450</v>
      </c>
      <c r="F17" s="460">
        <f t="shared" si="0"/>
        <v>0</v>
      </c>
    </row>
    <row r="18" spans="1:10" x14ac:dyDescent="0.25">
      <c r="A18" s="149" t="s">
        <v>341</v>
      </c>
      <c r="B18" s="461"/>
      <c r="C18" s="460" t="s">
        <v>585</v>
      </c>
      <c r="D18" s="267">
        <v>0</v>
      </c>
      <c r="E18" s="460">
        <v>100</v>
      </c>
      <c r="F18" s="460">
        <f t="shared" si="0"/>
        <v>0</v>
      </c>
      <c r="I18" s="3"/>
    </row>
    <row r="19" spans="1:10" x14ac:dyDescent="0.25">
      <c r="A19" s="149" t="s">
        <v>341</v>
      </c>
      <c r="B19" s="461"/>
      <c r="C19" s="460" t="s">
        <v>586</v>
      </c>
      <c r="D19" s="267">
        <v>0</v>
      </c>
      <c r="E19" s="460">
        <v>150</v>
      </c>
      <c r="F19" s="460">
        <f t="shared" si="0"/>
        <v>0</v>
      </c>
      <c r="I19" s="3"/>
    </row>
    <row r="20" spans="1:10" x14ac:dyDescent="0.25">
      <c r="B20" s="178"/>
      <c r="C20" s="14"/>
      <c r="D20"/>
      <c r="E20" s="14"/>
      <c r="F20" s="14"/>
      <c r="G20">
        <f>IF(I4="yes",0,+SUM(F6:F19))</f>
        <v>350</v>
      </c>
      <c r="I20" s="3"/>
    </row>
    <row r="21" spans="1:10" x14ac:dyDescent="0.25">
      <c r="B21" s="178"/>
      <c r="C21" s="14"/>
      <c r="D21"/>
      <c r="E21" s="14"/>
      <c r="F21" s="14"/>
      <c r="I21" s="3"/>
    </row>
    <row r="22" spans="1:10" x14ac:dyDescent="0.25">
      <c r="B22" s="178"/>
      <c r="C22" s="14"/>
      <c r="D22"/>
      <c r="E22" s="14"/>
      <c r="F22" s="14"/>
      <c r="I22" s="3"/>
    </row>
    <row r="23" spans="1:10" ht="15.75" thickBot="1" x14ac:dyDescent="0.3">
      <c r="B23"/>
      <c r="C23" s="14"/>
      <c r="D23"/>
      <c r="E23" s="14"/>
      <c r="F23" s="23"/>
      <c r="G23" s="23"/>
    </row>
    <row r="24" spans="1:10" x14ac:dyDescent="0.25">
      <c r="B24"/>
      <c r="C24" s="14"/>
      <c r="D24"/>
      <c r="E24" s="14"/>
      <c r="F24" s="14"/>
      <c r="G24" s="5">
        <f>+SUM(G2:G23)</f>
        <v>350</v>
      </c>
      <c r="I24" s="5"/>
    </row>
    <row r="25" spans="1:10" x14ac:dyDescent="0.25">
      <c r="A25"/>
      <c r="C25" s="11"/>
    </row>
    <row r="26" spans="1:10" x14ac:dyDescent="0.25">
      <c r="A26"/>
      <c r="C26" s="11"/>
    </row>
    <row r="27" spans="1:10" x14ac:dyDescent="0.25">
      <c r="C27" s="26"/>
      <c r="D27" s="26"/>
      <c r="F27" s="26"/>
      <c r="I27" s="2"/>
      <c r="J27" s="12"/>
    </row>
    <row r="28" spans="1:10" x14ac:dyDescent="0.25">
      <c r="C28" s="26"/>
      <c r="D28" s="26"/>
      <c r="F28" s="26"/>
      <c r="I28" s="2"/>
    </row>
    <row r="30" spans="1:10" x14ac:dyDescent="0.25">
      <c r="E30" s="2"/>
      <c r="F30" s="2"/>
    </row>
    <row r="31" spans="1:10" x14ac:dyDescent="0.25">
      <c r="F31" s="4"/>
    </row>
  </sheetData>
  <mergeCells count="3">
    <mergeCell ref="H3:H4"/>
    <mergeCell ref="I3:I4"/>
    <mergeCell ref="J3:J4"/>
  </mergeCells>
  <pageMargins left="0.7" right="0.7" top="0.75" bottom="0.75" header="0.3" footer="0.3"/>
  <pageSetup orientation="portrait"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4"/>
  <dimension ref="A1:K31"/>
  <sheetViews>
    <sheetView workbookViewId="0">
      <selection activeCell="I4" sqref="I4:K5"/>
    </sheetView>
  </sheetViews>
  <sheetFormatPr defaultRowHeight="15" x14ac:dyDescent="0.25"/>
  <cols>
    <col min="1" max="1" width="22" bestFit="1" customWidth="1"/>
    <col min="2" max="2" width="11" bestFit="1" customWidth="1"/>
    <col min="9" max="9" width="19.28515625" bestFit="1" customWidth="1"/>
  </cols>
  <sheetData>
    <row r="1" spans="1:11" x14ac:dyDescent="0.25">
      <c r="A1" s="3" t="s">
        <v>342</v>
      </c>
      <c r="B1" s="3"/>
      <c r="D1" s="5"/>
      <c r="E1" s="14"/>
      <c r="F1" s="14"/>
      <c r="G1" s="14"/>
    </row>
    <row r="2" spans="1:11" x14ac:dyDescent="0.25">
      <c r="A2" s="2"/>
      <c r="B2" s="2"/>
      <c r="C2" s="3"/>
      <c r="D2" s="8"/>
      <c r="E2" s="13"/>
      <c r="F2" s="13"/>
      <c r="G2" s="13"/>
    </row>
    <row r="3" spans="1:11" ht="15.75" thickBot="1" x14ac:dyDescent="0.3">
      <c r="A3" s="3" t="s">
        <v>230</v>
      </c>
      <c r="B3" s="3" t="s">
        <v>343</v>
      </c>
      <c r="C3" s="3" t="s">
        <v>287</v>
      </c>
      <c r="D3" s="8" t="s">
        <v>288</v>
      </c>
      <c r="E3" s="13" t="s">
        <v>289</v>
      </c>
      <c r="F3" s="13" t="s">
        <v>276</v>
      </c>
      <c r="G3" s="13" t="s">
        <v>290</v>
      </c>
    </row>
    <row r="4" spans="1:11" x14ac:dyDescent="0.25">
      <c r="A4" s="427" t="s">
        <v>671</v>
      </c>
      <c r="B4" s="427"/>
      <c r="C4" s="427"/>
      <c r="D4" s="428"/>
      <c r="E4" s="429"/>
      <c r="F4" s="429"/>
      <c r="G4" s="429"/>
      <c r="I4" s="891" t="s">
        <v>2</v>
      </c>
      <c r="J4" s="891" t="str">
        <f>IF(Profit!$S$6,IF(K4,"Yes","N0"),"no")</f>
        <v>no</v>
      </c>
      <c r="K4" s="895" t="b">
        <v>0</v>
      </c>
    </row>
    <row r="5" spans="1:11" ht="15.75" thickBot="1" x14ac:dyDescent="0.3">
      <c r="A5" s="422" t="s">
        <v>674</v>
      </c>
      <c r="B5" s="422">
        <v>977057</v>
      </c>
      <c r="C5" s="423">
        <v>1</v>
      </c>
      <c r="D5" s="430">
        <v>149</v>
      </c>
      <c r="E5" s="424">
        <f>+C5*D5</f>
        <v>149</v>
      </c>
      <c r="F5" s="431">
        <f>+E5*0.0725</f>
        <v>10.802499999999998</v>
      </c>
      <c r="G5" s="429"/>
      <c r="I5" s="892"/>
      <c r="J5" s="892"/>
      <c r="K5" s="896"/>
    </row>
    <row r="6" spans="1:11" x14ac:dyDescent="0.25">
      <c r="A6" s="422" t="s">
        <v>673</v>
      </c>
      <c r="B6" s="422">
        <v>3648606</v>
      </c>
      <c r="C6" s="423">
        <v>1</v>
      </c>
      <c r="D6" s="430">
        <v>700</v>
      </c>
      <c r="E6" s="424">
        <f>+C6*D6</f>
        <v>700</v>
      </c>
      <c r="F6" s="431">
        <f>+E6*0.0725</f>
        <v>50.75</v>
      </c>
      <c r="G6" s="429"/>
    </row>
    <row r="7" spans="1:11" ht="15.75" thickBot="1" x14ac:dyDescent="0.3">
      <c r="A7" s="422" t="s">
        <v>672</v>
      </c>
      <c r="B7" s="422">
        <v>1654366</v>
      </c>
      <c r="C7" s="423">
        <v>1</v>
      </c>
      <c r="D7" s="430">
        <v>450</v>
      </c>
      <c r="E7" s="424">
        <f>+C7*D7</f>
        <v>450</v>
      </c>
      <c r="F7" s="431">
        <f>+E7*0.0725</f>
        <v>32.625</v>
      </c>
      <c r="G7" s="432"/>
    </row>
    <row r="8" spans="1:11" x14ac:dyDescent="0.25">
      <c r="A8" s="427"/>
      <c r="B8" s="427"/>
      <c r="C8" s="427"/>
      <c r="D8" s="238" t="s">
        <v>670</v>
      </c>
      <c r="E8" s="424"/>
      <c r="F8" s="424"/>
      <c r="G8" s="424">
        <f>IF(J4="yes",+SUM(E5:E7)+SUM(F5:F7),0)</f>
        <v>0</v>
      </c>
    </row>
    <row r="9" spans="1:11" x14ac:dyDescent="0.25">
      <c r="A9" s="149" t="s">
        <v>344</v>
      </c>
      <c r="B9" s="149">
        <v>977057</v>
      </c>
      <c r="C9" s="267">
        <v>0</v>
      </c>
      <c r="D9" s="254">
        <v>149</v>
      </c>
      <c r="E9" s="14">
        <f>+C9*D9</f>
        <v>0</v>
      </c>
      <c r="F9" s="26">
        <f>+E9*0.0725</f>
        <v>0</v>
      </c>
      <c r="G9" s="13"/>
    </row>
    <row r="10" spans="1:11" x14ac:dyDescent="0.25">
      <c r="A10" s="149" t="s">
        <v>345</v>
      </c>
      <c r="B10" s="149"/>
      <c r="C10" s="267">
        <v>0</v>
      </c>
      <c r="D10" s="254">
        <v>400</v>
      </c>
      <c r="E10" s="14">
        <f>+C10*D10</f>
        <v>0</v>
      </c>
      <c r="F10" s="26">
        <f>+E10*0.0725</f>
        <v>0</v>
      </c>
      <c r="G10" s="14"/>
    </row>
    <row r="11" spans="1:11" x14ac:dyDescent="0.25">
      <c r="A11" s="149" t="s">
        <v>346</v>
      </c>
      <c r="B11" s="149">
        <v>1008246199</v>
      </c>
      <c r="C11" s="267">
        <v>0</v>
      </c>
      <c r="D11" s="254">
        <v>448</v>
      </c>
      <c r="E11" s="14">
        <f>+C11*D11</f>
        <v>0</v>
      </c>
      <c r="F11" s="26">
        <f>+E11*0.0725</f>
        <v>0</v>
      </c>
      <c r="G11" s="14"/>
    </row>
    <row r="12" spans="1:11" ht="15.75" thickBot="1" x14ac:dyDescent="0.3">
      <c r="A12" s="149" t="s">
        <v>587</v>
      </c>
      <c r="B12" s="149">
        <v>205954</v>
      </c>
      <c r="C12" s="267">
        <v>0</v>
      </c>
      <c r="D12" s="254">
        <v>0</v>
      </c>
      <c r="E12" s="21"/>
      <c r="F12" s="21"/>
      <c r="G12" s="21"/>
    </row>
    <row r="13" spans="1:11" x14ac:dyDescent="0.25">
      <c r="A13" s="149"/>
      <c r="B13" s="149"/>
      <c r="C13" s="267"/>
      <c r="D13" s="268" t="s">
        <v>347</v>
      </c>
      <c r="E13" s="14"/>
      <c r="F13" s="14"/>
      <c r="G13" s="14">
        <f>IF(J4="yes",0,+SUM(E9:E12)+SUM(F9:F12))</f>
        <v>0</v>
      </c>
    </row>
    <row r="14" spans="1:11" x14ac:dyDescent="0.25">
      <c r="A14" s="149" t="s">
        <v>348</v>
      </c>
      <c r="B14" s="149">
        <v>206436</v>
      </c>
      <c r="C14" s="267">
        <v>0</v>
      </c>
      <c r="D14" s="268">
        <v>12.98</v>
      </c>
      <c r="E14" s="14">
        <v>0</v>
      </c>
      <c r="F14" s="26">
        <f>+E14*0.0725</f>
        <v>0</v>
      </c>
      <c r="G14" s="14">
        <v>0</v>
      </c>
    </row>
    <row r="15" spans="1:11" x14ac:dyDescent="0.25">
      <c r="A15" s="149" t="s">
        <v>588</v>
      </c>
      <c r="B15" s="149">
        <v>1006760329</v>
      </c>
      <c r="C15" s="267">
        <v>0</v>
      </c>
      <c r="D15" s="254">
        <v>698</v>
      </c>
      <c r="E15" s="14" t="s">
        <v>155</v>
      </c>
      <c r="F15" s="14"/>
      <c r="G15" s="14"/>
    </row>
    <row r="16" spans="1:11" x14ac:dyDescent="0.25">
      <c r="A16" s="149" t="s">
        <v>348</v>
      </c>
      <c r="B16" s="149">
        <v>1630551</v>
      </c>
      <c r="C16" s="267">
        <v>0</v>
      </c>
      <c r="D16" s="254">
        <v>32.979999999999997</v>
      </c>
      <c r="E16" s="14">
        <f>+C16*D16</f>
        <v>0</v>
      </c>
      <c r="F16" s="26">
        <f>+E16*0.0725</f>
        <v>0</v>
      </c>
      <c r="G16" s="14"/>
    </row>
    <row r="17" spans="1:8" x14ac:dyDescent="0.25">
      <c r="A17" s="149" t="s">
        <v>669</v>
      </c>
      <c r="B17" s="149">
        <v>3648606</v>
      </c>
      <c r="C17" s="267">
        <v>0</v>
      </c>
      <c r="D17" s="254">
        <v>700</v>
      </c>
      <c r="E17" s="14">
        <f>+C17*D17</f>
        <v>0</v>
      </c>
      <c r="F17" s="26">
        <f t="shared" ref="F17:F29" si="0">+E17*0.0725</f>
        <v>0</v>
      </c>
      <c r="G17" s="14"/>
    </row>
    <row r="18" spans="1:8" x14ac:dyDescent="0.25">
      <c r="A18" s="149" t="s">
        <v>349</v>
      </c>
      <c r="B18" s="149">
        <v>1654366</v>
      </c>
      <c r="C18" s="267">
        <v>0</v>
      </c>
      <c r="D18" s="254">
        <v>374.29</v>
      </c>
      <c r="E18" s="14">
        <f>+C18*D18</f>
        <v>0</v>
      </c>
      <c r="F18" s="26">
        <f t="shared" si="0"/>
        <v>0</v>
      </c>
      <c r="G18" s="14"/>
    </row>
    <row r="19" spans="1:8" x14ac:dyDescent="0.25">
      <c r="A19" s="149" t="s">
        <v>350</v>
      </c>
      <c r="B19" s="149">
        <v>118694</v>
      </c>
      <c r="C19" s="267">
        <v>0</v>
      </c>
      <c r="D19" s="254">
        <v>39.28</v>
      </c>
      <c r="E19" s="14">
        <f>+C19*D19</f>
        <v>0</v>
      </c>
      <c r="F19" s="26">
        <f t="shared" si="0"/>
        <v>0</v>
      </c>
      <c r="G19" s="14"/>
    </row>
    <row r="20" spans="1:8" x14ac:dyDescent="0.25">
      <c r="A20" s="149" t="s">
        <v>351</v>
      </c>
      <c r="B20" s="269"/>
      <c r="C20" s="267">
        <v>0</v>
      </c>
      <c r="D20" s="254">
        <v>189</v>
      </c>
      <c r="E20" s="14">
        <f>+C20*D20</f>
        <v>0</v>
      </c>
      <c r="F20" s="26">
        <f t="shared" si="0"/>
        <v>0</v>
      </c>
      <c r="G20" s="14"/>
    </row>
    <row r="21" spans="1:8" x14ac:dyDescent="0.25">
      <c r="A21" s="149" t="s">
        <v>589</v>
      </c>
      <c r="B21" s="269">
        <v>206332</v>
      </c>
      <c r="C21" s="267">
        <v>0</v>
      </c>
      <c r="D21" s="254">
        <v>32.85</v>
      </c>
      <c r="E21" s="14" t="s">
        <v>155</v>
      </c>
      <c r="F21" s="26"/>
      <c r="G21" s="14"/>
    </row>
    <row r="22" spans="1:8" x14ac:dyDescent="0.25">
      <c r="A22" s="149" t="s">
        <v>352</v>
      </c>
      <c r="B22" s="269"/>
      <c r="C22" s="267">
        <v>0</v>
      </c>
      <c r="D22" s="254">
        <v>169</v>
      </c>
      <c r="E22" s="14">
        <f t="shared" ref="E22:E29" si="1">+C22*D22</f>
        <v>0</v>
      </c>
      <c r="F22" s="26">
        <f t="shared" si="0"/>
        <v>0</v>
      </c>
      <c r="G22" s="14"/>
    </row>
    <row r="23" spans="1:8" x14ac:dyDescent="0.25">
      <c r="A23" s="269" t="s">
        <v>353</v>
      </c>
      <c r="B23" s="269">
        <v>1692925</v>
      </c>
      <c r="C23" s="267">
        <v>0</v>
      </c>
      <c r="D23" s="254">
        <v>170.39</v>
      </c>
      <c r="E23" s="14">
        <f t="shared" si="1"/>
        <v>0</v>
      </c>
      <c r="F23" s="26">
        <f t="shared" si="0"/>
        <v>0</v>
      </c>
      <c r="G23" s="14"/>
    </row>
    <row r="24" spans="1:8" x14ac:dyDescent="0.25">
      <c r="A24" s="269" t="s">
        <v>621</v>
      </c>
      <c r="B24" s="269"/>
      <c r="C24" s="267">
        <v>0</v>
      </c>
      <c r="D24" s="254">
        <v>900</v>
      </c>
      <c r="E24" s="14">
        <f t="shared" si="1"/>
        <v>0</v>
      </c>
      <c r="F24" s="26">
        <f>+E24*0.0725</f>
        <v>0</v>
      </c>
      <c r="G24" s="14"/>
    </row>
    <row r="25" spans="1:8" x14ac:dyDescent="0.25">
      <c r="A25" s="269" t="s">
        <v>622</v>
      </c>
      <c r="B25" s="269"/>
      <c r="C25" s="267">
        <v>0</v>
      </c>
      <c r="D25" s="254">
        <v>900</v>
      </c>
      <c r="E25" s="14">
        <f t="shared" si="1"/>
        <v>0</v>
      </c>
      <c r="F25" s="26">
        <f>+E25*0.0725</f>
        <v>0</v>
      </c>
      <c r="G25" s="14"/>
    </row>
    <row r="26" spans="1:8" x14ac:dyDescent="0.25">
      <c r="A26" s="269"/>
      <c r="B26" s="269"/>
      <c r="C26" s="267">
        <v>0</v>
      </c>
      <c r="D26" s="254">
        <v>170.39</v>
      </c>
      <c r="E26" s="14">
        <f t="shared" si="1"/>
        <v>0</v>
      </c>
      <c r="F26" s="26">
        <f>+E26*0.0725</f>
        <v>0</v>
      </c>
      <c r="G26" s="14"/>
    </row>
    <row r="27" spans="1:8" x14ac:dyDescent="0.25">
      <c r="A27" s="269"/>
      <c r="B27" s="269"/>
      <c r="C27" s="267">
        <v>0</v>
      </c>
      <c r="D27" s="254">
        <v>170.39</v>
      </c>
      <c r="E27" s="14">
        <f t="shared" si="1"/>
        <v>0</v>
      </c>
      <c r="F27" s="26">
        <f>+E27*0.0725</f>
        <v>0</v>
      </c>
      <c r="G27" s="14"/>
    </row>
    <row r="28" spans="1:8" x14ac:dyDescent="0.25">
      <c r="A28" s="269"/>
      <c r="B28" s="269"/>
      <c r="C28" s="267">
        <v>0</v>
      </c>
      <c r="D28" s="254">
        <v>170.39</v>
      </c>
      <c r="E28" s="14">
        <f t="shared" si="1"/>
        <v>0</v>
      </c>
      <c r="F28" s="26">
        <f>+E28*0.0725</f>
        <v>0</v>
      </c>
      <c r="G28" s="14"/>
    </row>
    <row r="29" spans="1:8" ht="15.75" thickBot="1" x14ac:dyDescent="0.3">
      <c r="A29" s="149" t="s">
        <v>590</v>
      </c>
      <c r="B29" s="269"/>
      <c r="C29" s="267">
        <v>0</v>
      </c>
      <c r="D29" s="254">
        <v>0</v>
      </c>
      <c r="E29" s="14">
        <f t="shared" si="1"/>
        <v>0</v>
      </c>
      <c r="F29" s="26">
        <f t="shared" si="0"/>
        <v>0</v>
      </c>
      <c r="G29" s="21"/>
    </row>
    <row r="30" spans="1:8" x14ac:dyDescent="0.25">
      <c r="B30" s="2"/>
      <c r="C30" s="890" t="s">
        <v>354</v>
      </c>
      <c r="D30" s="890"/>
      <c r="E30" s="890"/>
      <c r="F30" s="30"/>
      <c r="G30" s="14">
        <f>IF(J4="yes",0,SUM(E9:E29)+SUM(F9:F29))</f>
        <v>0</v>
      </c>
    </row>
    <row r="31" spans="1:8" x14ac:dyDescent="0.25">
      <c r="H31" s="14">
        <f>SUM(G8:G30)</f>
        <v>0</v>
      </c>
    </row>
  </sheetData>
  <mergeCells count="4">
    <mergeCell ref="C30:E30"/>
    <mergeCell ref="I4:I5"/>
    <mergeCell ref="J4:J5"/>
    <mergeCell ref="K4:K5"/>
  </mergeCells>
  <printOptions headings="1" gridLines="1"/>
  <pageMargins left="0.7" right="0.7" top="0.75" bottom="0.75" header="0.3" footer="0.3"/>
  <pageSetup fitToHeight="0" orientation="portrait"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A57ED35-922B-4595-A40C-A0514C2B2C82}">
  <sheetPr codeName="Sheet15"/>
  <dimension ref="A1:L38"/>
  <sheetViews>
    <sheetView workbookViewId="0">
      <selection activeCell="B25" sqref="B25"/>
    </sheetView>
  </sheetViews>
  <sheetFormatPr defaultColWidth="9.140625" defaultRowHeight="15" x14ac:dyDescent="0.25"/>
  <cols>
    <col min="1" max="1" width="28" style="2" bestFit="1" customWidth="1"/>
    <col min="2" max="2" width="7" style="2" bestFit="1" customWidth="1"/>
    <col min="3" max="3" width="23.85546875" style="2" customWidth="1"/>
    <col min="5" max="5" width="10.140625" style="5" bestFit="1" customWidth="1"/>
    <col min="6" max="8" width="9.140625" style="14"/>
    <col min="10" max="10" width="19.28515625" bestFit="1" customWidth="1"/>
  </cols>
  <sheetData>
    <row r="1" spans="1:12" x14ac:dyDescent="0.25">
      <c r="A1" s="3" t="s">
        <v>355</v>
      </c>
      <c r="B1" s="3"/>
      <c r="C1" s="3"/>
    </row>
    <row r="2" spans="1:12" x14ac:dyDescent="0.25">
      <c r="D2" s="3"/>
      <c r="E2" s="8"/>
      <c r="F2" s="13"/>
      <c r="G2" s="13"/>
      <c r="H2" s="13"/>
    </row>
    <row r="3" spans="1:12" x14ac:dyDescent="0.25">
      <c r="A3" s="3" t="s">
        <v>230</v>
      </c>
      <c r="B3" s="3" t="s">
        <v>275</v>
      </c>
      <c r="C3" s="3" t="s">
        <v>343</v>
      </c>
      <c r="D3" s="3" t="s">
        <v>287</v>
      </c>
      <c r="E3" s="8" t="s">
        <v>288</v>
      </c>
      <c r="F3" s="13" t="s">
        <v>289</v>
      </c>
      <c r="G3" s="13" t="s">
        <v>276</v>
      </c>
      <c r="H3" s="13" t="s">
        <v>290</v>
      </c>
    </row>
    <row r="4" spans="1:12" ht="15.75" thickBot="1" x14ac:dyDescent="0.3">
      <c r="A4" s="3" t="s">
        <v>671</v>
      </c>
      <c r="B4" s="3"/>
      <c r="C4" s="3"/>
      <c r="D4" s="3"/>
      <c r="E4" s="8"/>
      <c r="F4" s="13"/>
      <c r="G4" s="13"/>
      <c r="H4" s="13"/>
    </row>
    <row r="5" spans="1:12" x14ac:dyDescent="0.25">
      <c r="A5" s="433" t="s">
        <v>361</v>
      </c>
      <c r="B5" s="433"/>
      <c r="C5" s="433"/>
      <c r="D5" s="423">
        <v>1</v>
      </c>
      <c r="E5" s="430">
        <v>179</v>
      </c>
      <c r="F5" s="424">
        <f>+D5*E5</f>
        <v>179</v>
      </c>
      <c r="G5" s="431">
        <f>+F5*0.0725</f>
        <v>12.977499999999999</v>
      </c>
      <c r="H5" s="429"/>
      <c r="J5" s="891" t="s">
        <v>2</v>
      </c>
      <c r="K5" s="891" t="str">
        <f>IF(Profit!S6,IF(L5,"Yes","No"),"No")</f>
        <v>No</v>
      </c>
      <c r="L5" s="895" t="b">
        <v>1</v>
      </c>
    </row>
    <row r="6" spans="1:12" ht="15.75" thickBot="1" x14ac:dyDescent="0.3">
      <c r="A6" s="433" t="s">
        <v>675</v>
      </c>
      <c r="B6" s="433"/>
      <c r="C6" s="433"/>
      <c r="D6" s="423">
        <v>1</v>
      </c>
      <c r="E6" s="430">
        <v>53.98</v>
      </c>
      <c r="F6" s="424">
        <f>+D6*E6</f>
        <v>53.98</v>
      </c>
      <c r="G6" s="431">
        <f>+F6*0.0725</f>
        <v>3.9135499999999994</v>
      </c>
      <c r="H6" s="429"/>
      <c r="J6" s="892"/>
      <c r="K6" s="892"/>
      <c r="L6" s="896"/>
    </row>
    <row r="7" spans="1:12" x14ac:dyDescent="0.25">
      <c r="A7" s="433" t="s">
        <v>310</v>
      </c>
      <c r="B7" s="433"/>
      <c r="C7" s="433"/>
      <c r="D7" s="423">
        <v>2</v>
      </c>
      <c r="E7" s="430">
        <v>15.47</v>
      </c>
      <c r="F7" s="424">
        <f>+D7*E7</f>
        <v>30.94</v>
      </c>
      <c r="G7" s="431">
        <f>+F7*0.0725</f>
        <v>2.24315</v>
      </c>
      <c r="H7" s="429"/>
    </row>
    <row r="8" spans="1:12" x14ac:dyDescent="0.25">
      <c r="A8" s="433" t="s">
        <v>676</v>
      </c>
      <c r="B8" s="433"/>
      <c r="C8" s="433"/>
      <c r="D8" s="423">
        <v>5</v>
      </c>
      <c r="E8" s="430">
        <v>39.979999999999997</v>
      </c>
      <c r="F8" s="424">
        <v>0</v>
      </c>
      <c r="G8" s="431">
        <f>+F8*0.0725</f>
        <v>0</v>
      </c>
      <c r="H8" s="429"/>
    </row>
    <row r="9" spans="1:12" ht="15.75" thickBot="1" x14ac:dyDescent="0.3">
      <c r="A9" s="433" t="s">
        <v>358</v>
      </c>
      <c r="B9" s="433"/>
      <c r="C9" s="433">
        <v>732291231619</v>
      </c>
      <c r="D9" s="423">
        <v>3</v>
      </c>
      <c r="E9" s="430">
        <v>99</v>
      </c>
      <c r="F9" s="432">
        <f>+D9*E9</f>
        <v>297</v>
      </c>
      <c r="G9" s="432">
        <f>+F9*0.0725</f>
        <v>21.532499999999999</v>
      </c>
      <c r="H9" s="432"/>
    </row>
    <row r="10" spans="1:12" x14ac:dyDescent="0.25">
      <c r="A10" s="433"/>
      <c r="B10" s="433"/>
      <c r="C10" s="433"/>
      <c r="D10" s="423"/>
      <c r="E10" s="430"/>
      <c r="F10" s="424"/>
      <c r="G10" s="424"/>
      <c r="H10" s="424">
        <f>IF(K5="Yes",+SUM(F5:F9)+SUM(G5:G9),0)</f>
        <v>0</v>
      </c>
    </row>
    <row r="11" spans="1:12" x14ac:dyDescent="0.25">
      <c r="A11" s="269"/>
      <c r="B11" s="269"/>
      <c r="C11" s="269"/>
      <c r="D11" s="267"/>
      <c r="E11" s="254"/>
      <c r="G11" s="26"/>
      <c r="H11" s="13"/>
    </row>
    <row r="12" spans="1:12" x14ac:dyDescent="0.25">
      <c r="A12" s="269"/>
      <c r="B12" s="269"/>
      <c r="C12" s="269"/>
      <c r="D12" s="267"/>
      <c r="E12" s="254"/>
      <c r="G12" s="26"/>
      <c r="H12" s="13"/>
    </row>
    <row r="13" spans="1:12" x14ac:dyDescent="0.25">
      <c r="A13" s="269"/>
      <c r="B13" s="269"/>
      <c r="C13" s="269"/>
      <c r="D13" s="267">
        <v>0</v>
      </c>
      <c r="E13" s="254">
        <v>107.1</v>
      </c>
      <c r="F13" s="14">
        <f>+D13*E13</f>
        <v>0</v>
      </c>
      <c r="G13" s="26">
        <f t="shared" ref="G13:G31" si="0">+F13*0.0725</f>
        <v>0</v>
      </c>
      <c r="H13" s="13"/>
    </row>
    <row r="14" spans="1:12" x14ac:dyDescent="0.25">
      <c r="A14" s="269" t="s">
        <v>1034</v>
      </c>
      <c r="B14" s="567">
        <v>45917</v>
      </c>
      <c r="C14" s="269"/>
      <c r="D14" s="267">
        <v>1</v>
      </c>
      <c r="E14" s="254">
        <v>22.99</v>
      </c>
      <c r="F14" s="14">
        <f>+D14*E14</f>
        <v>22.99</v>
      </c>
      <c r="G14" s="26">
        <f t="shared" si="0"/>
        <v>1.6667749999999997</v>
      </c>
    </row>
    <row r="15" spans="1:12" x14ac:dyDescent="0.25">
      <c r="A15" s="269" t="s">
        <v>356</v>
      </c>
      <c r="B15" s="567">
        <v>45872</v>
      </c>
      <c r="C15" s="269">
        <v>5675890</v>
      </c>
      <c r="D15" s="267">
        <v>1</v>
      </c>
      <c r="E15" s="254">
        <v>58.63</v>
      </c>
      <c r="F15" s="14">
        <f>+D15*E15</f>
        <v>58.63</v>
      </c>
      <c r="G15" s="26">
        <f t="shared" si="0"/>
        <v>4.2506750000000002</v>
      </c>
    </row>
    <row r="16" spans="1:12" x14ac:dyDescent="0.25">
      <c r="A16" s="269" t="s">
        <v>357</v>
      </c>
      <c r="B16" s="567">
        <v>45873</v>
      </c>
      <c r="C16" s="269">
        <v>1227799</v>
      </c>
      <c r="D16" s="267">
        <v>2</v>
      </c>
      <c r="E16" s="254">
        <v>38.229999999999997</v>
      </c>
      <c r="F16" s="14">
        <f>+D16*E16</f>
        <v>76.459999999999994</v>
      </c>
      <c r="G16" s="26">
        <f t="shared" si="0"/>
        <v>5.5433499999999993</v>
      </c>
    </row>
    <row r="17" spans="1:11" x14ac:dyDescent="0.25">
      <c r="A17" s="269" t="s">
        <v>1033</v>
      </c>
      <c r="B17" s="567">
        <v>45894</v>
      </c>
      <c r="C17" s="269"/>
      <c r="D17" s="267">
        <v>1</v>
      </c>
      <c r="E17" s="254">
        <v>84.99</v>
      </c>
      <c r="F17" s="14">
        <f>+D17*E17</f>
        <v>84.99</v>
      </c>
      <c r="G17" s="26">
        <f t="shared" si="0"/>
        <v>6.1617749999999996</v>
      </c>
    </row>
    <row r="18" spans="1:11" x14ac:dyDescent="0.25">
      <c r="A18" s="269" t="s">
        <v>1033</v>
      </c>
      <c r="B18" s="567">
        <v>45894</v>
      </c>
      <c r="C18" s="269" t="s">
        <v>155</v>
      </c>
      <c r="D18" s="267">
        <v>1</v>
      </c>
      <c r="E18" s="254">
        <v>79.989999999999995</v>
      </c>
      <c r="F18" s="14">
        <f t="shared" ref="F18:F30" si="1">+D18*E18</f>
        <v>79.989999999999995</v>
      </c>
      <c r="G18" s="26">
        <f t="shared" si="0"/>
        <v>5.7992749999999988</v>
      </c>
    </row>
    <row r="19" spans="1:11" x14ac:dyDescent="0.25">
      <c r="A19" s="269" t="s">
        <v>1033</v>
      </c>
      <c r="B19" s="567">
        <v>45894</v>
      </c>
      <c r="C19" s="269"/>
      <c r="D19" s="267">
        <v>2</v>
      </c>
      <c r="E19" s="254">
        <v>109.99</v>
      </c>
      <c r="F19" s="14">
        <f t="shared" si="1"/>
        <v>219.98</v>
      </c>
      <c r="G19" s="26">
        <f t="shared" si="0"/>
        <v>15.948549999999997</v>
      </c>
    </row>
    <row r="20" spans="1:11" x14ac:dyDescent="0.25">
      <c r="A20" s="269" t="s">
        <v>358</v>
      </c>
      <c r="B20" s="567">
        <v>45873</v>
      </c>
      <c r="C20" s="269">
        <v>2691714</v>
      </c>
      <c r="D20" s="267">
        <v>1</v>
      </c>
      <c r="E20" s="254">
        <v>98.1</v>
      </c>
      <c r="F20" s="14">
        <f t="shared" si="1"/>
        <v>98.1</v>
      </c>
      <c r="G20" s="26">
        <f t="shared" si="0"/>
        <v>7.1122499999999995</v>
      </c>
    </row>
    <row r="21" spans="1:11" x14ac:dyDescent="0.25">
      <c r="A21" s="269" t="s">
        <v>359</v>
      </c>
      <c r="B21" s="269"/>
      <c r="C21" s="292">
        <v>26508261804</v>
      </c>
      <c r="D21" s="267">
        <v>0</v>
      </c>
      <c r="E21" s="254">
        <v>114</v>
      </c>
      <c r="F21" s="14">
        <f t="shared" si="1"/>
        <v>0</v>
      </c>
      <c r="G21" s="26">
        <f t="shared" si="0"/>
        <v>0</v>
      </c>
    </row>
    <row r="22" spans="1:11" x14ac:dyDescent="0.25">
      <c r="A22" s="269" t="s">
        <v>1010</v>
      </c>
      <c r="B22" s="567">
        <v>45873</v>
      </c>
      <c r="C22" s="292">
        <v>23308</v>
      </c>
      <c r="D22" s="267">
        <v>1</v>
      </c>
      <c r="E22" s="254">
        <v>5.85</v>
      </c>
      <c r="F22" s="14">
        <f t="shared" si="1"/>
        <v>5.85</v>
      </c>
      <c r="G22" s="26">
        <f t="shared" si="0"/>
        <v>0.42412499999999992</v>
      </c>
    </row>
    <row r="23" spans="1:11" x14ac:dyDescent="0.25">
      <c r="A23" s="269" t="s">
        <v>310</v>
      </c>
      <c r="B23" s="269"/>
      <c r="C23" s="269">
        <v>6925699939094</v>
      </c>
      <c r="D23" s="267">
        <v>0</v>
      </c>
      <c r="E23" s="254">
        <v>34.979999999999997</v>
      </c>
      <c r="F23" s="14">
        <f t="shared" si="1"/>
        <v>0</v>
      </c>
      <c r="G23" s="26">
        <f t="shared" si="0"/>
        <v>0</v>
      </c>
    </row>
    <row r="24" spans="1:11" x14ac:dyDescent="0.25">
      <c r="A24" s="269" t="s">
        <v>360</v>
      </c>
      <c r="B24" s="567">
        <v>45929</v>
      </c>
      <c r="C24" s="269"/>
      <c r="D24" s="267">
        <v>1</v>
      </c>
      <c r="E24" s="254">
        <v>1450</v>
      </c>
      <c r="F24" s="14">
        <f t="shared" si="1"/>
        <v>1450</v>
      </c>
      <c r="G24" s="26">
        <f t="shared" si="0"/>
        <v>105.12499999999999</v>
      </c>
    </row>
    <row r="25" spans="1:11" x14ac:dyDescent="0.25">
      <c r="A25" s="269" t="s">
        <v>361</v>
      </c>
      <c r="B25" s="269"/>
      <c r="C25" s="269">
        <v>38877656754</v>
      </c>
      <c r="D25" s="267">
        <v>0</v>
      </c>
      <c r="E25" s="254">
        <v>169</v>
      </c>
      <c r="F25" s="14">
        <f t="shared" si="1"/>
        <v>0</v>
      </c>
      <c r="G25" s="26">
        <f t="shared" si="0"/>
        <v>0</v>
      </c>
    </row>
    <row r="26" spans="1:11" x14ac:dyDescent="0.25">
      <c r="A26" s="269" t="s">
        <v>358</v>
      </c>
      <c r="B26" s="269"/>
      <c r="C26" s="269">
        <v>732291231619</v>
      </c>
      <c r="D26" s="267">
        <v>0</v>
      </c>
      <c r="E26" s="254">
        <v>99</v>
      </c>
      <c r="F26" s="14">
        <f t="shared" si="1"/>
        <v>0</v>
      </c>
      <c r="G26" s="26">
        <f t="shared" si="0"/>
        <v>0</v>
      </c>
    </row>
    <row r="27" spans="1:11" x14ac:dyDescent="0.25">
      <c r="A27" s="269" t="s">
        <v>1022</v>
      </c>
      <c r="B27" s="567">
        <v>45929</v>
      </c>
      <c r="C27" s="269">
        <v>1694157</v>
      </c>
      <c r="D27" s="267">
        <v>1</v>
      </c>
      <c r="E27" s="254">
        <v>14.14</v>
      </c>
      <c r="F27" s="14">
        <f t="shared" si="1"/>
        <v>14.14</v>
      </c>
      <c r="G27" s="26">
        <f t="shared" si="0"/>
        <v>1.02515</v>
      </c>
    </row>
    <row r="28" spans="1:11" x14ac:dyDescent="0.25">
      <c r="A28" s="269"/>
      <c r="B28" s="269"/>
      <c r="C28" s="269"/>
      <c r="D28" s="267"/>
      <c r="E28" s="254"/>
      <c r="F28" s="14">
        <f t="shared" si="1"/>
        <v>0</v>
      </c>
      <c r="G28" s="26">
        <f t="shared" si="0"/>
        <v>0</v>
      </c>
    </row>
    <row r="29" spans="1:11" x14ac:dyDescent="0.25">
      <c r="A29" s="269"/>
      <c r="B29" s="269"/>
      <c r="C29" s="269"/>
      <c r="D29" s="267"/>
      <c r="E29" s="254"/>
      <c r="F29" s="14">
        <f t="shared" si="1"/>
        <v>0</v>
      </c>
      <c r="G29" s="26">
        <f t="shared" si="0"/>
        <v>0</v>
      </c>
    </row>
    <row r="30" spans="1:11" x14ac:dyDescent="0.25">
      <c r="A30" s="269"/>
      <c r="B30" s="269"/>
      <c r="C30" s="269"/>
      <c r="D30" s="267"/>
      <c r="E30" s="254"/>
      <c r="F30" s="14">
        <f t="shared" si="1"/>
        <v>0</v>
      </c>
      <c r="G30" s="26">
        <f t="shared" si="0"/>
        <v>0</v>
      </c>
    </row>
    <row r="31" spans="1:11" ht="15.75" thickBot="1" x14ac:dyDescent="0.3">
      <c r="A31" s="269"/>
      <c r="B31" s="269"/>
      <c r="C31" s="269"/>
      <c r="D31" s="267"/>
      <c r="E31" s="254"/>
      <c r="F31" s="21">
        <f>+D31*E31</f>
        <v>0</v>
      </c>
      <c r="G31" s="21">
        <f t="shared" si="0"/>
        <v>0</v>
      </c>
      <c r="H31" s="21"/>
    </row>
    <row r="32" spans="1:11" x14ac:dyDescent="0.25">
      <c r="H32" s="14">
        <f>IF(K5="No",+SUM(F13:F31)+SUM(G13:G31),0)</f>
        <v>2264.1869249999995</v>
      </c>
      <c r="I32" s="14">
        <f>SUM(H10:H32)</f>
        <v>2264.1869249999995</v>
      </c>
      <c r="K32" s="1"/>
    </row>
    <row r="35" spans="8:8" x14ac:dyDescent="0.25">
      <c r="H35"/>
    </row>
    <row r="36" spans="8:8" x14ac:dyDescent="0.25">
      <c r="H36"/>
    </row>
    <row r="37" spans="8:8" x14ac:dyDescent="0.25">
      <c r="H37"/>
    </row>
    <row r="38" spans="8:8" x14ac:dyDescent="0.25">
      <c r="H38"/>
    </row>
  </sheetData>
  <mergeCells count="3">
    <mergeCell ref="J5:J6"/>
    <mergeCell ref="K5:K6"/>
    <mergeCell ref="L5:L6"/>
  </mergeCells>
  <printOptions headings="1" gridLines="1"/>
  <pageMargins left="0.7" right="0.7" top="0.75" bottom="0.75" header="0.3" footer="0.3"/>
  <pageSetup orientation="portrait"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16A899-826B-450F-A5F8-6A1D9D457182}">
  <sheetPr codeName="Sheet16"/>
  <dimension ref="A1:M58"/>
  <sheetViews>
    <sheetView workbookViewId="0">
      <pane ySplit="3" topLeftCell="A10" activePane="bottomLeft" state="frozen"/>
      <selection pane="bottomLeft" activeCell="B33" sqref="B33"/>
    </sheetView>
  </sheetViews>
  <sheetFormatPr defaultColWidth="9.140625" defaultRowHeight="15" x14ac:dyDescent="0.25"/>
  <cols>
    <col min="1" max="1" width="34.7109375" style="25" bestFit="1" customWidth="1"/>
    <col min="2" max="2" width="8.7109375" style="25" bestFit="1" customWidth="1"/>
    <col min="3" max="3" width="12" style="25" bestFit="1" customWidth="1"/>
    <col min="4" max="4" width="8" bestFit="1" customWidth="1"/>
    <col min="5" max="5" width="9.140625" style="5"/>
    <col min="6" max="8" width="9.140625" style="14"/>
    <col min="11" max="11" width="19.28515625" bestFit="1" customWidth="1"/>
  </cols>
  <sheetData>
    <row r="1" spans="1:13" ht="15.75" thickBot="1" x14ac:dyDescent="0.3">
      <c r="A1" s="32" t="s">
        <v>362</v>
      </c>
      <c r="B1" s="32"/>
      <c r="C1" s="32"/>
    </row>
    <row r="2" spans="1:13" x14ac:dyDescent="0.25">
      <c r="D2" s="3"/>
      <c r="E2" s="8"/>
      <c r="F2" s="13"/>
      <c r="G2" s="13"/>
      <c r="H2" s="13"/>
      <c r="K2" s="891" t="s">
        <v>2</v>
      </c>
      <c r="L2" s="891" t="str">
        <f>IF(Profit!S6,IF(M2,"Yes","No"),"No")</f>
        <v>No</v>
      </c>
      <c r="M2" s="895" t="b">
        <v>0</v>
      </c>
    </row>
    <row r="3" spans="1:13" s="22" customFormat="1" ht="14.25" customHeight="1" thickBot="1" x14ac:dyDescent="0.3">
      <c r="A3" s="3" t="s">
        <v>230</v>
      </c>
      <c r="B3" s="3" t="s">
        <v>275</v>
      </c>
      <c r="C3" s="3" t="s">
        <v>343</v>
      </c>
      <c r="D3" s="3" t="s">
        <v>287</v>
      </c>
      <c r="E3" s="8" t="s">
        <v>288</v>
      </c>
      <c r="F3" s="13" t="s">
        <v>289</v>
      </c>
      <c r="G3" s="13"/>
      <c r="H3" s="13" t="s">
        <v>290</v>
      </c>
      <c r="K3" s="892"/>
      <c r="L3" s="892"/>
      <c r="M3" s="896"/>
    </row>
    <row r="4" spans="1:13" s="22" customFormat="1" ht="14.25" customHeight="1" x14ac:dyDescent="0.25">
      <c r="A4" s="3"/>
      <c r="B4" s="3"/>
      <c r="C4" s="3"/>
      <c r="D4" s="3"/>
      <c r="E4" s="8"/>
      <c r="F4" s="13"/>
      <c r="G4" s="13"/>
      <c r="H4" s="13"/>
      <c r="K4"/>
      <c r="L4"/>
      <c r="M4"/>
    </row>
    <row r="5" spans="1:13" s="22" customFormat="1" ht="14.25" customHeight="1" x14ac:dyDescent="0.25">
      <c r="A5" s="3" t="s">
        <v>878</v>
      </c>
      <c r="B5" s="463">
        <v>45839</v>
      </c>
      <c r="C5" s="3"/>
      <c r="D5" s="269">
        <v>1</v>
      </c>
      <c r="E5" s="254">
        <v>2358.4299999999998</v>
      </c>
      <c r="F5" s="14">
        <f t="shared" ref="F5:F18" si="0">+D5*E5</f>
        <v>2358.4299999999998</v>
      </c>
      <c r="G5" s="14"/>
      <c r="H5" s="13"/>
      <c r="K5"/>
      <c r="L5"/>
      <c r="M5"/>
    </row>
    <row r="6" spans="1:13" s="22" customFormat="1" ht="14.25" customHeight="1" x14ac:dyDescent="0.25">
      <c r="A6" s="3" t="s">
        <v>593</v>
      </c>
      <c r="B6" s="3"/>
      <c r="C6" s="3"/>
      <c r="D6" s="269">
        <v>0</v>
      </c>
      <c r="E6" s="254">
        <v>350</v>
      </c>
      <c r="F6" s="14">
        <f t="shared" si="0"/>
        <v>0</v>
      </c>
      <c r="G6" s="14">
        <f>+F6*0.0725</f>
        <v>0</v>
      </c>
      <c r="H6" s="13"/>
      <c r="K6"/>
      <c r="L6"/>
      <c r="M6"/>
    </row>
    <row r="7" spans="1:13" ht="14.25" customHeight="1" x14ac:dyDescent="0.25">
      <c r="A7" s="32" t="s">
        <v>363</v>
      </c>
      <c r="B7" s="32"/>
      <c r="C7" s="32">
        <v>935605</v>
      </c>
      <c r="D7" s="269">
        <v>0</v>
      </c>
      <c r="E7" s="254">
        <v>209</v>
      </c>
      <c r="F7" s="14">
        <f t="shared" si="0"/>
        <v>0</v>
      </c>
      <c r="G7" s="14">
        <f t="shared" ref="G7:G38" si="1">+F7*0.0725</f>
        <v>0</v>
      </c>
      <c r="H7" s="13"/>
    </row>
    <row r="8" spans="1:13" ht="14.25" customHeight="1" x14ac:dyDescent="0.25">
      <c r="A8" s="32" t="s">
        <v>364</v>
      </c>
      <c r="B8" s="32"/>
      <c r="C8" s="32">
        <v>935604</v>
      </c>
      <c r="D8" s="269">
        <v>0</v>
      </c>
      <c r="E8" s="254">
        <v>209</v>
      </c>
      <c r="F8" s="14">
        <f t="shared" si="0"/>
        <v>0</v>
      </c>
      <c r="G8" s="14">
        <f t="shared" si="1"/>
        <v>0</v>
      </c>
      <c r="H8" s="13"/>
    </row>
    <row r="9" spans="1:13" ht="14.25" customHeight="1" x14ac:dyDescent="0.25">
      <c r="A9" s="32" t="s">
        <v>365</v>
      </c>
      <c r="B9" s="32"/>
      <c r="C9" s="32">
        <v>935599</v>
      </c>
      <c r="D9" s="269">
        <v>0</v>
      </c>
      <c r="E9" s="254">
        <v>198.56</v>
      </c>
      <c r="F9" s="14">
        <f>+D9*E9</f>
        <v>0</v>
      </c>
      <c r="G9" s="14">
        <f t="shared" si="1"/>
        <v>0</v>
      </c>
      <c r="H9" s="13"/>
    </row>
    <row r="10" spans="1:13" ht="14.25" customHeight="1" x14ac:dyDescent="0.25">
      <c r="A10" s="32" t="s">
        <v>366</v>
      </c>
      <c r="B10" s="32"/>
      <c r="C10" s="32">
        <v>14005</v>
      </c>
      <c r="D10" s="267">
        <v>0</v>
      </c>
      <c r="E10" s="254">
        <v>179</v>
      </c>
      <c r="F10" s="14">
        <f t="shared" si="0"/>
        <v>0</v>
      </c>
      <c r="G10" s="14">
        <f t="shared" si="1"/>
        <v>0</v>
      </c>
    </row>
    <row r="11" spans="1:13" ht="14.25" customHeight="1" x14ac:dyDescent="0.25">
      <c r="A11" s="32" t="s">
        <v>367</v>
      </c>
      <c r="B11" s="32"/>
      <c r="C11" s="32">
        <v>14006</v>
      </c>
      <c r="D11" s="267">
        <v>0</v>
      </c>
      <c r="E11" s="254">
        <v>179</v>
      </c>
      <c r="F11" s="14">
        <f t="shared" si="0"/>
        <v>0</v>
      </c>
      <c r="G11" s="14">
        <f t="shared" si="1"/>
        <v>0</v>
      </c>
    </row>
    <row r="12" spans="1:13" ht="14.25" customHeight="1" x14ac:dyDescent="0.25">
      <c r="A12" s="32" t="s">
        <v>368</v>
      </c>
      <c r="B12" s="32"/>
      <c r="C12" s="32">
        <v>935587</v>
      </c>
      <c r="D12" s="267">
        <v>0</v>
      </c>
      <c r="E12" s="254">
        <v>198.55</v>
      </c>
      <c r="F12" s="14">
        <f>+D12*E12</f>
        <v>0</v>
      </c>
      <c r="G12" s="14">
        <f t="shared" si="1"/>
        <v>0</v>
      </c>
    </row>
    <row r="13" spans="1:13" ht="14.25" customHeight="1" x14ac:dyDescent="0.25">
      <c r="A13" s="32" t="s">
        <v>369</v>
      </c>
      <c r="B13" s="32"/>
      <c r="C13" s="32">
        <v>49504</v>
      </c>
      <c r="D13" s="267">
        <v>0</v>
      </c>
      <c r="E13" s="254">
        <v>103</v>
      </c>
      <c r="F13" s="14">
        <f t="shared" si="0"/>
        <v>0</v>
      </c>
      <c r="G13" s="14">
        <f t="shared" si="1"/>
        <v>0</v>
      </c>
    </row>
    <row r="14" spans="1:13" ht="14.25" customHeight="1" x14ac:dyDescent="0.25">
      <c r="A14" s="32" t="s">
        <v>370</v>
      </c>
      <c r="B14" s="32"/>
      <c r="C14" s="32">
        <v>49706</v>
      </c>
      <c r="D14" s="267">
        <v>0</v>
      </c>
      <c r="E14" s="254">
        <v>103</v>
      </c>
      <c r="F14" s="14">
        <f t="shared" si="0"/>
        <v>0</v>
      </c>
      <c r="G14" s="14">
        <f t="shared" si="1"/>
        <v>0</v>
      </c>
    </row>
    <row r="15" spans="1:13" ht="14.25" customHeight="1" x14ac:dyDescent="0.25">
      <c r="A15" s="32" t="s">
        <v>371</v>
      </c>
      <c r="B15" s="32"/>
      <c r="C15" s="32">
        <v>47025</v>
      </c>
      <c r="D15" s="267">
        <v>0</v>
      </c>
      <c r="E15" s="254">
        <v>99</v>
      </c>
      <c r="F15" s="14">
        <f t="shared" si="0"/>
        <v>0</v>
      </c>
      <c r="G15" s="14">
        <f t="shared" si="1"/>
        <v>0</v>
      </c>
    </row>
    <row r="16" spans="1:13" ht="14.25" customHeight="1" x14ac:dyDescent="0.25">
      <c r="A16" s="32" t="s">
        <v>372</v>
      </c>
      <c r="B16" s="32"/>
      <c r="C16" s="32">
        <v>47422</v>
      </c>
      <c r="D16" s="267">
        <v>0</v>
      </c>
      <c r="E16" s="254">
        <v>99</v>
      </c>
      <c r="F16" s="14">
        <f t="shared" si="0"/>
        <v>0</v>
      </c>
      <c r="G16" s="14">
        <f t="shared" si="1"/>
        <v>0</v>
      </c>
    </row>
    <row r="17" spans="1:7" ht="14.25" customHeight="1" x14ac:dyDescent="0.25">
      <c r="A17" s="32" t="s">
        <v>373</v>
      </c>
      <c r="B17" s="32"/>
      <c r="C17" s="32">
        <v>43359</v>
      </c>
      <c r="D17" s="267">
        <v>0</v>
      </c>
      <c r="E17" s="254">
        <v>95</v>
      </c>
      <c r="F17" s="14">
        <f t="shared" si="0"/>
        <v>0</v>
      </c>
      <c r="G17" s="14">
        <f t="shared" si="1"/>
        <v>0</v>
      </c>
    </row>
    <row r="18" spans="1:7" ht="14.25" customHeight="1" x14ac:dyDescent="0.25">
      <c r="A18" s="32" t="s">
        <v>374</v>
      </c>
      <c r="B18" s="32"/>
      <c r="C18" s="32">
        <v>44035</v>
      </c>
      <c r="D18" s="267">
        <v>0</v>
      </c>
      <c r="E18" s="254">
        <v>95</v>
      </c>
      <c r="F18" s="14">
        <f t="shared" si="0"/>
        <v>0</v>
      </c>
      <c r="G18" s="14">
        <f t="shared" si="1"/>
        <v>0</v>
      </c>
    </row>
    <row r="19" spans="1:7" ht="14.25" customHeight="1" x14ac:dyDescent="0.25">
      <c r="A19" s="325" t="s">
        <v>580</v>
      </c>
      <c r="B19" s="325"/>
      <c r="C19" s="325">
        <v>25598</v>
      </c>
      <c r="D19" s="267">
        <v>0</v>
      </c>
      <c r="E19" s="254">
        <v>101</v>
      </c>
      <c r="F19" s="14">
        <f t="shared" ref="F19:F38" si="2">+D19*E19</f>
        <v>0</v>
      </c>
      <c r="G19" s="14">
        <f t="shared" si="1"/>
        <v>0</v>
      </c>
    </row>
    <row r="20" spans="1:7" ht="14.25" customHeight="1" x14ac:dyDescent="0.25">
      <c r="A20" s="325" t="s">
        <v>551</v>
      </c>
      <c r="B20" s="325"/>
      <c r="C20" s="325">
        <v>30151125574</v>
      </c>
      <c r="D20" s="267">
        <v>0</v>
      </c>
      <c r="E20" s="254">
        <v>91.46</v>
      </c>
      <c r="F20" s="14">
        <f t="shared" si="2"/>
        <v>0</v>
      </c>
      <c r="G20" s="14">
        <f t="shared" si="1"/>
        <v>0</v>
      </c>
    </row>
    <row r="21" spans="1:7" ht="14.25" customHeight="1" x14ac:dyDescent="0.25">
      <c r="A21" s="32" t="s">
        <v>375</v>
      </c>
      <c r="B21" s="32"/>
      <c r="C21" s="32"/>
      <c r="D21" s="267">
        <v>0</v>
      </c>
      <c r="E21" s="254">
        <v>284.56</v>
      </c>
      <c r="F21" s="14">
        <f t="shared" si="2"/>
        <v>0</v>
      </c>
      <c r="G21" s="14">
        <f t="shared" si="1"/>
        <v>0</v>
      </c>
    </row>
    <row r="22" spans="1:7" ht="14.25" customHeight="1" x14ac:dyDescent="0.25">
      <c r="A22" s="32" t="s">
        <v>376</v>
      </c>
      <c r="B22" s="32"/>
      <c r="C22" s="32">
        <v>72904</v>
      </c>
      <c r="D22" s="267">
        <v>0</v>
      </c>
      <c r="E22" s="254">
        <v>429.62</v>
      </c>
      <c r="F22" s="14">
        <f>+D22*E22</f>
        <v>0</v>
      </c>
      <c r="G22" s="14">
        <f t="shared" si="1"/>
        <v>0</v>
      </c>
    </row>
    <row r="23" spans="1:7" ht="14.25" customHeight="1" x14ac:dyDescent="0.25">
      <c r="A23" s="32" t="s">
        <v>377</v>
      </c>
      <c r="B23" s="32"/>
      <c r="C23" s="32" t="s">
        <v>597</v>
      </c>
      <c r="D23" s="267">
        <v>0</v>
      </c>
      <c r="E23" s="254">
        <v>8.77</v>
      </c>
      <c r="F23" s="14">
        <f t="shared" si="2"/>
        <v>0</v>
      </c>
      <c r="G23" s="14">
        <f t="shared" si="1"/>
        <v>0</v>
      </c>
    </row>
    <row r="24" spans="1:7" ht="14.25" customHeight="1" x14ac:dyDescent="0.25">
      <c r="A24" s="32" t="s">
        <v>1006</v>
      </c>
      <c r="B24" s="561">
        <v>45805</v>
      </c>
      <c r="C24" s="32">
        <v>1798636</v>
      </c>
      <c r="D24" s="267">
        <v>1</v>
      </c>
      <c r="E24" s="254">
        <v>107.33</v>
      </c>
      <c r="F24" s="14">
        <f t="shared" si="2"/>
        <v>107.33</v>
      </c>
      <c r="G24" s="14">
        <f t="shared" si="1"/>
        <v>7.7814249999999996</v>
      </c>
    </row>
    <row r="25" spans="1:7" ht="14.25" customHeight="1" x14ac:dyDescent="0.25">
      <c r="A25" s="325" t="s">
        <v>594</v>
      </c>
      <c r="B25" s="325"/>
      <c r="C25" s="325" t="s">
        <v>598</v>
      </c>
      <c r="D25" s="267">
        <v>0</v>
      </c>
      <c r="E25" s="254">
        <v>18.88</v>
      </c>
      <c r="F25" s="14">
        <f t="shared" si="2"/>
        <v>0</v>
      </c>
      <c r="G25" s="14">
        <f t="shared" si="1"/>
        <v>0</v>
      </c>
    </row>
    <row r="26" spans="1:7" ht="14.25" customHeight="1" x14ac:dyDescent="0.25">
      <c r="A26" s="325" t="s">
        <v>1007</v>
      </c>
      <c r="B26" s="565">
        <v>45808</v>
      </c>
      <c r="C26" s="325">
        <v>5386034</v>
      </c>
      <c r="D26" s="267">
        <v>2</v>
      </c>
      <c r="E26" s="254">
        <v>39.880000000000003</v>
      </c>
      <c r="F26" s="14">
        <f t="shared" si="2"/>
        <v>79.760000000000005</v>
      </c>
      <c r="G26" s="14">
        <f t="shared" si="1"/>
        <v>5.7826000000000004</v>
      </c>
    </row>
    <row r="27" spans="1:7" ht="14.25" customHeight="1" x14ac:dyDescent="0.25">
      <c r="A27" s="325" t="s">
        <v>595</v>
      </c>
      <c r="B27" s="325"/>
      <c r="C27" s="325" t="s">
        <v>596</v>
      </c>
      <c r="D27" s="267">
        <v>0</v>
      </c>
      <c r="E27" s="254">
        <v>27.73</v>
      </c>
      <c r="F27" s="14">
        <f t="shared" si="2"/>
        <v>0</v>
      </c>
      <c r="G27" s="14">
        <f t="shared" si="1"/>
        <v>0</v>
      </c>
    </row>
    <row r="28" spans="1:7" ht="14.25" customHeight="1" x14ac:dyDescent="0.25">
      <c r="A28" s="32" t="s">
        <v>378</v>
      </c>
      <c r="B28" s="561">
        <v>45805</v>
      </c>
      <c r="C28" s="32">
        <v>5279793</v>
      </c>
      <c r="D28" s="267">
        <v>1</v>
      </c>
      <c r="E28" s="254">
        <v>66.48</v>
      </c>
      <c r="F28" s="14">
        <f t="shared" si="2"/>
        <v>66.48</v>
      </c>
      <c r="G28" s="14">
        <f t="shared" si="1"/>
        <v>4.8197999999999999</v>
      </c>
    </row>
    <row r="29" spans="1:7" ht="14.25" customHeight="1" x14ac:dyDescent="0.25">
      <c r="A29" s="32" t="s">
        <v>379</v>
      </c>
      <c r="B29" s="32"/>
      <c r="C29" s="32">
        <v>287027</v>
      </c>
      <c r="D29" s="267">
        <v>0</v>
      </c>
      <c r="E29" s="254">
        <v>50.48</v>
      </c>
      <c r="F29" s="14">
        <f t="shared" si="2"/>
        <v>0</v>
      </c>
      <c r="G29" s="14">
        <f t="shared" si="1"/>
        <v>0</v>
      </c>
    </row>
    <row r="30" spans="1:7" ht="14.25" customHeight="1" x14ac:dyDescent="0.25">
      <c r="A30" s="32" t="s">
        <v>926</v>
      </c>
      <c r="B30" s="561">
        <v>45873</v>
      </c>
      <c r="C30" s="32" t="s">
        <v>927</v>
      </c>
      <c r="D30" s="267">
        <v>7</v>
      </c>
      <c r="E30" s="254">
        <v>16.559999999999999</v>
      </c>
      <c r="F30" s="14">
        <f t="shared" si="2"/>
        <v>115.91999999999999</v>
      </c>
      <c r="G30" s="14">
        <f t="shared" si="1"/>
        <v>8.4041999999999977</v>
      </c>
    </row>
    <row r="31" spans="1:7" ht="14.25" customHeight="1" x14ac:dyDescent="0.25">
      <c r="A31" s="32" t="s">
        <v>380</v>
      </c>
      <c r="B31" s="32"/>
      <c r="C31" s="32" t="s">
        <v>578</v>
      </c>
      <c r="D31" s="267">
        <v>0</v>
      </c>
      <c r="E31" s="254">
        <v>69.97</v>
      </c>
      <c r="F31" s="14">
        <f t="shared" si="2"/>
        <v>0</v>
      </c>
      <c r="G31" s="14">
        <f t="shared" si="1"/>
        <v>0</v>
      </c>
    </row>
    <row r="32" spans="1:7" ht="14.25" customHeight="1" x14ac:dyDescent="0.25">
      <c r="A32" s="32" t="s">
        <v>381</v>
      </c>
      <c r="B32" s="32"/>
      <c r="C32" s="32" t="s">
        <v>382</v>
      </c>
      <c r="D32" s="267">
        <v>0</v>
      </c>
      <c r="E32" s="254">
        <v>289</v>
      </c>
      <c r="F32" s="14">
        <f t="shared" si="2"/>
        <v>0</v>
      </c>
      <c r="G32" s="14">
        <f t="shared" si="1"/>
        <v>0</v>
      </c>
    </row>
    <row r="33" spans="1:11" ht="14.25" customHeight="1" x14ac:dyDescent="0.25">
      <c r="A33" s="32" t="s">
        <v>383</v>
      </c>
      <c r="B33" s="32"/>
      <c r="C33" s="32" t="s">
        <v>384</v>
      </c>
      <c r="D33" s="267">
        <v>0</v>
      </c>
      <c r="E33" s="254">
        <v>12.97</v>
      </c>
      <c r="F33" s="14">
        <f t="shared" si="2"/>
        <v>0</v>
      </c>
      <c r="G33" s="14">
        <f t="shared" si="1"/>
        <v>0</v>
      </c>
    </row>
    <row r="34" spans="1:11" ht="14.25" customHeight="1" x14ac:dyDescent="0.25">
      <c r="A34" s="32" t="s">
        <v>990</v>
      </c>
      <c r="B34" s="561"/>
      <c r="C34" s="32"/>
      <c r="D34" s="267">
        <v>0</v>
      </c>
      <c r="E34" s="254">
        <v>151.05000000000001</v>
      </c>
      <c r="F34" s="14">
        <f t="shared" si="2"/>
        <v>0</v>
      </c>
      <c r="G34" s="14">
        <f t="shared" si="1"/>
        <v>0</v>
      </c>
    </row>
    <row r="35" spans="1:11" ht="14.25" customHeight="1" x14ac:dyDescent="0.25">
      <c r="A35" s="32" t="s">
        <v>385</v>
      </c>
      <c r="B35" s="32"/>
      <c r="C35" s="32">
        <v>30699285174</v>
      </c>
      <c r="D35" s="267">
        <v>0</v>
      </c>
      <c r="E35" s="254">
        <v>12.93</v>
      </c>
      <c r="F35" s="14">
        <f t="shared" si="2"/>
        <v>0</v>
      </c>
      <c r="G35" s="14">
        <f t="shared" si="1"/>
        <v>0</v>
      </c>
    </row>
    <row r="36" spans="1:11" ht="14.25" customHeight="1" x14ac:dyDescent="0.25">
      <c r="A36" s="32" t="s">
        <v>386</v>
      </c>
      <c r="B36" s="32"/>
      <c r="C36" s="293">
        <v>883351469845</v>
      </c>
      <c r="D36" s="267">
        <v>0</v>
      </c>
      <c r="E36" s="254">
        <v>47.97</v>
      </c>
      <c r="F36" s="14">
        <f t="shared" si="2"/>
        <v>0</v>
      </c>
      <c r="G36" s="14">
        <f t="shared" si="1"/>
        <v>0</v>
      </c>
    </row>
    <row r="37" spans="1:11" ht="14.25" customHeight="1" x14ac:dyDescent="0.25">
      <c r="A37" s="32" t="s">
        <v>387</v>
      </c>
      <c r="B37" s="32"/>
      <c r="C37" s="293">
        <v>883351891448</v>
      </c>
      <c r="D37" s="267">
        <v>0</v>
      </c>
      <c r="E37" s="254">
        <v>77.569999999999993</v>
      </c>
      <c r="F37" s="14">
        <f t="shared" si="2"/>
        <v>0</v>
      </c>
      <c r="G37" s="14">
        <f t="shared" si="1"/>
        <v>0</v>
      </c>
    </row>
    <row r="38" spans="1:11" ht="14.25" customHeight="1" thickBot="1" x14ac:dyDescent="0.3">
      <c r="A38" s="32" t="s">
        <v>388</v>
      </c>
      <c r="B38" s="32"/>
      <c r="C38" s="293">
        <v>883351396332</v>
      </c>
      <c r="D38" s="267">
        <v>0</v>
      </c>
      <c r="E38" s="254">
        <v>139</v>
      </c>
      <c r="F38" s="14">
        <f t="shared" si="2"/>
        <v>0</v>
      </c>
      <c r="G38" s="14">
        <f t="shared" si="1"/>
        <v>0</v>
      </c>
      <c r="H38" s="21"/>
    </row>
    <row r="39" spans="1:11" ht="14.25" customHeight="1" x14ac:dyDescent="0.25">
      <c r="A39" s="32"/>
      <c r="B39" s="32"/>
      <c r="C39" s="293"/>
      <c r="D39" s="295"/>
      <c r="E39" s="294"/>
      <c r="F39" s="14">
        <f>+D39*E39</f>
        <v>0</v>
      </c>
      <c r="H39" s="14">
        <f>IF(L2="no",SUM(F5:G38),0)</f>
        <v>2754.7080250000004</v>
      </c>
      <c r="K39" s="1"/>
    </row>
    <row r="40" spans="1:11" ht="14.25" customHeight="1" x14ac:dyDescent="0.25">
      <c r="A40" s="32"/>
      <c r="B40" s="32"/>
    </row>
    <row r="41" spans="1:11" ht="15.75" thickBot="1" x14ac:dyDescent="0.3">
      <c r="I41" s="21"/>
    </row>
    <row r="42" spans="1:11" x14ac:dyDescent="0.25">
      <c r="H42"/>
    </row>
    <row r="43" spans="1:11" x14ac:dyDescent="0.25">
      <c r="H43"/>
    </row>
    <row r="44" spans="1:11" x14ac:dyDescent="0.25">
      <c r="H44"/>
    </row>
    <row r="45" spans="1:11" x14ac:dyDescent="0.25">
      <c r="D45" s="25"/>
      <c r="E45" s="25"/>
      <c r="F45" s="25"/>
      <c r="G45" s="25"/>
      <c r="H45"/>
    </row>
    <row r="46" spans="1:11" x14ac:dyDescent="0.25">
      <c r="D46" s="25"/>
      <c r="E46" s="25"/>
      <c r="F46" s="25"/>
      <c r="G46" s="25"/>
      <c r="H46"/>
    </row>
    <row r="47" spans="1:11" x14ac:dyDescent="0.25">
      <c r="D47" s="25"/>
      <c r="E47" s="25"/>
      <c r="F47" s="25"/>
      <c r="G47" s="25"/>
      <c r="H47" s="25"/>
      <c r="I47" s="25"/>
    </row>
    <row r="48" spans="1:11" x14ac:dyDescent="0.25">
      <c r="D48" s="25"/>
      <c r="E48" s="25"/>
      <c r="F48" s="25"/>
      <c r="G48" s="25"/>
      <c r="H48" s="25"/>
      <c r="I48" s="25"/>
    </row>
    <row r="49" spans="1:9" x14ac:dyDescent="0.25">
      <c r="A49" s="32"/>
      <c r="B49" s="32"/>
      <c r="D49" s="25"/>
      <c r="E49" s="25"/>
      <c r="F49" s="25"/>
      <c r="G49" s="25"/>
      <c r="H49" s="25"/>
      <c r="I49" s="25"/>
    </row>
    <row r="50" spans="1:9" x14ac:dyDescent="0.25">
      <c r="A50" s="32"/>
      <c r="B50" s="32"/>
      <c r="C50" s="32"/>
      <c r="D50" s="25"/>
      <c r="E50" s="25"/>
      <c r="F50" s="25"/>
      <c r="G50" s="25"/>
      <c r="H50" s="25"/>
      <c r="I50" s="25"/>
    </row>
    <row r="51" spans="1:9" x14ac:dyDescent="0.25">
      <c r="D51" s="25"/>
      <c r="E51" s="25"/>
      <c r="F51" s="25"/>
      <c r="G51" s="25"/>
      <c r="H51" s="25"/>
      <c r="I51" s="25"/>
    </row>
    <row r="52" spans="1:9" x14ac:dyDescent="0.25">
      <c r="D52" s="25"/>
      <c r="E52" s="25"/>
      <c r="F52" s="25"/>
      <c r="G52" s="25"/>
      <c r="H52" s="25"/>
      <c r="I52" s="25"/>
    </row>
    <row r="53" spans="1:9" x14ac:dyDescent="0.25">
      <c r="D53" s="25"/>
      <c r="E53" s="25"/>
      <c r="F53" s="25"/>
      <c r="G53" s="25"/>
      <c r="H53" s="25"/>
      <c r="I53" s="25"/>
    </row>
    <row r="54" spans="1:9" x14ac:dyDescent="0.25">
      <c r="D54" s="25"/>
      <c r="E54" s="25"/>
      <c r="F54" s="25"/>
      <c r="G54" s="25"/>
      <c r="H54" s="25"/>
      <c r="I54" s="25"/>
    </row>
    <row r="55" spans="1:9" x14ac:dyDescent="0.25">
      <c r="D55" s="25"/>
      <c r="E55" s="25"/>
      <c r="F55" s="25"/>
      <c r="G55" s="25"/>
      <c r="H55" s="25"/>
      <c r="I55" s="25"/>
    </row>
    <row r="56" spans="1:9" x14ac:dyDescent="0.25">
      <c r="D56" s="25"/>
      <c r="E56" s="25"/>
      <c r="F56" s="25"/>
      <c r="G56" s="25"/>
      <c r="H56" s="25"/>
      <c r="I56" s="25"/>
    </row>
    <row r="57" spans="1:9" x14ac:dyDescent="0.25">
      <c r="D57" s="25"/>
      <c r="E57" s="25"/>
      <c r="F57" s="25"/>
      <c r="G57" s="25"/>
      <c r="H57" s="25"/>
      <c r="I57" s="25"/>
    </row>
    <row r="58" spans="1:9" x14ac:dyDescent="0.25">
      <c r="D58" s="25"/>
      <c r="E58" s="25"/>
      <c r="F58" s="25"/>
      <c r="G58" s="25"/>
      <c r="H58" s="25"/>
      <c r="I58" s="25"/>
    </row>
  </sheetData>
  <mergeCells count="3">
    <mergeCell ref="K2:K3"/>
    <mergeCell ref="L2:L3"/>
    <mergeCell ref="M2:M3"/>
  </mergeCells>
  <printOptions headings="1" gridLines="1"/>
  <pageMargins left="0.7" right="0.7" top="0.75" bottom="0.75" header="0.3" footer="0.3"/>
  <pageSetup fitToHeight="0" orientation="portrait"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7"/>
  <dimension ref="A1:M46"/>
  <sheetViews>
    <sheetView workbookViewId="0">
      <pane ySplit="3" topLeftCell="A4" activePane="bottomLeft" state="frozen"/>
      <selection pane="bottomLeft" activeCell="B16" sqref="B16"/>
    </sheetView>
  </sheetViews>
  <sheetFormatPr defaultRowHeight="15" x14ac:dyDescent="0.25"/>
  <cols>
    <col min="1" max="1" width="32.85546875" style="2" bestFit="1" customWidth="1"/>
    <col min="2" max="2" width="7" style="2" bestFit="1" customWidth="1"/>
    <col min="3" max="3" width="23.85546875" style="2" customWidth="1"/>
    <col min="5" max="5" width="13.85546875" style="5" bestFit="1" customWidth="1"/>
    <col min="6" max="8" width="9.140625" style="14"/>
    <col min="11" max="11" width="19.28515625" bestFit="1" customWidth="1"/>
    <col min="12" max="12" width="3.7109375" bestFit="1" customWidth="1"/>
  </cols>
  <sheetData>
    <row r="1" spans="1:13" ht="15.75" thickBot="1" x14ac:dyDescent="0.3">
      <c r="A1" s="3" t="s">
        <v>389</v>
      </c>
      <c r="B1" s="3"/>
      <c r="C1" s="3"/>
    </row>
    <row r="2" spans="1:13" x14ac:dyDescent="0.25">
      <c r="D2" s="3"/>
      <c r="E2" s="8"/>
      <c r="F2" s="13"/>
      <c r="G2" s="13"/>
      <c r="H2" s="13"/>
      <c r="K2" s="891" t="s">
        <v>2</v>
      </c>
      <c r="L2" s="891" t="str">
        <f>IF(Profit!S6,IF(M2,"Yes","No"),"No")</f>
        <v>No</v>
      </c>
      <c r="M2" s="895" t="b">
        <v>1</v>
      </c>
    </row>
    <row r="3" spans="1:13" ht="15.75" thickBot="1" x14ac:dyDescent="0.3">
      <c r="A3" s="31" t="s">
        <v>230</v>
      </c>
      <c r="B3" s="31" t="s">
        <v>275</v>
      </c>
      <c r="C3" s="31" t="s">
        <v>343</v>
      </c>
      <c r="D3" s="31" t="s">
        <v>287</v>
      </c>
      <c r="E3" s="273" t="s">
        <v>288</v>
      </c>
      <c r="F3" s="274" t="s">
        <v>289</v>
      </c>
      <c r="G3" s="274" t="s">
        <v>276</v>
      </c>
      <c r="H3" s="274" t="s">
        <v>290</v>
      </c>
      <c r="K3" s="892"/>
      <c r="L3" s="892"/>
      <c r="M3" s="896"/>
    </row>
    <row r="4" spans="1:13" x14ac:dyDescent="0.25">
      <c r="A4" s="271"/>
      <c r="B4" s="271"/>
      <c r="C4" s="271" t="s">
        <v>390</v>
      </c>
      <c r="D4" s="269">
        <v>0</v>
      </c>
      <c r="E4" s="272">
        <v>154</v>
      </c>
      <c r="F4" s="1">
        <f>D4*E4</f>
        <v>0</v>
      </c>
      <c r="G4" s="26">
        <f t="shared" ref="G4:G24" si="0">+F4*0.0725</f>
        <v>0</v>
      </c>
      <c r="H4" s="13"/>
    </row>
    <row r="5" spans="1:13" x14ac:dyDescent="0.25">
      <c r="A5" s="269" t="s">
        <v>391</v>
      </c>
      <c r="B5" s="269"/>
      <c r="C5" s="269">
        <v>795984</v>
      </c>
      <c r="D5" s="267">
        <v>0</v>
      </c>
      <c r="E5" s="254">
        <v>144</v>
      </c>
      <c r="F5" s="1">
        <f>D5*E5</f>
        <v>0</v>
      </c>
      <c r="G5" s="26">
        <f t="shared" si="0"/>
        <v>0</v>
      </c>
    </row>
    <row r="6" spans="1:13" x14ac:dyDescent="0.25">
      <c r="A6" s="269" t="s">
        <v>392</v>
      </c>
      <c r="B6" s="269"/>
      <c r="C6" s="269" t="s">
        <v>392</v>
      </c>
      <c r="D6" s="267">
        <v>0</v>
      </c>
      <c r="E6" s="254">
        <v>224</v>
      </c>
      <c r="F6" s="1">
        <f t="shared" ref="F6:F24" si="1">D6*E6</f>
        <v>0</v>
      </c>
      <c r="G6" s="26">
        <f t="shared" si="0"/>
        <v>0</v>
      </c>
    </row>
    <row r="7" spans="1:13" x14ac:dyDescent="0.25">
      <c r="A7" s="269" t="s">
        <v>393</v>
      </c>
      <c r="B7" s="269"/>
      <c r="C7" s="269" t="s">
        <v>394</v>
      </c>
      <c r="D7" s="267">
        <v>0</v>
      </c>
      <c r="E7" s="254">
        <v>152</v>
      </c>
      <c r="F7" s="1">
        <f t="shared" si="1"/>
        <v>0</v>
      </c>
      <c r="G7" s="26">
        <f t="shared" si="0"/>
        <v>0</v>
      </c>
    </row>
    <row r="8" spans="1:13" x14ac:dyDescent="0.25">
      <c r="A8" s="269" t="s">
        <v>395</v>
      </c>
      <c r="B8" s="269"/>
      <c r="C8" s="269" t="s">
        <v>396</v>
      </c>
      <c r="D8" s="267">
        <v>0</v>
      </c>
      <c r="E8" s="254">
        <v>50</v>
      </c>
      <c r="F8" s="1">
        <f t="shared" si="1"/>
        <v>0</v>
      </c>
      <c r="G8" s="26">
        <f t="shared" si="0"/>
        <v>0</v>
      </c>
    </row>
    <row r="9" spans="1:13" x14ac:dyDescent="0.25">
      <c r="A9" s="269" t="s">
        <v>397</v>
      </c>
      <c r="B9" s="269"/>
      <c r="C9" s="269" t="s">
        <v>398</v>
      </c>
      <c r="D9" s="267">
        <v>0</v>
      </c>
      <c r="E9" s="254">
        <v>166</v>
      </c>
      <c r="F9" s="1">
        <f t="shared" si="1"/>
        <v>0</v>
      </c>
      <c r="G9" s="26">
        <f t="shared" si="0"/>
        <v>0</v>
      </c>
    </row>
    <row r="10" spans="1:13" x14ac:dyDescent="0.25">
      <c r="A10" s="269" t="s">
        <v>399</v>
      </c>
      <c r="B10" s="269"/>
      <c r="C10" s="269" t="s">
        <v>400</v>
      </c>
      <c r="D10" s="267">
        <v>0</v>
      </c>
      <c r="E10" s="254">
        <v>104</v>
      </c>
      <c r="F10" s="1">
        <f t="shared" si="1"/>
        <v>0</v>
      </c>
      <c r="G10" s="26">
        <f t="shared" si="0"/>
        <v>0</v>
      </c>
    </row>
    <row r="11" spans="1:13" x14ac:dyDescent="0.25">
      <c r="A11" s="269" t="s">
        <v>401</v>
      </c>
      <c r="B11" s="269"/>
      <c r="C11" s="269" t="s">
        <v>402</v>
      </c>
      <c r="D11" s="267">
        <v>0</v>
      </c>
      <c r="E11" s="254">
        <v>81.98</v>
      </c>
      <c r="F11" s="1">
        <f t="shared" si="1"/>
        <v>0</v>
      </c>
      <c r="G11" s="26">
        <f t="shared" si="0"/>
        <v>0</v>
      </c>
    </row>
    <row r="12" spans="1:13" x14ac:dyDescent="0.25">
      <c r="A12" s="269" t="s">
        <v>401</v>
      </c>
      <c r="B12" s="269"/>
      <c r="C12" s="269" t="s">
        <v>403</v>
      </c>
      <c r="D12" s="267">
        <v>0</v>
      </c>
      <c r="E12" s="254">
        <v>143</v>
      </c>
      <c r="F12" s="1">
        <f t="shared" si="1"/>
        <v>0</v>
      </c>
      <c r="G12" s="26">
        <f t="shared" si="0"/>
        <v>0</v>
      </c>
    </row>
    <row r="13" spans="1:13" x14ac:dyDescent="0.25">
      <c r="A13" s="269" t="s">
        <v>401</v>
      </c>
      <c r="B13" s="269"/>
      <c r="C13" s="269" t="s">
        <v>404</v>
      </c>
      <c r="D13" s="267">
        <v>0</v>
      </c>
      <c r="E13" s="254">
        <v>98.98</v>
      </c>
      <c r="F13" s="1">
        <f t="shared" si="1"/>
        <v>0</v>
      </c>
      <c r="G13" s="26">
        <f t="shared" si="0"/>
        <v>0</v>
      </c>
    </row>
    <row r="14" spans="1:13" x14ac:dyDescent="0.25">
      <c r="A14" s="269" t="s">
        <v>405</v>
      </c>
      <c r="B14" s="269"/>
      <c r="C14" s="269" t="s">
        <v>406</v>
      </c>
      <c r="D14" s="267">
        <v>0</v>
      </c>
      <c r="E14" s="254">
        <v>165</v>
      </c>
      <c r="F14" s="1">
        <f t="shared" si="1"/>
        <v>0</v>
      </c>
      <c r="G14" s="26">
        <f t="shared" si="0"/>
        <v>0</v>
      </c>
    </row>
    <row r="15" spans="1:13" x14ac:dyDescent="0.25">
      <c r="A15" s="269" t="s">
        <v>918</v>
      </c>
      <c r="B15" s="567">
        <v>45870</v>
      </c>
      <c r="C15" s="269" t="s">
        <v>916</v>
      </c>
      <c r="D15" s="267">
        <v>1</v>
      </c>
      <c r="E15" s="254">
        <v>249.99</v>
      </c>
      <c r="F15" s="1">
        <f t="shared" si="1"/>
        <v>249.99</v>
      </c>
      <c r="G15" s="26">
        <f t="shared" si="0"/>
        <v>18.124275000000001</v>
      </c>
    </row>
    <row r="16" spans="1:13" x14ac:dyDescent="0.25">
      <c r="A16" s="269" t="s">
        <v>1009</v>
      </c>
      <c r="B16" s="567">
        <v>45873</v>
      </c>
      <c r="C16" s="269">
        <v>50193</v>
      </c>
      <c r="D16" s="267">
        <v>4</v>
      </c>
      <c r="E16" s="254">
        <v>15.28</v>
      </c>
      <c r="F16" s="1">
        <f t="shared" si="1"/>
        <v>61.12</v>
      </c>
      <c r="G16" s="26">
        <f t="shared" si="0"/>
        <v>4.4311999999999996</v>
      </c>
    </row>
    <row r="17" spans="1:11" x14ac:dyDescent="0.25">
      <c r="A17" s="269" t="s">
        <v>1023</v>
      </c>
      <c r="B17" s="567">
        <v>45929</v>
      </c>
      <c r="C17" s="269">
        <v>354380</v>
      </c>
      <c r="D17" s="267">
        <v>1</v>
      </c>
      <c r="E17" s="254">
        <v>5.68</v>
      </c>
      <c r="F17" s="1">
        <f t="shared" si="1"/>
        <v>5.68</v>
      </c>
      <c r="G17" s="26">
        <f t="shared" si="0"/>
        <v>0.41179999999999994</v>
      </c>
    </row>
    <row r="18" spans="1:11" x14ac:dyDescent="0.25">
      <c r="A18" s="269" t="s">
        <v>401</v>
      </c>
      <c r="B18" s="269"/>
      <c r="C18" s="269" t="s">
        <v>407</v>
      </c>
      <c r="D18" s="267">
        <v>0</v>
      </c>
      <c r="E18" s="254">
        <v>112</v>
      </c>
      <c r="F18" s="1">
        <f t="shared" si="1"/>
        <v>0</v>
      </c>
      <c r="G18" s="26">
        <f t="shared" si="0"/>
        <v>0</v>
      </c>
    </row>
    <row r="19" spans="1:11" x14ac:dyDescent="0.25">
      <c r="A19" s="269" t="s">
        <v>408</v>
      </c>
      <c r="B19" s="269"/>
      <c r="C19" s="269" t="s">
        <v>408</v>
      </c>
      <c r="D19" s="267">
        <v>0</v>
      </c>
      <c r="E19" s="254">
        <v>40.96</v>
      </c>
      <c r="F19" s="1">
        <f t="shared" si="1"/>
        <v>0</v>
      </c>
      <c r="G19" s="26">
        <f t="shared" si="0"/>
        <v>0</v>
      </c>
    </row>
    <row r="20" spans="1:11" x14ac:dyDescent="0.25">
      <c r="A20" s="269"/>
      <c r="B20" s="269"/>
      <c r="C20" s="269" t="s">
        <v>409</v>
      </c>
      <c r="D20" s="267">
        <v>0</v>
      </c>
      <c r="E20" s="254">
        <v>18.28</v>
      </c>
      <c r="F20" s="1">
        <f t="shared" si="1"/>
        <v>0</v>
      </c>
      <c r="G20" s="26">
        <f t="shared" si="0"/>
        <v>0</v>
      </c>
    </row>
    <row r="21" spans="1:11" x14ac:dyDescent="0.25">
      <c r="A21" s="269" t="s">
        <v>581</v>
      </c>
      <c r="B21" s="269"/>
      <c r="C21" s="269" t="s">
        <v>582</v>
      </c>
      <c r="D21" s="267">
        <v>0</v>
      </c>
      <c r="E21" s="254">
        <v>13.48</v>
      </c>
      <c r="F21" s="1">
        <f t="shared" si="1"/>
        <v>0</v>
      </c>
      <c r="G21" s="26">
        <f t="shared" si="0"/>
        <v>0</v>
      </c>
    </row>
    <row r="22" spans="1:11" x14ac:dyDescent="0.25">
      <c r="A22" s="269" t="s">
        <v>410</v>
      </c>
      <c r="B22" s="269"/>
      <c r="C22" s="269"/>
      <c r="D22" s="267">
        <v>0</v>
      </c>
      <c r="E22" s="254">
        <v>0</v>
      </c>
      <c r="F22" s="1">
        <f t="shared" si="1"/>
        <v>0</v>
      </c>
      <c r="G22" s="26">
        <f t="shared" si="0"/>
        <v>0</v>
      </c>
    </row>
    <row r="23" spans="1:11" x14ac:dyDescent="0.25">
      <c r="A23" s="269" t="s">
        <v>1019</v>
      </c>
      <c r="B23" s="567">
        <v>45915</v>
      </c>
      <c r="C23" s="269">
        <v>308729</v>
      </c>
      <c r="D23" s="267">
        <v>1</v>
      </c>
      <c r="E23" s="254">
        <v>2.87</v>
      </c>
      <c r="F23" s="1">
        <f t="shared" si="1"/>
        <v>2.87</v>
      </c>
      <c r="G23" s="26">
        <f t="shared" si="0"/>
        <v>0.20807499999999998</v>
      </c>
    </row>
    <row r="24" spans="1:11" ht="15.75" thickBot="1" x14ac:dyDescent="0.3">
      <c r="A24" s="269" t="s">
        <v>1017</v>
      </c>
      <c r="B24" s="567">
        <v>45915</v>
      </c>
      <c r="C24" s="269">
        <v>37405</v>
      </c>
      <c r="D24" s="267">
        <v>3</v>
      </c>
      <c r="E24" s="254">
        <v>4.71</v>
      </c>
      <c r="F24" s="1">
        <f t="shared" si="1"/>
        <v>14.129999999999999</v>
      </c>
      <c r="G24" s="21">
        <f t="shared" si="0"/>
        <v>1.0244249999999999</v>
      </c>
      <c r="H24" s="21"/>
    </row>
    <row r="25" spans="1:11" x14ac:dyDescent="0.25">
      <c r="H25" s="14">
        <f>+SUM(F4:F24)+SUM(G4:G24)</f>
        <v>357.98977500000001</v>
      </c>
      <c r="K25" s="1"/>
    </row>
    <row r="26" spans="1:11" x14ac:dyDescent="0.25">
      <c r="A26" s="32" t="s">
        <v>411</v>
      </c>
      <c r="B26" s="32"/>
    </row>
    <row r="27" spans="1:11" x14ac:dyDescent="0.25">
      <c r="A27" s="3" t="s">
        <v>230</v>
      </c>
      <c r="B27" s="3"/>
      <c r="C27" s="3" t="s">
        <v>343</v>
      </c>
      <c r="D27" s="3" t="s">
        <v>287</v>
      </c>
      <c r="E27" s="8" t="s">
        <v>288</v>
      </c>
      <c r="F27" s="13" t="s">
        <v>289</v>
      </c>
      <c r="G27" s="13"/>
      <c r="H27" s="13" t="s">
        <v>290</v>
      </c>
    </row>
    <row r="28" spans="1:11" x14ac:dyDescent="0.25">
      <c r="A28" s="149"/>
      <c r="B28" s="149"/>
      <c r="C28" s="149" t="s">
        <v>412</v>
      </c>
      <c r="D28" s="267">
        <v>0</v>
      </c>
      <c r="E28" s="254">
        <v>2000</v>
      </c>
      <c r="F28" s="1">
        <f>D28*E28</f>
        <v>0</v>
      </c>
      <c r="G28" s="26">
        <f>+F28*0.0725</f>
        <v>0</v>
      </c>
    </row>
    <row r="29" spans="1:11" x14ac:dyDescent="0.25">
      <c r="A29" s="149"/>
      <c r="B29" s="149"/>
      <c r="C29" s="149" t="s">
        <v>413</v>
      </c>
      <c r="D29" s="267">
        <v>0</v>
      </c>
      <c r="E29" s="254">
        <v>0</v>
      </c>
      <c r="F29" s="1">
        <f>D29*E29</f>
        <v>0</v>
      </c>
      <c r="G29" s="26">
        <f>+F29*0.0725</f>
        <v>0</v>
      </c>
    </row>
    <row r="30" spans="1:11" x14ac:dyDescent="0.25">
      <c r="A30" s="149"/>
      <c r="B30" s="149"/>
      <c r="C30" s="149" t="s">
        <v>414</v>
      </c>
      <c r="D30" s="267">
        <v>0</v>
      </c>
      <c r="E30" s="254">
        <v>0</v>
      </c>
      <c r="F30" s="1">
        <f>D30*E30</f>
        <v>0</v>
      </c>
      <c r="G30" s="26">
        <f>+F30*0.0725</f>
        <v>0</v>
      </c>
    </row>
    <row r="31" spans="1:11" x14ac:dyDescent="0.25">
      <c r="A31" s="28" t="s">
        <v>592</v>
      </c>
      <c r="B31" s="28"/>
      <c r="C31" s="149"/>
      <c r="D31" s="267">
        <v>0</v>
      </c>
      <c r="E31" s="254">
        <v>8800</v>
      </c>
      <c r="F31" s="1">
        <f>D31*E31</f>
        <v>0</v>
      </c>
      <c r="G31" s="26">
        <f>+F31*0.0725</f>
        <v>0</v>
      </c>
    </row>
    <row r="32" spans="1:11" x14ac:dyDescent="0.25">
      <c r="A32" s="149"/>
      <c r="B32" s="149"/>
      <c r="C32" s="149"/>
      <c r="D32" s="267">
        <v>0</v>
      </c>
      <c r="E32" s="254">
        <v>0</v>
      </c>
      <c r="F32" s="1">
        <f>D32*E32</f>
        <v>0</v>
      </c>
      <c r="G32" s="26">
        <f>+F32*0.0725</f>
        <v>0</v>
      </c>
    </row>
    <row r="33" spans="1:11" ht="15.75" thickBot="1" x14ac:dyDescent="0.3">
      <c r="F33" s="21"/>
      <c r="G33" s="21"/>
      <c r="H33" s="21"/>
    </row>
    <row r="34" spans="1:11" x14ac:dyDescent="0.25">
      <c r="H34" s="14">
        <f>+SUM(F28:F33)+SUM(G28:G33)</f>
        <v>0</v>
      </c>
    </row>
    <row r="36" spans="1:11" x14ac:dyDescent="0.25">
      <c r="A36" s="32" t="s">
        <v>415</v>
      </c>
      <c r="B36" s="32"/>
    </row>
    <row r="37" spans="1:11" x14ac:dyDescent="0.25">
      <c r="A37" s="3" t="s">
        <v>230</v>
      </c>
      <c r="B37" s="3"/>
      <c r="C37" s="3" t="s">
        <v>343</v>
      </c>
      <c r="D37" s="3" t="s">
        <v>287</v>
      </c>
      <c r="E37" s="8" t="s">
        <v>288</v>
      </c>
      <c r="F37" s="13" t="s">
        <v>289</v>
      </c>
      <c r="G37" s="13"/>
      <c r="H37" s="13" t="s">
        <v>290</v>
      </c>
    </row>
    <row r="38" spans="1:11" x14ac:dyDescent="0.25">
      <c r="A38" s="271" t="s">
        <v>416</v>
      </c>
      <c r="B38" s="271"/>
      <c r="C38" s="271"/>
      <c r="D38" s="271">
        <v>0</v>
      </c>
      <c r="E38" s="272">
        <v>1100</v>
      </c>
      <c r="F38" s="14">
        <f t="shared" ref="F38:F43" si="2">+D38*E38</f>
        <v>0</v>
      </c>
      <c r="G38" s="26">
        <f t="shared" ref="G38:G43" si="3">+F38*0.0725</f>
        <v>0</v>
      </c>
      <c r="H38" s="13"/>
    </row>
    <row r="39" spans="1:11" x14ac:dyDescent="0.25">
      <c r="A39" s="149" t="s">
        <v>417</v>
      </c>
      <c r="B39" s="149"/>
      <c r="C39" s="149">
        <v>400390</v>
      </c>
      <c r="D39" s="267">
        <v>0</v>
      </c>
      <c r="E39" s="254">
        <v>2.0499999999999998</v>
      </c>
      <c r="F39" s="14">
        <f t="shared" si="2"/>
        <v>0</v>
      </c>
      <c r="G39" s="26">
        <f t="shared" si="3"/>
        <v>0</v>
      </c>
    </row>
    <row r="40" spans="1:11" x14ac:dyDescent="0.25">
      <c r="A40" s="149" t="s">
        <v>418</v>
      </c>
      <c r="B40" s="149"/>
      <c r="C40" s="149">
        <v>376787</v>
      </c>
      <c r="D40" s="267">
        <v>0</v>
      </c>
      <c r="E40" s="254">
        <v>4.9800000000000004</v>
      </c>
      <c r="F40" s="14">
        <f t="shared" si="2"/>
        <v>0</v>
      </c>
      <c r="G40" s="26">
        <f t="shared" si="3"/>
        <v>0</v>
      </c>
    </row>
    <row r="41" spans="1:11" x14ac:dyDescent="0.25">
      <c r="A41" s="149" t="s">
        <v>155</v>
      </c>
      <c r="B41" s="149"/>
      <c r="C41" s="149" t="s">
        <v>155</v>
      </c>
      <c r="D41" s="267">
        <v>0</v>
      </c>
      <c r="E41" s="254">
        <v>0</v>
      </c>
      <c r="F41" s="14">
        <f t="shared" si="2"/>
        <v>0</v>
      </c>
      <c r="G41" s="26">
        <f t="shared" si="3"/>
        <v>0</v>
      </c>
    </row>
    <row r="42" spans="1:11" x14ac:dyDescent="0.25">
      <c r="A42" s="149" t="s">
        <v>419</v>
      </c>
      <c r="B42" s="149"/>
      <c r="C42" s="149">
        <v>2280072</v>
      </c>
      <c r="D42" s="267">
        <v>0</v>
      </c>
      <c r="E42" s="254">
        <v>18.97</v>
      </c>
      <c r="F42" s="14">
        <f t="shared" si="2"/>
        <v>0</v>
      </c>
      <c r="G42" s="26">
        <f t="shared" si="3"/>
        <v>0</v>
      </c>
    </row>
    <row r="43" spans="1:11" ht="15.75" thickBot="1" x14ac:dyDescent="0.3">
      <c r="A43" s="149" t="s">
        <v>420</v>
      </c>
      <c r="B43" s="149"/>
      <c r="C43" s="149">
        <v>1000707539</v>
      </c>
      <c r="D43" s="267">
        <v>0</v>
      </c>
      <c r="E43" s="254">
        <v>1.98</v>
      </c>
      <c r="F43" s="21">
        <f t="shared" si="2"/>
        <v>0</v>
      </c>
      <c r="G43" s="21">
        <f t="shared" si="3"/>
        <v>0</v>
      </c>
      <c r="H43" s="21"/>
    </row>
    <row r="44" spans="1:11" x14ac:dyDescent="0.25">
      <c r="H44" s="14">
        <f>+SUM(F38:F43)+SUM(G38:G43)</f>
        <v>0</v>
      </c>
    </row>
    <row r="45" spans="1:11" ht="15.75" thickBot="1" x14ac:dyDescent="0.3">
      <c r="I45" s="21"/>
      <c r="K45" s="3" t="s">
        <v>155</v>
      </c>
    </row>
    <row r="46" spans="1:11" x14ac:dyDescent="0.25">
      <c r="I46" s="14">
        <f>IF(L2="No",+SUM(H4:H44),0)</f>
        <v>357.98977500000001</v>
      </c>
      <c r="K46" s="14"/>
    </row>
  </sheetData>
  <mergeCells count="3">
    <mergeCell ref="K2:K3"/>
    <mergeCell ref="L2:L3"/>
    <mergeCell ref="M2:M3"/>
  </mergeCells>
  <printOptions headings="1" gridLines="1"/>
  <pageMargins left="0.7" right="0.7" top="0.75" bottom="0.75" header="0.3" footer="0.3"/>
  <pageSetup orientation="portrait"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8"/>
  <dimension ref="A1:R68"/>
  <sheetViews>
    <sheetView workbookViewId="0">
      <pane ySplit="2" topLeftCell="A18" activePane="bottomLeft" state="frozen"/>
      <selection pane="bottomLeft" activeCell="A41" sqref="A41"/>
    </sheetView>
  </sheetViews>
  <sheetFormatPr defaultRowHeight="15" x14ac:dyDescent="0.25"/>
  <cols>
    <col min="1" max="1" width="17.42578125" style="12" bestFit="1" customWidth="1"/>
    <col min="2" max="2" width="9.7109375" style="12" bestFit="1" customWidth="1"/>
    <col min="3" max="3" width="51.85546875" style="2" customWidth="1"/>
    <col min="4" max="4" width="26.42578125" style="2" bestFit="1" customWidth="1"/>
    <col min="5" max="5" width="6.28515625" style="2" customWidth="1"/>
    <col min="6" max="6" width="10.7109375" style="2" bestFit="1" customWidth="1"/>
    <col min="7" max="7" width="14.140625" style="2" bestFit="1" customWidth="1"/>
    <col min="8" max="8" width="6.5703125" style="2" bestFit="1" customWidth="1"/>
    <col min="9" max="9" width="10.140625" bestFit="1" customWidth="1"/>
    <col min="10" max="10" width="11.140625" style="5" bestFit="1" customWidth="1"/>
    <col min="11" max="11" width="9.140625" style="5" customWidth="1"/>
    <col min="12" max="13" width="9.140625" style="1"/>
    <col min="14" max="14" width="12.7109375" bestFit="1" customWidth="1"/>
  </cols>
  <sheetData>
    <row r="1" spans="1:16" x14ac:dyDescent="0.25">
      <c r="C1" s="32" t="s">
        <v>218</v>
      </c>
      <c r="D1" s="32"/>
      <c r="E1" s="32"/>
      <c r="F1" s="32"/>
      <c r="N1" s="891" t="s">
        <v>2</v>
      </c>
      <c r="O1" s="891" t="str">
        <f>IF(Profit!S6,IF(P1,"Yes","No"),"No")</f>
        <v>No</v>
      </c>
      <c r="P1" s="895" t="b">
        <v>1</v>
      </c>
    </row>
    <row r="2" spans="1:16" s="3" customFormat="1" ht="15.75" thickBot="1" x14ac:dyDescent="0.3">
      <c r="A2" s="463" t="s">
        <v>275</v>
      </c>
      <c r="B2" s="463" t="s">
        <v>864</v>
      </c>
      <c r="C2" s="3" t="s">
        <v>230</v>
      </c>
      <c r="D2" s="3" t="s">
        <v>572</v>
      </c>
      <c r="E2" s="3" t="s">
        <v>421</v>
      </c>
      <c r="F2" s="3" t="s">
        <v>869</v>
      </c>
      <c r="G2" s="3" t="s">
        <v>867</v>
      </c>
      <c r="H2" s="3" t="s">
        <v>201</v>
      </c>
      <c r="I2" s="8" t="s">
        <v>288</v>
      </c>
      <c r="J2" s="6" t="s">
        <v>289</v>
      </c>
      <c r="K2" s="13" t="s">
        <v>276</v>
      </c>
      <c r="L2" s="3" t="s">
        <v>290</v>
      </c>
      <c r="M2" s="3" t="s">
        <v>236</v>
      </c>
      <c r="N2" s="892"/>
      <c r="O2" s="892"/>
      <c r="P2" s="896"/>
    </row>
    <row r="3" spans="1:16" s="3" customFormat="1" x14ac:dyDescent="0.25">
      <c r="A3" s="535"/>
      <c r="B3" s="535"/>
      <c r="C3" s="427" t="s">
        <v>671</v>
      </c>
      <c r="D3" s="427"/>
      <c r="E3" s="434">
        <f>+Profit!K9</f>
        <v>1689</v>
      </c>
      <c r="F3" s="537"/>
      <c r="G3" s="427"/>
      <c r="H3" s="427"/>
      <c r="I3" s="428"/>
      <c r="J3" s="436"/>
      <c r="K3" s="429"/>
      <c r="N3"/>
      <c r="O3"/>
      <c r="P3" s="5"/>
    </row>
    <row r="4" spans="1:16" s="3" customFormat="1" x14ac:dyDescent="0.25">
      <c r="A4" s="536" t="s">
        <v>422</v>
      </c>
      <c r="B4" s="536"/>
      <c r="C4" s="422" t="s">
        <v>860</v>
      </c>
      <c r="D4" s="422"/>
      <c r="E4" s="422"/>
      <c r="F4" s="422"/>
      <c r="G4" s="422" t="s">
        <v>423</v>
      </c>
      <c r="H4" s="544">
        <v>0</v>
      </c>
      <c r="I4" s="430">
        <v>47.91</v>
      </c>
      <c r="J4" s="430">
        <f>+H4*I4</f>
        <v>0</v>
      </c>
      <c r="K4" s="431">
        <f>+J4*0.0725</f>
        <v>0</v>
      </c>
      <c r="M4" s="3">
        <v>84.45</v>
      </c>
      <c r="N4"/>
      <c r="O4"/>
      <c r="P4" s="5"/>
    </row>
    <row r="5" spans="1:16" s="3" customFormat="1" x14ac:dyDescent="0.25">
      <c r="A5" s="536" t="s">
        <v>568</v>
      </c>
      <c r="B5" s="536"/>
      <c r="C5" s="422" t="s">
        <v>561</v>
      </c>
      <c r="D5" s="422"/>
      <c r="E5" s="422"/>
      <c r="F5" s="422"/>
      <c r="G5" s="422" t="s">
        <v>562</v>
      </c>
      <c r="H5" s="544">
        <v>0</v>
      </c>
      <c r="I5" s="430">
        <v>33.99</v>
      </c>
      <c r="J5" s="430">
        <f t="shared" ref="J5:J8" si="0">+H5*I5</f>
        <v>0</v>
      </c>
      <c r="K5" s="431">
        <f>+J5*0.0725</f>
        <v>0</v>
      </c>
      <c r="M5" s="3">
        <v>168.9</v>
      </c>
      <c r="N5"/>
      <c r="O5"/>
      <c r="P5" s="5"/>
    </row>
    <row r="6" spans="1:16" s="3" customFormat="1" x14ac:dyDescent="0.25">
      <c r="A6" s="536" t="s">
        <v>569</v>
      </c>
      <c r="B6" s="536"/>
      <c r="C6" s="422" t="s">
        <v>424</v>
      </c>
      <c r="D6" s="422"/>
      <c r="E6" s="422"/>
      <c r="F6" s="422"/>
      <c r="G6" s="422">
        <v>185342</v>
      </c>
      <c r="H6" s="544">
        <v>0</v>
      </c>
      <c r="I6" s="423">
        <f>147/5</f>
        <v>29.4</v>
      </c>
      <c r="J6" s="430">
        <f t="shared" si="0"/>
        <v>0</v>
      </c>
      <c r="K6" s="431">
        <f>+J6*0.0725</f>
        <v>0</v>
      </c>
      <c r="M6" s="3">
        <v>168.9</v>
      </c>
      <c r="N6"/>
      <c r="O6"/>
      <c r="P6" s="5"/>
    </row>
    <row r="7" spans="1:16" x14ac:dyDescent="0.25">
      <c r="A7" s="536" t="s">
        <v>570</v>
      </c>
      <c r="B7" s="536"/>
      <c r="C7" s="422" t="s">
        <v>425</v>
      </c>
      <c r="D7" s="422"/>
      <c r="E7" s="422"/>
      <c r="F7" s="422"/>
      <c r="G7" s="422">
        <v>985007</v>
      </c>
      <c r="H7" s="544">
        <f>3/2526</f>
        <v>1.1876484560570072E-3</v>
      </c>
      <c r="I7" s="430">
        <v>52.23</v>
      </c>
      <c r="J7" s="430">
        <f t="shared" si="0"/>
        <v>6.2030878859857481E-2</v>
      </c>
      <c r="K7" s="431">
        <f>+J7*0.0725</f>
        <v>4.4972387173396675E-3</v>
      </c>
      <c r="L7"/>
      <c r="M7"/>
    </row>
    <row r="8" spans="1:16" x14ac:dyDescent="0.25">
      <c r="A8" s="536" t="s">
        <v>438</v>
      </c>
      <c r="B8" s="536"/>
      <c r="C8" s="422"/>
      <c r="D8" s="422"/>
      <c r="E8" s="434">
        <f>+$E$3</f>
        <v>1689</v>
      </c>
      <c r="F8" s="537"/>
      <c r="G8" s="422" t="s">
        <v>439</v>
      </c>
      <c r="H8" s="437">
        <v>0</v>
      </c>
      <c r="I8" s="430">
        <v>4.9141503848431025</v>
      </c>
      <c r="J8" s="430">
        <f t="shared" si="0"/>
        <v>0</v>
      </c>
      <c r="K8" s="435"/>
      <c r="L8"/>
      <c r="M8"/>
    </row>
    <row r="9" spans="1:16" s="3" customFormat="1" x14ac:dyDescent="0.25">
      <c r="A9" s="463"/>
      <c r="B9" s="463"/>
      <c r="H9" s="889" t="s">
        <v>677</v>
      </c>
      <c r="I9" s="890"/>
      <c r="J9" s="890"/>
      <c r="K9" s="30"/>
      <c r="L9" s="1">
        <f>IF(O1="Yes",SUM(J4:J8)+SUM(K4:K8),0)</f>
        <v>0</v>
      </c>
      <c r="M9" s="1"/>
      <c r="N9"/>
      <c r="O9"/>
      <c r="P9" s="5"/>
    </row>
    <row r="10" spans="1:16" s="3" customFormat="1" x14ac:dyDescent="0.25">
      <c r="A10" s="463"/>
      <c r="B10" s="463"/>
      <c r="N10"/>
      <c r="O10"/>
      <c r="P10" s="5"/>
    </row>
    <row r="11" spans="1:16" s="3" customFormat="1" x14ac:dyDescent="0.25">
      <c r="A11" s="12" t="s">
        <v>422</v>
      </c>
      <c r="B11" s="12"/>
      <c r="D11" s="32"/>
      <c r="N11"/>
      <c r="O11"/>
      <c r="P11" s="5"/>
    </row>
    <row r="12" spans="1:16" x14ac:dyDescent="0.25">
      <c r="A12" s="12">
        <v>45832</v>
      </c>
      <c r="B12" s="12" t="s">
        <v>865</v>
      </c>
      <c r="C12" s="149" t="s">
        <v>860</v>
      </c>
      <c r="D12" s="149" t="s">
        <v>861</v>
      </c>
      <c r="G12" s="149" t="s">
        <v>868</v>
      </c>
      <c r="H12" s="267">
        <v>10</v>
      </c>
      <c r="I12" s="254">
        <v>47.91</v>
      </c>
      <c r="J12" s="5">
        <f t="shared" ref="J12" si="1">+H12*I12</f>
        <v>479.09999999999997</v>
      </c>
      <c r="K12" s="26">
        <f t="shared" ref="K12" si="2">+J12*0.0725</f>
        <v>34.734749999999998</v>
      </c>
      <c r="L12"/>
      <c r="M12" t="s">
        <v>863</v>
      </c>
      <c r="P12" s="5"/>
    </row>
    <row r="13" spans="1:16" x14ac:dyDescent="0.25">
      <c r="A13" s="12">
        <v>45840</v>
      </c>
      <c r="B13" s="12" t="s">
        <v>877</v>
      </c>
      <c r="C13" s="149" t="s">
        <v>860</v>
      </c>
      <c r="D13" s="149" t="s">
        <v>861</v>
      </c>
      <c r="F13" s="2" t="s">
        <v>862</v>
      </c>
      <c r="G13" s="149" t="s">
        <v>868</v>
      </c>
      <c r="H13" s="267">
        <v>10</v>
      </c>
      <c r="I13" s="254">
        <v>47.91</v>
      </c>
      <c r="J13" s="5">
        <f t="shared" ref="J13" si="3">+H13*I13</f>
        <v>479.09999999999997</v>
      </c>
      <c r="K13" s="26">
        <f t="shared" ref="K13" si="4">+J13*0.0725</f>
        <v>34.734749999999998</v>
      </c>
      <c r="M13" s="1" t="s">
        <v>863</v>
      </c>
    </row>
    <row r="15" spans="1:16" x14ac:dyDescent="0.25">
      <c r="A15" s="12">
        <v>45828</v>
      </c>
      <c r="B15" s="12" t="s">
        <v>866</v>
      </c>
      <c r="C15" s="149" t="s">
        <v>874</v>
      </c>
      <c r="D15" s="149"/>
      <c r="F15" s="2" t="s">
        <v>876</v>
      </c>
      <c r="G15" s="2" t="s">
        <v>875</v>
      </c>
      <c r="H15" s="267">
        <v>10</v>
      </c>
      <c r="I15" s="254">
        <v>15.85</v>
      </c>
      <c r="J15" s="5">
        <f t="shared" ref="J15" si="5">+H15*I15</f>
        <v>158.5</v>
      </c>
      <c r="K15" s="26">
        <f t="shared" ref="K15" si="6">+J15*0.0725</f>
        <v>11.491249999999999</v>
      </c>
      <c r="L15"/>
      <c r="M15" t="s">
        <v>863</v>
      </c>
    </row>
    <row r="16" spans="1:16" x14ac:dyDescent="0.25">
      <c r="A16" s="12" t="s">
        <v>568</v>
      </c>
      <c r="C16" s="149"/>
      <c r="D16" s="149"/>
      <c r="G16" s="149"/>
      <c r="H16" s="267"/>
      <c r="I16" s="254"/>
      <c r="K16" s="26"/>
      <c r="L16"/>
      <c r="M16"/>
    </row>
    <row r="17" spans="1:16" x14ac:dyDescent="0.25">
      <c r="A17" s="12">
        <v>45828</v>
      </c>
      <c r="B17" s="12" t="s">
        <v>866</v>
      </c>
      <c r="C17" s="149" t="s">
        <v>870</v>
      </c>
      <c r="D17" s="149"/>
      <c r="F17" s="2" t="s">
        <v>873</v>
      </c>
      <c r="G17" s="149" t="s">
        <v>871</v>
      </c>
      <c r="H17" s="267">
        <v>5</v>
      </c>
      <c r="I17" s="254">
        <v>44.24</v>
      </c>
      <c r="J17" s="5">
        <f>+H17*I17</f>
        <v>221.20000000000002</v>
      </c>
      <c r="K17" s="26">
        <f>+J17*0.0725</f>
        <v>16.036999999999999</v>
      </c>
      <c r="L17"/>
      <c r="M17" t="s">
        <v>863</v>
      </c>
      <c r="P17" s="5"/>
    </row>
    <row r="18" spans="1:16" x14ac:dyDescent="0.25">
      <c r="A18" s="12">
        <v>45828</v>
      </c>
      <c r="B18" s="12" t="s">
        <v>866</v>
      </c>
      <c r="C18" s="149" t="s">
        <v>870</v>
      </c>
      <c r="D18" s="149"/>
      <c r="F18" s="2" t="s">
        <v>872</v>
      </c>
      <c r="G18" s="149" t="s">
        <v>871</v>
      </c>
      <c r="H18" s="267">
        <v>5</v>
      </c>
      <c r="I18" s="254">
        <v>43.49</v>
      </c>
      <c r="J18" s="5">
        <f t="shared" ref="J18" si="7">+H18*I18</f>
        <v>217.45000000000002</v>
      </c>
      <c r="K18" s="26">
        <f t="shared" ref="K18" si="8">+J18*0.0725</f>
        <v>15.765124999999999</v>
      </c>
      <c r="L18"/>
      <c r="M18" t="s">
        <v>863</v>
      </c>
      <c r="P18" s="5"/>
    </row>
    <row r="19" spans="1:16" x14ac:dyDescent="0.25">
      <c r="A19" s="12">
        <v>45925</v>
      </c>
      <c r="B19" s="12" t="s">
        <v>987</v>
      </c>
      <c r="C19" s="149" t="s">
        <v>870</v>
      </c>
      <c r="D19" s="149"/>
      <c r="F19" s="2" t="s">
        <v>872</v>
      </c>
      <c r="G19" s="149" t="s">
        <v>871</v>
      </c>
      <c r="H19" s="267">
        <v>5</v>
      </c>
      <c r="I19" s="254">
        <v>43.49</v>
      </c>
      <c r="J19" s="5">
        <f t="shared" ref="J19" si="9">+H19*I19</f>
        <v>217.45000000000002</v>
      </c>
      <c r="K19" s="26">
        <f t="shared" ref="K19" si="10">+J19*0.0725</f>
        <v>15.765124999999999</v>
      </c>
    </row>
    <row r="20" spans="1:16" x14ac:dyDescent="0.25">
      <c r="L20"/>
      <c r="M20"/>
    </row>
    <row r="21" spans="1:16" x14ac:dyDescent="0.25">
      <c r="C21" s="149" t="s">
        <v>563</v>
      </c>
      <c r="D21" s="149"/>
      <c r="G21" s="149" t="s">
        <v>562</v>
      </c>
      <c r="H21" s="267"/>
      <c r="I21" s="254">
        <v>33.99</v>
      </c>
      <c r="J21" s="5">
        <f>+H21*I21</f>
        <v>0</v>
      </c>
      <c r="K21" s="26">
        <f>+J21*0.0725</f>
        <v>0</v>
      </c>
      <c r="L21"/>
      <c r="M21"/>
    </row>
    <row r="22" spans="1:16" x14ac:dyDescent="0.25">
      <c r="C22" s="149" t="s">
        <v>561</v>
      </c>
      <c r="D22" s="149"/>
      <c r="G22" s="149" t="s">
        <v>562</v>
      </c>
      <c r="H22" s="267"/>
      <c r="I22" s="254">
        <v>33.99</v>
      </c>
      <c r="J22" s="5">
        <f t="shared" ref="J22:J31" si="11">+H22*I22</f>
        <v>0</v>
      </c>
      <c r="K22" s="26">
        <f t="shared" ref="K22:K31" si="12">+J22*0.0725</f>
        <v>0</v>
      </c>
      <c r="L22"/>
      <c r="M22"/>
    </row>
    <row r="23" spans="1:16" x14ac:dyDescent="0.25">
      <c r="A23" s="12" t="s">
        <v>569</v>
      </c>
      <c r="C23" s="149" t="s">
        <v>424</v>
      </c>
      <c r="D23" s="149"/>
      <c r="G23" s="149">
        <v>185342</v>
      </c>
      <c r="H23" s="267"/>
      <c r="I23" s="267">
        <f>147/5</f>
        <v>29.4</v>
      </c>
      <c r="J23" s="5">
        <f t="shared" si="11"/>
        <v>0</v>
      </c>
      <c r="K23" s="26">
        <f t="shared" si="12"/>
        <v>0</v>
      </c>
      <c r="L23"/>
      <c r="M23"/>
    </row>
    <row r="24" spans="1:16" x14ac:dyDescent="0.25">
      <c r="C24" s="149" t="s">
        <v>564</v>
      </c>
      <c r="D24" s="149"/>
      <c r="G24" s="149" t="s">
        <v>565</v>
      </c>
      <c r="H24" s="267">
        <v>0</v>
      </c>
      <c r="I24" s="254">
        <f>5*25.79</f>
        <v>128.94999999999999</v>
      </c>
      <c r="J24" s="5">
        <f t="shared" si="11"/>
        <v>0</v>
      </c>
      <c r="K24" s="26">
        <f t="shared" si="12"/>
        <v>0</v>
      </c>
      <c r="L24"/>
      <c r="M24"/>
    </row>
    <row r="25" spans="1:16" x14ac:dyDescent="0.25">
      <c r="A25" s="12" t="s">
        <v>570</v>
      </c>
      <c r="C25" s="149"/>
      <c r="D25" s="149"/>
      <c r="G25" s="149"/>
      <c r="H25" s="267"/>
      <c r="I25" s="254"/>
      <c r="J25" s="5">
        <f t="shared" si="11"/>
        <v>0</v>
      </c>
      <c r="K25" s="26">
        <f t="shared" si="12"/>
        <v>0</v>
      </c>
      <c r="L25"/>
      <c r="M25"/>
    </row>
    <row r="26" spans="1:16" x14ac:dyDescent="0.25">
      <c r="C26" s="149" t="s">
        <v>566</v>
      </c>
      <c r="D26" s="149"/>
      <c r="G26" s="149" t="s">
        <v>567</v>
      </c>
      <c r="H26" s="267">
        <v>0</v>
      </c>
      <c r="I26" s="254">
        <f>5*63.05</f>
        <v>315.25</v>
      </c>
      <c r="J26" s="5">
        <f t="shared" si="11"/>
        <v>0</v>
      </c>
      <c r="K26" s="26">
        <f t="shared" si="12"/>
        <v>0</v>
      </c>
      <c r="L26"/>
      <c r="M26"/>
    </row>
    <row r="27" spans="1:16" x14ac:dyDescent="0.25">
      <c r="B27" s="12" t="s">
        <v>1039</v>
      </c>
      <c r="C27" s="149" t="s">
        <v>1038</v>
      </c>
      <c r="D27" s="149"/>
      <c r="G27" s="149" t="s">
        <v>983</v>
      </c>
      <c r="H27" s="267">
        <v>1</v>
      </c>
      <c r="I27" s="254">
        <v>51.65</v>
      </c>
      <c r="J27" s="5">
        <f t="shared" si="11"/>
        <v>51.65</v>
      </c>
      <c r="K27" s="26">
        <f t="shared" si="12"/>
        <v>3.7446249999999996</v>
      </c>
      <c r="L27"/>
      <c r="M27"/>
    </row>
    <row r="28" spans="1:16" x14ac:dyDescent="0.25">
      <c r="C28" s="149" t="s">
        <v>425</v>
      </c>
      <c r="D28" s="149"/>
      <c r="G28" s="149">
        <v>985007</v>
      </c>
      <c r="H28" s="267"/>
      <c r="I28" s="254">
        <v>52.23</v>
      </c>
      <c r="J28" s="5">
        <f t="shared" si="11"/>
        <v>0</v>
      </c>
      <c r="K28" s="26">
        <f t="shared" si="12"/>
        <v>0</v>
      </c>
      <c r="L28"/>
      <c r="M28"/>
    </row>
    <row r="29" spans="1:16" x14ac:dyDescent="0.25">
      <c r="C29" s="149" t="s">
        <v>426</v>
      </c>
      <c r="D29" s="149"/>
      <c r="G29" s="149">
        <v>814917</v>
      </c>
      <c r="H29" s="267"/>
      <c r="I29" s="254">
        <f>109/5</f>
        <v>21.8</v>
      </c>
      <c r="J29" s="5">
        <f t="shared" si="11"/>
        <v>0</v>
      </c>
      <c r="K29" s="26">
        <f t="shared" si="12"/>
        <v>0</v>
      </c>
      <c r="L29"/>
      <c r="M29"/>
    </row>
    <row r="30" spans="1:16" x14ac:dyDescent="0.25">
      <c r="C30" s="149" t="s">
        <v>427</v>
      </c>
      <c r="D30" s="149"/>
      <c r="G30" s="149" t="s">
        <v>428</v>
      </c>
      <c r="H30" s="267">
        <v>0</v>
      </c>
      <c r="I30" s="254">
        <v>40</v>
      </c>
      <c r="J30" s="5">
        <f t="shared" si="11"/>
        <v>0</v>
      </c>
      <c r="K30" s="26">
        <f t="shared" si="12"/>
        <v>0</v>
      </c>
      <c r="L30"/>
      <c r="M30"/>
    </row>
    <row r="31" spans="1:16" x14ac:dyDescent="0.25">
      <c r="C31" s="2" t="s">
        <v>429</v>
      </c>
      <c r="G31" s="149" t="s">
        <v>430</v>
      </c>
      <c r="H31" s="267">
        <v>0</v>
      </c>
      <c r="I31" s="254">
        <v>50.24</v>
      </c>
      <c r="J31" s="5">
        <f t="shared" si="11"/>
        <v>0</v>
      </c>
      <c r="K31" s="26">
        <f t="shared" si="12"/>
        <v>0</v>
      </c>
    </row>
    <row r="32" spans="1:16" x14ac:dyDescent="0.25">
      <c r="A32" s="12" t="s">
        <v>985</v>
      </c>
      <c r="G32" s="149"/>
      <c r="H32" s="267"/>
      <c r="I32" s="254"/>
      <c r="K32" s="26"/>
    </row>
    <row r="33" spans="1:14" x14ac:dyDescent="0.25">
      <c r="C33" s="2" t="s">
        <v>986</v>
      </c>
      <c r="G33" s="149"/>
      <c r="H33" s="267">
        <v>1</v>
      </c>
      <c r="I33" s="254">
        <v>79.989999999999995</v>
      </c>
      <c r="J33" s="5">
        <f t="shared" ref="J33:J39" si="13">+H33*I33</f>
        <v>79.989999999999995</v>
      </c>
      <c r="K33" s="26">
        <f t="shared" ref="K33:K45" si="14">+J33*0.0725</f>
        <v>5.7992749999999988</v>
      </c>
    </row>
    <row r="34" spans="1:14" x14ac:dyDescent="0.25">
      <c r="A34" s="12">
        <v>45925</v>
      </c>
      <c r="B34" s="12" t="s">
        <v>987</v>
      </c>
      <c r="C34" s="149" t="s">
        <v>563</v>
      </c>
      <c r="D34" s="149"/>
      <c r="G34" s="149" t="s">
        <v>562</v>
      </c>
      <c r="H34" s="267">
        <v>5</v>
      </c>
      <c r="I34" s="254">
        <v>43.49</v>
      </c>
      <c r="J34" s="5">
        <f>+H34*I34</f>
        <v>217.45000000000002</v>
      </c>
      <c r="K34" s="26">
        <f t="shared" si="14"/>
        <v>15.765124999999999</v>
      </c>
    </row>
    <row r="35" spans="1:14" x14ac:dyDescent="0.25">
      <c r="A35" s="12">
        <v>45925</v>
      </c>
      <c r="B35" s="12" t="s">
        <v>1037</v>
      </c>
      <c r="C35" s="2" t="s">
        <v>988</v>
      </c>
      <c r="G35" s="149"/>
      <c r="H35" s="267">
        <v>1</v>
      </c>
      <c r="I35" s="254">
        <v>66.87</v>
      </c>
      <c r="J35" s="5">
        <f t="shared" si="13"/>
        <v>66.87</v>
      </c>
      <c r="K35" s="26">
        <f t="shared" si="14"/>
        <v>4.8480749999999997</v>
      </c>
    </row>
    <row r="36" spans="1:14" x14ac:dyDescent="0.25">
      <c r="C36" s="2" t="s">
        <v>989</v>
      </c>
      <c r="G36" s="149"/>
      <c r="H36" s="267">
        <v>1</v>
      </c>
      <c r="I36" s="254">
        <v>239.28</v>
      </c>
      <c r="J36" s="5">
        <f t="shared" si="13"/>
        <v>239.28</v>
      </c>
      <c r="K36" s="26"/>
    </row>
    <row r="37" spans="1:14" x14ac:dyDescent="0.25">
      <c r="A37" s="12">
        <v>45929</v>
      </c>
      <c r="C37" s="2" t="s">
        <v>1032</v>
      </c>
      <c r="G37" s="149"/>
      <c r="H37" s="267">
        <v>1</v>
      </c>
      <c r="I37" s="254">
        <v>1450</v>
      </c>
      <c r="J37" s="5">
        <f t="shared" si="13"/>
        <v>1450</v>
      </c>
      <c r="K37" s="26">
        <f t="shared" si="14"/>
        <v>105.12499999999999</v>
      </c>
    </row>
    <row r="38" spans="1:14" x14ac:dyDescent="0.25">
      <c r="A38" s="12">
        <v>45930</v>
      </c>
      <c r="B38" s="12" t="s">
        <v>1035</v>
      </c>
      <c r="C38" s="2" t="s">
        <v>1036</v>
      </c>
      <c r="G38" s="149"/>
      <c r="H38" s="267">
        <v>1</v>
      </c>
      <c r="I38" s="254">
        <v>31.27</v>
      </c>
      <c r="J38" s="5">
        <f t="shared" si="13"/>
        <v>31.27</v>
      </c>
      <c r="K38" s="26">
        <f t="shared" si="14"/>
        <v>2.2670749999999997</v>
      </c>
    </row>
    <row r="39" spans="1:14" x14ac:dyDescent="0.25">
      <c r="A39" s="12">
        <v>45944</v>
      </c>
      <c r="C39" s="2" t="s">
        <v>1078</v>
      </c>
      <c r="G39" s="149"/>
      <c r="H39" s="267">
        <v>1</v>
      </c>
      <c r="I39" s="254">
        <v>29.47</v>
      </c>
      <c r="J39" s="5">
        <f t="shared" si="13"/>
        <v>29.47</v>
      </c>
      <c r="K39" s="26"/>
    </row>
    <row r="40" spans="1:14" x14ac:dyDescent="0.25">
      <c r="A40" s="12">
        <v>45932</v>
      </c>
      <c r="C40" s="2" t="s">
        <v>1081</v>
      </c>
      <c r="G40" s="149"/>
      <c r="H40" s="267">
        <v>2</v>
      </c>
      <c r="I40" s="254">
        <v>3.84</v>
      </c>
      <c r="J40" s="5">
        <f t="shared" ref="J40:J45" si="15">+H40*I40</f>
        <v>7.68</v>
      </c>
      <c r="K40" s="26">
        <f t="shared" si="14"/>
        <v>0.55679999999999996</v>
      </c>
    </row>
    <row r="41" spans="1:14" x14ac:dyDescent="0.25">
      <c r="G41" s="149"/>
      <c r="H41" s="267"/>
      <c r="I41" s="254"/>
      <c r="J41" s="5">
        <f t="shared" si="15"/>
        <v>0</v>
      </c>
      <c r="K41" s="26">
        <f t="shared" si="14"/>
        <v>0</v>
      </c>
    </row>
    <row r="42" spans="1:14" x14ac:dyDescent="0.25">
      <c r="G42" s="149"/>
      <c r="H42" s="267"/>
      <c r="I42" s="254"/>
      <c r="J42" s="5">
        <f t="shared" si="15"/>
        <v>0</v>
      </c>
      <c r="K42" s="26">
        <f t="shared" si="14"/>
        <v>0</v>
      </c>
    </row>
    <row r="43" spans="1:14" x14ac:dyDescent="0.25">
      <c r="G43" s="149"/>
      <c r="H43" s="267"/>
      <c r="I43" s="254"/>
      <c r="J43" s="5">
        <f t="shared" si="15"/>
        <v>0</v>
      </c>
      <c r="K43" s="26">
        <f t="shared" si="14"/>
        <v>0</v>
      </c>
    </row>
    <row r="44" spans="1:14" x14ac:dyDescent="0.25">
      <c r="G44" s="149"/>
      <c r="H44" s="267"/>
      <c r="I44" s="254"/>
      <c r="J44" s="5">
        <f t="shared" si="15"/>
        <v>0</v>
      </c>
      <c r="K44" s="26">
        <f t="shared" si="14"/>
        <v>0</v>
      </c>
    </row>
    <row r="45" spans="1:14" x14ac:dyDescent="0.25">
      <c r="G45" s="149"/>
      <c r="H45" s="267"/>
      <c r="I45" s="254"/>
      <c r="J45" s="5">
        <f t="shared" si="15"/>
        <v>0</v>
      </c>
      <c r="K45" s="26">
        <f t="shared" si="14"/>
        <v>0</v>
      </c>
    </row>
    <row r="46" spans="1:14" x14ac:dyDescent="0.25">
      <c r="G46" s="149"/>
      <c r="H46" s="267"/>
      <c r="I46" s="254"/>
      <c r="K46" s="26"/>
      <c r="N46" s="5">
        <f>SUM(J33:K45)</f>
        <v>2256.3713499999999</v>
      </c>
    </row>
    <row r="47" spans="1:14" x14ac:dyDescent="0.25">
      <c r="G47" s="149"/>
      <c r="H47" s="267"/>
      <c r="I47" s="254"/>
      <c r="K47" s="26"/>
    </row>
    <row r="48" spans="1:14" x14ac:dyDescent="0.25">
      <c r="A48" s="12" t="s">
        <v>389</v>
      </c>
      <c r="D48" s="32"/>
      <c r="E48" s="150">
        <v>0</v>
      </c>
      <c r="F48" s="269"/>
      <c r="H48"/>
      <c r="I48" s="5"/>
      <c r="K48" s="1"/>
      <c r="L48"/>
      <c r="M48"/>
    </row>
    <row r="49" spans="1:18" x14ac:dyDescent="0.25">
      <c r="A49" s="12">
        <v>45920</v>
      </c>
      <c r="B49" s="136" t="s">
        <v>984</v>
      </c>
      <c r="C49" s="149" t="s">
        <v>575</v>
      </c>
      <c r="D49" s="149"/>
      <c r="E49" s="269"/>
      <c r="F49" s="269"/>
      <c r="G49" s="149" t="s">
        <v>983</v>
      </c>
      <c r="H49" s="267">
        <v>1</v>
      </c>
      <c r="I49" s="254">
        <v>51.65</v>
      </c>
      <c r="J49" s="5">
        <f>+H49*I49</f>
        <v>51.65</v>
      </c>
      <c r="K49" s="26">
        <f>+J49*0.0725</f>
        <v>3.7446249999999996</v>
      </c>
      <c r="L49"/>
      <c r="M49"/>
    </row>
    <row r="50" spans="1:18" x14ac:dyDescent="0.25">
      <c r="C50" s="149" t="s">
        <v>431</v>
      </c>
      <c r="D50" s="149"/>
      <c r="G50" s="149"/>
      <c r="H50" s="267"/>
      <c r="I50" s="254"/>
      <c r="J50" s="5">
        <f>+H50*I50</f>
        <v>0</v>
      </c>
      <c r="K50" s="26">
        <f>+J50*0.0725</f>
        <v>0</v>
      </c>
      <c r="L50"/>
      <c r="M50"/>
    </row>
    <row r="51" spans="1:18" x14ac:dyDescent="0.25">
      <c r="E51" s="192">
        <f>+E3</f>
        <v>1689</v>
      </c>
      <c r="F51" s="538"/>
      <c r="H51"/>
      <c r="I51" s="5"/>
      <c r="K51" s="1"/>
      <c r="L51"/>
      <c r="M51"/>
    </row>
    <row r="52" spans="1:18" x14ac:dyDescent="0.25">
      <c r="A52" s="12" t="s">
        <v>577</v>
      </c>
      <c r="D52" s="32"/>
      <c r="E52" s="150">
        <v>0</v>
      </c>
      <c r="F52" s="269"/>
      <c r="H52"/>
      <c r="I52" s="5"/>
      <c r="K52" s="1"/>
      <c r="L52"/>
      <c r="M52"/>
    </row>
    <row r="53" spans="1:18" x14ac:dyDescent="0.25">
      <c r="C53" s="149" t="s">
        <v>574</v>
      </c>
      <c r="D53" s="149" t="s">
        <v>573</v>
      </c>
      <c r="E53" s="269"/>
      <c r="F53" s="269"/>
      <c r="G53" s="149" t="s">
        <v>571</v>
      </c>
      <c r="H53" s="267"/>
      <c r="I53" s="254">
        <v>55.99</v>
      </c>
      <c r="J53" s="5">
        <f>+H53*I53</f>
        <v>0</v>
      </c>
      <c r="K53" s="26">
        <f>+J53*0.0725</f>
        <v>0</v>
      </c>
      <c r="L53"/>
      <c r="M53"/>
    </row>
    <row r="54" spans="1:18" x14ac:dyDescent="0.25">
      <c r="A54" s="12" t="s">
        <v>432</v>
      </c>
      <c r="D54" s="32"/>
      <c r="E54" s="150">
        <v>500</v>
      </c>
      <c r="F54" s="269"/>
      <c r="H54" s="267"/>
      <c r="I54" s="254"/>
      <c r="J54" s="5">
        <f>+H54*I54</f>
        <v>0</v>
      </c>
      <c r="K54" s="26">
        <f>+J54*0.0725</f>
        <v>0</v>
      </c>
      <c r="L54"/>
      <c r="M54"/>
    </row>
    <row r="55" spans="1:18" x14ac:dyDescent="0.25">
      <c r="C55" s="149" t="s">
        <v>433</v>
      </c>
      <c r="D55" s="149"/>
      <c r="G55" s="149" t="s">
        <v>434</v>
      </c>
      <c r="H55" s="267">
        <v>0</v>
      </c>
      <c r="I55" s="254">
        <v>47.98</v>
      </c>
      <c r="J55" s="5">
        <f>+H55*I55</f>
        <v>0</v>
      </c>
      <c r="K55" s="26">
        <f>+J55*0.0725</f>
        <v>0</v>
      </c>
      <c r="L55"/>
      <c r="M55"/>
    </row>
    <row r="56" spans="1:18" x14ac:dyDescent="0.25">
      <c r="C56" s="2" t="s">
        <v>435</v>
      </c>
      <c r="G56" s="149" t="s">
        <v>436</v>
      </c>
      <c r="H56" s="267">
        <v>0</v>
      </c>
      <c r="I56" s="254">
        <v>48.98</v>
      </c>
      <c r="J56" s="5">
        <f>+H56*I56</f>
        <v>0</v>
      </c>
      <c r="K56" s="26">
        <f>+J56*0.0725</f>
        <v>0</v>
      </c>
      <c r="L56"/>
      <c r="M56"/>
      <c r="N56" s="2"/>
    </row>
    <row r="57" spans="1:18" x14ac:dyDescent="0.25">
      <c r="H57" s="267">
        <v>0</v>
      </c>
      <c r="I57" s="254"/>
      <c r="J57" s="5">
        <f>+H57*I57</f>
        <v>0</v>
      </c>
      <c r="K57" s="26">
        <f>+J57*0.0725</f>
        <v>0</v>
      </c>
      <c r="N57" s="2"/>
    </row>
    <row r="58" spans="1:18" ht="15.75" thickBot="1" x14ac:dyDescent="0.3">
      <c r="H58"/>
      <c r="I58" s="5"/>
      <c r="J58" s="316"/>
      <c r="K58" s="270"/>
      <c r="L58" s="29"/>
    </row>
    <row r="59" spans="1:18" x14ac:dyDescent="0.25">
      <c r="H59" s="889" t="s">
        <v>437</v>
      </c>
      <c r="I59" s="890"/>
      <c r="J59" s="890"/>
      <c r="K59" s="30"/>
      <c r="L59" s="1">
        <f>IF($O$1="No",SUM(J12:J58)+SUM(K12:K58),0)</f>
        <v>4268.4885999999997</v>
      </c>
      <c r="R59" s="2"/>
    </row>
    <row r="61" spans="1:18" x14ac:dyDescent="0.25">
      <c r="C61" s="2" t="s">
        <v>438</v>
      </c>
      <c r="H61"/>
      <c r="I61" s="5"/>
      <c r="J61" s="1"/>
      <c r="K61" s="1"/>
      <c r="L61"/>
      <c r="M61"/>
    </row>
    <row r="62" spans="1:18" x14ac:dyDescent="0.25">
      <c r="C62" s="149" t="s">
        <v>982</v>
      </c>
      <c r="D62" s="149"/>
      <c r="E62" s="192">
        <f>+$E$3</f>
        <v>1689</v>
      </c>
      <c r="F62" s="538"/>
      <c r="G62" s="149" t="s">
        <v>439</v>
      </c>
      <c r="H62" s="267">
        <v>0</v>
      </c>
      <c r="I62" s="254">
        <v>8600</v>
      </c>
      <c r="J62" s="1">
        <f>IF(H62="yes",E62*#REF!,I62)</f>
        <v>8600</v>
      </c>
      <c r="K62" s="1"/>
      <c r="L62"/>
      <c r="M62"/>
      <c r="N62" s="545">
        <v>0.20349397590361445</v>
      </c>
      <c r="P62">
        <f>+E62/N62</f>
        <v>8300</v>
      </c>
    </row>
    <row r="63" spans="1:18" x14ac:dyDescent="0.25">
      <c r="C63" s="149" t="s">
        <v>981</v>
      </c>
      <c r="D63" s="149"/>
      <c r="E63" s="192">
        <f>+$E$3</f>
        <v>1689</v>
      </c>
      <c r="F63" s="538"/>
      <c r="G63" s="149" t="s">
        <v>439</v>
      </c>
      <c r="H63" s="267">
        <v>0</v>
      </c>
      <c r="I63" s="254">
        <v>2200</v>
      </c>
      <c r="J63" s="1">
        <f>IF(H63="yes",E63*#REF!,I63)</f>
        <v>2200</v>
      </c>
      <c r="K63" s="1"/>
      <c r="L63"/>
      <c r="M63"/>
      <c r="N63" s="545"/>
    </row>
    <row r="64" spans="1:18" x14ac:dyDescent="0.25">
      <c r="C64" s="149" t="s">
        <v>438</v>
      </c>
      <c r="D64" s="149"/>
      <c r="E64" s="192">
        <v>200</v>
      </c>
      <c r="F64" s="538"/>
      <c r="G64" s="149" t="s">
        <v>576</v>
      </c>
      <c r="H64" s="267">
        <v>0</v>
      </c>
      <c r="I64" s="254">
        <v>0</v>
      </c>
      <c r="J64" s="1">
        <f>IF(H64="yes",E64*#REF!,I64)</f>
        <v>0</v>
      </c>
      <c r="K64" s="1"/>
      <c r="L64"/>
      <c r="M64"/>
    </row>
    <row r="65" spans="3:15" ht="15.75" thickBot="1" x14ac:dyDescent="0.3">
      <c r="C65" s="149" t="s">
        <v>438</v>
      </c>
      <c r="D65" s="149"/>
      <c r="E65" s="192">
        <f>+$E$3</f>
        <v>1689</v>
      </c>
      <c r="F65" s="538"/>
      <c r="G65" s="149" t="s">
        <v>440</v>
      </c>
      <c r="H65" s="267">
        <v>0</v>
      </c>
      <c r="I65" s="254">
        <v>0</v>
      </c>
      <c r="J65" s="1">
        <f>IF(H65="yes",E65*#REF!,I65)</f>
        <v>0</v>
      </c>
      <c r="K65" s="1"/>
      <c r="L65" s="23"/>
      <c r="M65"/>
      <c r="O65" s="3"/>
    </row>
    <row r="66" spans="3:15" x14ac:dyDescent="0.25">
      <c r="H66"/>
      <c r="I66" s="5"/>
      <c r="J66" s="1"/>
      <c r="K66" s="1"/>
      <c r="L66" s="1">
        <f>IF($O$1="No",SUM(J62:J65)+SUM(K62:K65),0)</f>
        <v>10800</v>
      </c>
      <c r="O66" s="1"/>
    </row>
    <row r="67" spans="3:15" x14ac:dyDescent="0.25">
      <c r="H67"/>
      <c r="I67" s="5"/>
      <c r="J67" s="5" t="s">
        <v>678</v>
      </c>
      <c r="N67" s="1">
        <f>SUM(L9:L66)</f>
        <v>15068.488600000001</v>
      </c>
    </row>
    <row r="68" spans="3:15" x14ac:dyDescent="0.25">
      <c r="H68"/>
      <c r="I68" s="5"/>
    </row>
  </sheetData>
  <mergeCells count="5">
    <mergeCell ref="H59:J59"/>
    <mergeCell ref="N1:N2"/>
    <mergeCell ref="O1:O2"/>
    <mergeCell ref="P1:P2"/>
    <mergeCell ref="H9:J9"/>
  </mergeCells>
  <printOptions headings="1" gridLines="1"/>
  <pageMargins left="0.7" right="0.7" top="0.75" bottom="0.75" header="0.3" footer="0.3"/>
  <pageSetup fitToHeight="0" orientation="portrait"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9"/>
  <dimension ref="A1:M44"/>
  <sheetViews>
    <sheetView workbookViewId="0">
      <selection activeCell="G27" sqref="G27"/>
    </sheetView>
  </sheetViews>
  <sheetFormatPr defaultRowHeight="15" x14ac:dyDescent="0.25"/>
  <cols>
    <col min="2" max="2" width="45.28515625" style="2" customWidth="1"/>
    <col min="3" max="3" width="6.28515625" style="2" customWidth="1"/>
    <col min="4" max="4" width="21.5703125" style="2" bestFit="1" customWidth="1"/>
    <col min="5" max="5" width="5" style="2" bestFit="1" customWidth="1"/>
    <col min="6" max="6" width="9.5703125" bestFit="1" customWidth="1"/>
    <col min="7" max="7" width="9.7109375" style="5" customWidth="1"/>
    <col min="8" max="8" width="6.5703125" style="5" bestFit="1" customWidth="1"/>
    <col min="9" max="9" width="9.140625" style="1"/>
    <col min="11" max="11" width="19.28515625" bestFit="1" customWidth="1"/>
  </cols>
  <sheetData>
    <row r="1" spans="1:13" x14ac:dyDescent="0.25">
      <c r="B1" s="32" t="s">
        <v>441</v>
      </c>
      <c r="C1" s="32"/>
      <c r="K1" s="891" t="s">
        <v>2</v>
      </c>
      <c r="L1" s="891" t="str">
        <f>IF(Profit!S6,IF(M1,"Yes","No"),"No")</f>
        <v>No</v>
      </c>
      <c r="M1" s="895" t="b">
        <v>1</v>
      </c>
    </row>
    <row r="2" spans="1:13" s="3" customFormat="1" ht="15.75" thickBot="1" x14ac:dyDescent="0.3">
      <c r="A2" s="3" t="s">
        <v>275</v>
      </c>
      <c r="B2" s="274" t="s">
        <v>230</v>
      </c>
      <c r="C2" s="274" t="s">
        <v>421</v>
      </c>
      <c r="D2" s="274" t="s">
        <v>248</v>
      </c>
      <c r="E2" s="274" t="s">
        <v>201</v>
      </c>
      <c r="F2" s="274" t="s">
        <v>288</v>
      </c>
      <c r="G2" s="274" t="s">
        <v>289</v>
      </c>
      <c r="H2" s="274" t="s">
        <v>276</v>
      </c>
      <c r="I2" s="274" t="s">
        <v>290</v>
      </c>
      <c r="K2" s="892"/>
      <c r="L2" s="892"/>
      <c r="M2" s="896"/>
    </row>
    <row r="3" spans="1:13" x14ac:dyDescent="0.25">
      <c r="B3" s="427" t="s">
        <v>671</v>
      </c>
      <c r="C3" s="434">
        <f>+Profit!K9</f>
        <v>1689</v>
      </c>
      <c r="D3" s="422"/>
      <c r="E3" s="423"/>
      <c r="F3" s="430"/>
      <c r="G3" s="435"/>
      <c r="H3" s="431"/>
      <c r="I3" s="423"/>
      <c r="K3" s="3"/>
    </row>
    <row r="4" spans="1:13" x14ac:dyDescent="0.25">
      <c r="B4" s="422" t="s">
        <v>442</v>
      </c>
      <c r="C4" s="434">
        <v>1000</v>
      </c>
      <c r="D4" s="422" t="s">
        <v>439</v>
      </c>
      <c r="E4" s="423">
        <v>1</v>
      </c>
      <c r="F4" s="430">
        <v>5.5487134502924</v>
      </c>
      <c r="G4" s="435">
        <f>C4*F4*E4</f>
        <v>5548.7134502924</v>
      </c>
      <c r="H4" s="431">
        <f>+G4*0.0725</f>
        <v>402.28172514619899</v>
      </c>
      <c r="I4" s="423"/>
      <c r="K4" s="3"/>
    </row>
    <row r="5" spans="1:13" ht="15.75" thickBot="1" x14ac:dyDescent="0.3">
      <c r="B5" s="422" t="s">
        <v>443</v>
      </c>
      <c r="C5" s="434">
        <f>+C3</f>
        <v>1689</v>
      </c>
      <c r="D5" s="422"/>
      <c r="E5" s="423">
        <v>1</v>
      </c>
      <c r="F5" s="430">
        <v>3</v>
      </c>
      <c r="G5" s="435">
        <f>C5*F5*E5</f>
        <v>5067</v>
      </c>
      <c r="H5" s="431">
        <f>+G5*0.0725</f>
        <v>367.35749999999996</v>
      </c>
      <c r="I5" s="408"/>
      <c r="K5" s="3"/>
    </row>
    <row r="6" spans="1:13" x14ac:dyDescent="0.25">
      <c r="B6" s="422"/>
      <c r="C6" s="434"/>
      <c r="D6" s="422"/>
      <c r="E6" s="423"/>
      <c r="F6" s="430"/>
      <c r="G6" s="435"/>
      <c r="H6" s="431"/>
      <c r="I6" s="424">
        <f>IF(L1="Yes",SUM(G4:H5),0)</f>
        <v>0</v>
      </c>
      <c r="K6" s="3"/>
    </row>
    <row r="7" spans="1:13" x14ac:dyDescent="0.25">
      <c r="C7" s="192"/>
      <c r="E7"/>
      <c r="F7" s="5"/>
      <c r="G7" s="1"/>
      <c r="H7" s="26"/>
      <c r="I7"/>
      <c r="K7" s="3"/>
    </row>
    <row r="8" spans="1:13" x14ac:dyDescent="0.25">
      <c r="B8" s="149" t="s">
        <v>442</v>
      </c>
      <c r="C8" s="208">
        <v>300</v>
      </c>
      <c r="D8" s="149" t="s">
        <v>439</v>
      </c>
      <c r="E8" s="267">
        <v>0</v>
      </c>
      <c r="F8" s="254">
        <f>8146/2526</f>
        <v>3.2248614410134602</v>
      </c>
      <c r="G8" s="1">
        <v>7832.5</v>
      </c>
      <c r="H8" s="26"/>
      <c r="I8"/>
      <c r="J8" s="258"/>
    </row>
    <row r="9" spans="1:13" x14ac:dyDescent="0.25">
      <c r="B9" s="149" t="s">
        <v>530</v>
      </c>
      <c r="C9" s="208">
        <v>800</v>
      </c>
      <c r="D9" s="149"/>
      <c r="E9" s="267">
        <v>0</v>
      </c>
      <c r="F9" s="254">
        <v>6.22</v>
      </c>
      <c r="G9" s="1">
        <f t="shared" ref="G9:G29" si="0">C9*F9*E9</f>
        <v>0</v>
      </c>
      <c r="H9" s="26">
        <f t="shared" ref="H9:H29" si="1">+G9*0.0725</f>
        <v>0</v>
      </c>
      <c r="I9"/>
    </row>
    <row r="10" spans="1:13" x14ac:dyDescent="0.25">
      <c r="B10" s="149" t="s">
        <v>531</v>
      </c>
      <c r="C10" s="208">
        <v>1800</v>
      </c>
      <c r="D10" s="149"/>
      <c r="E10" s="267">
        <v>0</v>
      </c>
      <c r="F10" s="254">
        <v>3</v>
      </c>
      <c r="G10" s="1">
        <f t="shared" si="0"/>
        <v>0</v>
      </c>
      <c r="H10" s="26">
        <f t="shared" si="1"/>
        <v>0</v>
      </c>
      <c r="I10"/>
      <c r="K10">
        <v>3018</v>
      </c>
      <c r="L10">
        <f>+K10/K11</f>
        <v>3.5737122557726466</v>
      </c>
    </row>
    <row r="11" spans="1:13" x14ac:dyDescent="0.25">
      <c r="A11" s="178">
        <v>45926</v>
      </c>
      <c r="B11" s="149" t="s">
        <v>995</v>
      </c>
      <c r="C11" s="208"/>
      <c r="D11" s="149"/>
      <c r="E11" s="267">
        <v>2</v>
      </c>
      <c r="F11" s="254">
        <v>149.99</v>
      </c>
      <c r="G11" s="1">
        <f t="shared" ref="G11:G18" si="2">+E11*F11</f>
        <v>299.98</v>
      </c>
      <c r="H11" s="26">
        <f t="shared" si="1"/>
        <v>21.748549999999998</v>
      </c>
      <c r="I11"/>
      <c r="K11">
        <f>+C5/2</f>
        <v>844.5</v>
      </c>
    </row>
    <row r="12" spans="1:13" x14ac:dyDescent="0.25">
      <c r="A12" s="178">
        <v>45923</v>
      </c>
      <c r="B12" s="149" t="s">
        <v>995</v>
      </c>
      <c r="C12" s="208"/>
      <c r="D12" s="149"/>
      <c r="E12" s="267">
        <v>3</v>
      </c>
      <c r="F12" s="254">
        <v>149.99</v>
      </c>
      <c r="G12" s="1">
        <f t="shared" si="2"/>
        <v>449.97</v>
      </c>
      <c r="H12" s="26">
        <f t="shared" ref="H12" si="3">+G12*0.0725</f>
        <v>32.622824999999999</v>
      </c>
      <c r="I12"/>
    </row>
    <row r="13" spans="1:13" x14ac:dyDescent="0.25">
      <c r="A13" s="178">
        <v>45923</v>
      </c>
      <c r="B13" s="149" t="s">
        <v>996</v>
      </c>
      <c r="C13" s="208"/>
      <c r="D13" s="149"/>
      <c r="E13" s="267">
        <v>1</v>
      </c>
      <c r="F13" s="254">
        <v>189.99</v>
      </c>
      <c r="G13" s="1">
        <f t="shared" si="2"/>
        <v>189.99</v>
      </c>
      <c r="H13" s="26">
        <f t="shared" ref="H13" si="4">+G13*0.0725</f>
        <v>13.774274999999999</v>
      </c>
      <c r="I13"/>
      <c r="K13">
        <v>7832</v>
      </c>
      <c r="L13">
        <f>+K13/C3</f>
        <v>4.637063351095323</v>
      </c>
    </row>
    <row r="14" spans="1:13" x14ac:dyDescent="0.25">
      <c r="A14" s="178">
        <v>45929</v>
      </c>
      <c r="B14" s="149" t="s">
        <v>997</v>
      </c>
      <c r="C14" s="208"/>
      <c r="D14" s="149"/>
      <c r="E14" s="267">
        <v>1</v>
      </c>
      <c r="F14" s="254">
        <v>8.99</v>
      </c>
      <c r="G14" s="1">
        <f t="shared" si="2"/>
        <v>8.99</v>
      </c>
      <c r="H14" s="26">
        <f t="shared" ref="H14" si="5">+G14*0.0725</f>
        <v>0.65177499999999999</v>
      </c>
      <c r="I14"/>
    </row>
    <row r="15" spans="1:13" x14ac:dyDescent="0.25">
      <c r="A15" s="178">
        <v>45928</v>
      </c>
      <c r="B15" s="149" t="s">
        <v>998</v>
      </c>
      <c r="C15" s="208"/>
      <c r="D15" s="149"/>
      <c r="E15" s="267">
        <v>1</v>
      </c>
      <c r="F15" s="254">
        <v>9.99</v>
      </c>
      <c r="G15" s="1">
        <f t="shared" si="2"/>
        <v>9.99</v>
      </c>
      <c r="H15" s="26">
        <f t="shared" ref="H15:H23" si="6">+G15*0.0725</f>
        <v>0.724275</v>
      </c>
      <c r="I15"/>
    </row>
    <row r="16" spans="1:13" x14ac:dyDescent="0.25">
      <c r="A16" s="178">
        <v>45923</v>
      </c>
      <c r="B16" s="149" t="s">
        <v>999</v>
      </c>
      <c r="C16" s="208"/>
      <c r="D16" s="149"/>
      <c r="E16" s="267">
        <v>1</v>
      </c>
      <c r="F16" s="254">
        <v>8.99</v>
      </c>
      <c r="G16" s="1">
        <f t="shared" si="2"/>
        <v>8.99</v>
      </c>
      <c r="H16" s="26">
        <f t="shared" si="6"/>
        <v>0.65177499999999999</v>
      </c>
      <c r="I16"/>
    </row>
    <row r="17" spans="1:12" x14ac:dyDescent="0.25">
      <c r="A17" s="178">
        <v>45923</v>
      </c>
      <c r="B17" s="149" t="s">
        <v>1000</v>
      </c>
      <c r="C17" s="208"/>
      <c r="D17" s="149"/>
      <c r="E17" s="267">
        <v>1</v>
      </c>
      <c r="F17" s="254">
        <v>23.99</v>
      </c>
      <c r="G17" s="1">
        <f t="shared" si="2"/>
        <v>23.99</v>
      </c>
      <c r="H17" s="26">
        <f t="shared" si="6"/>
        <v>1.7392749999999997</v>
      </c>
      <c r="I17"/>
    </row>
    <row r="18" spans="1:12" x14ac:dyDescent="0.25">
      <c r="A18" s="178">
        <v>45923</v>
      </c>
      <c r="B18" s="149" t="s">
        <v>1001</v>
      </c>
      <c r="C18" s="208"/>
      <c r="D18" s="149"/>
      <c r="E18" s="267">
        <v>1</v>
      </c>
      <c r="F18" s="254">
        <v>9.99</v>
      </c>
      <c r="G18" s="1">
        <f t="shared" si="2"/>
        <v>9.99</v>
      </c>
      <c r="H18" s="26">
        <f t="shared" si="6"/>
        <v>0.724275</v>
      </c>
      <c r="I18"/>
    </row>
    <row r="19" spans="1:12" x14ac:dyDescent="0.25">
      <c r="A19" s="178">
        <v>45923</v>
      </c>
      <c r="B19" s="149" t="s">
        <v>1001</v>
      </c>
      <c r="C19" s="208"/>
      <c r="D19" s="149"/>
      <c r="E19" s="267">
        <v>1</v>
      </c>
      <c r="F19" s="254">
        <v>9.99</v>
      </c>
      <c r="G19" s="1">
        <f t="shared" ref="G19:G23" si="7">+E19*F19</f>
        <v>9.99</v>
      </c>
      <c r="H19" s="26">
        <f t="shared" si="6"/>
        <v>0.724275</v>
      </c>
      <c r="I19"/>
    </row>
    <row r="20" spans="1:12" x14ac:dyDescent="0.25">
      <c r="A20" s="178">
        <v>45925</v>
      </c>
      <c r="B20" s="149" t="s">
        <v>1003</v>
      </c>
      <c r="C20" s="208"/>
      <c r="D20" s="149"/>
      <c r="E20" s="267">
        <v>2</v>
      </c>
      <c r="F20" s="254">
        <v>10.99</v>
      </c>
      <c r="G20" s="1">
        <f t="shared" si="7"/>
        <v>21.98</v>
      </c>
      <c r="H20" s="26">
        <f t="shared" si="6"/>
        <v>1.59355</v>
      </c>
      <c r="I20"/>
    </row>
    <row r="21" spans="1:12" x14ac:dyDescent="0.25">
      <c r="A21" s="178">
        <v>45925</v>
      </c>
      <c r="B21" s="149" t="s">
        <v>1004</v>
      </c>
      <c r="C21" s="208"/>
      <c r="D21" s="149"/>
      <c r="E21" s="267">
        <v>1</v>
      </c>
      <c r="F21" s="254">
        <v>12.97</v>
      </c>
      <c r="G21" s="1">
        <f t="shared" si="7"/>
        <v>12.97</v>
      </c>
      <c r="H21" s="26">
        <f t="shared" si="6"/>
        <v>0.94032499999999997</v>
      </c>
      <c r="I21"/>
    </row>
    <row r="22" spans="1:12" x14ac:dyDescent="0.25">
      <c r="A22" s="178">
        <v>45925</v>
      </c>
      <c r="B22" s="149" t="s">
        <v>1005</v>
      </c>
      <c r="C22" s="208"/>
      <c r="D22" s="149"/>
      <c r="E22" s="267">
        <v>1</v>
      </c>
      <c r="F22" s="254">
        <v>6.99</v>
      </c>
      <c r="G22" s="1">
        <f t="shared" si="7"/>
        <v>6.99</v>
      </c>
      <c r="H22" s="26">
        <f t="shared" si="6"/>
        <v>0.50677499999999998</v>
      </c>
      <c r="I22"/>
    </row>
    <row r="23" spans="1:12" x14ac:dyDescent="0.25">
      <c r="A23" s="178">
        <v>45931</v>
      </c>
      <c r="B23" s="149" t="s">
        <v>1028</v>
      </c>
      <c r="C23" s="208"/>
      <c r="D23" s="149"/>
      <c r="E23" s="267">
        <v>1</v>
      </c>
      <c r="F23" s="254">
        <v>3.98</v>
      </c>
      <c r="G23" s="1">
        <f t="shared" si="7"/>
        <v>3.98</v>
      </c>
      <c r="H23" s="26">
        <f t="shared" si="6"/>
        <v>0.28854999999999997</v>
      </c>
      <c r="I23"/>
    </row>
    <row r="24" spans="1:12" x14ac:dyDescent="0.25">
      <c r="A24" s="178"/>
      <c r="B24" s="149" t="s">
        <v>1002</v>
      </c>
      <c r="C24" s="208"/>
      <c r="D24" s="149"/>
      <c r="E24" s="267">
        <v>1</v>
      </c>
      <c r="F24" s="254">
        <v>24.66</v>
      </c>
      <c r="G24" s="1"/>
      <c r="H24" s="26"/>
      <c r="I24"/>
    </row>
    <row r="25" spans="1:12" ht="12" customHeight="1" x14ac:dyDescent="0.25">
      <c r="A25" s="178">
        <v>45931</v>
      </c>
      <c r="B25" s="149" t="s">
        <v>1029</v>
      </c>
      <c r="C25" s="208"/>
      <c r="D25" s="149"/>
      <c r="E25" s="267">
        <v>2</v>
      </c>
      <c r="F25" s="254">
        <v>3.84</v>
      </c>
      <c r="G25" s="1">
        <f t="shared" si="0"/>
        <v>0</v>
      </c>
      <c r="H25" s="26">
        <f t="shared" si="1"/>
        <v>0</v>
      </c>
      <c r="I25"/>
    </row>
    <row r="26" spans="1:12" x14ac:dyDescent="0.25">
      <c r="A26" s="178">
        <v>45931</v>
      </c>
      <c r="B26" s="149" t="s">
        <v>1030</v>
      </c>
      <c r="C26" s="208"/>
      <c r="D26" s="149"/>
      <c r="E26" s="267">
        <v>4</v>
      </c>
      <c r="F26" s="254">
        <v>2.86</v>
      </c>
      <c r="G26" s="1">
        <f t="shared" si="0"/>
        <v>0</v>
      </c>
      <c r="H26" s="26">
        <f t="shared" si="1"/>
        <v>0</v>
      </c>
      <c r="I26"/>
    </row>
    <row r="27" spans="1:12" x14ac:dyDescent="0.25">
      <c r="B27" s="149" t="s">
        <v>1031</v>
      </c>
      <c r="C27" s="208"/>
      <c r="D27" s="149"/>
      <c r="E27" s="267">
        <v>1</v>
      </c>
      <c r="F27" s="254">
        <v>4.28</v>
      </c>
      <c r="G27" s="1">
        <f t="shared" si="0"/>
        <v>0</v>
      </c>
      <c r="H27" s="26">
        <f t="shared" si="1"/>
        <v>0</v>
      </c>
      <c r="I27"/>
    </row>
    <row r="28" spans="1:12" x14ac:dyDescent="0.25">
      <c r="B28" s="149" t="s">
        <v>591</v>
      </c>
      <c r="C28" s="208"/>
      <c r="D28" s="149"/>
      <c r="E28" s="267">
        <v>0</v>
      </c>
      <c r="F28" s="254"/>
      <c r="G28" s="1">
        <f t="shared" si="0"/>
        <v>0</v>
      </c>
      <c r="H28" s="26">
        <f t="shared" si="1"/>
        <v>0</v>
      </c>
      <c r="I28"/>
    </row>
    <row r="29" spans="1:12" ht="15.75" thickBot="1" x14ac:dyDescent="0.3">
      <c r="B29" s="149" t="s">
        <v>443</v>
      </c>
      <c r="C29" s="208">
        <f>+$C$3</f>
        <v>1689</v>
      </c>
      <c r="D29" s="149"/>
      <c r="E29" s="267">
        <v>0</v>
      </c>
      <c r="F29" s="254">
        <v>1</v>
      </c>
      <c r="G29" s="1">
        <f t="shared" si="0"/>
        <v>0</v>
      </c>
      <c r="H29" s="26">
        <f t="shared" si="1"/>
        <v>0</v>
      </c>
      <c r="I29" s="23"/>
      <c r="L29" s="3"/>
    </row>
    <row r="30" spans="1:12" x14ac:dyDescent="0.25">
      <c r="E30"/>
      <c r="F30" s="5"/>
      <c r="G30" s="1"/>
      <c r="H30" s="1"/>
      <c r="I30" s="14">
        <f>IF(L1="No",SUM(G8:H29),0)</f>
        <v>8966.9904999999962</v>
      </c>
      <c r="K30" s="2"/>
    </row>
    <row r="31" spans="1:12" x14ac:dyDescent="0.25">
      <c r="B31" s="2" t="s">
        <v>444</v>
      </c>
      <c r="E31"/>
      <c r="G31" s="5">
        <v>0</v>
      </c>
      <c r="J31" s="14">
        <f>SUM(I6:I30)</f>
        <v>8966.9904999999962</v>
      </c>
      <c r="K31" s="2"/>
    </row>
    <row r="32" spans="1:12" x14ac:dyDescent="0.25">
      <c r="B32" s="2" t="s">
        <v>155</v>
      </c>
      <c r="E32" t="s">
        <v>155</v>
      </c>
      <c r="F32" s="5" t="s">
        <v>155</v>
      </c>
      <c r="K32" s="2"/>
    </row>
    <row r="33" spans="11:12" x14ac:dyDescent="0.25">
      <c r="K33" s="2"/>
      <c r="L33" s="1"/>
    </row>
    <row r="44" spans="11:12" x14ac:dyDescent="0.25">
      <c r="K44" s="2"/>
    </row>
  </sheetData>
  <mergeCells count="3">
    <mergeCell ref="K1:K2"/>
    <mergeCell ref="L1:L2"/>
    <mergeCell ref="M1:M2"/>
  </mergeCells>
  <printOptions headings="1" gridLines="1"/>
  <pageMargins left="0.7" right="0.7" top="0.75" bottom="0.75" header="0.3" footer="0.3"/>
  <pageSetup orientation="portrait"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BD2798-1CF0-4948-ADBE-D10FD0B7B811}">
  <sheetPr codeName="Sheet20"/>
  <dimension ref="A1:P24"/>
  <sheetViews>
    <sheetView workbookViewId="0">
      <selection activeCell="I19" sqref="I19"/>
    </sheetView>
  </sheetViews>
  <sheetFormatPr defaultColWidth="9.140625" defaultRowHeight="15" x14ac:dyDescent="0.25"/>
  <cols>
    <col min="1" max="1" width="15.5703125" style="2" bestFit="1" customWidth="1"/>
    <col min="2" max="2" width="15.5703125" style="2" customWidth="1"/>
    <col min="3" max="3" width="9.7109375" style="2" bestFit="1" customWidth="1"/>
    <col min="4" max="4" width="19.5703125" style="2" bestFit="1" customWidth="1"/>
    <col min="5" max="5" width="12.7109375" bestFit="1" customWidth="1"/>
    <col min="6" max="6" width="10.140625" style="5" bestFit="1" customWidth="1"/>
    <col min="7" max="7" width="9.140625" style="26"/>
    <col min="9" max="9" width="6.5703125" bestFit="1" customWidth="1"/>
    <col min="10" max="10" width="19.28515625" bestFit="1" customWidth="1"/>
    <col min="11" max="11" width="5.140625" customWidth="1"/>
    <col min="12" max="12" width="6.5703125" customWidth="1"/>
  </cols>
  <sheetData>
    <row r="1" spans="1:16" s="3" customFormat="1" x14ac:dyDescent="0.25">
      <c r="G1" s="16"/>
      <c r="J1" s="891" t="s">
        <v>2</v>
      </c>
      <c r="K1" s="891" t="str">
        <f>IF(Profit!S6,IF(L1,"Yes","No"),"No")</f>
        <v>No</v>
      </c>
      <c r="L1" s="895" t="b">
        <v>1</v>
      </c>
    </row>
    <row r="2" spans="1:16" ht="15.75" thickBot="1" x14ac:dyDescent="0.3">
      <c r="A2" s="32" t="s">
        <v>211</v>
      </c>
      <c r="B2" s="32"/>
      <c r="C2" s="32"/>
      <c r="J2" s="892"/>
      <c r="K2" s="892"/>
      <c r="L2" s="896"/>
    </row>
    <row r="3" spans="1:16" s="22" customFormat="1" x14ac:dyDescent="0.25">
      <c r="A3" s="3" t="s">
        <v>327</v>
      </c>
      <c r="B3" s="3" t="s">
        <v>230</v>
      </c>
      <c r="C3" s="3" t="s">
        <v>275</v>
      </c>
      <c r="D3" s="3" t="s">
        <v>445</v>
      </c>
      <c r="E3" s="3" t="s">
        <v>287</v>
      </c>
      <c r="F3" s="8" t="s">
        <v>288</v>
      </c>
      <c r="G3" s="16" t="s">
        <v>331</v>
      </c>
      <c r="H3" s="3" t="s">
        <v>290</v>
      </c>
      <c r="J3" s="3"/>
      <c r="K3" s="3"/>
    </row>
    <row r="4" spans="1:16" s="22" customFormat="1" ht="15.75" thickBot="1" x14ac:dyDescent="0.3">
      <c r="A4" s="423"/>
      <c r="B4" s="423" t="s">
        <v>446</v>
      </c>
      <c r="C4" s="423"/>
      <c r="D4" s="422" t="s">
        <v>447</v>
      </c>
      <c r="E4" s="437">
        <v>1</v>
      </c>
      <c r="F4" s="430">
        <v>7000</v>
      </c>
      <c r="G4" s="431">
        <f>+E4*F4</f>
        <v>7000</v>
      </c>
      <c r="H4" s="438"/>
      <c r="J4" s="3"/>
      <c r="K4" s="3"/>
    </row>
    <row r="5" spans="1:16" s="22" customFormat="1" x14ac:dyDescent="0.25">
      <c r="A5" s="427"/>
      <c r="B5" s="427"/>
      <c r="C5" s="427"/>
      <c r="D5" s="427"/>
      <c r="E5" s="427"/>
      <c r="F5" s="428"/>
      <c r="G5" s="439"/>
      <c r="H5" s="440">
        <f>IF(K1="Yes",+SUM(G4),0)</f>
        <v>0</v>
      </c>
      <c r="J5" s="3"/>
      <c r="K5" s="3"/>
    </row>
    <row r="6" spans="1:16" s="22" customFormat="1" x14ac:dyDescent="0.25">
      <c r="A6" s="3"/>
      <c r="B6" s="3"/>
      <c r="C6" s="3"/>
      <c r="D6" s="3"/>
      <c r="E6" s="3"/>
      <c r="F6" s="8"/>
      <c r="G6" s="16"/>
      <c r="H6" s="3"/>
      <c r="J6" s="3"/>
      <c r="K6" s="3"/>
    </row>
    <row r="7" spans="1:16" s="22" customFormat="1" x14ac:dyDescent="0.25">
      <c r="A7" s="3"/>
      <c r="B7" s="22" t="s">
        <v>915</v>
      </c>
      <c r="C7" s="546">
        <v>45859</v>
      </c>
      <c r="D7" s="22" t="s">
        <v>447</v>
      </c>
      <c r="E7" s="22">
        <v>1</v>
      </c>
      <c r="F7" s="547">
        <v>101.89</v>
      </c>
      <c r="G7" s="548">
        <v>101.89</v>
      </c>
      <c r="H7" s="22">
        <v>101.89</v>
      </c>
      <c r="J7" s="3"/>
      <c r="K7" s="3"/>
    </row>
    <row r="8" spans="1:16" x14ac:dyDescent="0.25">
      <c r="A8"/>
      <c r="B8" s="22" t="s">
        <v>915</v>
      </c>
      <c r="C8" s="546">
        <v>45866</v>
      </c>
      <c r="D8" s="22" t="s">
        <v>447</v>
      </c>
      <c r="E8" s="22">
        <v>1</v>
      </c>
      <c r="F8" s="547">
        <v>101.89</v>
      </c>
      <c r="G8" s="548">
        <v>101.89</v>
      </c>
      <c r="H8" s="22">
        <v>101.89</v>
      </c>
    </row>
    <row r="9" spans="1:16" x14ac:dyDescent="0.25">
      <c r="A9"/>
      <c r="B9" t="s">
        <v>448</v>
      </c>
      <c r="C9"/>
      <c r="D9" s="2" t="s">
        <v>449</v>
      </c>
      <c r="E9" s="11">
        <v>0</v>
      </c>
      <c r="F9" s="5">
        <v>8.98</v>
      </c>
      <c r="G9" s="26">
        <f>+E9*F9</f>
        <v>0</v>
      </c>
    </row>
    <row r="10" spans="1:16" x14ac:dyDescent="0.25">
      <c r="A10"/>
      <c r="B10" t="s">
        <v>539</v>
      </c>
      <c r="C10"/>
      <c r="D10" s="2" t="s">
        <v>538</v>
      </c>
      <c r="E10" s="11">
        <v>0</v>
      </c>
      <c r="F10" s="5">
        <v>22.97</v>
      </c>
      <c r="G10" s="26">
        <f t="shared" ref="G10:G15" si="0">+E10*F10</f>
        <v>0</v>
      </c>
    </row>
    <row r="11" spans="1:16" x14ac:dyDescent="0.25">
      <c r="A11"/>
      <c r="B11" t="s">
        <v>450</v>
      </c>
      <c r="C11"/>
      <c r="D11" s="2" t="s">
        <v>451</v>
      </c>
      <c r="E11" s="11">
        <v>0</v>
      </c>
      <c r="F11" s="5">
        <v>44.93</v>
      </c>
      <c r="G11" s="26">
        <f t="shared" si="0"/>
        <v>0</v>
      </c>
    </row>
    <row r="12" spans="1:16" x14ac:dyDescent="0.25">
      <c r="A12"/>
      <c r="B12" t="s">
        <v>452</v>
      </c>
      <c r="C12"/>
      <c r="D12" s="2" t="s">
        <v>540</v>
      </c>
      <c r="E12" s="11">
        <v>0</v>
      </c>
      <c r="F12" s="5">
        <v>5.98</v>
      </c>
      <c r="G12" s="26">
        <f t="shared" si="0"/>
        <v>0</v>
      </c>
    </row>
    <row r="13" spans="1:16" x14ac:dyDescent="0.25">
      <c r="A13"/>
      <c r="B13" t="s">
        <v>452</v>
      </c>
      <c r="C13"/>
      <c r="D13" s="2" t="s">
        <v>453</v>
      </c>
      <c r="E13" s="11">
        <v>0</v>
      </c>
      <c r="F13" s="5">
        <v>4.97</v>
      </c>
      <c r="G13" s="26">
        <f t="shared" si="0"/>
        <v>0</v>
      </c>
      <c r="K13" s="32"/>
      <c r="L13" s="2"/>
      <c r="N13" s="5"/>
      <c r="O13" s="26"/>
    </row>
    <row r="14" spans="1:16" x14ac:dyDescent="0.25">
      <c r="A14"/>
      <c r="B14" t="s">
        <v>454</v>
      </c>
      <c r="C14"/>
      <c r="D14" s="2" t="s">
        <v>455</v>
      </c>
      <c r="E14" s="11">
        <v>0</v>
      </c>
      <c r="F14" s="5">
        <v>23</v>
      </c>
      <c r="G14" s="26">
        <f t="shared" si="0"/>
        <v>0</v>
      </c>
      <c r="K14" s="3"/>
      <c r="L14" s="3"/>
      <c r="M14" s="3"/>
      <c r="N14" s="8"/>
      <c r="O14" s="16"/>
      <c r="P14" s="3"/>
    </row>
    <row r="15" spans="1:16" x14ac:dyDescent="0.25">
      <c r="A15"/>
      <c r="B15"/>
      <c r="C15"/>
      <c r="E15" s="11"/>
      <c r="G15" s="26">
        <f t="shared" si="0"/>
        <v>0</v>
      </c>
      <c r="L15" s="2"/>
      <c r="M15" s="11"/>
      <c r="N15" s="5"/>
      <c r="O15" s="26"/>
    </row>
    <row r="16" spans="1:16" ht="15.75" thickBot="1" x14ac:dyDescent="0.3">
      <c r="A16" s="2" t="s">
        <v>694</v>
      </c>
      <c r="B16" s="2" t="s">
        <v>456</v>
      </c>
      <c r="C16" s="471">
        <v>45700</v>
      </c>
      <c r="E16">
        <v>0</v>
      </c>
      <c r="F16" s="5">
        <v>254.72</v>
      </c>
      <c r="G16" s="29">
        <f>+E16*F16</f>
        <v>0</v>
      </c>
      <c r="H16" s="29"/>
      <c r="L16" s="2"/>
      <c r="M16" s="11"/>
      <c r="N16" s="5"/>
      <c r="O16" s="26"/>
    </row>
    <row r="17" spans="5:16" x14ac:dyDescent="0.25">
      <c r="E17" s="889"/>
      <c r="F17" s="890"/>
      <c r="G17" s="890"/>
      <c r="H17">
        <f>IF(K1="No",+SUM(G7:G16),0)</f>
        <v>203.78</v>
      </c>
      <c r="L17" s="2"/>
      <c r="M17" s="11"/>
      <c r="N17" s="5"/>
      <c r="O17" s="26"/>
    </row>
    <row r="18" spans="5:16" x14ac:dyDescent="0.25">
      <c r="I18" s="1">
        <f>SUM(H5:H16)</f>
        <v>203.78</v>
      </c>
      <c r="L18" s="2"/>
      <c r="M18" s="11"/>
      <c r="N18" s="5"/>
      <c r="O18" s="26"/>
    </row>
    <row r="19" spans="5:16" x14ac:dyDescent="0.25">
      <c r="G19" s="2"/>
      <c r="H19" s="2"/>
      <c r="L19" s="2"/>
      <c r="M19" s="11"/>
      <c r="N19" s="5"/>
      <c r="O19" s="26"/>
    </row>
    <row r="20" spans="5:16" x14ac:dyDescent="0.25">
      <c r="H20" s="4"/>
      <c r="L20" s="2"/>
      <c r="M20" s="11"/>
      <c r="N20" s="5"/>
      <c r="O20" s="26"/>
    </row>
    <row r="21" spans="5:16" x14ac:dyDescent="0.25">
      <c r="L21" s="2"/>
      <c r="M21" s="11"/>
      <c r="N21" s="5"/>
      <c r="O21" s="26"/>
    </row>
    <row r="22" spans="5:16" x14ac:dyDescent="0.25">
      <c r="L22" s="2"/>
      <c r="M22" s="11"/>
      <c r="N22" s="5"/>
      <c r="O22" s="26"/>
    </row>
    <row r="23" spans="5:16" x14ac:dyDescent="0.25">
      <c r="K23" s="2"/>
      <c r="L23" s="2"/>
      <c r="N23" s="5"/>
      <c r="O23" s="26"/>
    </row>
    <row r="24" spans="5:16" x14ac:dyDescent="0.25">
      <c r="K24" s="2"/>
      <c r="L24" s="2"/>
      <c r="M24" s="889"/>
      <c r="N24" s="890"/>
      <c r="O24" s="890"/>
      <c r="P24" s="4"/>
    </row>
  </sheetData>
  <mergeCells count="5">
    <mergeCell ref="E17:G17"/>
    <mergeCell ref="M24:O24"/>
    <mergeCell ref="J1:J2"/>
    <mergeCell ref="K1:K2"/>
    <mergeCell ref="L1:L2"/>
  </mergeCells>
  <printOptions headings="1" gridLines="1"/>
  <pageMargins left="0.7" right="0.7" top="0.75" bottom="0.75" header="0.3" footer="0.3"/>
  <pageSetup orientation="portrait"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BD3C5C-DDBF-4C05-AE64-44FB543BB6BD}">
  <sheetPr codeName="Sheet211"/>
  <dimension ref="A1:L52"/>
  <sheetViews>
    <sheetView workbookViewId="0">
      <pane ySplit="3" topLeftCell="A9" activePane="bottomLeft" state="frozen"/>
      <selection pane="bottomLeft" activeCell="B35" sqref="B35"/>
    </sheetView>
  </sheetViews>
  <sheetFormatPr defaultColWidth="9.140625" defaultRowHeight="15" x14ac:dyDescent="0.25"/>
  <cols>
    <col min="1" max="1" width="28" style="2" bestFit="1" customWidth="1"/>
    <col min="2" max="2" width="11.85546875" style="2" customWidth="1"/>
    <col min="3" max="3" width="23.85546875" style="2" customWidth="1"/>
    <col min="5" max="5" width="10.140625" style="5" bestFit="1" customWidth="1"/>
    <col min="6" max="8" width="9.140625" style="14"/>
    <col min="10" max="10" width="19.28515625" bestFit="1" customWidth="1"/>
  </cols>
  <sheetData>
    <row r="1" spans="1:12" x14ac:dyDescent="0.25">
      <c r="A1" s="3" t="s">
        <v>457</v>
      </c>
      <c r="B1" s="3"/>
      <c r="C1" s="3"/>
      <c r="J1" s="891" t="s">
        <v>2</v>
      </c>
      <c r="K1" s="891" t="str">
        <f>IF(Profit!S6,IF(L1,"Yes","No"),"No")</f>
        <v>No</v>
      </c>
      <c r="L1" s="895" t="b">
        <v>0</v>
      </c>
    </row>
    <row r="2" spans="1:12" ht="15.75" thickBot="1" x14ac:dyDescent="0.3">
      <c r="D2" s="3"/>
      <c r="E2" s="8"/>
      <c r="F2" s="13"/>
      <c r="G2" s="13"/>
      <c r="H2" s="13"/>
      <c r="J2" s="892"/>
      <c r="K2" s="892"/>
      <c r="L2" s="896"/>
    </row>
    <row r="3" spans="1:12" x14ac:dyDescent="0.25">
      <c r="A3" s="3" t="s">
        <v>230</v>
      </c>
      <c r="B3" s="3" t="s">
        <v>275</v>
      </c>
      <c r="C3" s="3" t="s">
        <v>343</v>
      </c>
      <c r="D3" s="3" t="s">
        <v>287</v>
      </c>
      <c r="E3" s="8" t="s">
        <v>288</v>
      </c>
      <c r="F3" s="13" t="s">
        <v>289</v>
      </c>
      <c r="G3" s="13" t="s">
        <v>276</v>
      </c>
      <c r="H3" s="13" t="s">
        <v>290</v>
      </c>
    </row>
    <row r="4" spans="1:12" x14ac:dyDescent="0.25">
      <c r="A4" s="433" t="s">
        <v>534</v>
      </c>
      <c r="B4" s="433"/>
      <c r="C4" s="433" t="s">
        <v>579</v>
      </c>
      <c r="D4" s="423">
        <v>4</v>
      </c>
      <c r="E4" s="430">
        <v>21.97</v>
      </c>
      <c r="F4" s="424">
        <f>+D4*E4</f>
        <v>87.88</v>
      </c>
      <c r="G4" s="431">
        <f>+F4*0.0725</f>
        <v>6.3712999999999989</v>
      </c>
      <c r="H4" s="429"/>
    </row>
    <row r="5" spans="1:12" x14ac:dyDescent="0.25">
      <c r="A5" s="433" t="s">
        <v>544</v>
      </c>
      <c r="B5" s="433"/>
      <c r="C5" s="433" t="s">
        <v>545</v>
      </c>
      <c r="D5" s="423">
        <v>2</v>
      </c>
      <c r="E5" s="430">
        <v>79.97</v>
      </c>
      <c r="F5" s="424">
        <f>+D5*E5</f>
        <v>159.94</v>
      </c>
      <c r="G5" s="431">
        <f>+F5*0.0725</f>
        <v>11.595649999999999</v>
      </c>
      <c r="H5" s="424"/>
    </row>
    <row r="6" spans="1:12" x14ac:dyDescent="0.25">
      <c r="A6" s="433" t="s">
        <v>546</v>
      </c>
      <c r="B6" s="433"/>
      <c r="C6" s="433" t="s">
        <v>547</v>
      </c>
      <c r="D6" s="423">
        <v>1</v>
      </c>
      <c r="E6" s="430">
        <v>123</v>
      </c>
      <c r="F6" s="424">
        <f>+D6*E6</f>
        <v>123</v>
      </c>
      <c r="G6" s="431">
        <f>+F6*0.0725</f>
        <v>8.9174999999999986</v>
      </c>
      <c r="H6" s="424"/>
    </row>
    <row r="7" spans="1:12" ht="15.75" thickBot="1" x14ac:dyDescent="0.3">
      <c r="A7" s="433" t="s">
        <v>549</v>
      </c>
      <c r="B7" s="433"/>
      <c r="C7" s="433" t="s">
        <v>550</v>
      </c>
      <c r="D7" s="423">
        <v>2</v>
      </c>
      <c r="E7" s="430">
        <v>54.98</v>
      </c>
      <c r="F7" s="424">
        <f>+D7*E7</f>
        <v>109.96</v>
      </c>
      <c r="G7" s="431">
        <f>+F7*0.0725</f>
        <v>7.9720999999999993</v>
      </c>
      <c r="H7" s="432"/>
    </row>
    <row r="8" spans="1:12" x14ac:dyDescent="0.25">
      <c r="A8" s="427"/>
      <c r="B8" s="427"/>
      <c r="C8" s="427"/>
      <c r="D8" s="427"/>
      <c r="E8" s="428"/>
      <c r="F8" s="429"/>
      <c r="G8" s="429"/>
      <c r="H8" s="424">
        <f>IF(K1="Yes",SUM(F4:G7),0)</f>
        <v>0</v>
      </c>
    </row>
    <row r="9" spans="1:12" x14ac:dyDescent="0.25">
      <c r="A9" s="3"/>
      <c r="B9" s="3"/>
      <c r="C9" s="3"/>
      <c r="D9" s="3"/>
      <c r="E9" s="8"/>
      <c r="F9" s="13"/>
      <c r="G9" s="13"/>
    </row>
    <row r="10" spans="1:12" x14ac:dyDescent="0.25">
      <c r="A10" s="3"/>
      <c r="B10" s="3"/>
      <c r="C10" s="3"/>
      <c r="D10" s="3"/>
      <c r="E10" s="8"/>
      <c r="F10" s="13"/>
      <c r="G10" s="13"/>
      <c r="H10" s="13"/>
    </row>
    <row r="11" spans="1:12" x14ac:dyDescent="0.25">
      <c r="A11" s="3" t="s">
        <v>532</v>
      </c>
      <c r="B11" s="3"/>
      <c r="C11" s="3" t="s">
        <v>533</v>
      </c>
      <c r="D11" s="30">
        <v>0</v>
      </c>
      <c r="E11" s="8">
        <v>39.97</v>
      </c>
      <c r="F11" s="14">
        <f t="shared" ref="F11:F16" si="0">+D11*E11</f>
        <v>0</v>
      </c>
      <c r="G11" s="26">
        <f t="shared" ref="G11:G44" si="1">+F11*0.0725</f>
        <v>0</v>
      </c>
      <c r="H11" s="13"/>
    </row>
    <row r="12" spans="1:12" x14ac:dyDescent="0.25">
      <c r="A12" s="30" t="s">
        <v>1013</v>
      </c>
      <c r="B12" s="566">
        <v>45876</v>
      </c>
      <c r="C12" s="30">
        <v>5473133</v>
      </c>
      <c r="D12">
        <v>1</v>
      </c>
      <c r="E12" s="5">
        <v>122.31</v>
      </c>
      <c r="F12" s="14">
        <f t="shared" si="0"/>
        <v>122.31</v>
      </c>
      <c r="G12" s="26">
        <f t="shared" si="1"/>
        <v>8.8674749999999989</v>
      </c>
    </row>
    <row r="13" spans="1:12" x14ac:dyDescent="0.25">
      <c r="A13" s="30" t="s">
        <v>534</v>
      </c>
      <c r="B13" s="30"/>
      <c r="C13" s="30" t="s">
        <v>535</v>
      </c>
      <c r="D13">
        <v>0</v>
      </c>
      <c r="E13" s="5">
        <v>29.97</v>
      </c>
      <c r="F13" s="14">
        <f t="shared" si="0"/>
        <v>0</v>
      </c>
      <c r="G13" s="26">
        <f t="shared" si="1"/>
        <v>0</v>
      </c>
    </row>
    <row r="14" spans="1:12" x14ac:dyDescent="0.25">
      <c r="A14" s="30" t="s">
        <v>534</v>
      </c>
      <c r="B14" s="30"/>
      <c r="C14" s="30" t="s">
        <v>536</v>
      </c>
      <c r="D14">
        <v>0</v>
      </c>
      <c r="E14" s="5">
        <v>21.97</v>
      </c>
      <c r="F14" s="14">
        <f t="shared" si="0"/>
        <v>0</v>
      </c>
      <c r="G14" s="26">
        <f t="shared" si="1"/>
        <v>0</v>
      </c>
    </row>
    <row r="15" spans="1:12" x14ac:dyDescent="0.25">
      <c r="A15" s="30" t="s">
        <v>1014</v>
      </c>
      <c r="B15" s="566">
        <v>45915</v>
      </c>
      <c r="C15" s="30" t="s">
        <v>1020</v>
      </c>
      <c r="D15">
        <v>2</v>
      </c>
      <c r="E15" s="5">
        <v>75.98</v>
      </c>
      <c r="F15" s="14">
        <f t="shared" si="0"/>
        <v>151.96</v>
      </c>
      <c r="G15" s="26">
        <f t="shared" si="1"/>
        <v>11.017099999999999</v>
      </c>
    </row>
    <row r="16" spans="1:12" x14ac:dyDescent="0.25">
      <c r="A16" s="30" t="s">
        <v>1027</v>
      </c>
      <c r="B16" s="566">
        <v>45931</v>
      </c>
      <c r="C16" s="30">
        <v>5286603</v>
      </c>
      <c r="D16">
        <v>1</v>
      </c>
      <c r="E16" s="5">
        <v>66.48</v>
      </c>
      <c r="F16" s="14">
        <f t="shared" si="0"/>
        <v>66.48</v>
      </c>
      <c r="G16" s="26">
        <f t="shared" si="1"/>
        <v>4.8197999999999999</v>
      </c>
    </row>
    <row r="17" spans="1:7" x14ac:dyDescent="0.25">
      <c r="A17" s="30" t="s">
        <v>541</v>
      </c>
      <c r="B17" s="30"/>
      <c r="C17" s="30" t="s">
        <v>542</v>
      </c>
      <c r="D17">
        <v>0</v>
      </c>
      <c r="E17" s="5">
        <v>64.97</v>
      </c>
      <c r="F17" s="14">
        <f t="shared" ref="F17:F44" si="2">+D17*E17</f>
        <v>0</v>
      </c>
      <c r="G17" s="26">
        <f t="shared" si="1"/>
        <v>0</v>
      </c>
    </row>
    <row r="18" spans="1:7" x14ac:dyDescent="0.25">
      <c r="A18" s="30" t="s">
        <v>543</v>
      </c>
      <c r="B18" s="566">
        <v>45901</v>
      </c>
      <c r="C18" s="30">
        <v>5207542</v>
      </c>
      <c r="D18">
        <v>1</v>
      </c>
      <c r="E18" s="5">
        <v>68.38</v>
      </c>
      <c r="F18" s="14">
        <f t="shared" si="2"/>
        <v>68.38</v>
      </c>
      <c r="G18" s="26">
        <f t="shared" si="1"/>
        <v>4.9575499999999995</v>
      </c>
    </row>
    <row r="19" spans="1:7" x14ac:dyDescent="0.25">
      <c r="A19" s="30" t="s">
        <v>917</v>
      </c>
      <c r="B19" s="30"/>
      <c r="C19" s="30" t="s">
        <v>916</v>
      </c>
      <c r="D19">
        <v>1</v>
      </c>
      <c r="E19" s="5">
        <v>129.99</v>
      </c>
      <c r="F19" s="14">
        <f t="shared" si="2"/>
        <v>129.99</v>
      </c>
      <c r="G19" s="26">
        <f t="shared" si="1"/>
        <v>9.4242749999999997</v>
      </c>
    </row>
    <row r="20" spans="1:7" x14ac:dyDescent="0.25">
      <c r="A20" s="30" t="s">
        <v>458</v>
      </c>
      <c r="B20" s="30"/>
      <c r="C20" s="30"/>
      <c r="D20">
        <v>0</v>
      </c>
      <c r="E20" s="5">
        <v>10.9</v>
      </c>
      <c r="F20" s="14">
        <f t="shared" si="2"/>
        <v>0</v>
      </c>
      <c r="G20" s="26">
        <f t="shared" si="1"/>
        <v>0</v>
      </c>
    </row>
    <row r="21" spans="1:7" x14ac:dyDescent="0.25">
      <c r="A21" s="30" t="s">
        <v>548</v>
      </c>
      <c r="B21" s="566">
        <v>45870</v>
      </c>
      <c r="C21" s="30">
        <v>1252549</v>
      </c>
      <c r="D21">
        <v>2</v>
      </c>
      <c r="E21" s="5">
        <v>68.260000000000005</v>
      </c>
      <c r="F21" s="14">
        <f t="shared" si="2"/>
        <v>136.52000000000001</v>
      </c>
      <c r="G21" s="26">
        <f t="shared" si="1"/>
        <v>9.8977000000000004</v>
      </c>
    </row>
    <row r="22" spans="1:7" x14ac:dyDescent="0.25">
      <c r="A22" s="30" t="s">
        <v>548</v>
      </c>
      <c r="B22" s="566">
        <v>45873</v>
      </c>
      <c r="C22" s="30">
        <v>1252547</v>
      </c>
      <c r="D22">
        <v>1</v>
      </c>
      <c r="E22" s="5">
        <v>55</v>
      </c>
      <c r="F22" s="14">
        <f t="shared" si="2"/>
        <v>55</v>
      </c>
      <c r="G22" s="26">
        <f t="shared" si="1"/>
        <v>3.9874999999999998</v>
      </c>
    </row>
    <row r="23" spans="1:7" x14ac:dyDescent="0.25">
      <c r="A23" s="30" t="s">
        <v>549</v>
      </c>
      <c r="B23" s="566"/>
      <c r="C23" s="30" t="s">
        <v>550</v>
      </c>
      <c r="D23">
        <v>0</v>
      </c>
      <c r="E23" s="5">
        <v>54.98</v>
      </c>
      <c r="F23" s="14">
        <f t="shared" si="2"/>
        <v>0</v>
      </c>
      <c r="G23" s="26">
        <f t="shared" si="1"/>
        <v>0</v>
      </c>
    </row>
    <row r="24" spans="1:7" x14ac:dyDescent="0.25">
      <c r="A24" s="30" t="s">
        <v>459</v>
      </c>
      <c r="B24" s="30"/>
      <c r="C24" s="30" t="s">
        <v>460</v>
      </c>
      <c r="D24">
        <v>0</v>
      </c>
      <c r="E24" s="5">
        <v>17.97</v>
      </c>
      <c r="F24" s="14">
        <f t="shared" si="2"/>
        <v>0</v>
      </c>
      <c r="G24" s="26">
        <f t="shared" si="1"/>
        <v>0</v>
      </c>
    </row>
    <row r="25" spans="1:7" x14ac:dyDescent="0.25">
      <c r="A25" s="30" t="s">
        <v>461</v>
      </c>
      <c r="B25" s="30"/>
      <c r="C25" s="30" t="s">
        <v>462</v>
      </c>
      <c r="D25">
        <v>0</v>
      </c>
      <c r="E25" s="5">
        <v>16.98</v>
      </c>
      <c r="F25" s="14">
        <f t="shared" si="2"/>
        <v>0</v>
      </c>
      <c r="G25" s="26">
        <f t="shared" si="1"/>
        <v>0</v>
      </c>
    </row>
    <row r="26" spans="1:7" x14ac:dyDescent="0.25">
      <c r="A26" s="30" t="s">
        <v>463</v>
      </c>
      <c r="B26" s="30"/>
      <c r="C26" s="30" t="s">
        <v>464</v>
      </c>
      <c r="D26">
        <v>0</v>
      </c>
      <c r="E26" s="5">
        <v>3.27</v>
      </c>
      <c r="F26" s="14">
        <f t="shared" si="2"/>
        <v>0</v>
      </c>
      <c r="G26" s="26">
        <f t="shared" si="1"/>
        <v>0</v>
      </c>
    </row>
    <row r="27" spans="1:7" x14ac:dyDescent="0.25">
      <c r="A27" s="30" t="s">
        <v>544</v>
      </c>
      <c r="B27" s="30"/>
      <c r="C27" s="30" t="s">
        <v>921</v>
      </c>
      <c r="D27">
        <v>1</v>
      </c>
      <c r="E27" s="5">
        <v>65.430000000000007</v>
      </c>
      <c r="F27" s="14">
        <f t="shared" si="2"/>
        <v>65.430000000000007</v>
      </c>
      <c r="G27" s="26">
        <f t="shared" si="1"/>
        <v>4.7436750000000005</v>
      </c>
    </row>
    <row r="28" spans="1:7" x14ac:dyDescent="0.25">
      <c r="A28" s="30" t="s">
        <v>1008</v>
      </c>
      <c r="B28" s="566">
        <v>45871</v>
      </c>
      <c r="C28" s="30">
        <v>99984</v>
      </c>
      <c r="D28">
        <v>1</v>
      </c>
      <c r="E28" s="5">
        <v>18.68</v>
      </c>
      <c r="F28" s="14">
        <f t="shared" si="2"/>
        <v>18.68</v>
      </c>
      <c r="G28" s="26">
        <f t="shared" si="1"/>
        <v>1.3542999999999998</v>
      </c>
    </row>
    <row r="29" spans="1:7" x14ac:dyDescent="0.25">
      <c r="A29" s="30" t="s">
        <v>922</v>
      </c>
      <c r="B29" s="566">
        <v>45873</v>
      </c>
      <c r="C29" s="30" t="s">
        <v>923</v>
      </c>
      <c r="D29">
        <v>5</v>
      </c>
      <c r="E29" s="5">
        <v>10.93</v>
      </c>
      <c r="F29" s="14">
        <f t="shared" si="2"/>
        <v>54.65</v>
      </c>
      <c r="G29" s="26">
        <f t="shared" si="1"/>
        <v>3.9621249999999995</v>
      </c>
    </row>
    <row r="30" spans="1:7" x14ac:dyDescent="0.25">
      <c r="A30" s="30" t="s">
        <v>922</v>
      </c>
      <c r="B30" s="566">
        <v>45922</v>
      </c>
      <c r="C30" s="30" t="s">
        <v>923</v>
      </c>
      <c r="D30">
        <v>1</v>
      </c>
      <c r="E30" s="5">
        <v>17.75</v>
      </c>
      <c r="F30" s="14">
        <f t="shared" ref="F30" si="3">+D30*E30</f>
        <v>17.75</v>
      </c>
      <c r="G30" s="26">
        <f t="shared" ref="G30" si="4">+F30*0.0725</f>
        <v>1.286875</v>
      </c>
    </row>
    <row r="31" spans="1:7" x14ac:dyDescent="0.25">
      <c r="A31" s="30" t="s">
        <v>924</v>
      </c>
      <c r="B31" s="566">
        <v>45873</v>
      </c>
      <c r="C31" s="30" t="s">
        <v>925</v>
      </c>
      <c r="D31">
        <v>1</v>
      </c>
      <c r="E31" s="5">
        <v>13.5</v>
      </c>
      <c r="F31" s="14">
        <f t="shared" si="2"/>
        <v>13.5</v>
      </c>
      <c r="G31" s="26">
        <f t="shared" si="1"/>
        <v>0.9787499999999999</v>
      </c>
    </row>
    <row r="32" spans="1:7" x14ac:dyDescent="0.25">
      <c r="A32" s="30" t="s">
        <v>1021</v>
      </c>
      <c r="B32" s="566">
        <v>45929</v>
      </c>
      <c r="C32" s="30">
        <v>70101</v>
      </c>
      <c r="D32">
        <v>1</v>
      </c>
      <c r="E32" s="5">
        <v>17.75</v>
      </c>
      <c r="F32" s="14">
        <f t="shared" si="2"/>
        <v>17.75</v>
      </c>
      <c r="G32" s="26">
        <f t="shared" si="1"/>
        <v>1.286875</v>
      </c>
    </row>
    <row r="33" spans="1:11" x14ac:dyDescent="0.25">
      <c r="A33" s="30" t="s">
        <v>1011</v>
      </c>
      <c r="B33" s="566">
        <v>45873</v>
      </c>
      <c r="C33" s="30">
        <v>72604</v>
      </c>
      <c r="D33">
        <v>1</v>
      </c>
      <c r="E33" s="5">
        <v>5.7</v>
      </c>
      <c r="F33" s="14">
        <f t="shared" si="2"/>
        <v>5.7</v>
      </c>
      <c r="G33" s="26">
        <f t="shared" si="1"/>
        <v>0.41325000000000001</v>
      </c>
    </row>
    <row r="34" spans="1:11" x14ac:dyDescent="0.25">
      <c r="A34" s="30" t="s">
        <v>1024</v>
      </c>
      <c r="B34" s="566">
        <v>45929</v>
      </c>
      <c r="C34" s="30">
        <v>79140</v>
      </c>
      <c r="D34">
        <v>1</v>
      </c>
      <c r="E34" s="5">
        <v>5.21</v>
      </c>
      <c r="F34" s="14">
        <f t="shared" si="2"/>
        <v>5.21</v>
      </c>
      <c r="G34" s="26">
        <f t="shared" si="1"/>
        <v>0.37772499999999998</v>
      </c>
    </row>
    <row r="35" spans="1:11" x14ac:dyDescent="0.25">
      <c r="A35" s="30" t="s">
        <v>465</v>
      </c>
      <c r="B35" s="30"/>
      <c r="C35" s="30">
        <v>39800072986</v>
      </c>
      <c r="D35">
        <v>0</v>
      </c>
      <c r="E35" s="5">
        <v>17.87</v>
      </c>
      <c r="F35" s="14">
        <f t="shared" si="2"/>
        <v>0</v>
      </c>
      <c r="G35" s="26">
        <f t="shared" si="1"/>
        <v>0</v>
      </c>
    </row>
    <row r="36" spans="1:11" x14ac:dyDescent="0.25">
      <c r="A36" s="30" t="s">
        <v>466</v>
      </c>
      <c r="B36" s="566">
        <v>45870</v>
      </c>
      <c r="C36" s="293" t="s">
        <v>916</v>
      </c>
      <c r="D36">
        <v>1</v>
      </c>
      <c r="E36" s="5">
        <v>64.989999999999995</v>
      </c>
      <c r="F36" s="14">
        <f t="shared" si="2"/>
        <v>64.989999999999995</v>
      </c>
      <c r="G36" s="26">
        <f t="shared" si="1"/>
        <v>4.7117749999999994</v>
      </c>
    </row>
    <row r="37" spans="1:11" x14ac:dyDescent="0.25">
      <c r="A37" s="30" t="s">
        <v>1012</v>
      </c>
      <c r="B37" s="566">
        <v>45876</v>
      </c>
      <c r="C37" s="293">
        <v>5031450</v>
      </c>
      <c r="D37">
        <v>3</v>
      </c>
      <c r="E37" s="5">
        <v>114.73</v>
      </c>
      <c r="F37" s="14">
        <f t="shared" si="2"/>
        <v>344.19</v>
      </c>
      <c r="G37" s="26">
        <f t="shared" si="1"/>
        <v>24.953774999999997</v>
      </c>
    </row>
    <row r="38" spans="1:11" x14ac:dyDescent="0.25">
      <c r="A38" s="30" t="s">
        <v>919</v>
      </c>
      <c r="B38" s="566">
        <v>45873</v>
      </c>
      <c r="C38" s="293" t="s">
        <v>920</v>
      </c>
      <c r="D38">
        <v>1</v>
      </c>
      <c r="E38" s="5">
        <v>135.97999999999999</v>
      </c>
      <c r="F38" s="14">
        <f t="shared" si="2"/>
        <v>135.97999999999999</v>
      </c>
      <c r="G38" s="26">
        <f t="shared" si="1"/>
        <v>9.8585499999999993</v>
      </c>
    </row>
    <row r="39" spans="1:11" x14ac:dyDescent="0.25">
      <c r="A39" s="30" t="s">
        <v>467</v>
      </c>
      <c r="B39" s="566">
        <v>45873</v>
      </c>
      <c r="C39" s="30">
        <v>1362638</v>
      </c>
      <c r="D39">
        <v>1</v>
      </c>
      <c r="E39" s="5">
        <v>65.430000000000007</v>
      </c>
      <c r="F39" s="14">
        <f t="shared" si="2"/>
        <v>65.430000000000007</v>
      </c>
      <c r="G39" s="26">
        <f t="shared" si="1"/>
        <v>4.7436750000000005</v>
      </c>
    </row>
    <row r="40" spans="1:11" x14ac:dyDescent="0.25">
      <c r="A40" s="30" t="s">
        <v>1015</v>
      </c>
      <c r="B40" s="566">
        <v>45915</v>
      </c>
      <c r="C40" s="30">
        <v>5181339</v>
      </c>
      <c r="D40">
        <v>2</v>
      </c>
      <c r="E40" s="5">
        <v>17.75</v>
      </c>
      <c r="F40" s="14">
        <f t="shared" si="2"/>
        <v>35.5</v>
      </c>
      <c r="G40" s="26">
        <f t="shared" si="1"/>
        <v>2.57375</v>
      </c>
    </row>
    <row r="41" spans="1:11" x14ac:dyDescent="0.25">
      <c r="A41" s="30" t="s">
        <v>1016</v>
      </c>
      <c r="B41" s="566">
        <v>45915</v>
      </c>
      <c r="C41" s="30">
        <v>1608370</v>
      </c>
      <c r="D41">
        <v>2</v>
      </c>
      <c r="E41" s="5">
        <v>13.28</v>
      </c>
      <c r="F41" s="14">
        <f t="shared" si="2"/>
        <v>26.56</v>
      </c>
      <c r="G41" s="26">
        <f t="shared" si="1"/>
        <v>1.9255999999999998</v>
      </c>
    </row>
    <row r="42" spans="1:11" x14ac:dyDescent="0.25">
      <c r="A42" s="30" t="s">
        <v>1018</v>
      </c>
      <c r="B42" s="566">
        <v>45915</v>
      </c>
      <c r="C42" s="30">
        <v>147942</v>
      </c>
      <c r="D42">
        <v>1</v>
      </c>
      <c r="E42" s="5">
        <v>11.38</v>
      </c>
      <c r="F42" s="14">
        <f t="shared" si="2"/>
        <v>11.38</v>
      </c>
      <c r="G42" s="26">
        <f t="shared" si="1"/>
        <v>0.82504999999999995</v>
      </c>
    </row>
    <row r="43" spans="1:11" x14ac:dyDescent="0.25">
      <c r="A43" s="30" t="s">
        <v>1026</v>
      </c>
      <c r="B43" s="566">
        <v>45930</v>
      </c>
      <c r="C43" s="30">
        <v>5189099</v>
      </c>
      <c r="D43">
        <v>1</v>
      </c>
      <c r="E43" s="5">
        <v>9.19</v>
      </c>
      <c r="F43" s="14">
        <f t="shared" ref="F43" si="5">+D43*E43</f>
        <v>9.19</v>
      </c>
      <c r="G43" s="26">
        <f t="shared" ref="G43" si="6">+F43*0.0725</f>
        <v>0.66627499999999995</v>
      </c>
    </row>
    <row r="44" spans="1:11" ht="15.75" thickBot="1" x14ac:dyDescent="0.3">
      <c r="A44" s="30" t="s">
        <v>1025</v>
      </c>
      <c r="B44" s="566">
        <v>45930</v>
      </c>
      <c r="C44" s="30">
        <v>6005905</v>
      </c>
      <c r="D44">
        <v>1</v>
      </c>
      <c r="E44" s="5">
        <v>17.079999999999998</v>
      </c>
      <c r="F44" s="21">
        <f t="shared" si="2"/>
        <v>17.079999999999998</v>
      </c>
      <c r="G44" s="21">
        <f t="shared" si="1"/>
        <v>1.2382999999999997</v>
      </c>
      <c r="H44" s="21"/>
    </row>
    <row r="45" spans="1:11" x14ac:dyDescent="0.25">
      <c r="A45" s="30"/>
      <c r="B45" s="30"/>
      <c r="C45" s="30"/>
    </row>
    <row r="46" spans="1:11" x14ac:dyDescent="0.25">
      <c r="H46" s="14">
        <f>IF(K1="No",SUM(F11:G44),0)</f>
        <v>1758.4817249999999</v>
      </c>
      <c r="K46" s="1"/>
    </row>
    <row r="47" spans="1:11" x14ac:dyDescent="0.25">
      <c r="I47" s="14">
        <f>SUM(H8:H46)</f>
        <v>1758.4817249999999</v>
      </c>
    </row>
    <row r="49" spans="8:8" x14ac:dyDescent="0.25">
      <c r="H49"/>
    </row>
    <row r="50" spans="8:8" x14ac:dyDescent="0.25">
      <c r="H50"/>
    </row>
    <row r="51" spans="8:8" x14ac:dyDescent="0.25">
      <c r="H51"/>
    </row>
    <row r="52" spans="8:8" x14ac:dyDescent="0.25">
      <c r="H52"/>
    </row>
  </sheetData>
  <mergeCells count="3">
    <mergeCell ref="J1:J2"/>
    <mergeCell ref="K1:K2"/>
    <mergeCell ref="L1:L2"/>
  </mergeCells>
  <pageMargins left="0.7" right="0.7" top="0.75" bottom="0.75" header="0.3" footer="0.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54A8D66-77C0-473E-ACC7-6C4A757DAF1B}">
  <sheetPr codeName="Sheet6">
    <tabColor rgb="FF00B050"/>
  </sheetPr>
  <dimension ref="A1:N20"/>
  <sheetViews>
    <sheetView workbookViewId="0">
      <selection activeCell="C13" sqref="C13"/>
    </sheetView>
  </sheetViews>
  <sheetFormatPr defaultRowHeight="15" x14ac:dyDescent="0.25"/>
  <cols>
    <col min="1" max="1" width="17.5703125" bestFit="1" customWidth="1"/>
    <col min="4" max="4" width="4.7109375" customWidth="1"/>
    <col min="7" max="7" width="4" customWidth="1"/>
  </cols>
  <sheetData>
    <row r="1" spans="1:14" s="3" customFormat="1" x14ac:dyDescent="0.25">
      <c r="B1" s="782" t="s">
        <v>604</v>
      </c>
      <c r="C1" s="783"/>
      <c r="E1" s="782" t="s">
        <v>608</v>
      </c>
      <c r="F1" s="783"/>
      <c r="H1" s="782" t="s">
        <v>607</v>
      </c>
      <c r="I1" s="783"/>
      <c r="L1" s="782" t="s">
        <v>623</v>
      </c>
      <c r="M1" s="783"/>
    </row>
    <row r="2" spans="1:14" x14ac:dyDescent="0.25">
      <c r="A2" s="2" t="s">
        <v>605</v>
      </c>
    </row>
    <row r="3" spans="1:14" x14ac:dyDescent="0.25">
      <c r="A3" s="2" t="s">
        <v>609</v>
      </c>
      <c r="B3" s="326">
        <v>0.56000000000000005</v>
      </c>
      <c r="E3" s="326">
        <f>+B3</f>
        <v>0.56000000000000005</v>
      </c>
      <c r="H3" s="326">
        <f>+E3</f>
        <v>0.56000000000000005</v>
      </c>
      <c r="L3" s="326">
        <f>+E3</f>
        <v>0.56000000000000005</v>
      </c>
    </row>
    <row r="4" spans="1:14" ht="15.75" thickBot="1" x14ac:dyDescent="0.3">
      <c r="A4" s="2" t="s">
        <v>606</v>
      </c>
      <c r="C4" s="29">
        <f>+B2*B3*365</f>
        <v>0</v>
      </c>
      <c r="D4" s="23"/>
      <c r="E4" s="23"/>
      <c r="F4" s="29">
        <f>+E2*E3*365</f>
        <v>0</v>
      </c>
      <c r="G4" s="23"/>
      <c r="H4" s="23"/>
      <c r="I4" s="29">
        <f>+H2*H3*365</f>
        <v>0</v>
      </c>
      <c r="J4" s="23"/>
      <c r="L4" s="23"/>
      <c r="M4" s="29">
        <f>+L2*L3*365</f>
        <v>0</v>
      </c>
      <c r="N4" s="23"/>
    </row>
    <row r="5" spans="1:14" x14ac:dyDescent="0.25">
      <c r="A5" s="2"/>
    </row>
    <row r="6" spans="1:14" x14ac:dyDescent="0.25">
      <c r="A6" s="2"/>
      <c r="N6" s="4">
        <f>SUM(C4:N4)</f>
        <v>0</v>
      </c>
    </row>
    <row r="7" spans="1:14" x14ac:dyDescent="0.25">
      <c r="A7" s="2"/>
    </row>
    <row r="8" spans="1:14" x14ac:dyDescent="0.25">
      <c r="A8" s="2"/>
    </row>
    <row r="9" spans="1:14" x14ac:dyDescent="0.25">
      <c r="A9" s="2"/>
    </row>
    <row r="12" spans="1:14" x14ac:dyDescent="0.25">
      <c r="A12" s="3" t="s">
        <v>614</v>
      </c>
      <c r="B12" s="782" t="s">
        <v>604</v>
      </c>
      <c r="C12" s="783"/>
      <c r="D12" s="3"/>
      <c r="E12" s="782" t="s">
        <v>608</v>
      </c>
      <c r="F12" s="783"/>
      <c r="G12" s="3"/>
      <c r="H12" s="782" t="s">
        <v>607</v>
      </c>
      <c r="I12" s="783"/>
      <c r="J12" s="3"/>
      <c r="K12" s="3"/>
    </row>
    <row r="13" spans="1:14" x14ac:dyDescent="0.25">
      <c r="A13" s="2" t="s">
        <v>616</v>
      </c>
      <c r="B13" s="326">
        <v>0.2</v>
      </c>
      <c r="C13">
        <f>+B13*STR!$C$4</f>
        <v>0</v>
      </c>
      <c r="E13" s="326">
        <f>+B13</f>
        <v>0.2</v>
      </c>
      <c r="F13">
        <f>+E13*STR!$F$4</f>
        <v>0</v>
      </c>
      <c r="H13" s="326">
        <f>+E13</f>
        <v>0.2</v>
      </c>
      <c r="I13">
        <f>+H13*STR!$M$4</f>
        <v>0</v>
      </c>
      <c r="K13" s="4">
        <f>+C13+F13+I13</f>
        <v>0</v>
      </c>
    </row>
    <row r="14" spans="1:14" ht="15.75" thickBot="1" x14ac:dyDescent="0.3">
      <c r="A14" s="2" t="s">
        <v>610</v>
      </c>
      <c r="B14" s="326">
        <v>0.05</v>
      </c>
      <c r="C14">
        <f>+B14*STR!$C$4</f>
        <v>0</v>
      </c>
      <c r="E14" s="326">
        <v>0.05</v>
      </c>
      <c r="F14">
        <f>+E14*STR!$C$4</f>
        <v>0</v>
      </c>
      <c r="H14" s="326">
        <v>0.05</v>
      </c>
      <c r="I14">
        <f>+H14*STR!$C$4</f>
        <v>0</v>
      </c>
      <c r="K14" s="327">
        <f>+C14+F14+I14</f>
        <v>0</v>
      </c>
    </row>
    <row r="15" spans="1:14" x14ac:dyDescent="0.25">
      <c r="A15" s="2"/>
      <c r="C15" s="1"/>
      <c r="F15" s="1"/>
      <c r="I15" s="1"/>
      <c r="K15" s="15"/>
    </row>
    <row r="16" spans="1:14" ht="15.75" thickBot="1" x14ac:dyDescent="0.3">
      <c r="D16" s="24">
        <f>SUM(C13:C15)</f>
        <v>0</v>
      </c>
      <c r="E16" s="24"/>
      <c r="F16" s="24"/>
      <c r="G16" s="24">
        <f>SUM(F13:F15)</f>
        <v>0</v>
      </c>
      <c r="H16" s="24"/>
      <c r="I16" s="24"/>
      <c r="J16" s="24">
        <f>SUM(I13:I15)</f>
        <v>0</v>
      </c>
      <c r="K16" s="24"/>
    </row>
    <row r="17" spans="1:11" x14ac:dyDescent="0.25">
      <c r="A17" s="2"/>
      <c r="K17" s="4">
        <f>SUM(K13:K14)</f>
        <v>0</v>
      </c>
    </row>
    <row r="18" spans="1:11" x14ac:dyDescent="0.25">
      <c r="A18" s="2"/>
    </row>
    <row r="19" spans="1:11" x14ac:dyDescent="0.25">
      <c r="A19" s="2"/>
    </row>
    <row r="20" spans="1:11" x14ac:dyDescent="0.25">
      <c r="A20" s="2"/>
    </row>
  </sheetData>
  <mergeCells count="7">
    <mergeCell ref="B1:C1"/>
    <mergeCell ref="E1:F1"/>
    <mergeCell ref="L1:M1"/>
    <mergeCell ref="H1:I1"/>
    <mergeCell ref="B12:C12"/>
    <mergeCell ref="E12:F12"/>
    <mergeCell ref="H12:I12"/>
  </mergeCells>
  <pageMargins left="0.7" right="0.7" top="0.75" bottom="0.75" header="0.3" footer="0.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22"/>
  <dimension ref="A1:J17"/>
  <sheetViews>
    <sheetView workbookViewId="0">
      <pane ySplit="2" topLeftCell="A3" activePane="bottomLeft" state="frozen"/>
      <selection pane="bottomLeft" activeCell="H1" sqref="H1:J2"/>
    </sheetView>
  </sheetViews>
  <sheetFormatPr defaultRowHeight="15" x14ac:dyDescent="0.25"/>
  <cols>
    <col min="1" max="1" width="24.7109375" style="2" bestFit="1" customWidth="1"/>
    <col min="2" max="2" width="15.28515625" style="18" customWidth="1"/>
    <col min="3" max="3" width="15.28515625" style="2" customWidth="1"/>
    <col min="5" max="5" width="9.140625" style="5"/>
    <col min="6" max="6" width="9.140625" style="1"/>
    <col min="8" max="8" width="19.28515625" bestFit="1" customWidth="1"/>
  </cols>
  <sheetData>
    <row r="1" spans="1:10" s="3" customFormat="1" x14ac:dyDescent="0.25">
      <c r="A1" s="3" t="s">
        <v>260</v>
      </c>
      <c r="B1" s="16"/>
      <c r="H1" s="891" t="s">
        <v>2</v>
      </c>
      <c r="I1" s="891" t="str">
        <f>IF(Profit!$S$6,IF(J1="No","No","Yes"),"no")</f>
        <v>no</v>
      </c>
      <c r="J1" s="893"/>
    </row>
    <row r="2" spans="1:10" s="15" customFormat="1" ht="15.75" thickBot="1" x14ac:dyDescent="0.3">
      <c r="A2" s="3" t="s">
        <v>227</v>
      </c>
      <c r="B2" s="17" t="s">
        <v>468</v>
      </c>
      <c r="C2" s="30" t="s">
        <v>469</v>
      </c>
      <c r="D2" s="3" t="s">
        <v>287</v>
      </c>
      <c r="E2" s="8" t="s">
        <v>470</v>
      </c>
      <c r="F2" s="6" t="s">
        <v>471</v>
      </c>
      <c r="G2" s="15" t="s">
        <v>290</v>
      </c>
      <c r="H2" s="892"/>
      <c r="I2" s="892"/>
      <c r="J2" s="894"/>
    </row>
    <row r="4" spans="1:10" x14ac:dyDescent="0.25">
      <c r="A4" s="2" t="s">
        <v>472</v>
      </c>
      <c r="B4" s="18">
        <v>0.79</v>
      </c>
      <c r="C4" s="2">
        <v>500</v>
      </c>
      <c r="D4">
        <v>0</v>
      </c>
      <c r="E4" s="5">
        <v>60</v>
      </c>
      <c r="F4" s="1">
        <f>+C4*B4*D4</f>
        <v>0</v>
      </c>
    </row>
    <row r="5" spans="1:10" x14ac:dyDescent="0.25">
      <c r="A5" s="2" t="s">
        <v>473</v>
      </c>
      <c r="B5" s="18">
        <v>1</v>
      </c>
      <c r="C5" s="2">
        <f>24*10</f>
        <v>240</v>
      </c>
      <c r="D5">
        <v>0</v>
      </c>
      <c r="E5" s="5">
        <v>60</v>
      </c>
      <c r="F5" s="1">
        <f>+C5*B5*D5</f>
        <v>0</v>
      </c>
    </row>
    <row r="6" spans="1:10" x14ac:dyDescent="0.25">
      <c r="A6" s="2" t="s">
        <v>474</v>
      </c>
      <c r="D6">
        <v>0</v>
      </c>
      <c r="E6" s="5">
        <v>150</v>
      </c>
      <c r="F6" s="1">
        <f t="shared" ref="F6:F11" si="0">+D6*E6</f>
        <v>0</v>
      </c>
    </row>
    <row r="7" spans="1:10" x14ac:dyDescent="0.25">
      <c r="A7" s="2" t="s">
        <v>475</v>
      </c>
      <c r="D7">
        <v>0</v>
      </c>
      <c r="E7" s="5">
        <v>3000</v>
      </c>
      <c r="F7" s="1">
        <f t="shared" si="0"/>
        <v>0</v>
      </c>
    </row>
    <row r="8" spans="1:10" x14ac:dyDescent="0.25">
      <c r="A8" s="2" t="s">
        <v>476</v>
      </c>
      <c r="D8">
        <v>0</v>
      </c>
      <c r="E8" s="5">
        <v>165</v>
      </c>
      <c r="F8" s="1">
        <f t="shared" si="0"/>
        <v>0</v>
      </c>
    </row>
    <row r="9" spans="1:10" x14ac:dyDescent="0.25">
      <c r="A9" s="2" t="s">
        <v>477</v>
      </c>
      <c r="D9">
        <v>0</v>
      </c>
      <c r="E9" s="5">
        <v>29</v>
      </c>
      <c r="F9" s="1">
        <f t="shared" si="0"/>
        <v>0</v>
      </c>
    </row>
    <row r="10" spans="1:10" x14ac:dyDescent="0.25">
      <c r="A10" s="2" t="s">
        <v>478</v>
      </c>
      <c r="D10">
        <v>0</v>
      </c>
      <c r="E10" s="5">
        <v>15</v>
      </c>
      <c r="F10" s="1">
        <f t="shared" si="0"/>
        <v>0</v>
      </c>
    </row>
    <row r="11" spans="1:10" x14ac:dyDescent="0.25">
      <c r="A11" s="2" t="s">
        <v>479</v>
      </c>
      <c r="D11">
        <v>0</v>
      </c>
      <c r="E11" s="5">
        <v>1100</v>
      </c>
      <c r="F11" s="1">
        <f t="shared" si="0"/>
        <v>0</v>
      </c>
    </row>
    <row r="12" spans="1:10" x14ac:dyDescent="0.25">
      <c r="A12" s="2" t="s">
        <v>557</v>
      </c>
      <c r="D12">
        <v>0</v>
      </c>
      <c r="E12" s="5">
        <v>285</v>
      </c>
      <c r="F12" s="1">
        <v>0</v>
      </c>
    </row>
    <row r="13" spans="1:10" x14ac:dyDescent="0.25">
      <c r="A13" s="2" t="s">
        <v>556</v>
      </c>
      <c r="D13">
        <v>0</v>
      </c>
      <c r="E13" s="5">
        <v>975</v>
      </c>
      <c r="F13" s="1">
        <f>+D13*E13</f>
        <v>0</v>
      </c>
    </row>
    <row r="14" spans="1:10" x14ac:dyDescent="0.25">
      <c r="A14" s="2" t="s">
        <v>480</v>
      </c>
      <c r="D14">
        <v>0</v>
      </c>
      <c r="E14" s="5">
        <v>60</v>
      </c>
      <c r="F14" s="1">
        <f>+D14*E14</f>
        <v>0</v>
      </c>
    </row>
    <row r="15" spans="1:10" x14ac:dyDescent="0.25">
      <c r="A15" s="2" t="s">
        <v>481</v>
      </c>
      <c r="D15">
        <v>0</v>
      </c>
      <c r="E15" s="5">
        <v>800</v>
      </c>
      <c r="F15" s="1">
        <f>+D15*E15</f>
        <v>0</v>
      </c>
    </row>
    <row r="16" spans="1:10" ht="15.75" thickBot="1" x14ac:dyDescent="0.3">
      <c r="F16" s="29"/>
      <c r="G16" s="23"/>
    </row>
    <row r="17" spans="3:7" x14ac:dyDescent="0.25">
      <c r="C17" s="2">
        <f>+SUM(C4:C16)</f>
        <v>740</v>
      </c>
      <c r="F17" s="15" t="s">
        <v>290</v>
      </c>
      <c r="G17" s="1">
        <f>IF(I1="No",+SUM(F4:F16),0)</f>
        <v>0</v>
      </c>
    </row>
  </sheetData>
  <mergeCells count="3">
    <mergeCell ref="H1:H2"/>
    <mergeCell ref="I1:I2"/>
    <mergeCell ref="J1:J2"/>
  </mergeCells>
  <printOptions headings="1" gridLines="1"/>
  <pageMargins left="0.7" right="0.7" top="0.75" bottom="0.75" header="0.3" footer="0.3"/>
  <pageSetup orientation="portrait"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DEDC14-546F-43DE-81C2-D5FBCBD3CC94}">
  <sheetPr codeName="Sheet4">
    <tabColor rgb="FF92D050"/>
  </sheetPr>
  <dimension ref="A1:K11"/>
  <sheetViews>
    <sheetView workbookViewId="0">
      <selection activeCell="C11" sqref="C11:D11"/>
    </sheetView>
  </sheetViews>
  <sheetFormatPr defaultRowHeight="15" x14ac:dyDescent="0.25"/>
  <cols>
    <col min="1" max="1" width="11" customWidth="1"/>
    <col min="2" max="2" width="38.140625" bestFit="1" customWidth="1"/>
    <col min="3" max="3" width="10.5703125" customWidth="1"/>
    <col min="4" max="4" width="9.5703125" customWidth="1"/>
    <col min="5" max="5" width="12.85546875" customWidth="1"/>
    <col min="6" max="6" width="14.28515625" customWidth="1"/>
    <col min="7" max="7" width="3.140625" customWidth="1"/>
    <col min="10" max="10" width="20.140625" bestFit="1" customWidth="1"/>
  </cols>
  <sheetData>
    <row r="1" spans="1:11" ht="15.75" thickBot="1" x14ac:dyDescent="0.3"/>
    <row r="2" spans="1:11" s="62" customFormat="1" ht="30.75" thickBot="1" x14ac:dyDescent="0.3">
      <c r="A2"/>
      <c r="B2" s="800" t="s">
        <v>628</v>
      </c>
      <c r="C2" s="899"/>
      <c r="D2" s="302" t="s">
        <v>141</v>
      </c>
      <c r="E2" s="308" t="s">
        <v>142</v>
      </c>
      <c r="F2" s="185" t="s">
        <v>143</v>
      </c>
      <c r="G2" s="156"/>
      <c r="H2" s="153"/>
    </row>
    <row r="3" spans="1:11" ht="15.75" thickBot="1" x14ac:dyDescent="0.3">
      <c r="B3" s="181" t="s">
        <v>156</v>
      </c>
      <c r="C3" s="182">
        <f>+SUM(E3:G3)</f>
        <v>335000</v>
      </c>
      <c r="D3" s="182"/>
      <c r="E3" s="257">
        <v>50000</v>
      </c>
      <c r="F3" s="305">
        <v>285000</v>
      </c>
      <c r="G3" s="255"/>
      <c r="I3" s="62"/>
      <c r="J3" s="62"/>
      <c r="K3" s="62"/>
    </row>
    <row r="4" spans="1:11" x14ac:dyDescent="0.25">
      <c r="B4" s="181" t="s">
        <v>157</v>
      </c>
      <c r="C4" s="182">
        <f>+SUM(E4:$G$4)</f>
        <v>89099.277500000011</v>
      </c>
      <c r="D4" s="182"/>
      <c r="E4" s="257">
        <v>10000.13875</v>
      </c>
      <c r="F4" s="306">
        <v>79099.138750000013</v>
      </c>
      <c r="G4" s="255"/>
      <c r="I4" s="62"/>
      <c r="J4" s="62"/>
      <c r="K4" s="62"/>
    </row>
    <row r="5" spans="1:11" x14ac:dyDescent="0.25">
      <c r="B5" s="183" t="s">
        <v>158</v>
      </c>
      <c r="C5" s="184">
        <f>+SUM(E5:G5)</f>
        <v>84974.5</v>
      </c>
      <c r="D5" s="184"/>
      <c r="E5" s="257">
        <v>0</v>
      </c>
      <c r="F5" s="306">
        <v>84974.5</v>
      </c>
      <c r="G5" s="154"/>
      <c r="I5" s="62"/>
      <c r="J5" s="62"/>
      <c r="K5" s="62"/>
    </row>
    <row r="6" spans="1:11" ht="15.75" thickBot="1" x14ac:dyDescent="0.3">
      <c r="B6" s="155" t="s">
        <v>159</v>
      </c>
      <c r="C6" s="151">
        <f>+SUM($E$6:$G$6)</f>
        <v>91406.693999999989</v>
      </c>
      <c r="D6" s="151"/>
      <c r="E6" s="303">
        <v>30489.599999999999</v>
      </c>
      <c r="F6" s="303">
        <v>60917.093999999997</v>
      </c>
      <c r="G6" s="154"/>
      <c r="I6" s="62"/>
      <c r="J6" s="62"/>
      <c r="K6" s="62"/>
    </row>
    <row r="7" spans="1:11" ht="15.75" thickBot="1" x14ac:dyDescent="0.3">
      <c r="B7" s="155" t="s">
        <v>160</v>
      </c>
      <c r="C7" s="151">
        <f>+SUM($E$7:$G$7)</f>
        <v>0</v>
      </c>
      <c r="D7" s="151"/>
      <c r="E7" s="257"/>
      <c r="F7" s="307"/>
      <c r="G7" s="154"/>
      <c r="I7" s="62"/>
      <c r="J7" s="62"/>
      <c r="K7" s="62"/>
    </row>
    <row r="8" spans="1:11" ht="15.75" thickBot="1" x14ac:dyDescent="0.3">
      <c r="B8" s="155" t="s">
        <v>161</v>
      </c>
      <c r="C8" s="799">
        <f>+AVERAGE(E3:F3)</f>
        <v>167500</v>
      </c>
      <c r="D8" s="627"/>
      <c r="E8" s="900"/>
      <c r="F8" s="746"/>
      <c r="G8" s="645"/>
      <c r="I8" s="62"/>
      <c r="J8" s="62"/>
      <c r="K8" s="62"/>
    </row>
    <row r="9" spans="1:11" ht="15.75" thickBot="1" x14ac:dyDescent="0.3">
      <c r="B9" s="155" t="s">
        <v>162</v>
      </c>
      <c r="C9" s="799">
        <f>+AVERAGE(E4:F4)</f>
        <v>44549.638750000006</v>
      </c>
      <c r="D9" s="627"/>
      <c r="E9" s="646"/>
      <c r="F9" s="744"/>
      <c r="G9" s="647"/>
      <c r="I9" s="62"/>
      <c r="J9" s="62"/>
      <c r="K9" s="62"/>
    </row>
    <row r="10" spans="1:11" ht="15.75" thickBot="1" x14ac:dyDescent="0.3">
      <c r="B10" s="155" t="s">
        <v>163</v>
      </c>
      <c r="C10" s="799">
        <f>+AVERAGE(E5:F5)</f>
        <v>42487.25</v>
      </c>
      <c r="D10" s="627"/>
      <c r="E10" s="797" t="s">
        <v>164</v>
      </c>
      <c r="F10" s="708"/>
      <c r="G10" s="706"/>
      <c r="I10" s="62"/>
      <c r="J10" s="62"/>
      <c r="K10" s="62"/>
    </row>
    <row r="11" spans="1:11" ht="15.75" thickBot="1" x14ac:dyDescent="0.3">
      <c r="B11" s="155" t="s">
        <v>165</v>
      </c>
      <c r="C11" s="799">
        <f>+AVERAGE(E6:F6)</f>
        <v>45703.346999999994</v>
      </c>
      <c r="D11" s="627"/>
      <c r="E11" s="798" t="s">
        <v>166</v>
      </c>
      <c r="F11" s="897"/>
      <c r="G11" s="898"/>
    </row>
  </sheetData>
  <mergeCells count="8">
    <mergeCell ref="C11:D11"/>
    <mergeCell ref="E11:G11"/>
    <mergeCell ref="B2:C2"/>
    <mergeCell ref="C8:D8"/>
    <mergeCell ref="E8:G9"/>
    <mergeCell ref="C9:D9"/>
    <mergeCell ref="C10:D10"/>
    <mergeCell ref="E10:G10"/>
  </mergeCells>
  <pageMargins left="0.7" right="0.7" top="0.75" bottom="0.75" header="0.3" footer="0.3"/>
  <drawing r:id="rId1"/>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EB8A3FA-10A1-4350-8012-D4BF2D6B85C7}">
  <sheetPr codeName="Sheet24">
    <tabColor theme="9" tint="0.39997558519241921"/>
  </sheetPr>
  <dimension ref="A1:H11"/>
  <sheetViews>
    <sheetView workbookViewId="0">
      <selection sqref="A1:XFD1048576"/>
    </sheetView>
  </sheetViews>
  <sheetFormatPr defaultRowHeight="15" x14ac:dyDescent="0.25"/>
  <cols>
    <col min="1" max="1" width="11" customWidth="1"/>
    <col min="2" max="2" width="38.140625" bestFit="1" customWidth="1"/>
    <col min="3" max="3" width="10.5703125" customWidth="1"/>
    <col min="4" max="4" width="9.5703125" customWidth="1"/>
    <col min="5" max="5" width="12.85546875" customWidth="1"/>
    <col min="6" max="6" width="14.28515625" customWidth="1"/>
    <col min="7" max="7" width="3.140625" customWidth="1"/>
  </cols>
  <sheetData>
    <row r="1" spans="1:8" ht="15.75" thickBot="1" x14ac:dyDescent="0.3"/>
    <row r="2" spans="1:8" s="62" customFormat="1" ht="30.75" thickBot="1" x14ac:dyDescent="0.3">
      <c r="A2"/>
      <c r="B2" s="800" t="s">
        <v>627</v>
      </c>
      <c r="C2" s="899"/>
      <c r="D2" s="302" t="s">
        <v>141</v>
      </c>
      <c r="E2" s="308" t="s">
        <v>495</v>
      </c>
      <c r="F2" s="185" t="s">
        <v>144</v>
      </c>
      <c r="G2" s="156"/>
      <c r="H2" s="153"/>
    </row>
    <row r="3" spans="1:8" ht="15.75" thickBot="1" x14ac:dyDescent="0.3">
      <c r="B3" s="181" t="s">
        <v>156</v>
      </c>
      <c r="C3" s="182">
        <f>+SUM(E3:G3)</f>
        <v>750000</v>
      </c>
      <c r="D3" s="182"/>
      <c r="E3" s="257">
        <v>435000</v>
      </c>
      <c r="F3" s="305">
        <v>315000</v>
      </c>
      <c r="G3" s="255"/>
    </row>
    <row r="4" spans="1:8" x14ac:dyDescent="0.25">
      <c r="B4" s="181" t="s">
        <v>157</v>
      </c>
      <c r="C4" s="182">
        <f>+SUM(E4:$G$4)</f>
        <v>352369</v>
      </c>
      <c r="D4" s="182"/>
      <c r="E4" s="257">
        <v>249869</v>
      </c>
      <c r="F4" s="306">
        <v>102500</v>
      </c>
      <c r="G4" s="255"/>
    </row>
    <row r="5" spans="1:8" x14ac:dyDescent="0.25">
      <c r="B5" s="183" t="s">
        <v>158</v>
      </c>
      <c r="C5" s="184">
        <f>+SUM(E5:G5)</f>
        <v>242267</v>
      </c>
      <c r="D5" s="184"/>
      <c r="E5" s="257">
        <v>98192</v>
      </c>
      <c r="F5" s="306">
        <f>+F3+-F4-F6</f>
        <v>144075</v>
      </c>
      <c r="G5" s="154"/>
    </row>
    <row r="6" spans="1:8" ht="15.75" thickBot="1" x14ac:dyDescent="0.3">
      <c r="B6" s="155" t="s">
        <v>159</v>
      </c>
      <c r="C6" s="151">
        <f>+SUM($E$6:$G$6)</f>
        <v>155363.89666666667</v>
      </c>
      <c r="D6" s="151"/>
      <c r="E6" s="257">
        <v>86938.896666666667</v>
      </c>
      <c r="F6" s="306">
        <v>68425</v>
      </c>
      <c r="G6" s="154"/>
    </row>
    <row r="7" spans="1:8" ht="15.75" thickBot="1" x14ac:dyDescent="0.3">
      <c r="B7" s="155" t="s">
        <v>160</v>
      </c>
      <c r="C7" s="151">
        <f>+SUM($E$7:$G$7)</f>
        <v>0</v>
      </c>
      <c r="D7" s="151"/>
      <c r="E7" s="257"/>
      <c r="F7" s="307"/>
      <c r="G7" s="154"/>
    </row>
    <row r="8" spans="1:8" ht="15.75" thickBot="1" x14ac:dyDescent="0.3">
      <c r="B8" s="155" t="s">
        <v>161</v>
      </c>
      <c r="C8" s="799">
        <f>+AVERAGE(E3:F3)</f>
        <v>375000</v>
      </c>
      <c r="D8" s="627"/>
      <c r="E8" s="900"/>
      <c r="F8" s="746"/>
      <c r="G8" s="645"/>
    </row>
    <row r="9" spans="1:8" ht="15.75" thickBot="1" x14ac:dyDescent="0.3">
      <c r="B9" s="155" t="s">
        <v>162</v>
      </c>
      <c r="C9" s="799">
        <f>+AVERAGE(E4:F4)</f>
        <v>176184.5</v>
      </c>
      <c r="D9" s="627"/>
      <c r="E9" s="646"/>
      <c r="F9" s="744"/>
      <c r="G9" s="647"/>
    </row>
    <row r="10" spans="1:8" ht="15.75" thickBot="1" x14ac:dyDescent="0.3">
      <c r="B10" s="155" t="s">
        <v>163</v>
      </c>
      <c r="C10" s="799">
        <f>+AVERAGE(E5:F5)</f>
        <v>121133.5</v>
      </c>
      <c r="D10" s="627"/>
      <c r="E10" s="797" t="s">
        <v>164</v>
      </c>
      <c r="F10" s="708"/>
      <c r="G10" s="706"/>
    </row>
    <row r="11" spans="1:8" ht="15.75" thickBot="1" x14ac:dyDescent="0.3">
      <c r="B11" s="155" t="s">
        <v>165</v>
      </c>
      <c r="C11" s="799">
        <f>+AVERAGE(E6:F6)</f>
        <v>77681.948333333334</v>
      </c>
      <c r="D11" s="627"/>
      <c r="E11" s="798" t="s">
        <v>166</v>
      </c>
      <c r="F11" s="897"/>
      <c r="G11" s="898"/>
    </row>
  </sheetData>
  <mergeCells count="8">
    <mergeCell ref="C11:D11"/>
    <mergeCell ref="E11:G11"/>
    <mergeCell ref="E8:G9"/>
    <mergeCell ref="B2:C2"/>
    <mergeCell ref="C8:D8"/>
    <mergeCell ref="C9:D9"/>
    <mergeCell ref="C10:D10"/>
    <mergeCell ref="E10:G10"/>
  </mergeCells>
  <pageMargins left="0.7" right="0.7" top="0.75" bottom="0.75" header="0.3" footer="0.3"/>
  <drawing r:id="rId1"/>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EB9A54-413F-4BDC-9FF6-5ED5C1455103}">
  <sheetPr codeName="Sheet25">
    <tabColor theme="9" tint="0.39997558519241921"/>
  </sheetPr>
  <dimension ref="A1:J11"/>
  <sheetViews>
    <sheetView workbookViewId="0">
      <selection sqref="A1:XFD1048576"/>
    </sheetView>
  </sheetViews>
  <sheetFormatPr defaultRowHeight="15" x14ac:dyDescent="0.25"/>
  <cols>
    <col min="1" max="1" width="11" customWidth="1"/>
    <col min="2" max="2" width="38.140625" bestFit="1" customWidth="1"/>
    <col min="3" max="3" width="10.5703125" customWidth="1"/>
    <col min="4" max="4" width="9.5703125" customWidth="1"/>
    <col min="5" max="8" width="7.7109375" customWidth="1"/>
    <col min="9" max="9" width="3.140625" customWidth="1"/>
  </cols>
  <sheetData>
    <row r="1" spans="1:10" ht="15.75" thickBot="1" x14ac:dyDescent="0.3"/>
    <row r="2" spans="1:10" s="62" customFormat="1" ht="45.75" thickBot="1" x14ac:dyDescent="0.3">
      <c r="A2" s="158"/>
      <c r="B2" s="800" t="s">
        <v>496</v>
      </c>
      <c r="C2" s="904"/>
      <c r="D2" s="302" t="s">
        <v>141</v>
      </c>
      <c r="E2" s="180" t="s">
        <v>145</v>
      </c>
      <c r="F2" s="180" t="s">
        <v>146</v>
      </c>
      <c r="G2" s="180" t="s">
        <v>147</v>
      </c>
      <c r="H2" s="185" t="s">
        <v>148</v>
      </c>
      <c r="I2" s="156"/>
      <c r="J2" s="153"/>
    </row>
    <row r="3" spans="1:10" ht="15.75" thickBot="1" x14ac:dyDescent="0.3">
      <c r="A3" s="159"/>
      <c r="B3" s="181" t="s">
        <v>156</v>
      </c>
      <c r="C3" s="182">
        <f>+SUM(E3:I3)</f>
        <v>1262529</v>
      </c>
      <c r="D3" s="182"/>
      <c r="E3" s="257">
        <v>210000</v>
      </c>
      <c r="F3" s="257">
        <v>423529</v>
      </c>
      <c r="G3" s="257">
        <v>330000</v>
      </c>
      <c r="H3" s="256">
        <v>299000</v>
      </c>
      <c r="I3" s="255"/>
    </row>
    <row r="4" spans="1:10" x14ac:dyDescent="0.25">
      <c r="A4" s="159"/>
      <c r="B4" s="181" t="s">
        <v>157</v>
      </c>
      <c r="C4" s="182">
        <f>+SUM(E4:$I$4)</f>
        <v>554594.92000000004</v>
      </c>
      <c r="D4" s="182"/>
      <c r="E4" s="257">
        <v>127000</v>
      </c>
      <c r="F4" s="257">
        <v>174585.47</v>
      </c>
      <c r="G4" s="257">
        <v>85975.790000000008</v>
      </c>
      <c r="H4" s="256">
        <v>167033.66</v>
      </c>
      <c r="I4" s="255"/>
    </row>
    <row r="5" spans="1:10" x14ac:dyDescent="0.25">
      <c r="A5" s="159"/>
      <c r="B5" s="183" t="s">
        <v>158</v>
      </c>
      <c r="C5" s="184">
        <f>+SUM(E5:I5)</f>
        <v>148708.10749999998</v>
      </c>
      <c r="D5" s="184"/>
      <c r="E5" s="257">
        <v>15000</v>
      </c>
      <c r="F5" s="257">
        <v>12223</v>
      </c>
      <c r="G5" s="257">
        <v>82805.727499999994</v>
      </c>
      <c r="H5" s="256">
        <v>38679.380000000005</v>
      </c>
      <c r="I5" s="154"/>
    </row>
    <row r="6" spans="1:10" ht="15.75" thickBot="1" x14ac:dyDescent="0.3">
      <c r="A6" s="159"/>
      <c r="B6" s="155" t="s">
        <v>159</v>
      </c>
      <c r="C6" s="151">
        <f>+SUM($E$6:$I$6)</f>
        <v>471212.07700000005</v>
      </c>
      <c r="D6" s="151"/>
      <c r="E6" s="257">
        <v>67485.868000000002</v>
      </c>
      <c r="F6" s="257">
        <v>154708.03800000003</v>
      </c>
      <c r="G6" s="257">
        <v>154490.20250000001</v>
      </c>
      <c r="H6" s="256">
        <v>94527.968499999988</v>
      </c>
      <c r="I6" s="154"/>
    </row>
    <row r="7" spans="1:10" ht="15.75" thickBot="1" x14ac:dyDescent="0.3">
      <c r="A7" s="159"/>
      <c r="B7" s="155" t="s">
        <v>160</v>
      </c>
      <c r="C7" s="151">
        <f>+SUM($E$7:$I$7)</f>
        <v>15470.803800000003</v>
      </c>
      <c r="D7" s="151"/>
      <c r="E7" s="304"/>
      <c r="F7" s="311">
        <v>15470.803800000003</v>
      </c>
      <c r="G7" s="311"/>
      <c r="H7" s="313"/>
      <c r="I7" s="154"/>
    </row>
    <row r="8" spans="1:10" ht="15.75" thickBot="1" x14ac:dyDescent="0.3">
      <c r="A8" s="159"/>
      <c r="B8" s="155" t="s">
        <v>161</v>
      </c>
      <c r="C8" s="799">
        <f>+AVERAGE(E3:H3)</f>
        <v>315632.25</v>
      </c>
      <c r="D8" s="901"/>
      <c r="E8" s="900"/>
      <c r="F8" s="746"/>
      <c r="G8" s="746"/>
      <c r="H8" s="746"/>
      <c r="I8" s="645"/>
    </row>
    <row r="9" spans="1:10" ht="15.75" thickBot="1" x14ac:dyDescent="0.3">
      <c r="A9" s="159"/>
      <c r="B9" s="155" t="s">
        <v>162</v>
      </c>
      <c r="C9" s="799">
        <f>+AVERAGE(E4:H4)</f>
        <v>138648.73000000001</v>
      </c>
      <c r="D9" s="901"/>
      <c r="E9" s="646"/>
      <c r="F9" s="744"/>
      <c r="G9" s="744"/>
      <c r="H9" s="744"/>
      <c r="I9" s="647"/>
    </row>
    <row r="10" spans="1:10" ht="15.75" thickBot="1" x14ac:dyDescent="0.3">
      <c r="A10" s="159"/>
      <c r="B10" s="155" t="s">
        <v>163</v>
      </c>
      <c r="C10" s="799">
        <f>+AVERAGE(E5:H5)</f>
        <v>37177.026874999996</v>
      </c>
      <c r="D10" s="901"/>
      <c r="E10" s="797" t="s">
        <v>164</v>
      </c>
      <c r="F10" s="905"/>
      <c r="G10" s="905"/>
      <c r="H10" s="905"/>
      <c r="I10" s="906"/>
    </row>
    <row r="11" spans="1:10" ht="15.75" thickBot="1" x14ac:dyDescent="0.3">
      <c r="B11" s="155" t="s">
        <v>165</v>
      </c>
      <c r="C11" s="799">
        <f>+AVERAGE(E6:H6)</f>
        <v>117803.01925000001</v>
      </c>
      <c r="D11" s="901"/>
      <c r="E11" s="798" t="s">
        <v>166</v>
      </c>
      <c r="F11" s="902"/>
      <c r="G11" s="902"/>
      <c r="H11" s="902"/>
      <c r="I11" s="903"/>
    </row>
  </sheetData>
  <mergeCells count="8">
    <mergeCell ref="C11:D11"/>
    <mergeCell ref="E11:I11"/>
    <mergeCell ref="E8:I9"/>
    <mergeCell ref="B2:C2"/>
    <mergeCell ref="C8:D8"/>
    <mergeCell ref="C9:D9"/>
    <mergeCell ref="C10:D10"/>
    <mergeCell ref="E10:I10"/>
  </mergeCells>
  <pageMargins left="0.7" right="0.7" top="0.75" bottom="0.75" header="0.3" footer="0.3"/>
  <drawing r:id="rId1"/>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85D58AA-0F71-419D-B9B9-5204A34364F9}">
  <sheetPr codeName="Sheet26">
    <tabColor theme="9" tint="0.39997558519241921"/>
  </sheetPr>
  <dimension ref="A1:I11"/>
  <sheetViews>
    <sheetView workbookViewId="0">
      <selection sqref="A1:XFD1048576"/>
    </sheetView>
  </sheetViews>
  <sheetFormatPr defaultRowHeight="15" x14ac:dyDescent="0.25"/>
  <cols>
    <col min="1" max="1" width="11" customWidth="1"/>
    <col min="2" max="2" width="38.140625" bestFit="1" customWidth="1"/>
    <col min="3" max="3" width="10.5703125" customWidth="1"/>
    <col min="4" max="4" width="9.5703125" customWidth="1"/>
    <col min="5" max="6" width="12.85546875" customWidth="1"/>
    <col min="7" max="7" width="14.28515625" customWidth="1"/>
    <col min="8" max="8" width="3.140625" customWidth="1"/>
  </cols>
  <sheetData>
    <row r="1" spans="1:9" ht="15.75" thickBot="1" x14ac:dyDescent="0.3"/>
    <row r="2" spans="1:9" s="62" customFormat="1" ht="30.75" thickBot="1" x14ac:dyDescent="0.3">
      <c r="A2"/>
      <c r="B2" s="800" t="s">
        <v>496</v>
      </c>
      <c r="C2" s="899"/>
      <c r="D2" s="302" t="s">
        <v>141</v>
      </c>
      <c r="E2" s="308" t="s">
        <v>149</v>
      </c>
      <c r="F2" s="308" t="s">
        <v>150</v>
      </c>
      <c r="G2" s="185" t="s">
        <v>151</v>
      </c>
      <c r="H2" s="156"/>
      <c r="I2" s="153"/>
    </row>
    <row r="3" spans="1:9" ht="15.75" thickBot="1" x14ac:dyDescent="0.3">
      <c r="B3" s="181" t="s">
        <v>156</v>
      </c>
      <c r="C3" s="182">
        <f>+SUM(E3:H3)</f>
        <v>811800</v>
      </c>
      <c r="D3" s="182"/>
      <c r="E3" s="257">
        <v>363900</v>
      </c>
      <c r="F3" s="309">
        <v>210000</v>
      </c>
      <c r="G3" s="305">
        <v>237900</v>
      </c>
      <c r="H3" s="255"/>
    </row>
    <row r="4" spans="1:9" x14ac:dyDescent="0.25">
      <c r="B4" s="181" t="s">
        <v>157</v>
      </c>
      <c r="C4" s="182">
        <f>+SUM(E4:$H$4)</f>
        <v>401770.9</v>
      </c>
      <c r="D4" s="182"/>
      <c r="E4" s="257">
        <v>220000</v>
      </c>
      <c r="F4" s="310">
        <v>107061.9</v>
      </c>
      <c r="G4" s="306">
        <v>74709</v>
      </c>
      <c r="H4" s="255"/>
    </row>
    <row r="5" spans="1:9" x14ac:dyDescent="0.25">
      <c r="B5" s="183" t="s">
        <v>158</v>
      </c>
      <c r="C5" s="184">
        <f>+SUM(E5:H5)</f>
        <v>146350.07515412499</v>
      </c>
      <c r="D5" s="184"/>
      <c r="E5" s="257">
        <v>27507.698</v>
      </c>
      <c r="F5" s="310">
        <v>47760.57</v>
      </c>
      <c r="G5" s="306">
        <v>71081.80715412501</v>
      </c>
      <c r="H5" s="154"/>
    </row>
    <row r="6" spans="1:9" ht="15.75" thickBot="1" x14ac:dyDescent="0.3">
      <c r="B6" s="155" t="s">
        <v>159</v>
      </c>
      <c r="C6" s="151">
        <f>+SUM($E$6:$H$6)</f>
        <v>257067.10484587503</v>
      </c>
      <c r="D6" s="151"/>
      <c r="E6" s="257">
        <v>92658.781999999992</v>
      </c>
      <c r="F6" s="310">
        <v>64240.530000000028</v>
      </c>
      <c r="G6" s="306">
        <v>100167.792845875</v>
      </c>
      <c r="H6" s="154"/>
    </row>
    <row r="7" spans="1:9" ht="15.75" thickBot="1" x14ac:dyDescent="0.3">
      <c r="B7" s="155" t="s">
        <v>160</v>
      </c>
      <c r="C7" s="151">
        <f>+SUM($E$7:$H$7)</f>
        <v>0</v>
      </c>
      <c r="D7" s="151"/>
      <c r="E7" s="304"/>
      <c r="F7" s="311"/>
      <c r="G7" s="312"/>
      <c r="H7" s="154"/>
    </row>
    <row r="8" spans="1:9" ht="15.75" thickBot="1" x14ac:dyDescent="0.3">
      <c r="B8" s="155" t="s">
        <v>161</v>
      </c>
      <c r="C8" s="799">
        <f>+AVERAGE(E3:G3)</f>
        <v>270600</v>
      </c>
      <c r="D8" s="627"/>
      <c r="E8" s="900"/>
      <c r="F8" s="907"/>
      <c r="G8" s="746"/>
      <c r="H8" s="645"/>
    </row>
    <row r="9" spans="1:9" ht="15.75" thickBot="1" x14ac:dyDescent="0.3">
      <c r="B9" s="155" t="s">
        <v>162</v>
      </c>
      <c r="C9" s="799">
        <f>+AVERAGE(E4:G4)</f>
        <v>133923.63333333333</v>
      </c>
      <c r="D9" s="627"/>
      <c r="E9" s="646"/>
      <c r="F9" s="744"/>
      <c r="G9" s="744"/>
      <c r="H9" s="647"/>
    </row>
    <row r="10" spans="1:9" ht="15.75" thickBot="1" x14ac:dyDescent="0.3">
      <c r="B10" s="155" t="s">
        <v>163</v>
      </c>
      <c r="C10" s="799">
        <f>+AVERAGE(E5:G5)</f>
        <v>48783.358384708328</v>
      </c>
      <c r="D10" s="627"/>
      <c r="E10" s="797" t="s">
        <v>164</v>
      </c>
      <c r="F10" s="905"/>
      <c r="G10" s="708"/>
      <c r="H10" s="706"/>
    </row>
    <row r="11" spans="1:9" ht="15.75" thickBot="1" x14ac:dyDescent="0.3">
      <c r="B11" s="155" t="s">
        <v>165</v>
      </c>
      <c r="C11" s="799">
        <f>+AVERAGE(E6:G6)</f>
        <v>85689.034948625005</v>
      </c>
      <c r="D11" s="627"/>
      <c r="E11" s="798" t="s">
        <v>166</v>
      </c>
      <c r="F11" s="902"/>
      <c r="G11" s="897"/>
      <c r="H11" s="898"/>
    </row>
  </sheetData>
  <mergeCells count="8">
    <mergeCell ref="C11:D11"/>
    <mergeCell ref="E11:H11"/>
    <mergeCell ref="E8:H9"/>
    <mergeCell ref="B2:C2"/>
    <mergeCell ref="C8:D8"/>
    <mergeCell ref="C9:D9"/>
    <mergeCell ref="C10:D10"/>
    <mergeCell ref="E10:H10"/>
  </mergeCells>
  <pageMargins left="0.7" right="0.7" top="0.75" bottom="0.75" header="0.3" footer="0.3"/>
  <drawing r:id="rId1"/>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03E706-FB90-43EF-9E94-C9C1E402AE13}">
  <sheetPr codeName="Sheet27">
    <tabColor theme="9" tint="0.39997558519241921"/>
  </sheetPr>
  <dimension ref="A1:I11"/>
  <sheetViews>
    <sheetView workbookViewId="0">
      <selection sqref="A1:XFD1048576"/>
    </sheetView>
  </sheetViews>
  <sheetFormatPr defaultRowHeight="15" x14ac:dyDescent="0.25"/>
  <cols>
    <col min="1" max="1" width="11" customWidth="1"/>
    <col min="2" max="2" width="38.140625" bestFit="1" customWidth="1"/>
    <col min="3" max="3" width="10.5703125" customWidth="1"/>
    <col min="4" max="4" width="9.5703125" customWidth="1"/>
    <col min="5" max="6" width="12.85546875" customWidth="1"/>
    <col min="7" max="7" width="14.28515625" customWidth="1"/>
    <col min="8" max="8" width="3.140625" customWidth="1"/>
  </cols>
  <sheetData>
    <row r="1" spans="1:9" ht="15.75" thickBot="1" x14ac:dyDescent="0.3"/>
    <row r="2" spans="1:9" s="62" customFormat="1" ht="30.75" thickBot="1" x14ac:dyDescent="0.3">
      <c r="A2"/>
      <c r="B2" s="800" t="s">
        <v>496</v>
      </c>
      <c r="C2" s="899"/>
      <c r="D2" s="302" t="s">
        <v>141</v>
      </c>
      <c r="E2" s="308" t="s">
        <v>152</v>
      </c>
      <c r="F2" s="308" t="s">
        <v>153</v>
      </c>
      <c r="G2" s="185" t="s">
        <v>154</v>
      </c>
      <c r="H2" s="156"/>
      <c r="I2" s="153"/>
    </row>
    <row r="3" spans="1:9" ht="15.75" thickBot="1" x14ac:dyDescent="0.3">
      <c r="B3" s="181" t="s">
        <v>156</v>
      </c>
      <c r="C3" s="182">
        <f>+SUM(E3:H3)</f>
        <v>540000</v>
      </c>
      <c r="D3" s="182"/>
      <c r="E3" s="257">
        <v>150000</v>
      </c>
      <c r="F3" s="309">
        <v>195000</v>
      </c>
      <c r="G3" s="305">
        <v>195000</v>
      </c>
      <c r="H3" s="255"/>
    </row>
    <row r="4" spans="1:9" x14ac:dyDescent="0.25">
      <c r="B4" s="181" t="s">
        <v>157</v>
      </c>
      <c r="C4" s="182">
        <f>+SUM(E4:$H$4)</f>
        <v>310642.71000000002</v>
      </c>
      <c r="D4" s="182"/>
      <c r="E4" s="257">
        <v>71644.86</v>
      </c>
      <c r="F4" s="310">
        <v>110309.86</v>
      </c>
      <c r="G4" s="306">
        <v>128687.99</v>
      </c>
      <c r="H4" s="255"/>
    </row>
    <row r="5" spans="1:9" x14ac:dyDescent="0.25">
      <c r="B5" s="183" t="s">
        <v>158</v>
      </c>
      <c r="C5" s="184">
        <f>+SUM(E5:H5)</f>
        <v>49980.701499999996</v>
      </c>
      <c r="D5" s="184"/>
      <c r="E5" s="257">
        <v>6302.96</v>
      </c>
      <c r="F5" s="310">
        <v>20425.14</v>
      </c>
      <c r="G5" s="306">
        <v>23252.601500000001</v>
      </c>
      <c r="H5" s="154"/>
    </row>
    <row r="6" spans="1:9" ht="15.75" thickBot="1" x14ac:dyDescent="0.3">
      <c r="B6" s="155" t="s">
        <v>159</v>
      </c>
      <c r="C6" s="151">
        <f>+SUM($E$6:$H$6)</f>
        <v>116039.9257777778</v>
      </c>
      <c r="D6" s="151"/>
      <c r="E6" s="257">
        <v>37694.072</v>
      </c>
      <c r="F6" s="310">
        <v>52771.490000000005</v>
      </c>
      <c r="G6" s="306">
        <v>25574.363777777784</v>
      </c>
      <c r="H6" s="154"/>
    </row>
    <row r="7" spans="1:9" ht="15.75" thickBot="1" x14ac:dyDescent="0.3">
      <c r="B7" s="155" t="s">
        <v>160</v>
      </c>
      <c r="C7" s="151">
        <f>+SUM($E$7:$H$7)</f>
        <v>0</v>
      </c>
      <c r="D7" s="151"/>
      <c r="E7" s="304"/>
      <c r="F7" s="311"/>
      <c r="G7" s="312"/>
      <c r="H7" s="154"/>
    </row>
    <row r="8" spans="1:9" ht="15.75" thickBot="1" x14ac:dyDescent="0.3">
      <c r="B8" s="155" t="s">
        <v>161</v>
      </c>
      <c r="C8" s="799">
        <f>+AVERAGE(E3:G3)</f>
        <v>180000</v>
      </c>
      <c r="D8" s="627"/>
      <c r="E8" s="900"/>
      <c r="F8" s="907"/>
      <c r="G8" s="746"/>
      <c r="H8" s="645"/>
    </row>
    <row r="9" spans="1:9" ht="15.75" thickBot="1" x14ac:dyDescent="0.3">
      <c r="B9" s="155" t="s">
        <v>162</v>
      </c>
      <c r="C9" s="799">
        <f>+AVERAGE(E4:G4)</f>
        <v>103547.57</v>
      </c>
      <c r="D9" s="627"/>
      <c r="E9" s="646"/>
      <c r="F9" s="744"/>
      <c r="G9" s="744"/>
      <c r="H9" s="647"/>
    </row>
    <row r="10" spans="1:9" ht="15.75" thickBot="1" x14ac:dyDescent="0.3">
      <c r="B10" s="155" t="s">
        <v>163</v>
      </c>
      <c r="C10" s="799">
        <f>+AVERAGE(E5:G5)</f>
        <v>16660.233833333332</v>
      </c>
      <c r="D10" s="627"/>
      <c r="E10" s="797" t="s">
        <v>164</v>
      </c>
      <c r="F10" s="905"/>
      <c r="G10" s="708"/>
      <c r="H10" s="706"/>
    </row>
    <row r="11" spans="1:9" ht="15.75" thickBot="1" x14ac:dyDescent="0.3">
      <c r="B11" s="155" t="s">
        <v>165</v>
      </c>
      <c r="C11" s="799">
        <f>+AVERAGE(E6:G6)</f>
        <v>38679.975259259263</v>
      </c>
      <c r="D11" s="627"/>
      <c r="E11" s="798" t="s">
        <v>166</v>
      </c>
      <c r="F11" s="902"/>
      <c r="G11" s="897"/>
      <c r="H11" s="898"/>
    </row>
  </sheetData>
  <mergeCells count="8">
    <mergeCell ref="B2:C2"/>
    <mergeCell ref="E8:H9"/>
    <mergeCell ref="C10:D10"/>
    <mergeCell ref="C11:D11"/>
    <mergeCell ref="E10:H10"/>
    <mergeCell ref="E11:H11"/>
    <mergeCell ref="C8:D8"/>
    <mergeCell ref="C9:D9"/>
  </mergeCells>
  <pageMargins left="0.7" right="0.7" top="0.75" bottom="0.75" header="0.3" footer="0.3"/>
  <pageSetup orientation="portrait" horizontalDpi="4800" verticalDpi="4800" r:id="rId1"/>
  <drawing r:id="rId2"/>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09C72F-F0D6-491C-AEA2-2A56BDDAC208}">
  <sheetPr codeName="Sheet23">
    <tabColor rgb="FFC00000"/>
  </sheetPr>
  <dimension ref="A2:G18"/>
  <sheetViews>
    <sheetView workbookViewId="0"/>
  </sheetViews>
  <sheetFormatPr defaultRowHeight="15" x14ac:dyDescent="0.25"/>
  <sheetData>
    <row r="2" spans="1:3" x14ac:dyDescent="0.25">
      <c r="A2" t="s">
        <v>611</v>
      </c>
      <c r="C2">
        <v>1000</v>
      </c>
    </row>
    <row r="3" spans="1:3" x14ac:dyDescent="0.25">
      <c r="A3" t="s">
        <v>613</v>
      </c>
      <c r="C3">
        <v>9000</v>
      </c>
    </row>
    <row r="18" spans="6:7" x14ac:dyDescent="0.25">
      <c r="F18" s="30" t="s">
        <v>618</v>
      </c>
      <c r="G18" s="15">
        <v>0</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item1.xml>�� 
</file>

<file path=customXml/item2.xml><?xml version="1.0" encoding="utf-8"?>
<?mso-contentType ?>
<FormTemplates xmlns="http://schemas.microsoft.com/sharepoint/v3/contenttype/forms">
  <Display>DocumentLibraryForm</Display>
  <Edit>DocumentLibraryForm</Edit>
  <New>DocumentLibraryForm</New>
</FormTemplates>
</file>

<file path=customXml/item3.xml>�� 
</file>

<file path=customXml/item4.xml>�� 
</file>

<file path=customXml/item5.xml><?xml version="1.0" encoding="utf-8"?>
<p:properties xmlns:p="http://schemas.microsoft.com/office/2006/metadata/properties" xmlns:xsi="http://www.w3.org/2001/XMLSchema-instance" xmlns:pc="http://schemas.microsoft.com/office/infopath/2007/PartnerControls">
  <documentManagement>
    <TaxCatchAll xmlns="42cc25d9-27fe-4f07-accb-ded05ec47eee" xsi:nil="true"/>
    <lcf76f155ced4ddcb4097134ff3c332f xmlns="ab9fedca-001d-4cc9-b244-d9c3be5a27d3">
      <Terms xmlns="http://schemas.microsoft.com/office/infopath/2007/PartnerControls"/>
    </lcf76f155ced4ddcb4097134ff3c332f>
    <_Flow_SignoffStatus xmlns="ab9fedca-001d-4cc9-b244-d9c3be5a27d3" xsi:nil="true"/>
  </documentManagement>
</p:properties>
</file>

<file path=customXml/item6.xml><?xml version="1.0" encoding="utf-8"?>
<ct:contentTypeSchema xmlns:ct="http://schemas.microsoft.com/office/2006/metadata/contentType" xmlns:ma="http://schemas.microsoft.com/office/2006/metadata/properties/metaAttributes" ct:_="" ma:_="" ma:contentTypeName="Document" ma:contentTypeID="0x010100DDC7FDB1C8256C4EA4678CC05D188078" ma:contentTypeVersion="20" ma:contentTypeDescription="Create a new document." ma:contentTypeScope="" ma:versionID="2a9650d830cc67299a1a440994d8139a">
  <xsd:schema xmlns:xsd="http://www.w3.org/2001/XMLSchema" xmlns:xs="http://www.w3.org/2001/XMLSchema" xmlns:p="http://schemas.microsoft.com/office/2006/metadata/properties" xmlns:ns2="ab9fedca-001d-4cc9-b244-d9c3be5a27d3" xmlns:ns3="42cc25d9-27fe-4f07-accb-ded05ec47eee" targetNamespace="http://schemas.microsoft.com/office/2006/metadata/properties" ma:root="true" ma:fieldsID="b7be75ccca685a650eabb79854d6018f" ns2:_="" ns3:_="">
    <xsd:import namespace="ab9fedca-001d-4cc9-b244-d9c3be5a27d3"/>
    <xsd:import namespace="42cc25d9-27fe-4f07-accb-ded05ec47eee"/>
    <xsd:element name="properties">
      <xsd:complexType>
        <xsd:sequence>
          <xsd:element name="documentManagement">
            <xsd:complexType>
              <xsd:all>
                <xsd:element ref="ns2:MediaServiceMetadata" minOccurs="0"/>
                <xsd:element ref="ns2:MediaServiceFastMetadata" minOccurs="0"/>
                <xsd:element ref="ns2:MediaServiceAutoTags" minOccurs="0"/>
                <xsd:element ref="ns2:MediaServiceGenerationTime" minOccurs="0"/>
                <xsd:element ref="ns2:MediaServiceEventHashCode" minOccurs="0"/>
                <xsd:element ref="ns2:MediaServiceDateTaken" minOccurs="0"/>
                <xsd:element ref="ns2:MediaServiceOCR" minOccurs="0"/>
                <xsd:element ref="ns2:MediaServiceAutoKeyPoints" minOccurs="0"/>
                <xsd:element ref="ns2:MediaServiceKeyPoints" minOccurs="0"/>
                <xsd:element ref="ns2:MediaServiceLocation" minOccurs="0"/>
                <xsd:element ref="ns2:MediaLengthInSeconds" minOccurs="0"/>
                <xsd:element ref="ns2:lcf76f155ced4ddcb4097134ff3c332f" minOccurs="0"/>
                <xsd:element ref="ns3:TaxCatchAll" minOccurs="0"/>
                <xsd:element ref="ns3:SharedWithUsers" minOccurs="0"/>
                <xsd:element ref="ns3:SharedWithDetails" minOccurs="0"/>
                <xsd:element ref="ns2:MediaServiceObjectDetectorVersions" minOccurs="0"/>
                <xsd:element ref="ns2:_Flow_SignoffStatus" minOccurs="0"/>
                <xsd:element ref="ns2:MediaServiceSearchProperties" minOccurs="0"/>
                <xsd:element ref="ns2:MediaServiceBillingMetadata"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b9fedca-001d-4cc9-b244-d9c3be5a27d3"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GenerationTime" ma:index="11" nillable="true" ma:displayName="MediaServiceGenerationTime" ma:hidden="true" ma:internalName="MediaServiceGenerationTime" ma:readOnly="true">
      <xsd:simpleType>
        <xsd:restriction base="dms:Text"/>
      </xsd:simpleType>
    </xsd:element>
    <xsd:element name="MediaServiceEventHashCode" ma:index="12" nillable="true" ma:displayName="MediaServiceEventHashCode" ma:hidden="true" ma:internalName="MediaServiceEventHashCode" ma:readOnly="true">
      <xsd:simpleType>
        <xsd:restriction base="dms:Text"/>
      </xsd:simpleType>
    </xsd:element>
    <xsd:element name="MediaServiceDateTaken" ma:index="13" nillable="true" ma:displayName="MediaServiceDateTaken" ma:hidden="true" ma:internalName="MediaServiceDateTaken" ma:readOnly="true">
      <xsd:simpleType>
        <xsd:restriction base="dms:Text"/>
      </xsd:simpleType>
    </xsd:element>
    <xsd:element name="MediaServiceOCR" ma:index="14" nillable="true" ma:displayName="Extracted Text" ma:internalName="MediaServiceOCR" ma:readOnly="true">
      <xsd:simpleType>
        <xsd:restriction base="dms:Note">
          <xsd:maxLength value="255"/>
        </xsd:restriction>
      </xsd:simpleType>
    </xsd:element>
    <xsd:element name="MediaServiceAutoKeyPoints" ma:index="15" nillable="true" ma:displayName="MediaServiceAutoKeyPoints" ma:hidden="true" ma:internalName="MediaServiceAutoKeyPoints" ma:readOnly="true">
      <xsd:simpleType>
        <xsd:restriction base="dms:Note"/>
      </xsd:simpleType>
    </xsd:element>
    <xsd:element name="MediaServiceKeyPoints" ma:index="16" nillable="true" ma:displayName="KeyPoints" ma:internalName="MediaServiceKeyPoints" ma:readOnly="true">
      <xsd:simpleType>
        <xsd:restriction base="dms:Note">
          <xsd:maxLength value="255"/>
        </xsd:restriction>
      </xsd:simpleType>
    </xsd:element>
    <xsd:element name="MediaServiceLocation" ma:index="17" nillable="true" ma:displayName="Location" ma:internalName="MediaServiceLocation" ma:readOnly="true">
      <xsd:simpleType>
        <xsd:restriction base="dms:Text"/>
      </xsd:simpleType>
    </xsd:element>
    <xsd:element name="MediaLengthInSeconds" ma:index="18" nillable="true" ma:displayName="Length (seconds)" ma:internalName="MediaLengthInSeconds" ma:readOnly="true">
      <xsd:simpleType>
        <xsd:restriction base="dms:Unknown"/>
      </xsd:simpleType>
    </xsd:element>
    <xsd:element name="lcf76f155ced4ddcb4097134ff3c332f" ma:index="20" nillable="true" ma:taxonomy="true" ma:internalName="lcf76f155ced4ddcb4097134ff3c332f" ma:taxonomyFieldName="MediaServiceImageTags" ma:displayName="Image Tags" ma:readOnly="false" ma:fieldId="{5cf76f15-5ced-4ddc-b409-7134ff3c332f}" ma:taxonomyMulti="true" ma:sspId="da4e1b19-6222-46f4-80f6-9f16169dd19d" ma:termSetId="09814cd3-568e-fe90-9814-8d621ff8fb84" ma:anchorId="fba54fb3-c3e1-fe81-a776-ca4b69148c4d" ma:open="true" ma:isKeyword="false">
      <xsd:complexType>
        <xsd:sequence>
          <xsd:element ref="pc:Terms" minOccurs="0" maxOccurs="1"/>
        </xsd:sequence>
      </xsd:complexType>
    </xsd:element>
    <xsd:element name="MediaServiceObjectDetectorVersions" ma:index="24" nillable="true" ma:displayName="MediaServiceObjectDetectorVersions" ma:hidden="true" ma:indexed="true" ma:internalName="MediaServiceObjectDetectorVersions" ma:readOnly="true">
      <xsd:simpleType>
        <xsd:restriction base="dms:Text"/>
      </xsd:simpleType>
    </xsd:element>
    <xsd:element name="_Flow_SignoffStatus" ma:index="25" nillable="true" ma:displayName="Sign-off status" ma:internalName="Sign_x002d_off_x0020_status">
      <xsd:simpleType>
        <xsd:restriction base="dms:Text"/>
      </xsd:simpleType>
    </xsd:element>
    <xsd:element name="MediaServiceSearchProperties" ma:index="26" nillable="true" ma:displayName="MediaServiceSearchProperties" ma:hidden="true" ma:internalName="MediaServiceSearchProperties" ma:readOnly="true">
      <xsd:simpleType>
        <xsd:restriction base="dms:Note"/>
      </xsd:simpleType>
    </xsd:element>
    <xsd:element name="MediaServiceBillingMetadata" ma:index="27" nillable="true" ma:displayName="MediaServiceBillingMetadata" ma:hidden="true" ma:internalName="MediaServiceBillingMetadata"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42cc25d9-27fe-4f07-accb-ded05ec47eee" elementFormDefault="qualified">
    <xsd:import namespace="http://schemas.microsoft.com/office/2006/documentManagement/types"/>
    <xsd:import namespace="http://schemas.microsoft.com/office/infopath/2007/PartnerControls"/>
    <xsd:element name="TaxCatchAll" ma:index="21" nillable="true" ma:displayName="Taxonomy Catch All Column" ma:hidden="true" ma:list="{1f183bb4-81c9-4515-ba45-227c7445c609}" ma:internalName="TaxCatchAll" ma:showField="CatchAllData" ma:web="42cc25d9-27fe-4f07-accb-ded05ec47eee">
      <xsd:complexType>
        <xsd:complexContent>
          <xsd:extension base="dms:MultiChoiceLookup">
            <xsd:sequence>
              <xsd:element name="Value" type="dms:Lookup" maxOccurs="unbounded" minOccurs="0" nillable="true"/>
            </xsd:sequence>
          </xsd:extension>
        </xsd:complexContent>
      </xsd:complexType>
    </xsd:element>
    <xsd:element name="SharedWithUsers" ma:index="22"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23"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7.xml>�� 
</file>

<file path=customXml/itemProps1.xml><?xml version="1.0" encoding="utf-8"?>
<ds:datastoreItem xmlns:ds="http://schemas.openxmlformats.org/officeDocument/2006/customXml" ds:itemID="{B9BB8BBB-3EF8-4D4F-B500-A2E6B5335F5B}">
  <ds:schemaRefs>
    <ds:schemaRef ds:uri="http://gemini/pivotcustomization/TableWidget"/>
  </ds:schemaRefs>
</ds:datastoreItem>
</file>

<file path=customXml/itemProps2.xml><?xml version="1.0" encoding="utf-8"?>
<ds:datastoreItem xmlns:ds="http://schemas.openxmlformats.org/officeDocument/2006/customXml" ds:itemID="{B1340FEE-1606-4067-BF1E-AF47E6C4120D}">
  <ds:schemaRefs>
    <ds:schemaRef ds:uri="http://schemas.microsoft.com/sharepoint/v3/contenttype/forms"/>
  </ds:schemaRefs>
</ds:datastoreItem>
</file>

<file path=customXml/itemProps3.xml><?xml version="1.0" encoding="utf-8"?>
<ds:datastoreItem xmlns:ds="http://schemas.openxmlformats.org/officeDocument/2006/customXml" ds:itemID="{B54C4136-DFE3-4AB2-9ADD-5C061DFB4DE7}">
  <ds:schemaRefs>
    <ds:schemaRef ds:uri="http://gemini/pivotcustomization/TableXML_FromProposal_20a731de-dc6a-4de7-aca1-393b2aab7b6b"/>
  </ds:schemaRefs>
</ds:datastoreItem>
</file>

<file path=customXml/itemProps4.xml><?xml version="1.0" encoding="utf-8"?>
<ds:datastoreItem xmlns:ds="http://schemas.openxmlformats.org/officeDocument/2006/customXml" ds:itemID="{5C886D52-C60B-4622-9743-EA10E7087D96}">
  <ds:schemaRefs>
    <ds:schemaRef ds:uri="http://gemini/pivotcustomization/FormulaBarState"/>
  </ds:schemaRefs>
</ds:datastoreItem>
</file>

<file path=customXml/itemProps5.xml><?xml version="1.0" encoding="utf-8"?>
<ds:datastoreItem xmlns:ds="http://schemas.openxmlformats.org/officeDocument/2006/customXml" ds:itemID="{98C4DA37-4AFD-4CD2-9A66-0C8B8DF4AF27}">
  <ds:schemaRefs>
    <ds:schemaRef ds:uri="ab9fedca-001d-4cc9-b244-d9c3be5a27d3"/>
    <ds:schemaRef ds:uri="http://schemas.microsoft.com/office/2006/documentManagement/types"/>
    <ds:schemaRef ds:uri="http://purl.org/dc/elements/1.1/"/>
    <ds:schemaRef ds:uri="http://schemas.microsoft.com/office/2006/metadata/properties"/>
    <ds:schemaRef ds:uri="http://purl.org/dc/dcmitype/"/>
    <ds:schemaRef ds:uri="http://purl.org/dc/terms/"/>
    <ds:schemaRef ds:uri="http://schemas.microsoft.com/office/infopath/2007/PartnerControls"/>
    <ds:schemaRef ds:uri="http://schemas.openxmlformats.org/package/2006/metadata/core-properties"/>
    <ds:schemaRef ds:uri="42cc25d9-27fe-4f07-accb-ded05ec47eee"/>
    <ds:schemaRef ds:uri="http://www.w3.org/XML/1998/namespace"/>
  </ds:schemaRefs>
</ds:datastoreItem>
</file>

<file path=customXml/itemProps6.xml><?xml version="1.0" encoding="utf-8"?>
<ds:datastoreItem xmlns:ds="http://schemas.openxmlformats.org/officeDocument/2006/customXml" ds:itemID="{CDDF176F-3E7A-49D5-AE3B-13509CF5CF3F}">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ab9fedca-001d-4cc9-b244-d9c3be5a27d3"/>
    <ds:schemaRef ds:uri="42cc25d9-27fe-4f07-accb-ded05ec47eee"/>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7.xml><?xml version="1.0" encoding="utf-8"?>
<ds:datastoreItem xmlns:ds="http://schemas.openxmlformats.org/officeDocument/2006/customXml" ds:itemID="{C8DEC3D8-E357-4A8C-AFF9-645AD3C1C068}">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31</vt:i4>
      </vt:variant>
      <vt:variant>
        <vt:lpstr>Named Ranges</vt:lpstr>
      </vt:variant>
      <vt:variant>
        <vt:i4>3</vt:i4>
      </vt:variant>
    </vt:vector>
  </HeadingPairs>
  <TitlesOfParts>
    <vt:vector size="34" baseType="lpstr">
      <vt:lpstr>Profit</vt:lpstr>
      <vt:lpstr>Amortization</vt:lpstr>
      <vt:lpstr>Docs</vt:lpstr>
      <vt:lpstr>MOG</vt:lpstr>
      <vt:lpstr>Contact</vt:lpstr>
      <vt:lpstr>Carrying</vt:lpstr>
      <vt:lpstr>Contract</vt:lpstr>
      <vt:lpstr>UpdateContract</vt:lpstr>
      <vt:lpstr>Gnatt Chart</vt:lpstr>
      <vt:lpstr>Recap</vt:lpstr>
      <vt:lpstr>Legal</vt:lpstr>
      <vt:lpstr>Seller Advance</vt:lpstr>
      <vt:lpstr>MISC</vt:lpstr>
      <vt:lpstr>Exterior</vt:lpstr>
      <vt:lpstr>Demo &amp; Trash Haul</vt:lpstr>
      <vt:lpstr>Appliances</vt:lpstr>
      <vt:lpstr>Plumbing Fixtures</vt:lpstr>
      <vt:lpstr>Windows &amp; Doors</vt:lpstr>
      <vt:lpstr>Cabinets</vt:lpstr>
      <vt:lpstr>Paint</vt:lpstr>
      <vt:lpstr>Flooring</vt:lpstr>
      <vt:lpstr>HVAC</vt:lpstr>
      <vt:lpstr>Electrical Fixtures</vt:lpstr>
      <vt:lpstr>STR</vt:lpstr>
      <vt:lpstr>Landscape</vt:lpstr>
      <vt:lpstr>2024</vt:lpstr>
      <vt:lpstr>2023</vt:lpstr>
      <vt:lpstr>2022</vt:lpstr>
      <vt:lpstr>2021</vt:lpstr>
      <vt:lpstr>2020</vt:lpstr>
      <vt:lpstr>Furnishing</vt:lpstr>
      <vt:lpstr>Milestone_Marker</vt:lpstr>
      <vt:lpstr>Project_Start</vt:lpstr>
      <vt:lpstr>Scrolling_Increment</vt:lpstr>
    </vt:vector>
  </TitlesOfParts>
  <Manager/>
  <Company>First Citizens Bank</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Browning, Wes</dc:creator>
  <cp:keywords/>
  <dc:description/>
  <cp:lastModifiedBy>Wes Will Buy Your Home</cp:lastModifiedBy>
  <cp:revision/>
  <cp:lastPrinted>2025-11-03T19:37:02Z</cp:lastPrinted>
  <dcterms:created xsi:type="dcterms:W3CDTF">2019-07-25T11:32:14Z</dcterms:created>
  <dcterms:modified xsi:type="dcterms:W3CDTF">2026-05-30T02:13:29Z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0x010100DDC7FDB1C8256C4EA4678CC05D188078</vt:lpwstr>
  </property>
  <property fmtid="{D5CDD505-2E9C-101B-9397-08002B2CF9AE}" pid="3" name="MediaServiceImageTags">
    <vt:lpwstr/>
  </property>
</Properties>
</file>