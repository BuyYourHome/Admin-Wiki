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84" documentId="13_ncr:1_{5917DC0B-776D-4D0F-9B53-6A2C0097DDF9}" xr6:coauthVersionLast="47" xr6:coauthVersionMax="47" xr10:uidLastSave="{30410920-5011-4FE0-8DB6-D90D743CE31C}"/>
  <bookViews>
    <workbookView xWindow="38280" yWindow="1305" windowWidth="29040" windowHeight="15720" tabRatio="889" activeTab="3" xr2:uid="{00000000-000D-0000-FFFF-FFFF00000000}"/>
  </bookViews>
  <sheets>
    <sheet name="Profit" sheetId="1" r:id="rId1"/>
    <sheet name="Amortization" sheetId="63" r:id="rId2"/>
    <sheet name="Docs" sheetId="64" r:id="rId3"/>
    <sheet name="Replacement Docs" sheetId="66"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FIXED" hidden="1" xlm="1">#NAME?</definedName>
    <definedName name="_xleta.IF" hidden="1" xlm="1">#NAME?</definedName>
    <definedName name="_xleta.OR"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'Gnatt Chart'!$G$4</definedName>
    <definedName name="Project_Start">'Gnatt Chart'!$F$2</definedName>
    <definedName name="ProposalToGnatt__2" localSheetId="11" hidden="1">'Recap'!$A$4:$G$21</definedName>
    <definedName name="Scrolling_Increment">'Gnatt Chart'!$AB$24</definedName>
    <definedName name="Today" localSheetId="9">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66" l="1"/>
  <c r="B50" i="66"/>
  <c r="B49" i="66"/>
  <c r="B46" i="66"/>
  <c r="B45" i="66"/>
  <c r="B30" i="66"/>
  <c r="B29" i="66"/>
  <c r="B20" i="66"/>
  <c r="B19" i="66"/>
  <c r="B18" i="66"/>
  <c r="B15" i="66"/>
  <c r="B16" i="66" s="1"/>
  <c r="B17" i="66" s="1"/>
  <c r="B13" i="66"/>
  <c r="B8" i="66"/>
  <c r="E16" i="66"/>
  <c r="E15" i="66"/>
  <c r="E12" i="66"/>
  <c r="E11" i="66"/>
  <c r="E34" i="66" s="1"/>
  <c r="E9" i="66"/>
  <c r="I2" i="66"/>
  <c r="I4" i="66" s="1"/>
  <c r="I5" i="66" s="1"/>
  <c r="E3" i="66"/>
  <c r="E39" i="66"/>
  <c r="E38" i="66"/>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I3" i="66" l="1"/>
  <c r="I11" i="66"/>
  <c r="B21" i="66"/>
  <c r="Z25" i="57"/>
  <c r="AF25" i="57"/>
  <c r="AC25" i="57"/>
  <c r="W25" i="57"/>
  <c r="T25" i="57"/>
  <c r="Q25" i="57"/>
  <c r="N25" i="57"/>
  <c r="K25" i="57"/>
  <c r="H25" i="57"/>
  <c r="E25" i="57"/>
  <c r="B25" i="57"/>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29" i="20"/>
  <c r="G29" i="20" s="1"/>
  <c r="M16" i="16"/>
  <c r="N16" i="16" s="1"/>
  <c r="E12" i="16"/>
  <c r="E11" i="16"/>
  <c r="E10" i="16"/>
  <c r="E8" i="16"/>
  <c r="G7" i="18"/>
  <c r="G6" i="18"/>
  <c r="P11" i="1"/>
  <c r="P12" i="1"/>
  <c r="F17" i="1" l="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C3" i="63"/>
  <c r="AA8" i="63" s="1"/>
  <c r="Y8" i="63" s="1"/>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BC2" i="64"/>
  <c r="BB2" i="64"/>
  <c r="AX2" i="64"/>
  <c r="B18" i="64"/>
  <c r="AM2" i="64" s="1"/>
  <c r="B29" i="64"/>
  <c r="AU2" i="64"/>
  <c r="AT2" i="64"/>
  <c r="AS2" i="64"/>
  <c r="AN2" i="64"/>
  <c r="AK2" i="64"/>
  <c r="AC2" i="64"/>
  <c r="Q2" i="64"/>
  <c r="B40" i="64"/>
  <c r="AF2" i="64" s="1"/>
  <c r="B77" i="64"/>
  <c r="AW2" i="64" s="1"/>
  <c r="B51" i="64"/>
  <c r="O2" i="64" s="1"/>
  <c r="AB6" i="63" l="1"/>
  <c r="AA9" i="63" s="1"/>
  <c r="AD6" i="63"/>
  <c r="BO2" i="64"/>
  <c r="AC6" i="63"/>
  <c r="Z494" i="63"/>
  <c r="Z510" i="63"/>
  <c r="Z503" i="63"/>
  <c r="Z511" i="63"/>
  <c r="Z519" i="63"/>
  <c r="Z527" i="63"/>
  <c r="Z535" i="63"/>
  <c r="Z543" i="63"/>
  <c r="B41" i="64"/>
  <c r="AG2" i="64" s="1"/>
  <c r="Z497" i="63"/>
  <c r="Z505" i="63"/>
  <c r="Z513" i="63"/>
  <c r="Z521" i="63"/>
  <c r="Z529" i="63"/>
  <c r="Z537" i="63"/>
  <c r="Z522" i="63"/>
  <c r="Z506" i="63"/>
  <c r="Z499" i="63"/>
  <c r="Z523" i="63"/>
  <c r="Z538" i="63"/>
  <c r="Z491" i="63"/>
  <c r="Z515" i="63"/>
  <c r="Z539" i="63"/>
  <c r="Z492" i="63"/>
  <c r="Z500" i="63"/>
  <c r="Z508" i="63"/>
  <c r="Z516" i="63"/>
  <c r="Z524" i="63"/>
  <c r="Z532" i="63"/>
  <c r="Z540" i="63"/>
  <c r="Z507" i="63"/>
  <c r="Z531" i="63"/>
  <c r="Z493" i="63"/>
  <c r="Z501" i="63"/>
  <c r="Z509" i="63"/>
  <c r="Z517" i="63"/>
  <c r="Z525" i="63"/>
  <c r="Z533" i="63"/>
  <c r="Z541" i="63"/>
  <c r="AM515" i="63"/>
  <c r="B19" i="64"/>
  <c r="AL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Z496" i="63"/>
  <c r="AM492" i="63"/>
  <c r="AM519" i="63"/>
  <c r="AM535" i="63"/>
  <c r="AM505" i="63"/>
  <c r="AM538" i="63"/>
  <c r="AM530" i="63"/>
  <c r="Z530" i="63"/>
  <c r="AM497" i="63"/>
  <c r="Z504" i="63"/>
  <c r="AM529" i="63"/>
  <c r="AM521" i="63"/>
  <c r="Z512" i="63"/>
  <c r="AM514" i="63"/>
  <c r="Z514" i="63"/>
  <c r="AM522" i="63"/>
  <c r="Z520" i="63"/>
  <c r="AM498" i="63"/>
  <c r="Z498" i="63"/>
  <c r="AM502" i="63"/>
  <c r="Z502" i="63"/>
  <c r="AM518" i="63"/>
  <c r="Z518" i="63"/>
  <c r="AM526" i="63"/>
  <c r="Z526" i="63"/>
  <c r="AM534" i="63"/>
  <c r="Z534" i="63"/>
  <c r="AM542" i="63"/>
  <c r="Z542" i="63"/>
  <c r="Z528" i="63"/>
  <c r="AM513" i="63"/>
  <c r="AM537" i="63"/>
  <c r="AM495" i="63"/>
  <c r="Z495" i="63"/>
  <c r="Z536"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Y9" i="63" l="1"/>
  <c r="B51" i="66"/>
  <c r="Y12" i="63"/>
  <c r="Z9" i="63"/>
  <c r="AE15" i="63"/>
  <c r="AF15" i="63" s="1"/>
  <c r="AR2" i="64"/>
  <c r="N2" i="64"/>
  <c r="B15" i="64" l="1"/>
  <c r="B12" i="66"/>
  <c r="G14" i="1"/>
  <c r="F8" i="3"/>
  <c r="G8" i="3" s="1"/>
  <c r="F19" i="3"/>
  <c r="F18" i="3"/>
  <c r="F17" i="3"/>
  <c r="F16" i="3"/>
  <c r="F15" i="3"/>
  <c r="F14" i="3"/>
  <c r="F13" i="3"/>
  <c r="F12" i="3"/>
  <c r="F11" i="3"/>
  <c r="F10" i="3"/>
  <c r="F9" i="3"/>
  <c r="J1" i="35"/>
  <c r="K1" i="18"/>
  <c r="K1" i="3"/>
  <c r="O1" i="4"/>
  <c r="K2" i="6"/>
  <c r="L2" i="20"/>
  <c r="K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P4" i="63" l="1"/>
  <c r="O4" i="63" s="1"/>
  <c r="B9" i="66" s="1"/>
  <c r="AB4" i="63"/>
  <c r="AA4" i="63" s="1"/>
  <c r="B7" i="66" s="1"/>
  <c r="B42" i="64"/>
  <c r="AH2" i="64" s="1"/>
  <c r="N12" i="63"/>
  <c r="AC4" i="63"/>
  <c r="AD4" i="63"/>
  <c r="B6" i="1"/>
  <c r="C44" i="1" s="1"/>
  <c r="R4" i="63"/>
  <c r="R5" i="63" s="1"/>
  <c r="Q4" i="63"/>
  <c r="Q5" i="63" s="1"/>
  <c r="E80" i="1"/>
  <c r="G81" i="1"/>
  <c r="D81" i="1"/>
  <c r="B19" i="1"/>
  <c r="C7" i="1" l="1"/>
  <c r="E7" i="1" s="1"/>
  <c r="E10" i="1" s="1"/>
  <c r="P5" i="63"/>
  <c r="O5" i="63" s="1"/>
  <c r="B10" i="66" s="1"/>
  <c r="B11" i="64"/>
  <c r="S2" i="64"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42" i="1"/>
  <c r="AA21" i="63"/>
  <c r="X21" i="63"/>
  <c r="AC21" i="63"/>
  <c r="H34" i="1"/>
  <c r="J22" i="63"/>
  <c r="D22" i="63"/>
  <c r="B29" i="1"/>
  <c r="H29"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H16" i="1"/>
  <c r="B37" i="64" l="1"/>
  <c r="V2" i="64" s="1"/>
  <c r="B47" i="66"/>
  <c r="D42" i="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P18" i="63"/>
  <c r="W18" i="63" s="1"/>
  <c r="O19" i="63" s="1"/>
  <c r="M18" i="63"/>
  <c r="AI19" i="63" l="1"/>
  <c r="AP19" i="63"/>
  <c r="R19" i="63"/>
  <c r="AN19" i="63"/>
  <c r="AS19" i="63" s="1"/>
  <c r="L18" i="63"/>
  <c r="AD18" i="63"/>
  <c r="U18" i="63"/>
  <c r="AO18" i="63" s="1"/>
  <c r="S18" i="63"/>
  <c r="T18" i="63" s="1"/>
  <c r="AU18" i="63"/>
  <c r="AV18" i="63" s="1"/>
  <c r="AT18" i="63"/>
  <c r="N19" i="63"/>
  <c r="Q19" i="63" s="1"/>
  <c r="V19" i="63" s="1"/>
  <c r="Z18" i="63" l="1"/>
  <c r="AM18" i="63"/>
  <c r="AE18" i="63"/>
  <c r="AF18" i="63" s="1"/>
  <c r="AG18" i="63"/>
  <c r="P19" i="63"/>
  <c r="W19" i="63" s="1"/>
  <c r="O20" i="63" s="1"/>
  <c r="M19" i="63"/>
  <c r="AI20" i="63" l="1"/>
  <c r="AP20" i="63"/>
  <c r="R20" i="63"/>
  <c r="AN20" i="63"/>
  <c r="AS20" i="63" s="1"/>
  <c r="L19" i="63"/>
  <c r="AD19" i="63"/>
  <c r="U19" i="63"/>
  <c r="AO19" i="63" s="1"/>
  <c r="S19" i="63"/>
  <c r="T19" i="63" s="1"/>
  <c r="AU19" i="63"/>
  <c r="AV19" i="63" s="1"/>
  <c r="AT19" i="63"/>
  <c r="N20" i="63"/>
  <c r="Q20" i="63" s="1"/>
  <c r="V20" i="63" s="1"/>
  <c r="Z19" i="63" l="1"/>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U21" i="63"/>
  <c r="AO21" i="63" s="1"/>
  <c r="S21" i="63"/>
  <c r="T21" i="63" s="1"/>
  <c r="AT21" i="63"/>
  <c r="AU21" i="63"/>
  <c r="AV21" i="63" s="1"/>
  <c r="N22" i="63"/>
  <c r="Q22" i="63" s="1"/>
  <c r="V22" i="63" s="1"/>
  <c r="Z21" i="63" l="1"/>
  <c r="AM21" i="63"/>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S54" i="63"/>
  <c r="T54" i="63" s="1"/>
  <c r="AM54" i="63"/>
  <c r="AD54" i="63"/>
  <c r="O55" i="63"/>
  <c r="AT54" i="63"/>
  <c r="AU54" i="63"/>
  <c r="AV54" i="63" s="1"/>
  <c r="N55" i="63"/>
  <c r="AI55" i="63" l="1"/>
  <c r="AP55" i="63"/>
  <c r="R55" i="63"/>
  <c r="AN55" i="63"/>
  <c r="AS55" i="63" s="1"/>
  <c r="AE54" i="63"/>
  <c r="AF54" i="63" s="1"/>
  <c r="AG54" i="63"/>
  <c r="Q55" i="63"/>
  <c r="V55" i="63" s="1"/>
  <c r="M55" i="63"/>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Q62" i="63"/>
  <c r="V62" i="63" s="1"/>
  <c r="M62" i="63"/>
  <c r="L62" i="63" s="1"/>
  <c r="AS62" i="63"/>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c r="V68" i="63" s="1"/>
  <c r="AM68" i="63" l="1"/>
  <c r="P68" i="63"/>
  <c r="W68" i="63" s="1"/>
  <c r="AU68" i="63" s="1"/>
  <c r="AV68" i="63" s="1"/>
  <c r="O69" i="63" l="1"/>
  <c r="N69" i="63"/>
  <c r="M69" i="63" s="1"/>
  <c r="L69" i="63" s="1"/>
  <c r="AT68" i="63"/>
  <c r="U68" i="63"/>
  <c r="AN69" i="63"/>
  <c r="AS69" i="63" s="1"/>
  <c r="Q69" i="63"/>
  <c r="V69" i="63" s="1"/>
  <c r="Z69" i="63" l="1"/>
  <c r="AM69" i="63"/>
  <c r="P69" i="63"/>
  <c r="U69" i="63" l="1"/>
  <c r="W69" i="63"/>
  <c r="AT69" i="63" l="1"/>
  <c r="O70" i="63"/>
  <c r="N70" i="63"/>
  <c r="AU69" i="63"/>
  <c r="AV69" i="63" s="1"/>
  <c r="AN70" i="63" l="1"/>
  <c r="M70" i="63"/>
  <c r="L70" i="63" s="1"/>
  <c r="Z70" i="63" s="1"/>
  <c r="Q70" i="63"/>
  <c r="V70" i="63" s="1"/>
  <c r="AS70" i="63"/>
  <c r="AM70" i="63" l="1"/>
  <c r="P70" i="63"/>
  <c r="U70" i="63" s="1"/>
  <c r="W70" i="63" l="1"/>
  <c r="N71" i="63" s="1"/>
  <c r="O71" i="63" l="1"/>
  <c r="AN71" i="63" s="1"/>
  <c r="AS71" i="63" s="1"/>
  <c r="AT70" i="63"/>
  <c r="AU70" i="63"/>
  <c r="AV70" i="63" s="1"/>
  <c r="M71" i="63"/>
  <c r="L71" i="63" s="1"/>
  <c r="Q71" i="63"/>
  <c r="V71" i="63" s="1"/>
  <c r="Z71" i="63" l="1"/>
  <c r="AM71" i="63"/>
  <c r="P71" i="63"/>
  <c r="U71" i="63" s="1"/>
  <c r="W71" i="63" l="1"/>
  <c r="N72" i="63" l="1"/>
  <c r="M72" i="63" s="1"/>
  <c r="L72" i="63" s="1"/>
  <c r="O72" i="63"/>
  <c r="AT71" i="63"/>
  <c r="AU71" i="63"/>
  <c r="AV71" i="63" s="1"/>
  <c r="AN72" i="63" l="1"/>
  <c r="AS72" i="63" s="1"/>
  <c r="Q72" i="63"/>
  <c r="V72" i="63" s="1"/>
  <c r="Z72" i="63"/>
  <c r="AM72" i="63"/>
  <c r="P72" i="63" l="1"/>
  <c r="W72" i="63" s="1"/>
  <c r="AU72" i="63" s="1"/>
  <c r="AV72" i="63" s="1"/>
  <c r="AT72" i="63" l="1"/>
  <c r="O73" i="63"/>
  <c r="AN73" i="63" s="1"/>
  <c r="AS73" i="63" s="1"/>
  <c r="N73" i="63"/>
  <c r="M73" i="63" s="1"/>
  <c r="L73" i="63" s="1"/>
  <c r="U72" i="63"/>
  <c r="Q73" i="63" l="1"/>
  <c r="V73" i="63" s="1"/>
  <c r="Z73" i="63"/>
  <c r="AM73" i="63"/>
  <c r="P73" i="63" l="1"/>
  <c r="U73" i="63" s="1"/>
  <c r="W73" i="63" l="1"/>
  <c r="AU73" i="63" s="1"/>
  <c r="AV73" i="63" s="1"/>
  <c r="AT73" i="63"/>
  <c r="O74" i="63"/>
  <c r="N74" i="63"/>
  <c r="M74" i="63" s="1"/>
  <c r="L74" i="63" s="1"/>
  <c r="AN74" i="63" l="1"/>
  <c r="AS74" i="63" s="1"/>
  <c r="Q74" i="63"/>
  <c r="V74" i="63" s="1"/>
  <c r="Z74" i="63"/>
  <c r="AM74" i="63"/>
  <c r="P74" i="63" l="1"/>
  <c r="W74" i="63" s="1"/>
  <c r="U74" i="63" l="1"/>
  <c r="AU74" i="63"/>
  <c r="AV74" i="63" s="1"/>
  <c r="N75" i="63"/>
  <c r="O75" i="63"/>
  <c r="AT74" i="63"/>
  <c r="AN75" i="63" l="1"/>
  <c r="AS75" i="63" s="1"/>
  <c r="Q75" i="63"/>
  <c r="V75" i="63" s="1"/>
  <c r="M75" i="63"/>
  <c r="L75" i="63" s="1"/>
  <c r="Z75" i="63" l="1"/>
  <c r="AM75" i="63"/>
  <c r="P75" i="63"/>
  <c r="U75" i="63" l="1"/>
  <c r="W75" i="63"/>
  <c r="AT75" i="63" l="1"/>
  <c r="AU75" i="63"/>
  <c r="AV75" i="63" s="1"/>
  <c r="O76" i="63"/>
  <c r="N76" i="63"/>
  <c r="AN76" i="63" l="1"/>
  <c r="AS76" i="63" s="1"/>
  <c r="M76" i="63"/>
  <c r="L76" i="63" s="1"/>
  <c r="Q76" i="63"/>
  <c r="V76" i="63" s="1"/>
  <c r="Z76" i="63" l="1"/>
  <c r="AM76" i="63"/>
  <c r="P76" i="63"/>
  <c r="W76" i="63" s="1"/>
  <c r="O77" i="63" s="1"/>
  <c r="AN77" i="63" l="1"/>
  <c r="AS77" i="63" s="1"/>
  <c r="N77" i="63"/>
  <c r="M77" i="63" s="1"/>
  <c r="L77" i="63" s="1"/>
  <c r="U76" i="63"/>
  <c r="AT76" i="63"/>
  <c r="AU76" i="63"/>
  <c r="AV76" i="63" s="1"/>
  <c r="Q77" i="63" l="1"/>
  <c r="V77" i="63" s="1"/>
  <c r="Z77" i="63"/>
  <c r="AM77" i="63"/>
  <c r="P77" i="63" l="1"/>
  <c r="U77" i="63" s="1"/>
  <c r="W77" i="63" l="1"/>
  <c r="O78" i="63" s="1"/>
  <c r="AT77" i="63" l="1"/>
  <c r="AU77" i="63"/>
  <c r="AV77" i="63" s="1"/>
  <c r="N78" i="63"/>
  <c r="M78" i="63" s="1"/>
  <c r="L78" i="63" s="1"/>
  <c r="AN78" i="63"/>
  <c r="AS78" i="63" s="1"/>
  <c r="Q78" i="63" l="1"/>
  <c r="V78" i="63" s="1"/>
  <c r="Z78" i="63"/>
  <c r="AM78" i="63"/>
  <c r="P78" i="63" l="1"/>
  <c r="U78" i="63" s="1"/>
  <c r="W78" i="63" l="1"/>
  <c r="N79" i="63" s="1"/>
  <c r="Q79" i="63" s="1"/>
  <c r="V79" i="63" s="1"/>
  <c r="M79" i="63" l="1"/>
  <c r="L79" i="63" s="1"/>
  <c r="Z79" i="63" s="1"/>
  <c r="AT78" i="63"/>
  <c r="O79" i="63"/>
  <c r="P79" i="63" s="1"/>
  <c r="U79" i="63" s="1"/>
  <c r="AU78" i="63"/>
  <c r="AV78" i="63" s="1"/>
  <c r="AN79" i="63" l="1"/>
  <c r="AS79" i="63" s="1"/>
  <c r="AM79" i="63"/>
  <c r="W79" i="63"/>
  <c r="O80" i="63" s="1"/>
  <c r="AU79" i="63" l="1"/>
  <c r="AV79" i="63" s="1"/>
  <c r="AT79" i="63"/>
  <c r="N80" i="63"/>
  <c r="AN80" i="63"/>
  <c r="AS80" i="63" s="1"/>
  <c r="Q80" i="63"/>
  <c r="V80" i="63" s="1"/>
  <c r="M80" i="63"/>
  <c r="L80" i="63" s="1"/>
  <c r="Z80" i="63" l="1"/>
  <c r="AM80" i="63"/>
  <c r="P80" i="63"/>
  <c r="U80" i="63" l="1"/>
  <c r="W80" i="63"/>
  <c r="AT80" i="63" l="1"/>
  <c r="O81" i="63"/>
  <c r="N81" i="63"/>
  <c r="AU80" i="63"/>
  <c r="AV80" i="63" s="1"/>
  <c r="AN81" i="63" l="1"/>
  <c r="AS81" i="63" s="1"/>
  <c r="M81" i="63"/>
  <c r="L81" i="63" s="1"/>
  <c r="Q81" i="63"/>
  <c r="V81" i="63" s="1"/>
  <c r="Z81" i="63" l="1"/>
  <c r="AM81" i="63"/>
  <c r="P81" i="63"/>
  <c r="U81" i="63" s="1"/>
  <c r="W81" i="63" l="1"/>
  <c r="AT81" i="63" l="1"/>
  <c r="N82" i="63"/>
  <c r="Q82" i="63" s="1"/>
  <c r="V82" i="63" s="1"/>
  <c r="O82" i="63"/>
  <c r="AU81" i="63"/>
  <c r="AV81" i="63" s="1"/>
  <c r="AN82" i="63" l="1"/>
  <c r="AS82" i="63" s="1"/>
  <c r="M82" i="63"/>
  <c r="L82" i="63" s="1"/>
  <c r="Z82" i="63" s="1"/>
  <c r="P82" i="63"/>
  <c r="U82" i="63" s="1"/>
  <c r="W82" i="63" l="1"/>
  <c r="AT82" i="63" s="1"/>
  <c r="AM82" i="63"/>
  <c r="O83" i="63" l="1"/>
  <c r="AN83" i="63" s="1"/>
  <c r="AS83" i="63" s="1"/>
  <c r="N83" i="63"/>
  <c r="M83" i="63" s="1"/>
  <c r="L83" i="63" s="1"/>
  <c r="Z83" i="63" s="1"/>
  <c r="AU82" i="63"/>
  <c r="AV82" i="63" s="1"/>
  <c r="Q83" i="63" l="1"/>
  <c r="V83" i="63" s="1"/>
  <c r="AM83" i="63"/>
  <c r="P83" i="63" l="1"/>
  <c r="W83" i="63" s="1"/>
  <c r="U83" i="63" l="1"/>
  <c r="O84" i="63"/>
  <c r="N84" i="63"/>
  <c r="AT83" i="63"/>
  <c r="AU83" i="63"/>
  <c r="AV83" i="63" s="1"/>
  <c r="AN84" i="63" l="1"/>
  <c r="AS84" i="63" s="1"/>
  <c r="M84" i="63"/>
  <c r="L84" i="63" s="1"/>
  <c r="Q84" i="63"/>
  <c r="V84" i="63" s="1"/>
  <c r="Z84" i="63" l="1"/>
  <c r="AM84" i="63"/>
  <c r="P84" i="63"/>
  <c r="U84" i="63" s="1"/>
  <c r="W84" i="63" l="1"/>
  <c r="O85" i="63" l="1"/>
  <c r="AU84" i="63"/>
  <c r="AV84" i="63" s="1"/>
  <c r="AT84" i="63"/>
  <c r="N85" i="63"/>
  <c r="M85" i="63" s="1"/>
  <c r="L85" i="63" s="1"/>
  <c r="AN85" i="63" l="1"/>
  <c r="AS85" i="63" s="1"/>
  <c r="Q85" i="63"/>
  <c r="V85" i="63" s="1"/>
  <c r="Z85" i="63"/>
  <c r="AM85" i="63"/>
  <c r="P85" i="63" l="1"/>
  <c r="W85" i="63" s="1"/>
  <c r="AU85" i="63" s="1"/>
  <c r="AV85" i="63" s="1"/>
  <c r="N86" i="63" l="1"/>
  <c r="M86" i="63" s="1"/>
  <c r="L86" i="63" s="1"/>
  <c r="Z86" i="63" s="1"/>
  <c r="U85" i="63"/>
  <c r="O86" i="63"/>
  <c r="AT85" i="63"/>
  <c r="Q86" i="63" l="1"/>
  <c r="V86" i="63" s="1"/>
  <c r="AM86" i="63"/>
  <c r="AN86" i="63"/>
  <c r="AS86" i="63" s="1"/>
  <c r="P86" i="63" l="1"/>
  <c r="U86" i="63" s="1"/>
  <c r="W86" i="63" l="1"/>
  <c r="O87" i="63" s="1"/>
  <c r="AT86" i="63" l="1"/>
  <c r="N87" i="63"/>
  <c r="AU86" i="63"/>
  <c r="AV86" i="63" s="1"/>
  <c r="AN87" i="63"/>
  <c r="AS87" i="63" s="1"/>
  <c r="M87" i="63" l="1"/>
  <c r="L87" i="63" s="1"/>
  <c r="Q87" i="63"/>
  <c r="V87" i="63" l="1"/>
  <c r="P87" i="63"/>
  <c r="AM87" i="63"/>
  <c r="Z87" i="63"/>
  <c r="U87" i="63" l="1"/>
  <c r="W87" i="63"/>
  <c r="AT87" i="63" l="1"/>
  <c r="N88" i="63"/>
  <c r="AU87" i="63"/>
  <c r="AV87" i="63" s="1"/>
  <c r="O88" i="63"/>
  <c r="AN88" i="63" s="1"/>
  <c r="AS88" i="63" s="1"/>
  <c r="Q88" i="63" l="1"/>
  <c r="M88" i="63"/>
  <c r="L88" i="63" s="1"/>
  <c r="Z88" i="63" l="1"/>
  <c r="AM88" i="63"/>
  <c r="V88" i="63"/>
  <c r="P88" i="63"/>
  <c r="U88" i="63" l="1"/>
  <c r="W88" i="63"/>
  <c r="AT88" i="63" l="1"/>
  <c r="AU88" i="63"/>
  <c r="AV88" i="63" s="1"/>
  <c r="O89" i="63"/>
  <c r="AN89" i="63" s="1"/>
  <c r="AS89" i="63" s="1"/>
  <c r="N89" i="63"/>
  <c r="Q89" i="63" l="1"/>
  <c r="M89" i="63"/>
  <c r="L89" i="63" s="1"/>
  <c r="Z89" i="63" l="1"/>
  <c r="AM89" i="63"/>
  <c r="V89" i="63"/>
  <c r="P89" i="63"/>
  <c r="U89" i="63" l="1"/>
  <c r="W89" i="63"/>
  <c r="O90" i="63" l="1"/>
  <c r="AN90" i="63" s="1"/>
  <c r="AS90" i="63" s="1"/>
  <c r="N90" i="63"/>
  <c r="AT89" i="63"/>
  <c r="AU89" i="63"/>
  <c r="AV89" i="63" s="1"/>
  <c r="M90" i="63" l="1"/>
  <c r="L90" i="63" s="1"/>
  <c r="Q90" i="63"/>
  <c r="V90" i="63" l="1"/>
  <c r="P90" i="63"/>
  <c r="Z90" i="63"/>
  <c r="AM90" i="63"/>
  <c r="U90" i="63" l="1"/>
  <c r="W90" i="63"/>
  <c r="AU90" i="63" l="1"/>
  <c r="AV90" i="63" s="1"/>
  <c r="N91" i="63"/>
  <c r="O91" i="63"/>
  <c r="AN91" i="63" s="1"/>
  <c r="AS91" i="63" s="1"/>
  <c r="AT90" i="63"/>
  <c r="M91" i="63" l="1"/>
  <c r="L91" i="63" s="1"/>
  <c r="Q91" i="63"/>
  <c r="V91" i="63" l="1"/>
  <c r="P91" i="63"/>
  <c r="Z91" i="63"/>
  <c r="AM91" i="63"/>
  <c r="W91" i="63" l="1"/>
  <c r="U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Q93" i="63"/>
  <c r="V93" i="63" s="1"/>
  <c r="M93" i="63"/>
  <c r="L93" i="63" s="1"/>
  <c r="Z93" i="63" l="1"/>
  <c r="AM93" i="63"/>
  <c r="P93" i="63"/>
  <c r="U93" i="63" l="1"/>
  <c r="W93" i="63"/>
  <c r="AU93" i="63" l="1"/>
  <c r="AV93" i="63" s="1"/>
  <c r="AT93" i="63"/>
  <c r="N94" i="63"/>
  <c r="O94" i="63"/>
  <c r="AN94" i="63" l="1"/>
  <c r="AS94" i="63" s="1"/>
  <c r="M94" i="63"/>
  <c r="L94" i="63" s="1"/>
  <c r="Q94" i="63"/>
  <c r="V94" i="63" s="1"/>
  <c r="Z94" i="63" l="1"/>
  <c r="AM94" i="63"/>
  <c r="P94" i="63"/>
  <c r="U94" i="63" l="1"/>
  <c r="W94" i="63"/>
  <c r="N95" i="63" l="1"/>
  <c r="AU94" i="63"/>
  <c r="AV94" i="63" s="1"/>
  <c r="AT94" i="63"/>
  <c r="O95" i="63"/>
  <c r="AN95" i="63" l="1"/>
  <c r="AS95" i="63" s="1"/>
  <c r="Q95" i="63"/>
  <c r="V95" i="63" s="1"/>
  <c r="M95" i="63"/>
  <c r="L95" i="63" s="1"/>
  <c r="Z95" i="63" l="1"/>
  <c r="AM95" i="63"/>
  <c r="P95" i="63"/>
  <c r="U95" i="63" l="1"/>
  <c r="W95" i="63"/>
  <c r="AT95" i="63" l="1"/>
  <c r="O96" i="63"/>
  <c r="AU95" i="63"/>
  <c r="AV95" i="63" s="1"/>
  <c r="N96" i="63"/>
  <c r="Q96" i="63" l="1"/>
  <c r="V96" i="63" s="1"/>
  <c r="M96" i="63"/>
  <c r="L96" i="63" s="1"/>
  <c r="AN96" i="63"/>
  <c r="AS96" i="63" s="1"/>
  <c r="P96" i="63" l="1"/>
  <c r="U96" i="63" s="1"/>
  <c r="Z96" i="63"/>
  <c r="AM96" i="63"/>
  <c r="W96" i="63" l="1"/>
  <c r="O97" i="63" s="1"/>
  <c r="AU96" i="63" l="1"/>
  <c r="AV96" i="63" s="1"/>
  <c r="N97" i="63"/>
  <c r="M97" i="63" s="1"/>
  <c r="L97" i="63" s="1"/>
  <c r="AT96" i="63"/>
  <c r="Q97" i="63"/>
  <c r="V97" i="63" s="1"/>
  <c r="AN97" i="63"/>
  <c r="AS97" i="63" s="1"/>
  <c r="P97" i="63" l="1"/>
  <c r="U97" i="63" s="1"/>
  <c r="Z97" i="63"/>
  <c r="AM97" i="63"/>
  <c r="W97" i="63" l="1"/>
  <c r="O98" i="63" s="1"/>
  <c r="AU97" i="63" l="1"/>
  <c r="AV97" i="63" s="1"/>
  <c r="N98" i="63"/>
  <c r="M98" i="63" s="1"/>
  <c r="L98" i="63" s="1"/>
  <c r="AT97" i="63"/>
  <c r="AN98" i="63"/>
  <c r="AS98" i="63" s="1"/>
  <c r="Q98" i="63" l="1"/>
  <c r="V98" i="63" s="1"/>
  <c r="Z98" i="63"/>
  <c r="AM98" i="63"/>
  <c r="P98" i="63" l="1"/>
  <c r="U98" i="63" s="1"/>
  <c r="W98" i="63" l="1"/>
  <c r="AU98" i="63" l="1"/>
  <c r="AV98" i="63" s="1"/>
  <c r="AT98" i="63"/>
  <c r="N99" i="63"/>
  <c r="O99" i="63"/>
  <c r="AN99" i="63" s="1"/>
  <c r="AS99" i="63" s="1"/>
  <c r="M99" i="63" l="1"/>
  <c r="L99" i="63" s="1"/>
  <c r="Q99" i="63"/>
  <c r="P99" i="63" l="1"/>
  <c r="V99" i="63"/>
  <c r="Z99" i="63"/>
  <c r="AM99" i="63"/>
  <c r="W99" i="63" l="1"/>
  <c r="U99" i="63"/>
  <c r="N100" i="63" l="1"/>
  <c r="AT99" i="63"/>
  <c r="O100" i="63"/>
  <c r="AN100" i="63" s="1"/>
  <c r="AS100" i="63" s="1"/>
  <c r="AU99" i="63"/>
  <c r="AV99" i="63" s="1"/>
  <c r="Q100" i="63" l="1"/>
  <c r="M100" i="63"/>
  <c r="L100" i="63" s="1"/>
  <c r="AM100" i="63" l="1"/>
  <c r="Z100" i="63"/>
  <c r="P100" i="63"/>
  <c r="V100" i="63"/>
  <c r="U100" i="63" l="1"/>
  <c r="W100" i="63"/>
  <c r="AT100" i="63" l="1"/>
  <c r="AU100" i="63"/>
  <c r="AV100" i="63" s="1"/>
  <c r="O101" i="63"/>
  <c r="AN101" i="63" s="1"/>
  <c r="AS101" i="63" s="1"/>
  <c r="N101" i="63"/>
  <c r="M101" i="63" l="1"/>
  <c r="L101" i="63" s="1"/>
  <c r="Q101" i="63"/>
  <c r="P101" i="63" l="1"/>
  <c r="V101" i="63"/>
  <c r="Z101" i="63"/>
  <c r="AM101" i="63"/>
  <c r="U101" i="63" l="1"/>
  <c r="W101" i="63"/>
  <c r="N102" i="63" l="1"/>
  <c r="AU101" i="63"/>
  <c r="AV101" i="63" s="1"/>
  <c r="O102" i="63"/>
  <c r="AN102" i="63" s="1"/>
  <c r="AS102" i="63" s="1"/>
  <c r="AT101" i="63"/>
  <c r="M102" i="63" l="1"/>
  <c r="L102" i="63" s="1"/>
  <c r="Q102" i="63"/>
  <c r="V102" i="63" l="1"/>
  <c r="P102" i="63"/>
  <c r="Z102" i="63"/>
  <c r="AM102" i="63"/>
  <c r="U102" i="63" l="1"/>
  <c r="W102" i="63"/>
  <c r="AT102" i="63" l="1"/>
  <c r="O103" i="63"/>
  <c r="AN103" i="63" s="1"/>
  <c r="AS103" i="63" s="1"/>
  <c r="N103" i="63"/>
  <c r="AU102" i="63"/>
  <c r="AV102" i="63" s="1"/>
  <c r="M103" i="63" l="1"/>
  <c r="L103" i="63" s="1"/>
  <c r="Q103" i="63"/>
  <c r="V103" i="63" s="1"/>
  <c r="Z103" i="63" l="1"/>
  <c r="AM103" i="63"/>
  <c r="P103" i="63"/>
  <c r="U103" i="63" l="1"/>
  <c r="W103" i="63"/>
  <c r="O104" i="63" l="1"/>
  <c r="AN104" i="63" s="1"/>
  <c r="AS104" i="63" s="1"/>
  <c r="N104" i="63"/>
  <c r="AT103" i="63"/>
  <c r="AU103" i="63"/>
  <c r="AV103" i="63" s="1"/>
  <c r="Q104" i="63" l="1"/>
  <c r="M104" i="63"/>
  <c r="L104" i="63" s="1"/>
  <c r="Z104" i="63" l="1"/>
  <c r="AM104" i="63"/>
  <c r="V104" i="63"/>
  <c r="P104" i="63"/>
  <c r="U104" i="63" l="1"/>
  <c r="W104" i="63"/>
  <c r="O105" i="63" l="1"/>
  <c r="AN105" i="63" s="1"/>
  <c r="AS105" i="63" s="1"/>
  <c r="AU104" i="63"/>
  <c r="AV104" i="63" s="1"/>
  <c r="N105" i="63"/>
  <c r="AT104" i="63"/>
  <c r="M105" i="63" l="1"/>
  <c r="L105" i="63" s="1"/>
  <c r="Q105" i="63"/>
  <c r="V105" i="63" l="1"/>
  <c r="P105" i="63"/>
  <c r="AM105" i="63"/>
  <c r="Z105" i="63"/>
  <c r="W105" i="63" l="1"/>
  <c r="U105" i="63"/>
  <c r="AT105" i="63" l="1"/>
  <c r="O106" i="63"/>
  <c r="N106" i="63"/>
  <c r="AU105" i="63"/>
  <c r="AV105" i="63" s="1"/>
  <c r="M106" i="63" l="1"/>
  <c r="L106" i="63" s="1"/>
  <c r="Q106" i="63"/>
  <c r="V106" i="63" s="1"/>
  <c r="AN106" i="63"/>
  <c r="AS106" i="63" s="1"/>
  <c r="P106" i="63" l="1"/>
  <c r="U106" i="63" s="1"/>
  <c r="Z106" i="63"/>
  <c r="AM106" i="63"/>
  <c r="W106" i="63" l="1"/>
  <c r="O107" i="63" s="1"/>
  <c r="AN107" i="63" s="1"/>
  <c r="AS107" i="63" s="1"/>
  <c r="AU106" i="63" l="1"/>
  <c r="AV106" i="63" s="1"/>
  <c r="AT106" i="63"/>
  <c r="N107" i="63"/>
  <c r="Q107" i="63"/>
  <c r="M107" i="63"/>
  <c r="L107" i="63" s="1"/>
  <c r="Z107" i="63" l="1"/>
  <c r="AM107" i="63"/>
  <c r="V107" i="63"/>
  <c r="P107" i="63"/>
  <c r="U107" i="63" l="1"/>
  <c r="W107" i="63"/>
  <c r="AU107" i="63" l="1"/>
  <c r="AV107" i="63" s="1"/>
  <c r="AT107" i="63"/>
  <c r="N108" i="63"/>
  <c r="O108" i="63"/>
  <c r="AN108" i="63" s="1"/>
  <c r="AS108" i="63" s="1"/>
  <c r="M108" i="63" l="1"/>
  <c r="L108" i="63" s="1"/>
  <c r="Q108" i="63"/>
  <c r="V108" i="63" l="1"/>
  <c r="P108" i="63"/>
  <c r="AM108" i="63"/>
  <c r="Z108" i="63"/>
  <c r="U108" i="63" l="1"/>
  <c r="W108" i="63"/>
  <c r="N109" i="63" l="1"/>
  <c r="AU108" i="63"/>
  <c r="AV108" i="63" s="1"/>
  <c r="O109" i="63"/>
  <c r="AT108" i="63"/>
  <c r="AN109" i="63" l="1"/>
  <c r="AS109" i="63" s="1"/>
  <c r="Q109" i="63"/>
  <c r="V109" i="63" s="1"/>
  <c r="M109" i="63"/>
  <c r="L109" i="63" s="1"/>
  <c r="Z109" i="63" l="1"/>
  <c r="AM109" i="63"/>
  <c r="P109" i="63"/>
  <c r="U109" i="63" l="1"/>
  <c r="W109" i="63"/>
  <c r="N110" i="63" l="1"/>
  <c r="AT109" i="63"/>
  <c r="AU109" i="63"/>
  <c r="AV109" i="63" s="1"/>
  <c r="O110" i="63"/>
  <c r="AN110" i="63" l="1"/>
  <c r="AS110" i="63" s="1"/>
  <c r="Q110" i="63"/>
  <c r="V110" i="63" s="1"/>
  <c r="M110" i="63"/>
  <c r="L110" i="63" s="1"/>
  <c r="Z110" i="63" l="1"/>
  <c r="AM110" i="63"/>
  <c r="P110" i="63"/>
  <c r="U110" i="63" l="1"/>
  <c r="W110" i="63"/>
  <c r="AT110" i="63" l="1"/>
  <c r="AU110" i="63"/>
  <c r="AV110" i="63" s="1"/>
  <c r="N111" i="63"/>
  <c r="O111" i="63"/>
  <c r="AN111" i="63" l="1"/>
  <c r="AS111" i="63" s="1"/>
  <c r="Q111" i="63"/>
  <c r="V111" i="63" s="1"/>
  <c r="M111" i="63"/>
  <c r="L111" i="63" s="1"/>
  <c r="AM111" i="63" l="1"/>
  <c r="Z111" i="63"/>
  <c r="P111" i="63"/>
  <c r="U111" i="63" l="1"/>
  <c r="W111" i="63"/>
  <c r="AT111" i="63" l="1"/>
  <c r="O112" i="63"/>
  <c r="N112" i="63"/>
  <c r="AU111" i="63"/>
  <c r="AV111" i="63" s="1"/>
  <c r="Q112" i="63" l="1"/>
  <c r="V112" i="63" s="1"/>
  <c r="M112" i="63"/>
  <c r="L112" i="63" s="1"/>
  <c r="AN112" i="63"/>
  <c r="AS112" i="63" s="1"/>
  <c r="P112" i="63" l="1"/>
  <c r="W112" i="63" s="1"/>
  <c r="Z112" i="63"/>
  <c r="AM112" i="63"/>
  <c r="U112" i="63"/>
  <c r="AT112" i="63" l="1"/>
  <c r="N113" i="63"/>
  <c r="AU112" i="63"/>
  <c r="AV112" i="63" s="1"/>
  <c r="O113" i="63"/>
  <c r="AN113" i="63" l="1"/>
  <c r="AS113" i="63" s="1"/>
  <c r="Q113" i="63"/>
  <c r="V113" i="63" s="1"/>
  <c r="M113" i="63"/>
  <c r="L113" i="63" s="1"/>
  <c r="AM113" i="63" l="1"/>
  <c r="Z113" i="63"/>
  <c r="P113" i="63"/>
  <c r="U113" i="63" l="1"/>
  <c r="W113" i="63"/>
  <c r="O114" i="63" l="1"/>
  <c r="N114" i="63"/>
  <c r="AT113" i="63"/>
  <c r="AU113" i="63"/>
  <c r="AV113" i="63" s="1"/>
  <c r="Q114" i="63" l="1"/>
  <c r="V114" i="63" s="1"/>
  <c r="M114" i="63"/>
  <c r="L114" i="63" s="1"/>
  <c r="AN114" i="63"/>
  <c r="AS114" i="63" s="1"/>
  <c r="P114" i="63" l="1"/>
  <c r="U114" i="63" s="1"/>
  <c r="Z114" i="63"/>
  <c r="AM114" i="63"/>
  <c r="W114" i="63" l="1"/>
  <c r="AT114" i="63" s="1"/>
  <c r="O115" i="63"/>
  <c r="N115" i="63" l="1"/>
  <c r="AU114" i="63"/>
  <c r="AV114" i="63" s="1"/>
  <c r="M115" i="63"/>
  <c r="L115" i="63" s="1"/>
  <c r="Q115" i="63"/>
  <c r="V115" i="63" s="1"/>
  <c r="AN115" i="63"/>
  <c r="AS115" i="63" s="1"/>
  <c r="P115" i="63" l="1"/>
  <c r="U115" i="63"/>
  <c r="W115" i="63"/>
  <c r="Z115" i="63"/>
  <c r="AM115" i="63"/>
  <c r="AT115" i="63" l="1"/>
  <c r="N116" i="63"/>
  <c r="AU115" i="63"/>
  <c r="AV115" i="63" s="1"/>
  <c r="O116" i="63"/>
  <c r="AN116" i="63" s="1"/>
  <c r="AS116" i="63" s="1"/>
  <c r="M116" i="63" l="1"/>
  <c r="L116" i="63" s="1"/>
  <c r="Q116" i="63"/>
  <c r="V116" i="63" l="1"/>
  <c r="P116" i="63"/>
  <c r="Z116" i="63"/>
  <c r="AM116" i="63"/>
  <c r="U116" i="63" l="1"/>
  <c r="W116" i="63"/>
  <c r="AU116" i="63" l="1"/>
  <c r="AV116" i="63" s="1"/>
  <c r="N117" i="63"/>
  <c r="O117" i="63"/>
  <c r="AN117" i="63" s="1"/>
  <c r="AS117" i="63" s="1"/>
  <c r="AT116" i="63"/>
  <c r="M117" i="63" l="1"/>
  <c r="L117" i="63" s="1"/>
  <c r="Q117" i="63"/>
  <c r="V117" i="63" l="1"/>
  <c r="P117" i="63"/>
  <c r="AM117" i="63"/>
  <c r="Z117" i="63"/>
  <c r="W117" i="63" l="1"/>
  <c r="U117" i="63"/>
  <c r="N118" i="63" l="1"/>
  <c r="AU117" i="63"/>
  <c r="AV117" i="63" s="1"/>
  <c r="AT117" i="63"/>
  <c r="O118" i="63"/>
  <c r="AN118" i="63" s="1"/>
  <c r="AS118" i="63" s="1"/>
  <c r="Q118" i="63" l="1"/>
  <c r="M118" i="63"/>
  <c r="L118" i="63" s="1"/>
  <c r="Z118" i="63" l="1"/>
  <c r="AM118" i="63"/>
  <c r="V118" i="63"/>
  <c r="P118" i="63"/>
  <c r="U118" i="63" l="1"/>
  <c r="W118" i="63"/>
  <c r="O119" i="63" l="1"/>
  <c r="AN119" i="63" s="1"/>
  <c r="AS119" i="63" s="1"/>
  <c r="AT118" i="63"/>
  <c r="N119" i="63"/>
  <c r="AU118" i="63"/>
  <c r="AV118" i="63" s="1"/>
  <c r="Q119" i="63" l="1"/>
  <c r="M119" i="63"/>
  <c r="L119" i="63" s="1"/>
  <c r="Z119" i="63" l="1"/>
  <c r="AM119" i="63"/>
  <c r="V119" i="63"/>
  <c r="P119" i="63"/>
  <c r="W119" i="63" l="1"/>
  <c r="U119" i="63"/>
  <c r="AU119" i="63" l="1"/>
  <c r="AV119" i="63" s="1"/>
  <c r="AT119" i="63"/>
  <c r="N120" i="63"/>
  <c r="O120" i="63"/>
  <c r="AN120" i="63" s="1"/>
  <c r="AS120" i="63" s="1"/>
  <c r="M120" i="63" l="1"/>
  <c r="L120" i="63" s="1"/>
  <c r="Q120" i="63"/>
  <c r="V120" i="63" s="1"/>
  <c r="Z120" i="63" l="1"/>
  <c r="AM120" i="63"/>
  <c r="P120" i="63"/>
  <c r="U120" i="63" l="1"/>
  <c r="W120" i="63"/>
  <c r="AT120" i="63" l="1"/>
  <c r="O121" i="63"/>
  <c r="AN121" i="63" s="1"/>
  <c r="AS121" i="63" s="1"/>
  <c r="AU120" i="63"/>
  <c r="AV120" i="63" s="1"/>
  <c r="N121" i="63"/>
  <c r="M121" i="63" l="1"/>
  <c r="L121" i="63" s="1"/>
  <c r="Q121" i="63"/>
  <c r="V121" i="63" l="1"/>
  <c r="P121" i="63"/>
  <c r="Z121" i="63"/>
  <c r="AM121" i="63"/>
  <c r="U121" i="63" l="1"/>
  <c r="W121" i="63"/>
  <c r="N122" i="63" l="1"/>
  <c r="AU121" i="63"/>
  <c r="AV121" i="63" s="1"/>
  <c r="O122" i="63"/>
  <c r="AN122" i="63" s="1"/>
  <c r="AS122" i="63" s="1"/>
  <c r="AT121" i="63"/>
  <c r="M122" i="63" l="1"/>
  <c r="L122" i="63" s="1"/>
  <c r="Q122" i="63"/>
  <c r="V122" i="63" l="1"/>
  <c r="P122" i="63"/>
  <c r="AM122" i="63"/>
  <c r="Z122" i="63"/>
  <c r="U122" i="63" l="1"/>
  <c r="W122" i="63"/>
  <c r="AT122" i="63" l="1"/>
  <c r="O123" i="63"/>
  <c r="AN123" i="63" s="1"/>
  <c r="AS123" i="63" s="1"/>
  <c r="N123" i="63"/>
  <c r="AU122" i="63"/>
  <c r="AV122" i="63" s="1"/>
  <c r="M123" i="63" l="1"/>
  <c r="L123" i="63" s="1"/>
  <c r="Q123" i="63"/>
  <c r="V123" i="63" l="1"/>
  <c r="P123" i="63"/>
  <c r="AM123" i="63"/>
  <c r="Z123" i="63"/>
  <c r="U123" i="63" l="1"/>
  <c r="W123" i="63"/>
  <c r="AT123" i="63" l="1"/>
  <c r="AU123" i="63"/>
  <c r="AV123" i="63" s="1"/>
  <c r="N124" i="63"/>
  <c r="O124" i="63"/>
  <c r="AN124" i="63" s="1"/>
  <c r="AS124" i="63" s="1"/>
  <c r="M124" i="63" l="1"/>
  <c r="L124" i="63" s="1"/>
  <c r="Q124" i="63"/>
  <c r="V124" i="63" l="1"/>
  <c r="P124" i="63"/>
  <c r="Z124" i="63"/>
  <c r="AM124" i="63"/>
  <c r="U124" i="63" l="1"/>
  <c r="W124" i="63"/>
  <c r="AT124" i="63" l="1"/>
  <c r="O125" i="63"/>
  <c r="AN125" i="63" s="1"/>
  <c r="AS125" i="63" s="1"/>
  <c r="AU124" i="63"/>
  <c r="AV124" i="63" s="1"/>
  <c r="N125" i="63"/>
  <c r="Q125" i="63" l="1"/>
  <c r="M125" i="63"/>
  <c r="L125" i="63" s="1"/>
  <c r="AM125" i="63" l="1"/>
  <c r="Z125" i="63"/>
  <c r="V125" i="63"/>
  <c r="P125" i="63"/>
  <c r="U125" i="63" l="1"/>
  <c r="W125" i="63"/>
  <c r="AT125" i="63" l="1"/>
  <c r="AU125" i="63"/>
  <c r="AV125" i="63" s="1"/>
  <c r="O126" i="63"/>
  <c r="N126" i="63"/>
  <c r="Q126" i="63" l="1"/>
  <c r="V126" i="63" s="1"/>
  <c r="M126" i="63"/>
  <c r="L126" i="63" s="1"/>
  <c r="AN126" i="63"/>
  <c r="AS126" i="63" s="1"/>
  <c r="P126" i="63" l="1"/>
  <c r="U126" i="63" s="1"/>
  <c r="AM126" i="63"/>
  <c r="Z126" i="63"/>
  <c r="W126" i="63" l="1"/>
  <c r="N127" i="63"/>
  <c r="O127" i="63"/>
  <c r="AU126" i="63"/>
  <c r="AV126" i="63" s="1"/>
  <c r="AT126" i="63"/>
  <c r="AN127" i="63" l="1"/>
  <c r="AS127" i="63" s="1"/>
  <c r="Q127" i="63"/>
  <c r="V127" i="63" s="1"/>
  <c r="M127" i="63"/>
  <c r="L127" i="63" s="1"/>
  <c r="Z127" i="63" l="1"/>
  <c r="AM127" i="63"/>
  <c r="P127" i="63"/>
  <c r="U127" i="63" l="1"/>
  <c r="W127" i="63"/>
  <c r="AU127" i="63" l="1"/>
  <c r="AV127" i="63" s="1"/>
  <c r="AT127" i="63"/>
  <c r="N128" i="63"/>
  <c r="O128" i="63"/>
  <c r="AN128" i="63" l="1"/>
  <c r="AS128" i="63" s="1"/>
  <c r="M128" i="63"/>
  <c r="L128" i="63" s="1"/>
  <c r="Q128" i="63"/>
  <c r="V128" i="63" s="1"/>
  <c r="Z128" i="63" l="1"/>
  <c r="AM128" i="63"/>
  <c r="P128" i="63"/>
  <c r="U128" i="63" l="1"/>
  <c r="W128" i="63"/>
  <c r="N129" i="63" l="1"/>
  <c r="AT128" i="63"/>
  <c r="AU128" i="63"/>
  <c r="AV128" i="63" s="1"/>
  <c r="O129" i="63"/>
  <c r="AN129" i="63" l="1"/>
  <c r="AS129" i="63" s="1"/>
  <c r="Q129" i="63"/>
  <c r="V129" i="63" s="1"/>
  <c r="M129" i="63"/>
  <c r="L129" i="63" s="1"/>
  <c r="Z129" i="63" l="1"/>
  <c r="AM129" i="63"/>
  <c r="P129" i="63"/>
  <c r="U129" i="63" l="1"/>
  <c r="W129" i="63"/>
  <c r="AT129" i="63" l="1"/>
  <c r="N130" i="63"/>
  <c r="AU129" i="63"/>
  <c r="AV129" i="63" s="1"/>
  <c r="O130" i="63"/>
  <c r="AN130" i="63" l="1"/>
  <c r="AS130" i="63" s="1"/>
  <c r="Q130" i="63"/>
  <c r="V130" i="63" s="1"/>
  <c r="M130" i="63"/>
  <c r="L130" i="63" s="1"/>
  <c r="Z130" i="63" l="1"/>
  <c r="AM130" i="63"/>
  <c r="P130" i="63"/>
  <c r="U130" i="63" l="1"/>
  <c r="W130" i="63"/>
  <c r="AU130" i="63" l="1"/>
  <c r="AV130" i="63" s="1"/>
  <c r="AT130" i="63"/>
  <c r="N131" i="63"/>
  <c r="O131" i="63"/>
  <c r="M131" i="63" l="1"/>
  <c r="L131" i="63" s="1"/>
  <c r="Q131" i="63"/>
  <c r="V131" i="63" s="1"/>
  <c r="AN131" i="63"/>
  <c r="AS131" i="63" s="1"/>
  <c r="P131" i="63" l="1"/>
  <c r="U131" i="63" s="1"/>
  <c r="W131" i="63"/>
  <c r="AM131" i="63"/>
  <c r="Z131" i="63"/>
  <c r="AT131" i="63" l="1"/>
  <c r="AU131" i="63"/>
  <c r="AV131" i="63" s="1"/>
  <c r="O132" i="63"/>
  <c r="N132" i="63"/>
  <c r="AN132" i="63" l="1"/>
  <c r="AS132" i="63" s="1"/>
  <c r="Q132" i="63"/>
  <c r="V132" i="63" s="1"/>
  <c r="M132" i="63"/>
  <c r="L132" i="63" s="1"/>
  <c r="Z132" i="63" l="1"/>
  <c r="AM132" i="63"/>
  <c r="P132" i="63"/>
  <c r="U132" i="63" l="1"/>
  <c r="W132" i="63"/>
  <c r="AT132" i="63" l="1"/>
  <c r="N133" i="63"/>
  <c r="AU132" i="63"/>
  <c r="AV132" i="63" s="1"/>
  <c r="O133" i="63"/>
  <c r="AN133" i="63" l="1"/>
  <c r="AS133" i="63" s="1"/>
  <c r="Q133" i="63"/>
  <c r="V133" i="63" s="1"/>
  <c r="M133" i="63"/>
  <c r="L133" i="63" s="1"/>
  <c r="AM133" i="63" l="1"/>
  <c r="Z133" i="63"/>
  <c r="P133" i="63"/>
  <c r="W133" i="63" l="1"/>
  <c r="U133" i="63"/>
  <c r="AU133" i="63" l="1"/>
  <c r="AV133" i="63" s="1"/>
  <c r="N134" i="63"/>
  <c r="O134" i="63"/>
  <c r="AT133" i="63"/>
  <c r="M134" i="63" l="1"/>
  <c r="L134" i="63" s="1"/>
  <c r="Q134" i="63"/>
  <c r="V134" i="63" s="1"/>
  <c r="AN134" i="63"/>
  <c r="AS134" i="63" s="1"/>
  <c r="P134" i="63" l="1"/>
  <c r="U134" i="63" s="1"/>
  <c r="Z134" i="63"/>
  <c r="AM134" i="63"/>
  <c r="W134" i="63" l="1"/>
  <c r="AT134" i="63" s="1"/>
  <c r="O135" i="63"/>
  <c r="AU134" i="63" l="1"/>
  <c r="AV134" i="63" s="1"/>
  <c r="N135" i="63"/>
  <c r="M135" i="63" s="1"/>
  <c r="L135" i="63" s="1"/>
  <c r="AN135" i="63"/>
  <c r="AS135" i="63" s="1"/>
  <c r="Q135" i="63" l="1"/>
  <c r="V135" i="63" s="1"/>
  <c r="Z135" i="63"/>
  <c r="AM135" i="63"/>
  <c r="P135" i="63" l="1"/>
  <c r="U135" i="63" s="1"/>
  <c r="W135" i="63" l="1"/>
  <c r="AU135" i="63"/>
  <c r="AV135" i="63" s="1"/>
  <c r="N136" i="63"/>
  <c r="O136" i="63"/>
  <c r="AT135" i="63"/>
  <c r="AN136" i="63" l="1"/>
  <c r="AS136" i="63" s="1"/>
  <c r="M136" i="63"/>
  <c r="L136" i="63" s="1"/>
  <c r="Q136" i="63"/>
  <c r="V136" i="63" s="1"/>
  <c r="Z136" i="63" l="1"/>
  <c r="AM136" i="63"/>
  <c r="P136" i="63"/>
  <c r="W136" i="63" l="1"/>
  <c r="U136" i="63"/>
  <c r="AT136" i="63" l="1"/>
  <c r="AU136" i="63"/>
  <c r="AV136" i="63" s="1"/>
  <c r="N137" i="63"/>
  <c r="O137" i="63"/>
  <c r="AN137" i="63" l="1"/>
  <c r="AS137" i="63" s="1"/>
  <c r="Q137" i="63"/>
  <c r="V137" i="63" s="1"/>
  <c r="M137" i="63"/>
  <c r="L137" i="63" s="1"/>
  <c r="Z137" i="63" l="1"/>
  <c r="AM137" i="63"/>
  <c r="P137" i="63"/>
  <c r="U137" i="63" l="1"/>
  <c r="W137" i="63"/>
  <c r="AU137" i="63" l="1"/>
  <c r="AV137" i="63" s="1"/>
  <c r="O138" i="63"/>
  <c r="N138" i="63"/>
  <c r="AT137" i="63"/>
  <c r="M138" i="63" l="1"/>
  <c r="L138" i="63" s="1"/>
  <c r="Q138" i="63"/>
  <c r="V138" i="63" s="1"/>
  <c r="AN138" i="63"/>
  <c r="AS138" i="63" s="1"/>
  <c r="P138" i="63" l="1"/>
  <c r="U138" i="63" s="1"/>
  <c r="AM138" i="63"/>
  <c r="Z138" i="63"/>
  <c r="W138" i="63" l="1"/>
  <c r="AT138" i="63" s="1"/>
  <c r="N139" i="63"/>
  <c r="AU138" i="63"/>
  <c r="AV138" i="63" s="1"/>
  <c r="O139" i="63" l="1"/>
  <c r="Q139" i="63"/>
  <c r="V139" i="63" s="1"/>
  <c r="M139" i="63"/>
  <c r="L139" i="63" s="1"/>
  <c r="AN139" i="63"/>
  <c r="AS139" i="63" s="1"/>
  <c r="P139" i="63" l="1"/>
  <c r="W139" i="63" s="1"/>
  <c r="AM139" i="63"/>
  <c r="Z139" i="63"/>
  <c r="U139" i="63" l="1"/>
  <c r="N140" i="63"/>
  <c r="AU139" i="63"/>
  <c r="AV139" i="63" s="1"/>
  <c r="AT139" i="63"/>
  <c r="O140" i="63"/>
  <c r="AN140" i="63" s="1"/>
  <c r="AS140" i="63" s="1"/>
  <c r="M140" i="63" l="1"/>
  <c r="L140" i="63" s="1"/>
  <c r="Q140" i="63"/>
  <c r="V140" i="63" l="1"/>
  <c r="P140" i="63"/>
  <c r="Z140" i="63"/>
  <c r="AM140" i="63"/>
  <c r="U140" i="63" l="1"/>
  <c r="W140" i="63"/>
  <c r="N141" i="63" l="1"/>
  <c r="AT140" i="63"/>
  <c r="AU140" i="63"/>
  <c r="AV140" i="63" s="1"/>
  <c r="O141" i="63"/>
  <c r="AN141" i="63" s="1"/>
  <c r="AS141" i="63" s="1"/>
  <c r="Q141" i="63" l="1"/>
  <c r="M141" i="63"/>
  <c r="L141" i="63" s="1"/>
  <c r="AM141" i="63" l="1"/>
  <c r="Z141" i="63"/>
  <c r="V141" i="63"/>
  <c r="P141" i="63"/>
  <c r="U141" i="63" l="1"/>
  <c r="W141" i="63"/>
  <c r="O142" i="63" l="1"/>
  <c r="AN142" i="63" s="1"/>
  <c r="AS142" i="63" s="1"/>
  <c r="N142" i="63"/>
  <c r="AT141" i="63"/>
  <c r="AU141" i="63"/>
  <c r="AV141" i="63" s="1"/>
  <c r="M142" i="63" l="1"/>
  <c r="L142" i="63" s="1"/>
  <c r="Q142" i="63"/>
  <c r="V142" i="63" l="1"/>
  <c r="P142" i="63"/>
  <c r="Z142" i="63"/>
  <c r="AM142" i="63"/>
  <c r="U142" i="63" l="1"/>
  <c r="W142" i="63"/>
  <c r="AT142" i="63" l="1"/>
  <c r="N143" i="63"/>
  <c r="AU142" i="63"/>
  <c r="AV142" i="63" s="1"/>
  <c r="O143" i="63"/>
  <c r="AN143" i="63" l="1"/>
  <c r="AS143" i="63" s="1"/>
  <c r="M143" i="63"/>
  <c r="L143" i="63" s="1"/>
  <c r="Q143" i="63"/>
  <c r="V143" i="63" s="1"/>
  <c r="Z143" i="63" l="1"/>
  <c r="AM143" i="63"/>
  <c r="P143" i="63"/>
  <c r="W143" i="63" l="1"/>
  <c r="U143" i="63"/>
  <c r="N144" i="63" l="1"/>
  <c r="O144" i="63"/>
  <c r="AT143" i="63"/>
  <c r="AU143" i="63"/>
  <c r="AV143" i="63" s="1"/>
  <c r="AN144" i="63" l="1"/>
  <c r="AS144" i="63" s="1"/>
  <c r="Q144" i="63"/>
  <c r="V144" i="63" s="1"/>
  <c r="M144" i="63"/>
  <c r="L144" i="63" s="1"/>
  <c r="Z144" i="63" l="1"/>
  <c r="AM144" i="63"/>
  <c r="P144" i="63"/>
  <c r="U144" i="63" l="1"/>
  <c r="W144" i="63"/>
  <c r="N145" i="63" l="1"/>
  <c r="AT144" i="63"/>
  <c r="AU144" i="63"/>
  <c r="AV144" i="63" s="1"/>
  <c r="O145" i="63"/>
  <c r="AN145" i="63" l="1"/>
  <c r="AS145" i="63" s="1"/>
  <c r="M145" i="63"/>
  <c r="L145" i="63" s="1"/>
  <c r="Q145" i="63"/>
  <c r="V145" i="63" s="1"/>
  <c r="AM145" i="63" l="1"/>
  <c r="Z145" i="63"/>
  <c r="P145" i="63"/>
  <c r="U145" i="63" l="1"/>
  <c r="W145" i="63"/>
  <c r="AU145" i="63" l="1"/>
  <c r="AV145" i="63" s="1"/>
  <c r="AT145" i="63"/>
  <c r="O146" i="63"/>
  <c r="N146" i="63"/>
  <c r="M146" i="63" l="1"/>
  <c r="L146" i="63" s="1"/>
  <c r="Q146" i="63"/>
  <c r="V146" i="63" s="1"/>
  <c r="AN146" i="63"/>
  <c r="AS146" i="63" s="1"/>
  <c r="P146" i="63" l="1"/>
  <c r="Z146" i="63"/>
  <c r="AM146" i="63"/>
  <c r="U146" i="63" l="1"/>
  <c r="W146" i="63"/>
  <c r="N147" i="63" l="1"/>
  <c r="AU146" i="63"/>
  <c r="AV146" i="63" s="1"/>
  <c r="AT146" i="63"/>
  <c r="O147" i="63"/>
  <c r="AN147" i="63" l="1"/>
  <c r="AS147" i="63" s="1"/>
  <c r="M147" i="63"/>
  <c r="L147" i="63" s="1"/>
  <c r="Q147" i="63"/>
  <c r="V147" i="63" s="1"/>
  <c r="AM147" i="63" l="1"/>
  <c r="Z147" i="63"/>
  <c r="P147" i="63"/>
  <c r="U147" i="63" l="1"/>
  <c r="W147" i="63"/>
  <c r="O148" i="63" l="1"/>
  <c r="AU147" i="63"/>
  <c r="AV147" i="63" s="1"/>
  <c r="AT147" i="63"/>
  <c r="N148" i="63"/>
  <c r="M148" i="63" l="1"/>
  <c r="L148" i="63" s="1"/>
  <c r="Q148" i="63"/>
  <c r="V148" i="63" s="1"/>
  <c r="AN148" i="63"/>
  <c r="AS148" i="63" s="1"/>
  <c r="P148" i="63" l="1"/>
  <c r="Z148" i="63"/>
  <c r="AM148" i="63"/>
  <c r="U148" i="63" l="1"/>
  <c r="W148" i="63"/>
  <c r="AU148" i="63" l="1"/>
  <c r="AV148" i="63" s="1"/>
  <c r="AT148" i="63"/>
  <c r="N149" i="63"/>
  <c r="O149" i="63"/>
  <c r="M149" i="63" l="1"/>
  <c r="L149" i="63" s="1"/>
  <c r="Q149" i="63"/>
  <c r="V149" i="63" s="1"/>
  <c r="AN149" i="63"/>
  <c r="AS149" i="63" s="1"/>
  <c r="P149" i="63" l="1"/>
  <c r="W149" i="63" s="1"/>
  <c r="Z149" i="63"/>
  <c r="AM149" i="63"/>
  <c r="U149" i="63" l="1"/>
  <c r="N150" i="63"/>
  <c r="O150" i="63"/>
  <c r="AT149" i="63"/>
  <c r="AU149" i="63"/>
  <c r="AV149" i="63" s="1"/>
  <c r="AN150" i="63" l="1"/>
  <c r="AS150" i="63" s="1"/>
  <c r="M150" i="63"/>
  <c r="L150" i="63" s="1"/>
  <c r="Q150" i="63"/>
  <c r="V150" i="63" s="1"/>
  <c r="Z150" i="63" l="1"/>
  <c r="AM150" i="63"/>
  <c r="P150" i="63"/>
  <c r="U150" i="63" l="1"/>
  <c r="W150" i="63"/>
  <c r="O151" i="63" l="1"/>
  <c r="AT150" i="63"/>
  <c r="AU150" i="63"/>
  <c r="AV150" i="63" s="1"/>
  <c r="N151" i="63"/>
  <c r="M151" i="63" l="1"/>
  <c r="L151" i="63" s="1"/>
  <c r="Q151" i="63"/>
  <c r="V151" i="63" s="1"/>
  <c r="AN151" i="63"/>
  <c r="AS151" i="63" s="1"/>
  <c r="P151" i="63" l="1"/>
  <c r="U151" i="63" s="1"/>
  <c r="Z151" i="63"/>
  <c r="AM151" i="63"/>
  <c r="W151" i="63" l="1"/>
  <c r="AT151" i="63" s="1"/>
  <c r="N152" i="63" l="1"/>
  <c r="Q152" i="63" s="1"/>
  <c r="V152" i="63" s="1"/>
  <c r="O152" i="63"/>
  <c r="AU151" i="63"/>
  <c r="AV151" i="63" s="1"/>
  <c r="AN152" i="63"/>
  <c r="AS152" i="63" s="1"/>
  <c r="M152" i="63" l="1"/>
  <c r="L152" i="63" s="1"/>
  <c r="AM152" i="63" s="1"/>
  <c r="P152" i="63"/>
  <c r="Z152" i="63" l="1"/>
  <c r="U152" i="63"/>
  <c r="W152" i="63"/>
  <c r="AT152" i="63" l="1"/>
  <c r="N153" i="63"/>
  <c r="AU152" i="63"/>
  <c r="AV152" i="63" s="1"/>
  <c r="O153" i="63"/>
  <c r="AN153" i="63" l="1"/>
  <c r="AS153" i="63" s="1"/>
  <c r="Q153" i="63"/>
  <c r="V153" i="63" s="1"/>
  <c r="M153" i="63"/>
  <c r="L153" i="63" s="1"/>
  <c r="Z153" i="63" l="1"/>
  <c r="AM153" i="63"/>
  <c r="P153" i="63"/>
  <c r="U153" i="63" l="1"/>
  <c r="W153" i="63"/>
  <c r="AT153" i="63" l="1"/>
  <c r="O154" i="63"/>
  <c r="AU153" i="63"/>
  <c r="AV153" i="63" s="1"/>
  <c r="N154" i="63"/>
  <c r="M154" i="63" l="1"/>
  <c r="L154" i="63" s="1"/>
  <c r="Q154" i="63"/>
  <c r="V154" i="63" s="1"/>
  <c r="AN154" i="63"/>
  <c r="AS154" i="63" s="1"/>
  <c r="P154" i="63" l="1"/>
  <c r="U154" i="63" s="1"/>
  <c r="Z154" i="63"/>
  <c r="AM154" i="63"/>
  <c r="W154" i="63" l="1"/>
  <c r="N155" i="63" s="1"/>
  <c r="AT154" i="63" l="1"/>
  <c r="AU154" i="63"/>
  <c r="AV154" i="63" s="1"/>
  <c r="O155" i="63"/>
  <c r="AN155" i="63"/>
  <c r="AS155" i="63" s="1"/>
  <c r="Q155" i="63"/>
  <c r="V155" i="63" s="1"/>
  <c r="M155" i="63"/>
  <c r="L155" i="63" s="1"/>
  <c r="Z155" i="63" l="1"/>
  <c r="AM155" i="63"/>
  <c r="P155" i="63"/>
  <c r="U155" i="63" l="1"/>
  <c r="W155" i="63"/>
  <c r="O156" i="63" l="1"/>
  <c r="AT155" i="63"/>
  <c r="AU155" i="63"/>
  <c r="AV155" i="63" s="1"/>
  <c r="N156" i="63"/>
  <c r="M156" i="63" l="1"/>
  <c r="L156" i="63" s="1"/>
  <c r="Q156" i="63"/>
  <c r="V156" i="63" s="1"/>
  <c r="AN156" i="63"/>
  <c r="AS156" i="63" s="1"/>
  <c r="P156" i="63" l="1"/>
  <c r="U156" i="63" s="1"/>
  <c r="AM156" i="63"/>
  <c r="Z156" i="63"/>
  <c r="W156" i="63" l="1"/>
  <c r="O157" i="63" s="1"/>
  <c r="N157" i="63" l="1"/>
  <c r="AT156" i="63"/>
  <c r="AU156" i="63"/>
  <c r="AV156" i="63" s="1"/>
  <c r="Q157" i="63"/>
  <c r="V157" i="63" s="1"/>
  <c r="M157" i="63"/>
  <c r="L157" i="63" s="1"/>
  <c r="AN157" i="63"/>
  <c r="AS157" i="63" s="1"/>
  <c r="P157" i="63"/>
  <c r="Z157" i="63" l="1"/>
  <c r="AM157" i="63"/>
  <c r="W157" i="63"/>
  <c r="U157" i="63"/>
  <c r="N158" i="63" l="1"/>
  <c r="AU157" i="63"/>
  <c r="AV157" i="63" s="1"/>
  <c r="O158" i="63"/>
  <c r="AN158" i="63" s="1"/>
  <c r="AS158" i="63" s="1"/>
  <c r="AT157" i="63"/>
  <c r="M158" i="63" l="1"/>
  <c r="L158" i="63" s="1"/>
  <c r="Q158" i="63"/>
  <c r="V158" i="63" l="1"/>
  <c r="P158" i="63"/>
  <c r="AM158" i="63"/>
  <c r="Z158" i="63"/>
  <c r="U158" i="63" l="1"/>
  <c r="W158" i="63"/>
  <c r="AU158" i="63" l="1"/>
  <c r="AV158" i="63" s="1"/>
  <c r="N159" i="63"/>
  <c r="O159" i="63"/>
  <c r="AN159" i="63" s="1"/>
  <c r="AS159" i="63" s="1"/>
  <c r="AT158" i="63"/>
  <c r="Q159" i="63" l="1"/>
  <c r="M159" i="63"/>
  <c r="L159" i="63" s="1"/>
  <c r="Z159" i="63" l="1"/>
  <c r="AM159" i="63"/>
  <c r="V159" i="63"/>
  <c r="P159" i="63"/>
  <c r="U159" i="63" l="1"/>
  <c r="W159" i="63"/>
  <c r="AU159" i="63" l="1"/>
  <c r="AV159" i="63" s="1"/>
  <c r="N160" i="63"/>
  <c r="O160" i="63"/>
  <c r="AN160" i="63" s="1"/>
  <c r="AS160" i="63" s="1"/>
  <c r="AT159" i="63"/>
  <c r="Q160" i="63" l="1"/>
  <c r="M160" i="63"/>
  <c r="L160" i="63" s="1"/>
  <c r="Z160" i="63" l="1"/>
  <c r="AM160" i="63"/>
  <c r="V160" i="63"/>
  <c r="P160" i="63"/>
  <c r="W160" i="63" l="1"/>
  <c r="U160" i="63"/>
  <c r="AU160" i="63" l="1"/>
  <c r="AV160" i="63" s="1"/>
  <c r="AT160" i="63"/>
  <c r="O161" i="63"/>
  <c r="AN161" i="63" s="1"/>
  <c r="AS161" i="63" s="1"/>
  <c r="N161" i="63"/>
  <c r="M161" i="63" l="1"/>
  <c r="L161" i="63" s="1"/>
  <c r="Q161" i="63"/>
  <c r="V161" i="63" l="1"/>
  <c r="P161" i="63"/>
  <c r="AM161" i="63"/>
  <c r="Z161" i="63"/>
  <c r="U161" i="63" l="1"/>
  <c r="W161" i="63"/>
  <c r="AT161" i="63" l="1"/>
  <c r="N162" i="63"/>
  <c r="AU161" i="63"/>
  <c r="AV161" i="63" s="1"/>
  <c r="O162" i="63"/>
  <c r="AN162" i="63" l="1"/>
  <c r="AS162" i="63" s="1"/>
  <c r="Q162" i="63"/>
  <c r="V162" i="63" s="1"/>
  <c r="M162" i="63"/>
  <c r="L162" i="63" s="1"/>
  <c r="AM162" i="63" l="1"/>
  <c r="Z162" i="63"/>
  <c r="P162" i="63"/>
  <c r="U162" i="63" l="1"/>
  <c r="W162" i="63"/>
  <c r="AT162" i="63" l="1"/>
  <c r="N163" i="63"/>
  <c r="O163" i="63"/>
  <c r="AU162" i="63"/>
  <c r="AV162" i="63" s="1"/>
  <c r="AN163" i="63" l="1"/>
  <c r="AS163" i="63" s="1"/>
  <c r="M163" i="63"/>
  <c r="L163" i="63" s="1"/>
  <c r="Q163" i="63"/>
  <c r="V163" i="63" s="1"/>
  <c r="Z163" i="63" l="1"/>
  <c r="AM163" i="63"/>
  <c r="P163" i="63"/>
  <c r="U163" i="63" l="1"/>
  <c r="W163" i="63"/>
  <c r="AU163" i="63" l="1"/>
  <c r="AV163" i="63" s="1"/>
  <c r="O164" i="63"/>
  <c r="N164" i="63"/>
  <c r="AT163" i="63"/>
  <c r="Q164" i="63" l="1"/>
  <c r="V164" i="63" s="1"/>
  <c r="M164" i="63"/>
  <c r="L164" i="63" s="1"/>
  <c r="AN164" i="63"/>
  <c r="AS164" i="63" s="1"/>
  <c r="P164" i="63" l="1"/>
  <c r="U164" i="63" s="1"/>
  <c r="Z164" i="63"/>
  <c r="AM164" i="63"/>
  <c r="W164" i="63" l="1"/>
  <c r="O165" i="63"/>
  <c r="AN165" i="63" s="1"/>
  <c r="AS165" i="63" s="1"/>
  <c r="AU164" i="63"/>
  <c r="AV164" i="63" s="1"/>
  <c r="N165" i="63"/>
  <c r="AT164" i="63"/>
  <c r="M165" i="63" l="1"/>
  <c r="L165" i="63" s="1"/>
  <c r="Q165" i="63"/>
  <c r="V165" i="63" s="1"/>
  <c r="Z165" i="63" l="1"/>
  <c r="AM165" i="63"/>
  <c r="P165" i="63"/>
  <c r="U165" i="63" l="1"/>
  <c r="W165" i="63"/>
  <c r="AT165" i="63" l="1"/>
  <c r="N166" i="63"/>
  <c r="AU165" i="63"/>
  <c r="AV165" i="63" s="1"/>
  <c r="O166" i="63"/>
  <c r="AN166" i="63" s="1"/>
  <c r="AS166" i="63" s="1"/>
  <c r="M166" i="63" l="1"/>
  <c r="L166" i="63" s="1"/>
  <c r="Q166" i="63"/>
  <c r="V166" i="63" l="1"/>
  <c r="P166" i="63"/>
  <c r="Z166" i="63"/>
  <c r="AM166" i="63"/>
  <c r="U166" i="63" l="1"/>
  <c r="W166" i="63"/>
  <c r="AU166" i="63" l="1"/>
  <c r="AV166" i="63" s="1"/>
  <c r="N167" i="63"/>
  <c r="AT166" i="63"/>
  <c r="O167" i="63"/>
  <c r="AN167" i="63" s="1"/>
  <c r="AS167" i="63" s="1"/>
  <c r="Q167" i="63" l="1"/>
  <c r="M167" i="63"/>
  <c r="L167" i="63" s="1"/>
  <c r="Z167" i="63" l="1"/>
  <c r="AM167" i="63"/>
  <c r="V167" i="63"/>
  <c r="P167" i="63"/>
  <c r="U167" i="63" l="1"/>
  <c r="W167" i="63"/>
  <c r="N168" i="63" l="1"/>
  <c r="AU167" i="63"/>
  <c r="AV167" i="63" s="1"/>
  <c r="O168" i="63"/>
  <c r="AN168" i="63" s="1"/>
  <c r="AS168" i="63" s="1"/>
  <c r="AT167" i="63"/>
  <c r="Q168" i="63" l="1"/>
  <c r="M168" i="63"/>
  <c r="L168" i="63" s="1"/>
  <c r="Z168" i="63" l="1"/>
  <c r="AM168" i="63"/>
  <c r="V168" i="63"/>
  <c r="P168" i="63"/>
  <c r="W168" i="63" l="1"/>
  <c r="U168" i="63"/>
  <c r="N169" i="63" l="1"/>
  <c r="AT168" i="63"/>
  <c r="O169" i="63"/>
  <c r="AN169" i="63" s="1"/>
  <c r="AS169" i="63" s="1"/>
  <c r="AU168" i="63"/>
  <c r="AV168" i="63" s="1"/>
  <c r="Q169" i="63" l="1"/>
  <c r="M169" i="63"/>
  <c r="L169" i="63" s="1"/>
  <c r="AM169" i="63" l="1"/>
  <c r="Z169" i="63"/>
  <c r="P169" i="63"/>
  <c r="V169" i="63"/>
  <c r="U169" i="63" l="1"/>
  <c r="W169" i="63"/>
  <c r="AT169" i="63" l="1"/>
  <c r="O170" i="63"/>
  <c r="AN170" i="63" s="1"/>
  <c r="AS170" i="63" s="1"/>
  <c r="AU169" i="63"/>
  <c r="AV169" i="63" s="1"/>
  <c r="N170" i="63"/>
  <c r="M170" i="63" l="1"/>
  <c r="L170" i="63" s="1"/>
  <c r="Q170" i="63"/>
  <c r="V170" i="63" l="1"/>
  <c r="P170" i="63"/>
  <c r="AM170" i="63"/>
  <c r="Z170" i="63"/>
  <c r="U170" i="63" l="1"/>
  <c r="W170" i="63"/>
  <c r="N171" i="63" l="1"/>
  <c r="O171" i="63"/>
  <c r="AN171" i="63" s="1"/>
  <c r="AS171" i="63" s="1"/>
  <c r="AU170" i="63"/>
  <c r="AV170" i="63" s="1"/>
  <c r="AT170" i="63"/>
  <c r="Q171" i="63" l="1"/>
  <c r="M171" i="63"/>
  <c r="L171" i="63" s="1"/>
  <c r="Z171" i="63" l="1"/>
  <c r="AM171" i="63"/>
  <c r="V171" i="63"/>
  <c r="P171" i="63"/>
  <c r="U171" i="63" l="1"/>
  <c r="W171" i="63"/>
  <c r="N172" i="63" l="1"/>
  <c r="AT171" i="63"/>
  <c r="AU171" i="63"/>
  <c r="AV171" i="63" s="1"/>
  <c r="O172" i="63"/>
  <c r="AN172" i="63" s="1"/>
  <c r="AS172" i="63" s="1"/>
  <c r="Q172" i="63" l="1"/>
  <c r="M172" i="63"/>
  <c r="L172" i="63" s="1"/>
  <c r="Z172" i="63" l="1"/>
  <c r="AM172" i="63"/>
  <c r="V172" i="63"/>
  <c r="P172" i="63"/>
  <c r="U172" i="63" l="1"/>
  <c r="W172" i="63"/>
  <c r="O173" i="63" l="1"/>
  <c r="AN173" i="63" s="1"/>
  <c r="AS173" i="63" s="1"/>
  <c r="AT172" i="63"/>
  <c r="AU172" i="63"/>
  <c r="AV172" i="63" s="1"/>
  <c r="N173" i="63"/>
  <c r="Q173" i="63" l="1"/>
  <c r="V173" i="63" s="1"/>
  <c r="M173" i="63"/>
  <c r="L173" i="63" s="1"/>
  <c r="Z173" i="63" l="1"/>
  <c r="AM173" i="63"/>
  <c r="P173" i="63"/>
  <c r="U173" i="63" l="1"/>
  <c r="W173" i="63"/>
  <c r="AU173" i="63" l="1"/>
  <c r="AV173" i="63" s="1"/>
  <c r="AT173" i="63"/>
  <c r="N174" i="63"/>
  <c r="O174" i="63"/>
  <c r="AN174" i="63" l="1"/>
  <c r="AS174" i="63" s="1"/>
  <c r="Q174" i="63"/>
  <c r="V174" i="63" s="1"/>
  <c r="M174" i="63"/>
  <c r="L174" i="63" s="1"/>
  <c r="Z174" i="63" l="1"/>
  <c r="AM174" i="63"/>
  <c r="P174" i="63"/>
  <c r="W174" i="63" l="1"/>
  <c r="U174" i="63"/>
  <c r="N175" i="63" l="1"/>
  <c r="O175" i="63"/>
  <c r="AT174" i="63"/>
  <c r="AU174" i="63"/>
  <c r="AV174" i="63" s="1"/>
  <c r="AN175" i="63" l="1"/>
  <c r="AS175" i="63" s="1"/>
  <c r="M175" i="63"/>
  <c r="L175" i="63" s="1"/>
  <c r="Q175" i="63"/>
  <c r="V175" i="63" s="1"/>
  <c r="AM175" i="63" l="1"/>
  <c r="Z175" i="63"/>
  <c r="P175" i="63"/>
  <c r="W175" i="63" l="1"/>
  <c r="U175" i="63"/>
  <c r="N176" i="63" l="1"/>
  <c r="O176" i="63"/>
  <c r="AU175" i="63"/>
  <c r="AV175" i="63" s="1"/>
  <c r="AT175" i="63"/>
  <c r="AN176" i="63" l="1"/>
  <c r="AS176" i="63" s="1"/>
  <c r="M176" i="63"/>
  <c r="L176" i="63" s="1"/>
  <c r="Q176" i="63"/>
  <c r="V176" i="63" s="1"/>
  <c r="P176" i="63" l="1"/>
  <c r="Z176" i="63"/>
  <c r="AM176" i="63"/>
  <c r="U176" i="63" l="1"/>
  <c r="W176" i="63"/>
  <c r="N177" i="63" l="1"/>
  <c r="AU176" i="63"/>
  <c r="AV176" i="63" s="1"/>
  <c r="AT176" i="63"/>
  <c r="O177" i="63"/>
  <c r="AN177" i="63" l="1"/>
  <c r="AS177" i="63" s="1"/>
  <c r="Q177" i="63"/>
  <c r="V177" i="63" s="1"/>
  <c r="M177" i="63"/>
  <c r="L177" i="63" s="1"/>
  <c r="Z177" i="63" l="1"/>
  <c r="AM177" i="63"/>
  <c r="P177" i="63"/>
  <c r="U177" i="63" l="1"/>
  <c r="W177" i="63"/>
  <c r="N178" i="63" l="1"/>
  <c r="O178" i="63"/>
  <c r="AU177" i="63"/>
  <c r="AV177" i="63" s="1"/>
  <c r="AT177" i="63"/>
  <c r="AN178" i="63" l="1"/>
  <c r="AS178" i="63" s="1"/>
  <c r="M178" i="63"/>
  <c r="L178" i="63" s="1"/>
  <c r="Q178" i="63"/>
  <c r="V178" i="63" s="1"/>
  <c r="Z178" i="63" l="1"/>
  <c r="AM178" i="63"/>
  <c r="P178" i="63"/>
  <c r="U178" i="63" l="1"/>
  <c r="W178" i="63"/>
  <c r="AU178" i="63" l="1"/>
  <c r="AV178" i="63" s="1"/>
  <c r="N179" i="63"/>
  <c r="O179" i="63"/>
  <c r="AT178" i="63"/>
  <c r="M179" i="63" l="1"/>
  <c r="L179" i="63" s="1"/>
  <c r="Q179" i="63"/>
  <c r="V179" i="63" s="1"/>
  <c r="AN179" i="63"/>
  <c r="AS179" i="63" s="1"/>
  <c r="P179" i="63" l="1"/>
  <c r="U179" i="63" s="1"/>
  <c r="Z179" i="63"/>
  <c r="AM179" i="63"/>
  <c r="W179" i="63" l="1"/>
  <c r="N180" i="63" s="1"/>
  <c r="O180" i="63" l="1"/>
  <c r="AU179" i="63"/>
  <c r="AV179" i="63" s="1"/>
  <c r="AT179" i="63"/>
  <c r="AN180" i="63"/>
  <c r="AS180" i="63" s="1"/>
  <c r="M180" i="63"/>
  <c r="L180" i="63" s="1"/>
  <c r="Q180" i="63"/>
  <c r="V180" i="63" s="1"/>
  <c r="Z180" i="63" l="1"/>
  <c r="AM180" i="63"/>
  <c r="P180" i="63"/>
  <c r="U180" i="63" l="1"/>
  <c r="W180" i="63"/>
  <c r="AU180" i="63" l="1"/>
  <c r="AV180" i="63" s="1"/>
  <c r="N181" i="63"/>
  <c r="O181" i="63"/>
  <c r="AT180" i="63"/>
  <c r="AN181" i="63" l="1"/>
  <c r="AS181" i="63" s="1"/>
  <c r="Q181" i="63"/>
  <c r="V181" i="63" s="1"/>
  <c r="M181" i="63"/>
  <c r="L181" i="63" s="1"/>
  <c r="Z181" i="63" l="1"/>
  <c r="AM181" i="63"/>
  <c r="P181" i="63"/>
  <c r="U181" i="63" l="1"/>
  <c r="W181" i="63"/>
  <c r="AT181" i="63" l="1"/>
  <c r="O182" i="63"/>
  <c r="AU181" i="63"/>
  <c r="AV181" i="63" s="1"/>
  <c r="N182" i="63"/>
  <c r="Q182" i="63" l="1"/>
  <c r="V182" i="63" s="1"/>
  <c r="M182" i="63"/>
  <c r="L182" i="63" s="1"/>
  <c r="AN182" i="63"/>
  <c r="AS182" i="63" s="1"/>
  <c r="P182" i="63" l="1"/>
  <c r="U182" i="63" s="1"/>
  <c r="W182" i="63"/>
  <c r="Z182" i="63"/>
  <c r="AM182" i="63"/>
  <c r="O183" i="63" l="1"/>
  <c r="AN183" i="63" s="1"/>
  <c r="AS183" i="63" s="1"/>
  <c r="AU182" i="63"/>
  <c r="AV182" i="63" s="1"/>
  <c r="AT182" i="63"/>
  <c r="N183" i="63"/>
  <c r="M183" i="63" l="1"/>
  <c r="L183" i="63" s="1"/>
  <c r="Q183" i="63"/>
  <c r="V183" i="63" l="1"/>
  <c r="P183" i="63"/>
  <c r="Z183" i="63"/>
  <c r="AM183" i="63"/>
  <c r="U183" i="63" l="1"/>
  <c r="W183" i="63"/>
  <c r="O184" i="63" l="1"/>
  <c r="AN184" i="63" s="1"/>
  <c r="AS184" i="63" s="1"/>
  <c r="AT183" i="63"/>
  <c r="N184" i="63"/>
  <c r="AU183" i="63"/>
  <c r="AV183" i="63" s="1"/>
  <c r="M184" i="63" l="1"/>
  <c r="L184" i="63" s="1"/>
  <c r="Q184" i="63"/>
  <c r="V184" i="63" l="1"/>
  <c r="P184" i="63"/>
  <c r="AM184" i="63"/>
  <c r="Z184" i="63"/>
  <c r="U184" i="63" l="1"/>
  <c r="W184" i="63"/>
  <c r="AU184" i="63" l="1"/>
  <c r="AV184" i="63" s="1"/>
  <c r="O185" i="63"/>
  <c r="N185" i="63"/>
  <c r="AT184" i="63"/>
  <c r="M185" i="63" l="1"/>
  <c r="L185" i="63" s="1"/>
  <c r="Q185" i="63"/>
  <c r="V185" i="63" s="1"/>
  <c r="AN185" i="63"/>
  <c r="AS185" i="63" s="1"/>
  <c r="P185" i="63" l="1"/>
  <c r="U185" i="63" s="1"/>
  <c r="Z185" i="63"/>
  <c r="AM185" i="63"/>
  <c r="W185" i="63" l="1"/>
  <c r="O186" i="63" s="1"/>
  <c r="AN186" i="63" s="1"/>
  <c r="AS186" i="63" s="1"/>
  <c r="AT185" i="63"/>
  <c r="N186" i="63"/>
  <c r="AU185" i="63"/>
  <c r="AV185" i="63" s="1"/>
  <c r="Q186" i="63" l="1"/>
  <c r="M186" i="63"/>
  <c r="L186" i="63" s="1"/>
  <c r="Z186" i="63" l="1"/>
  <c r="AM186" i="63"/>
  <c r="V186" i="63"/>
  <c r="P186" i="63"/>
  <c r="U186" i="63" l="1"/>
  <c r="W186" i="63"/>
  <c r="AU186" i="63" l="1"/>
  <c r="AV186" i="63" s="1"/>
  <c r="AT186" i="63"/>
  <c r="N187" i="63"/>
  <c r="O187" i="63"/>
  <c r="AN187" i="63" l="1"/>
  <c r="AS187" i="63" s="1"/>
  <c r="M187" i="63"/>
  <c r="L187" i="63" s="1"/>
  <c r="Q187" i="63"/>
  <c r="V187" i="63" s="1"/>
  <c r="AM187" i="63" l="1"/>
  <c r="Z187" i="63"/>
  <c r="P187" i="63"/>
  <c r="U187" i="63" l="1"/>
  <c r="W187" i="63"/>
  <c r="AT187" i="63" l="1"/>
  <c r="AU187" i="63"/>
  <c r="AV187" i="63" s="1"/>
  <c r="N188" i="63"/>
  <c r="O188" i="63"/>
  <c r="AN188" i="63" l="1"/>
  <c r="AS188" i="63" s="1"/>
  <c r="M188" i="63"/>
  <c r="L188" i="63" s="1"/>
  <c r="Q188" i="63"/>
  <c r="V188" i="63" s="1"/>
  <c r="AM188" i="63" l="1"/>
  <c r="Z188" i="63"/>
  <c r="P188" i="63"/>
  <c r="U188" i="63" l="1"/>
  <c r="W188" i="63"/>
  <c r="AT188" i="63" l="1"/>
  <c r="N189" i="63"/>
  <c r="O189" i="63"/>
  <c r="AU188" i="63"/>
  <c r="AV188" i="63" s="1"/>
  <c r="AN189" i="63" l="1"/>
  <c r="AS189" i="63" s="1"/>
  <c r="M189" i="63"/>
  <c r="L189" i="63" s="1"/>
  <c r="Q189" i="63"/>
  <c r="V189" i="63" s="1"/>
  <c r="AM189" i="63" l="1"/>
  <c r="Z189" i="63"/>
  <c r="P189" i="63"/>
  <c r="U189" i="63" l="1"/>
  <c r="W189" i="63"/>
  <c r="O190" i="63" l="1"/>
  <c r="N190" i="63"/>
  <c r="AU189" i="63"/>
  <c r="AV189" i="63" s="1"/>
  <c r="AT189" i="63"/>
  <c r="Q190" i="63" l="1"/>
  <c r="V190" i="63" s="1"/>
  <c r="M190" i="63"/>
  <c r="L190" i="63" s="1"/>
  <c r="AN190" i="63"/>
  <c r="AS190" i="63" s="1"/>
  <c r="P190" i="63" l="1"/>
  <c r="U190" i="63" s="1"/>
  <c r="AM190" i="63"/>
  <c r="Z190" i="63"/>
  <c r="W190" i="63" l="1"/>
  <c r="N191" i="63"/>
  <c r="O191" i="63"/>
  <c r="AT190" i="63"/>
  <c r="AU190" i="63"/>
  <c r="AV190" i="63" s="1"/>
  <c r="AN191" i="63" l="1"/>
  <c r="AS191" i="63" s="1"/>
  <c r="M191" i="63"/>
  <c r="L191" i="63" s="1"/>
  <c r="Q191" i="63"/>
  <c r="V191" i="63" s="1"/>
  <c r="Z191" i="63" l="1"/>
  <c r="AM191" i="63"/>
  <c r="P191" i="63"/>
  <c r="U191" i="63" l="1"/>
  <c r="W191" i="63"/>
  <c r="AT191" i="63" l="1"/>
  <c r="AU191" i="63"/>
  <c r="AV191" i="63" s="1"/>
  <c r="N192" i="63"/>
  <c r="O192" i="63"/>
  <c r="AN192" i="63" l="1"/>
  <c r="AS192" i="63" s="1"/>
  <c r="Q192" i="63"/>
  <c r="V192" i="63" s="1"/>
  <c r="M192" i="63"/>
  <c r="L192" i="63" s="1"/>
  <c r="Z192" i="63" l="1"/>
  <c r="AM192" i="63"/>
  <c r="P192" i="63"/>
  <c r="U192" i="63" l="1"/>
  <c r="W192" i="63"/>
  <c r="N193" i="63" l="1"/>
  <c r="AU192" i="63"/>
  <c r="AV192" i="63" s="1"/>
  <c r="AT192" i="63"/>
  <c r="O193" i="63"/>
  <c r="AN193" i="63" l="1"/>
  <c r="AS193" i="63" s="1"/>
  <c r="Q193" i="63"/>
  <c r="V193" i="63" s="1"/>
  <c r="M193" i="63"/>
  <c r="L193" i="63" s="1"/>
  <c r="Z193" i="63" l="1"/>
  <c r="AM193" i="63"/>
  <c r="P193" i="63"/>
  <c r="U193" i="63" l="1"/>
  <c r="W193" i="63"/>
  <c r="AT193" i="63" l="1"/>
  <c r="AU193" i="63"/>
  <c r="AV193" i="63" s="1"/>
  <c r="O194" i="63"/>
  <c r="N194" i="63"/>
  <c r="M194" i="63" l="1"/>
  <c r="L194" i="63" s="1"/>
  <c r="Q194" i="63"/>
  <c r="V194" i="63" s="1"/>
  <c r="AN194" i="63"/>
  <c r="AS194" i="63" s="1"/>
  <c r="P194" i="63" l="1"/>
  <c r="U194" i="63" s="1"/>
  <c r="AM194" i="63"/>
  <c r="Z194" i="63"/>
  <c r="W194" i="63" l="1"/>
  <c r="AU194" i="63" s="1"/>
  <c r="AV194" i="63" s="1"/>
  <c r="AT194" i="63" l="1"/>
  <c r="N195" i="63"/>
  <c r="O195" i="63"/>
  <c r="M195" i="63"/>
  <c r="L195" i="63" s="1"/>
  <c r="Q195" i="63"/>
  <c r="V195" i="63" s="1"/>
  <c r="AN195" i="63"/>
  <c r="AS195" i="63" s="1"/>
  <c r="P195" i="63" l="1"/>
  <c r="U195" i="63" s="1"/>
  <c r="Z195" i="63"/>
  <c r="AM195" i="63"/>
  <c r="W195" i="63" l="1"/>
  <c r="AT195" i="63" s="1"/>
  <c r="O196" i="63"/>
  <c r="N196" i="63"/>
  <c r="AU195" i="63"/>
  <c r="AV195" i="63" s="1"/>
  <c r="AN196" i="63" l="1"/>
  <c r="AS196" i="63" s="1"/>
  <c r="M196" i="63"/>
  <c r="L196" i="63" s="1"/>
  <c r="Q196" i="63"/>
  <c r="V196" i="63" s="1"/>
  <c r="Z196" i="63" l="1"/>
  <c r="AM196" i="63"/>
  <c r="P196" i="63"/>
  <c r="U196" i="63" l="1"/>
  <c r="W196" i="63"/>
  <c r="N197" i="63" l="1"/>
  <c r="AU196" i="63"/>
  <c r="AV196" i="63" s="1"/>
  <c r="AT196" i="63"/>
  <c r="O197" i="63"/>
  <c r="AN197" i="63" l="1"/>
  <c r="AS197" i="63" s="1"/>
  <c r="Q197" i="63"/>
  <c r="V197" i="63" s="1"/>
  <c r="M197" i="63"/>
  <c r="L197" i="63" s="1"/>
  <c r="Z197" i="63" l="1"/>
  <c r="AM197" i="63"/>
  <c r="P197" i="63"/>
  <c r="U197" i="63" l="1"/>
  <c r="W197" i="63"/>
  <c r="AT197" i="63" l="1"/>
  <c r="AU197" i="63"/>
  <c r="AV197" i="63" s="1"/>
  <c r="O198" i="63"/>
  <c r="N198" i="63"/>
  <c r="M198" i="63" l="1"/>
  <c r="L198" i="63" s="1"/>
  <c r="Q198" i="63"/>
  <c r="V198" i="63" s="1"/>
  <c r="AN198" i="63"/>
  <c r="AS198" i="63" s="1"/>
  <c r="P198" i="63" l="1"/>
  <c r="U198" i="63" s="1"/>
  <c r="Z198" i="63"/>
  <c r="AM198" i="63"/>
  <c r="W198" i="63" l="1"/>
  <c r="O199" i="63"/>
  <c r="AT198" i="63"/>
  <c r="AU198" i="63"/>
  <c r="AV198" i="63" s="1"/>
  <c r="N199" i="63"/>
  <c r="Q199" i="63" l="1"/>
  <c r="V199" i="63" s="1"/>
  <c r="M199" i="63"/>
  <c r="L199" i="63" s="1"/>
  <c r="AN199" i="63"/>
  <c r="AS199" i="63" s="1"/>
  <c r="P199" i="63"/>
  <c r="U199" i="63" s="1"/>
  <c r="W199" i="63" l="1"/>
  <c r="Z199" i="63"/>
  <c r="AM199" i="63"/>
  <c r="AU199" i="63" l="1"/>
  <c r="AV199" i="63" s="1"/>
  <c r="N200" i="63"/>
  <c r="AT199" i="63"/>
  <c r="O200" i="63"/>
  <c r="AN200" i="63" l="1"/>
  <c r="AS200" i="63" s="1"/>
  <c r="M200" i="63"/>
  <c r="L200" i="63" s="1"/>
  <c r="Q200" i="63"/>
  <c r="V200" i="63" s="1"/>
  <c r="Z200" i="63" l="1"/>
  <c r="AM200" i="63"/>
  <c r="P200" i="63"/>
  <c r="U200" i="63" l="1"/>
  <c r="W200" i="63"/>
  <c r="AT200" i="63" l="1"/>
  <c r="AU200" i="63"/>
  <c r="AV200" i="63" s="1"/>
  <c r="O201" i="63"/>
  <c r="N201" i="63"/>
  <c r="M201" i="63" l="1"/>
  <c r="L201" i="63" s="1"/>
  <c r="Q201" i="63"/>
  <c r="V201" i="63" s="1"/>
  <c r="AN201" i="63"/>
  <c r="AS201" i="63" s="1"/>
  <c r="P201" i="63" l="1"/>
  <c r="Z201" i="63"/>
  <c r="AM201" i="63"/>
  <c r="U201" i="63" l="1"/>
  <c r="W201" i="63"/>
  <c r="O202" i="63" l="1"/>
  <c r="N202" i="63"/>
  <c r="AU201" i="63"/>
  <c r="AV201" i="63" s="1"/>
  <c r="AT201" i="63"/>
  <c r="AN202" i="63" l="1"/>
  <c r="AS202" i="63" s="1"/>
  <c r="Q202" i="63"/>
  <c r="V202" i="63" s="1"/>
  <c r="M202" i="63"/>
  <c r="L202" i="63" s="1"/>
  <c r="Z202" i="63" l="1"/>
  <c r="AM202" i="63"/>
  <c r="P202" i="63"/>
  <c r="U202" i="63" l="1"/>
  <c r="W202" i="63"/>
  <c r="AU202" i="63" l="1"/>
  <c r="AV202" i="63" s="1"/>
  <c r="AT202" i="63"/>
  <c r="O203" i="63"/>
  <c r="N203" i="63"/>
  <c r="Q203" i="63" l="1"/>
  <c r="V203" i="63" s="1"/>
  <c r="M203" i="63"/>
  <c r="L203" i="63" s="1"/>
  <c r="AN203" i="63"/>
  <c r="AS203" i="63" s="1"/>
  <c r="P203" i="63" l="1"/>
  <c r="U203" i="63" s="1"/>
  <c r="Z203" i="63"/>
  <c r="AM203" i="63"/>
  <c r="W203" i="63"/>
  <c r="AU203" i="63" l="1"/>
  <c r="AV203" i="63" s="1"/>
  <c r="AT203" i="63"/>
  <c r="N204" i="63"/>
  <c r="O204" i="63"/>
  <c r="AN204" i="63" l="1"/>
  <c r="AS204" i="63" s="1"/>
  <c r="M204" i="63"/>
  <c r="L204" i="63" s="1"/>
  <c r="Q204" i="63"/>
  <c r="V204" i="63" s="1"/>
  <c r="P204" i="63" l="1"/>
  <c r="Z204" i="63"/>
  <c r="AM204" i="63"/>
  <c r="U204" i="63" l="1"/>
  <c r="W204" i="63"/>
  <c r="AU204" i="63" l="1"/>
  <c r="AV204" i="63" s="1"/>
  <c r="AT204" i="63"/>
  <c r="N205" i="63"/>
  <c r="O205" i="63"/>
  <c r="AN205" i="63" l="1"/>
  <c r="AS205" i="63" s="1"/>
  <c r="M205" i="63"/>
  <c r="L205" i="63" s="1"/>
  <c r="Q205" i="63"/>
  <c r="V205" i="63" s="1"/>
  <c r="AM205" i="63" l="1"/>
  <c r="Z205" i="63"/>
  <c r="P205" i="63"/>
  <c r="U205" i="63" l="1"/>
  <c r="W205" i="63"/>
  <c r="N206" i="63" l="1"/>
  <c r="AU205" i="63"/>
  <c r="AV205" i="63" s="1"/>
  <c r="O206" i="63"/>
  <c r="AT205" i="63"/>
  <c r="AN206" i="63" l="1"/>
  <c r="AS206" i="63" s="1"/>
  <c r="Q206" i="63"/>
  <c r="V206" i="63" s="1"/>
  <c r="M206" i="63"/>
  <c r="L206" i="63" s="1"/>
  <c r="AM206" i="63" l="1"/>
  <c r="Z206" i="63"/>
  <c r="P206" i="63"/>
  <c r="U206" i="63" l="1"/>
  <c r="W206" i="63"/>
  <c r="AT206" i="63" l="1"/>
  <c r="O207" i="63"/>
  <c r="N207" i="63"/>
  <c r="AU206" i="63"/>
  <c r="AV206" i="63" s="1"/>
  <c r="Q207" i="63" l="1"/>
  <c r="V207" i="63" s="1"/>
  <c r="M207" i="63"/>
  <c r="L207" i="63" s="1"/>
  <c r="AN207" i="63"/>
  <c r="AS207" i="63" s="1"/>
  <c r="P207" i="63"/>
  <c r="U207" i="63" s="1"/>
  <c r="Z207" i="63" l="1"/>
  <c r="AM207" i="63"/>
  <c r="W207" i="63"/>
  <c r="AU207" i="63" l="1"/>
  <c r="AV207" i="63" s="1"/>
  <c r="N208" i="63"/>
  <c r="AT207" i="63"/>
  <c r="O208" i="63"/>
  <c r="AN208" i="63" l="1"/>
  <c r="AS208" i="63" s="1"/>
  <c r="M208" i="63"/>
  <c r="L208" i="63" s="1"/>
  <c r="Q208" i="63"/>
  <c r="V208" i="63" s="1"/>
  <c r="Z208" i="63" l="1"/>
  <c r="AM208" i="63"/>
  <c r="P208" i="63"/>
  <c r="U208" i="63" l="1"/>
  <c r="W208" i="63"/>
  <c r="AU208" i="63" l="1"/>
  <c r="AV208" i="63" s="1"/>
  <c r="O209" i="63"/>
  <c r="AT208" i="63"/>
  <c r="N209" i="63"/>
  <c r="M209" i="63" l="1"/>
  <c r="L209" i="63" s="1"/>
  <c r="Q209" i="63"/>
  <c r="V209" i="63" s="1"/>
  <c r="AN209" i="63"/>
  <c r="AS209" i="63" s="1"/>
  <c r="P209" i="63" l="1"/>
  <c r="U209" i="63" s="1"/>
  <c r="AM209" i="63"/>
  <c r="Z209" i="63"/>
  <c r="W209" i="63" l="1"/>
  <c r="AU209" i="63" s="1"/>
  <c r="AV209" i="63" s="1"/>
  <c r="N210" i="63"/>
  <c r="O210" i="63" l="1"/>
  <c r="AT209" i="63"/>
  <c r="M210" i="63"/>
  <c r="L210" i="63" s="1"/>
  <c r="Q210" i="63"/>
  <c r="V210" i="63" s="1"/>
  <c r="AN210" i="63"/>
  <c r="AS210" i="63" s="1"/>
  <c r="P210" i="63" l="1"/>
  <c r="AM210" i="63"/>
  <c r="Z210" i="63"/>
  <c r="U210" i="63" l="1"/>
  <c r="W210" i="63"/>
  <c r="N211" i="63" l="1"/>
  <c r="O211" i="63"/>
  <c r="AT210" i="63"/>
  <c r="AU210" i="63"/>
  <c r="AV210" i="63" s="1"/>
  <c r="AN211" i="63" l="1"/>
  <c r="AS211" i="63" s="1"/>
  <c r="M211" i="63"/>
  <c r="L211" i="63" s="1"/>
  <c r="Q211" i="63"/>
  <c r="V211" i="63" s="1"/>
  <c r="Z211" i="63" l="1"/>
  <c r="AM211" i="63"/>
  <c r="P211" i="63"/>
  <c r="U211" i="63" l="1"/>
  <c r="W211" i="63"/>
  <c r="AU211" i="63" l="1"/>
  <c r="AV211" i="63" s="1"/>
  <c r="AT211" i="63"/>
  <c r="O212" i="63"/>
  <c r="N212" i="63"/>
  <c r="M212" i="63" l="1"/>
  <c r="L212" i="63" s="1"/>
  <c r="Q212" i="63"/>
  <c r="V212" i="63" s="1"/>
  <c r="AN212" i="63"/>
  <c r="AS212" i="63" s="1"/>
  <c r="P212" i="63" l="1"/>
  <c r="Z212" i="63"/>
  <c r="AM212" i="63"/>
  <c r="U212" i="63" l="1"/>
  <c r="W212" i="63"/>
  <c r="AT212" i="63" l="1"/>
  <c r="N213" i="63"/>
  <c r="AU212" i="63"/>
  <c r="AV212" i="63" s="1"/>
  <c r="O213" i="63"/>
  <c r="AN213" i="63" l="1"/>
  <c r="AS213" i="63" s="1"/>
  <c r="Q213" i="63"/>
  <c r="V213" i="63" s="1"/>
  <c r="M213" i="63"/>
  <c r="L213" i="63" s="1"/>
  <c r="Z213" i="63" l="1"/>
  <c r="AM213" i="63"/>
  <c r="P213" i="63"/>
  <c r="U213" i="63" l="1"/>
  <c r="W213" i="63"/>
  <c r="AT213" i="63" l="1"/>
  <c r="N214" i="63"/>
  <c r="O214" i="63"/>
  <c r="AU213" i="63"/>
  <c r="AV213" i="63" s="1"/>
  <c r="AN214" i="63" l="1"/>
  <c r="AS214" i="63" s="1"/>
  <c r="Q214" i="63"/>
  <c r="V214" i="63" s="1"/>
  <c r="M214" i="63"/>
  <c r="L214" i="63" s="1"/>
  <c r="AM214" i="63" l="1"/>
  <c r="Z214" i="63"/>
  <c r="P214" i="63"/>
  <c r="U214" i="63" l="1"/>
  <c r="W214" i="63"/>
  <c r="O215" i="63" l="1"/>
  <c r="AU214" i="63"/>
  <c r="AV214" i="63" s="1"/>
  <c r="N215" i="63"/>
  <c r="AT214" i="63"/>
  <c r="M215" i="63" l="1"/>
  <c r="L215" i="63" s="1"/>
  <c r="Q215" i="63"/>
  <c r="V215" i="63" s="1"/>
  <c r="AN215" i="63"/>
  <c r="AS215" i="63" s="1"/>
  <c r="P215" i="63" l="1"/>
  <c r="AM215" i="63"/>
  <c r="Z215" i="63"/>
  <c r="U215" i="63" l="1"/>
  <c r="W215" i="63"/>
  <c r="O216" i="63" l="1"/>
  <c r="N216" i="63"/>
  <c r="AT215" i="63"/>
  <c r="AU215" i="63"/>
  <c r="AV215" i="63" s="1"/>
  <c r="M216" i="63" l="1"/>
  <c r="L216" i="63" s="1"/>
  <c r="Q216" i="63"/>
  <c r="V216" i="63" s="1"/>
  <c r="AN216" i="63"/>
  <c r="AS216" i="63" s="1"/>
  <c r="P216" i="63" l="1"/>
  <c r="Z216" i="63"/>
  <c r="AM216" i="63"/>
  <c r="U216" i="63" l="1"/>
  <c r="W216" i="63"/>
  <c r="O217" i="63" l="1"/>
  <c r="AT216" i="63"/>
  <c r="N217" i="63"/>
  <c r="AU216" i="63"/>
  <c r="AV216" i="63" s="1"/>
  <c r="Q217" i="63" l="1"/>
  <c r="V217" i="63" s="1"/>
  <c r="M217" i="63"/>
  <c r="L217" i="63" s="1"/>
  <c r="AN217" i="63"/>
  <c r="AS217" i="63" s="1"/>
  <c r="P217" i="63" l="1"/>
  <c r="U217" i="63" s="1"/>
  <c r="Z217" i="63"/>
  <c r="AM217" i="63"/>
  <c r="W217" i="63" l="1"/>
  <c r="N218" i="63"/>
  <c r="AT217" i="63"/>
  <c r="AU217" i="63"/>
  <c r="AV217" i="63" s="1"/>
  <c r="O218" i="63"/>
  <c r="AN218" i="63" l="1"/>
  <c r="AS218" i="63" s="1"/>
  <c r="M218" i="63"/>
  <c r="L218" i="63" s="1"/>
  <c r="Q218" i="63"/>
  <c r="V218" i="63" s="1"/>
  <c r="AM218" i="63" l="1"/>
  <c r="Z218" i="63"/>
  <c r="P218" i="63"/>
  <c r="U218" i="63" l="1"/>
  <c r="W218" i="63"/>
  <c r="O219" i="63" l="1"/>
  <c r="N219" i="63"/>
  <c r="AT218" i="63"/>
  <c r="AU218" i="63"/>
  <c r="AV218" i="63" s="1"/>
  <c r="Q219" i="63" l="1"/>
  <c r="V219" i="63" s="1"/>
  <c r="M219" i="63"/>
  <c r="L219" i="63" s="1"/>
  <c r="AN219" i="63"/>
  <c r="AS219" i="63" s="1"/>
  <c r="P219" i="63" l="1"/>
  <c r="U219" i="63" s="1"/>
  <c r="AM219" i="63"/>
  <c r="Z219" i="63"/>
  <c r="W219" i="63" l="1"/>
  <c r="AU219" i="63" s="1"/>
  <c r="AV219" i="63" s="1"/>
  <c r="O220" i="63"/>
  <c r="N220" i="63"/>
  <c r="AT219" i="63"/>
  <c r="Q220" i="63" l="1"/>
  <c r="V220" i="63" s="1"/>
  <c r="M220" i="63"/>
  <c r="L220" i="63" s="1"/>
  <c r="AN220" i="63"/>
  <c r="AS220" i="63" s="1"/>
  <c r="P220" i="63"/>
  <c r="U220" i="63" s="1"/>
  <c r="W220" i="63" l="1"/>
  <c r="AM220" i="63"/>
  <c r="Z220" i="63"/>
  <c r="N221" i="63" l="1"/>
  <c r="O221" i="63"/>
  <c r="AT220" i="63"/>
  <c r="AU220" i="63"/>
  <c r="AV220" i="63" s="1"/>
  <c r="AN221" i="63" l="1"/>
  <c r="AS221" i="63" s="1"/>
  <c r="M221" i="63"/>
  <c r="L221" i="63" s="1"/>
  <c r="Q221" i="63"/>
  <c r="V221" i="63" s="1"/>
  <c r="P221" i="63" l="1"/>
  <c r="Z221" i="63"/>
  <c r="AM221" i="63"/>
  <c r="U221" i="63" l="1"/>
  <c r="W221" i="63"/>
  <c r="AT221" i="63" l="1"/>
  <c r="N222" i="63"/>
  <c r="AU221" i="63"/>
  <c r="AV221" i="63" s="1"/>
  <c r="O222" i="63"/>
  <c r="AN222" i="63" l="1"/>
  <c r="AS222" i="63" s="1"/>
  <c r="M222" i="63"/>
  <c r="L222" i="63" s="1"/>
  <c r="Q222" i="63"/>
  <c r="V222" i="63" s="1"/>
  <c r="AM222" i="63" l="1"/>
  <c r="Z222" i="63"/>
  <c r="P222" i="63"/>
  <c r="U222" i="63" l="1"/>
  <c r="W222" i="63"/>
  <c r="AU222" i="63" l="1"/>
  <c r="AV222" i="63" s="1"/>
  <c r="O223" i="63"/>
  <c r="AT222" i="63"/>
  <c r="N223" i="63"/>
  <c r="Q223" i="63" l="1"/>
  <c r="V223" i="63" s="1"/>
  <c r="M223" i="63"/>
  <c r="L223" i="63" s="1"/>
  <c r="AN223" i="63"/>
  <c r="AS223" i="63" s="1"/>
  <c r="P223" i="63" l="1"/>
  <c r="U223" i="63" s="1"/>
  <c r="W223" i="63"/>
  <c r="AM223" i="63"/>
  <c r="Z223" i="63"/>
  <c r="AU223" i="63" l="1"/>
  <c r="AV223" i="63" s="1"/>
  <c r="O224" i="63"/>
  <c r="N224" i="63"/>
  <c r="AT223" i="63"/>
  <c r="AN224" i="63" l="1"/>
  <c r="AS224" i="63" s="1"/>
  <c r="M224" i="63"/>
  <c r="L224" i="63" s="1"/>
  <c r="Q224" i="63"/>
  <c r="V224" i="63" s="1"/>
  <c r="P224" i="63" l="1"/>
  <c r="Z224" i="63"/>
  <c r="AM224" i="63"/>
  <c r="U224" i="63" l="1"/>
  <c r="W224" i="63"/>
  <c r="N225" i="63" l="1"/>
  <c r="AT224" i="63"/>
  <c r="AU224" i="63"/>
  <c r="AV224" i="63" s="1"/>
  <c r="O225" i="63"/>
  <c r="AN225" i="63" l="1"/>
  <c r="AS225" i="63" s="1"/>
  <c r="Q225" i="63"/>
  <c r="V225" i="63" s="1"/>
  <c r="M225" i="63"/>
  <c r="L225" i="63" s="1"/>
  <c r="AM225" i="63" l="1"/>
  <c r="Z225" i="63"/>
  <c r="P225" i="63"/>
  <c r="U225" i="63" l="1"/>
  <c r="W225" i="63"/>
  <c r="O226" i="63" l="1"/>
  <c r="AT225" i="63"/>
  <c r="N226" i="63"/>
  <c r="AU225" i="63"/>
  <c r="AV225" i="63" s="1"/>
  <c r="M226" i="63" l="1"/>
  <c r="L226" i="63" s="1"/>
  <c r="Q226" i="63"/>
  <c r="V226" i="63" s="1"/>
  <c r="AN226" i="63"/>
  <c r="AS226" i="63" s="1"/>
  <c r="P226" i="63" l="1"/>
  <c r="Z226" i="63"/>
  <c r="AM226" i="63"/>
  <c r="U226" i="63" l="1"/>
  <c r="W226" i="63"/>
  <c r="N227" i="63" l="1"/>
  <c r="O227" i="63"/>
  <c r="AU226" i="63"/>
  <c r="AV226" i="63" s="1"/>
  <c r="AT226" i="63"/>
  <c r="AN227" i="63" l="1"/>
  <c r="AS227" i="63" s="1"/>
  <c r="M227" i="63"/>
  <c r="L227" i="63" s="1"/>
  <c r="Q227" i="63"/>
  <c r="V227" i="63" s="1"/>
  <c r="Z227" i="63" l="1"/>
  <c r="AM227" i="63"/>
  <c r="P227" i="63"/>
  <c r="U227" i="63" l="1"/>
  <c r="W227" i="63"/>
  <c r="AU227" i="63" l="1"/>
  <c r="AV227" i="63" s="1"/>
  <c r="O228" i="63"/>
  <c r="N228" i="63"/>
  <c r="AT227" i="63"/>
  <c r="Q228" i="63" l="1"/>
  <c r="V228" i="63" s="1"/>
  <c r="M228" i="63"/>
  <c r="L228" i="63" s="1"/>
  <c r="AN228" i="63"/>
  <c r="AS228" i="63" s="1"/>
  <c r="P228" i="63"/>
  <c r="U228" i="63" s="1"/>
  <c r="W228" i="63" l="1"/>
  <c r="Z228" i="63"/>
  <c r="AM228" i="63"/>
  <c r="AT228" i="63" l="1"/>
  <c r="N229" i="63"/>
  <c r="O229" i="63"/>
  <c r="AU228" i="63"/>
  <c r="AV228" i="63" s="1"/>
  <c r="AN229" i="63" l="1"/>
  <c r="AS229" i="63" s="1"/>
  <c r="Q229" i="63"/>
  <c r="V229" i="63" s="1"/>
  <c r="M229" i="63"/>
  <c r="L229" i="63" s="1"/>
  <c r="Z229" i="63" l="1"/>
  <c r="AM229" i="63"/>
  <c r="P229" i="63"/>
  <c r="U229" i="63" l="1"/>
  <c r="W229" i="63"/>
  <c r="O230" i="63" l="1"/>
  <c r="AU229" i="63"/>
  <c r="AV229" i="63" s="1"/>
  <c r="N230" i="63"/>
  <c r="AT229" i="63"/>
  <c r="Q230" i="63" l="1"/>
  <c r="V230" i="63" s="1"/>
  <c r="M230" i="63"/>
  <c r="L230" i="63" s="1"/>
  <c r="AN230" i="63"/>
  <c r="AS230" i="63" s="1"/>
  <c r="P230" i="63" l="1"/>
  <c r="U230" i="63" s="1"/>
  <c r="W230" i="63"/>
  <c r="Z230" i="63"/>
  <c r="AM230" i="63"/>
  <c r="AT230" i="63" l="1"/>
  <c r="N231" i="63"/>
  <c r="AU230" i="63"/>
  <c r="AV230" i="63" s="1"/>
  <c r="O231" i="63"/>
  <c r="AN231" i="63" l="1"/>
  <c r="AS231" i="63" s="1"/>
  <c r="Q231" i="63"/>
  <c r="V231" i="63" s="1"/>
  <c r="M231" i="63"/>
  <c r="L231" i="63" s="1"/>
  <c r="AM231" i="63" l="1"/>
  <c r="Z231" i="63"/>
  <c r="P231" i="63"/>
  <c r="U231" i="63" l="1"/>
  <c r="W231" i="63"/>
  <c r="AT231" i="63" l="1"/>
  <c r="N232" i="63"/>
  <c r="AU231" i="63"/>
  <c r="AV231" i="63" s="1"/>
  <c r="O232" i="63"/>
  <c r="AN232" i="63" l="1"/>
  <c r="AS232" i="63" s="1"/>
  <c r="Q232" i="63"/>
  <c r="V232" i="63" s="1"/>
  <c r="M232" i="63"/>
  <c r="L232" i="63" s="1"/>
  <c r="Z232" i="63" l="1"/>
  <c r="AM232" i="63"/>
  <c r="P232" i="63"/>
  <c r="U232" i="63" l="1"/>
  <c r="W232" i="63"/>
  <c r="O233" i="63" l="1"/>
  <c r="AT232" i="63"/>
  <c r="AU232" i="63"/>
  <c r="AV232" i="63" s="1"/>
  <c r="N233" i="63"/>
  <c r="M233" i="63" l="1"/>
  <c r="L233" i="63" s="1"/>
  <c r="Q233" i="63"/>
  <c r="V233" i="63" s="1"/>
  <c r="AN233" i="63"/>
  <c r="AS233" i="63" s="1"/>
  <c r="P233" i="63" l="1"/>
  <c r="Z233" i="63"/>
  <c r="AM233" i="63"/>
  <c r="U233" i="63" l="1"/>
  <c r="W233" i="63"/>
  <c r="AT233" i="63" l="1"/>
  <c r="N234" i="63"/>
  <c r="O234" i="63"/>
  <c r="AU233" i="63"/>
  <c r="AV233" i="63" s="1"/>
  <c r="M234" i="63" l="1"/>
  <c r="L234" i="63" s="1"/>
  <c r="Q234" i="63"/>
  <c r="V234" i="63" s="1"/>
  <c r="AN234" i="63"/>
  <c r="AS234" i="63" s="1"/>
  <c r="P234" i="63" l="1"/>
  <c r="AM234" i="63"/>
  <c r="Z234" i="63"/>
  <c r="U234" i="63" l="1"/>
  <c r="W234" i="63"/>
  <c r="AT234" i="63" l="1"/>
  <c r="O235" i="63"/>
  <c r="AU234" i="63"/>
  <c r="AV234" i="63" s="1"/>
  <c r="N235" i="63"/>
  <c r="M235" i="63" l="1"/>
  <c r="L235" i="63" s="1"/>
  <c r="Q235" i="63"/>
  <c r="V235" i="63" s="1"/>
  <c r="AN235" i="63"/>
  <c r="AS235" i="63" s="1"/>
  <c r="P235" i="63" l="1"/>
  <c r="Z235" i="63"/>
  <c r="AM235" i="63"/>
  <c r="U235" i="63" l="1"/>
  <c r="W235" i="63"/>
  <c r="AT235" i="63" l="1"/>
  <c r="O236" i="63"/>
  <c r="N236" i="63"/>
  <c r="AU235" i="63"/>
  <c r="AV235" i="63" s="1"/>
  <c r="Q236" i="63" l="1"/>
  <c r="V236" i="63" s="1"/>
  <c r="M236" i="63"/>
  <c r="L236" i="63" s="1"/>
  <c r="AN236" i="63"/>
  <c r="AS236" i="63" s="1"/>
  <c r="P236" i="63"/>
  <c r="U236" i="63" s="1"/>
  <c r="Z236" i="63" l="1"/>
  <c r="AM236" i="63"/>
  <c r="W236" i="63"/>
  <c r="N237" i="63" l="1"/>
  <c r="AT236" i="63"/>
  <c r="O237" i="63"/>
  <c r="AU236" i="63"/>
  <c r="AV236" i="63" s="1"/>
  <c r="AN237" i="63" l="1"/>
  <c r="AS237" i="63" s="1"/>
  <c r="Q237" i="63"/>
  <c r="V237" i="63" s="1"/>
  <c r="M237" i="63"/>
  <c r="L237" i="63" s="1"/>
  <c r="AM237" i="63" l="1"/>
  <c r="Z237" i="63"/>
  <c r="P237" i="63"/>
  <c r="U237" i="63" l="1"/>
  <c r="W237" i="63"/>
  <c r="AU237" i="63" l="1"/>
  <c r="AV237" i="63" s="1"/>
  <c r="O238" i="63"/>
  <c r="AT237" i="63"/>
  <c r="N238" i="63"/>
  <c r="M238" i="63" l="1"/>
  <c r="L238" i="63" s="1"/>
  <c r="Q238" i="63"/>
  <c r="V238" i="63" s="1"/>
  <c r="AN238" i="63"/>
  <c r="AS238" i="63" s="1"/>
  <c r="P238" i="63" l="1"/>
  <c r="U238" i="63" s="1"/>
  <c r="AM238" i="63"/>
  <c r="Z238" i="63"/>
  <c r="W238" i="63" l="1"/>
  <c r="AU238" i="63"/>
  <c r="AV238" i="63" s="1"/>
  <c r="N239" i="63"/>
  <c r="AT238" i="63"/>
  <c r="O239" i="63"/>
  <c r="AN239" i="63" l="1"/>
  <c r="AS239" i="63" s="1"/>
  <c r="M239" i="63"/>
  <c r="L239" i="63" s="1"/>
  <c r="Q239" i="63"/>
  <c r="V239" i="63" s="1"/>
  <c r="Z239" i="63" l="1"/>
  <c r="AM239" i="63"/>
  <c r="P239" i="63"/>
  <c r="U239" i="63" l="1"/>
  <c r="W239" i="63"/>
  <c r="N240" i="63" l="1"/>
  <c r="AT239" i="63"/>
  <c r="O240" i="63"/>
  <c r="AU239" i="63"/>
  <c r="AV239" i="63" s="1"/>
  <c r="AN240" i="63" l="1"/>
  <c r="AS240" i="63" s="1"/>
  <c r="Q240" i="63"/>
  <c r="V240" i="63" s="1"/>
  <c r="M240" i="63"/>
  <c r="L240" i="63" s="1"/>
  <c r="Z240" i="63" l="1"/>
  <c r="AM240" i="63"/>
  <c r="P240" i="63"/>
  <c r="U240" i="63" l="1"/>
  <c r="W240" i="63"/>
  <c r="AT240" i="63" l="1"/>
  <c r="N241" i="63"/>
  <c r="AU240" i="63"/>
  <c r="AV240" i="63" s="1"/>
  <c r="O241" i="63"/>
  <c r="AN241" i="63" l="1"/>
  <c r="AS241" i="63" s="1"/>
  <c r="Q241" i="63"/>
  <c r="V241" i="63" s="1"/>
  <c r="M241" i="63"/>
  <c r="L241" i="63" s="1"/>
  <c r="AM241" i="63" l="1"/>
  <c r="Z241" i="63"/>
  <c r="P241" i="63"/>
  <c r="U241" i="63" l="1"/>
  <c r="W241" i="63"/>
  <c r="AT241" i="63" l="1"/>
  <c r="O242" i="63"/>
  <c r="N242" i="63"/>
  <c r="AU241" i="63"/>
  <c r="AV241" i="63" s="1"/>
  <c r="Q242" i="63" l="1"/>
  <c r="V242" i="63" s="1"/>
  <c r="M242" i="63"/>
  <c r="L242" i="63" s="1"/>
  <c r="AN242" i="63"/>
  <c r="AS242" i="63" s="1"/>
  <c r="P242" i="63" l="1"/>
  <c r="U242" i="63" s="1"/>
  <c r="Z242" i="63"/>
  <c r="AM242" i="63"/>
  <c r="W242" i="63" l="1"/>
  <c r="N243" i="63" s="1"/>
  <c r="AT242" i="63"/>
  <c r="AU242" i="63"/>
  <c r="AV242" i="63" s="1"/>
  <c r="O243" i="63"/>
  <c r="AN243" i="63" l="1"/>
  <c r="AS243" i="63" s="1"/>
  <c r="M243" i="63"/>
  <c r="L243" i="63" s="1"/>
  <c r="Q243" i="63"/>
  <c r="V243" i="63" s="1"/>
  <c r="AM243" i="63" l="1"/>
  <c r="Z243" i="63"/>
  <c r="P243" i="63"/>
  <c r="U243" i="63" l="1"/>
  <c r="W243" i="63"/>
  <c r="AU243" i="63" l="1"/>
  <c r="AV243" i="63" s="1"/>
  <c r="AT243" i="63"/>
  <c r="N244" i="63"/>
  <c r="O244" i="63"/>
  <c r="AN244" i="63" l="1"/>
  <c r="AS244" i="63" s="1"/>
  <c r="Q244" i="63"/>
  <c r="V244" i="63" s="1"/>
  <c r="M244" i="63"/>
  <c r="L244" i="63" s="1"/>
  <c r="AM244" i="63" l="1"/>
  <c r="Z244" i="63"/>
  <c r="P244" i="63"/>
  <c r="U244" i="63" l="1"/>
  <c r="W244" i="63"/>
  <c r="AT244" i="63" l="1"/>
  <c r="N245" i="63"/>
  <c r="AU244" i="63"/>
  <c r="AV244" i="63" s="1"/>
  <c r="O245" i="63"/>
  <c r="AN245" i="63" l="1"/>
  <c r="AS245" i="63" s="1"/>
  <c r="Q245" i="63"/>
  <c r="V245" i="63" s="1"/>
  <c r="M245" i="63"/>
  <c r="L245" i="63" s="1"/>
  <c r="AM245" i="63" l="1"/>
  <c r="Z245" i="63"/>
  <c r="P245" i="63"/>
  <c r="U245" i="63" l="1"/>
  <c r="W245" i="63"/>
  <c r="AT245" i="63" l="1"/>
  <c r="AU245" i="63"/>
  <c r="AV245" i="63" s="1"/>
  <c r="N246" i="63"/>
  <c r="O246" i="63"/>
  <c r="AN246" i="63" l="1"/>
  <c r="AS246" i="63" s="1"/>
  <c r="M246" i="63"/>
  <c r="L246" i="63" s="1"/>
  <c r="Q246" i="63"/>
  <c r="V246" i="63" s="1"/>
  <c r="P246" i="63" l="1"/>
  <c r="AM246" i="63"/>
  <c r="Z246" i="63"/>
  <c r="U246" i="63" l="1"/>
  <c r="W246" i="63"/>
  <c r="O247" i="63" l="1"/>
  <c r="N247" i="63"/>
  <c r="AT246" i="63"/>
  <c r="AU246" i="63"/>
  <c r="AV246" i="63" s="1"/>
  <c r="M247" i="63" l="1"/>
  <c r="L247" i="63" s="1"/>
  <c r="Q247" i="63"/>
  <c r="V247" i="63" s="1"/>
  <c r="AN247" i="63"/>
  <c r="AS247" i="63" s="1"/>
  <c r="P247" i="63" l="1"/>
  <c r="U247" i="63" s="1"/>
  <c r="Z247" i="63"/>
  <c r="AM247" i="63"/>
  <c r="W247" i="63" l="1"/>
  <c r="AT247" i="63"/>
  <c r="O248" i="63"/>
  <c r="AU247" i="63"/>
  <c r="AV247" i="63" s="1"/>
  <c r="N248" i="63"/>
  <c r="Q248" i="63" l="1"/>
  <c r="V248" i="63" s="1"/>
  <c r="M248" i="63"/>
  <c r="L248" i="63" s="1"/>
  <c r="AN248" i="63"/>
  <c r="AS248" i="63" s="1"/>
  <c r="P248" i="63" l="1"/>
  <c r="U248" i="63" s="1"/>
  <c r="Z248" i="63"/>
  <c r="AM248" i="63"/>
  <c r="W248" i="63" l="1"/>
  <c r="AT248" i="63" s="1"/>
  <c r="AU248" i="63"/>
  <c r="AV248" i="63" s="1"/>
  <c r="N249" i="63" l="1"/>
  <c r="Q249" i="63" s="1"/>
  <c r="O249" i="63"/>
  <c r="AN249" i="63" s="1"/>
  <c r="AS249" i="63" s="1"/>
  <c r="V249" i="63" l="1"/>
  <c r="P249" i="63"/>
  <c r="U249" i="63" s="1"/>
  <c r="M249" i="63"/>
  <c r="L249" i="63" s="1"/>
  <c r="Z249" i="63" s="1"/>
  <c r="W249" i="63"/>
  <c r="AM249" i="63" l="1"/>
  <c r="AT249" i="63"/>
  <c r="AU249" i="63"/>
  <c r="AV249" i="63" s="1"/>
  <c r="N250" i="63"/>
  <c r="O250" i="63"/>
  <c r="AN250" i="63" l="1"/>
  <c r="AS250" i="63" s="1"/>
  <c r="M250" i="63"/>
  <c r="L250" i="63" s="1"/>
  <c r="Q250" i="63"/>
  <c r="V250" i="63" s="1"/>
  <c r="AM250" i="63" l="1"/>
  <c r="Z250" i="63"/>
  <c r="P250" i="63"/>
  <c r="U250" i="63" l="1"/>
  <c r="W250" i="63"/>
  <c r="AU250" i="63" l="1"/>
  <c r="AV250" i="63" s="1"/>
  <c r="AT250" i="63"/>
  <c r="N251" i="63"/>
  <c r="O251" i="63"/>
  <c r="AN251" i="63" l="1"/>
  <c r="AS251" i="63" s="1"/>
  <c r="M251" i="63"/>
  <c r="L251" i="63" s="1"/>
  <c r="Q251" i="63"/>
  <c r="V251" i="63" s="1"/>
  <c r="Z251" i="63" l="1"/>
  <c r="AM251" i="63"/>
  <c r="P251" i="63"/>
  <c r="U251" i="63" l="1"/>
  <c r="W251" i="63"/>
  <c r="AU251" i="63" l="1"/>
  <c r="AV251" i="63" s="1"/>
  <c r="AT251" i="63"/>
  <c r="N252" i="63"/>
  <c r="O252" i="63"/>
  <c r="AN252" i="63" l="1"/>
  <c r="AS252" i="63" s="1"/>
  <c r="Q252" i="63"/>
  <c r="V252" i="63" s="1"/>
  <c r="M252" i="63"/>
  <c r="L252" i="63" s="1"/>
  <c r="AM252" i="63" l="1"/>
  <c r="Z252" i="63"/>
  <c r="P252" i="63"/>
  <c r="U252" i="63" l="1"/>
  <c r="W252" i="63"/>
  <c r="AT252" i="63" l="1"/>
  <c r="N253" i="63"/>
  <c r="AU252" i="63"/>
  <c r="AV252" i="63" s="1"/>
  <c r="O253" i="63"/>
  <c r="AN253" i="63" l="1"/>
  <c r="AS253" i="63" s="1"/>
  <c r="M253" i="63"/>
  <c r="L253" i="63" s="1"/>
  <c r="Q253" i="63"/>
  <c r="V253" i="63" s="1"/>
  <c r="Z253" i="63" l="1"/>
  <c r="AM253" i="63"/>
  <c r="P253" i="63"/>
  <c r="U253" i="63" l="1"/>
  <c r="W253" i="63"/>
  <c r="AT253" i="63" l="1"/>
  <c r="N254" i="63"/>
  <c r="AU253" i="63"/>
  <c r="AV253" i="63" s="1"/>
  <c r="O254" i="63"/>
  <c r="AN254" i="63" l="1"/>
  <c r="AS254" i="63" s="1"/>
  <c r="M254" i="63"/>
  <c r="L254" i="63" s="1"/>
  <c r="Q254" i="63"/>
  <c r="V254" i="63" s="1"/>
  <c r="AM254" i="63" l="1"/>
  <c r="Z254" i="63"/>
  <c r="P254" i="63"/>
  <c r="U254" i="63" l="1"/>
  <c r="W254" i="63"/>
  <c r="N255" i="63" l="1"/>
  <c r="O255" i="63"/>
  <c r="AT254" i="63"/>
  <c r="AU254" i="63"/>
  <c r="AV254" i="63" s="1"/>
  <c r="AN255" i="63" l="1"/>
  <c r="AS255" i="63" s="1"/>
  <c r="Q255" i="63"/>
  <c r="V255" i="63" s="1"/>
  <c r="M255" i="63"/>
  <c r="L255" i="63" s="1"/>
  <c r="AM255" i="63" l="1"/>
  <c r="Z255" i="63"/>
  <c r="P255" i="63"/>
  <c r="U255" i="63" l="1"/>
  <c r="W255" i="63"/>
  <c r="AT255" i="63" l="1"/>
  <c r="N256" i="63"/>
  <c r="AU255" i="63"/>
  <c r="AV255" i="63" s="1"/>
  <c r="O256" i="63"/>
  <c r="AN256" i="63" l="1"/>
  <c r="AS256" i="63" s="1"/>
  <c r="Q256" i="63"/>
  <c r="V256" i="63" s="1"/>
  <c r="M256" i="63"/>
  <c r="L256" i="63" s="1"/>
  <c r="P256" i="63" l="1"/>
  <c r="AM256" i="63"/>
  <c r="Z256" i="63"/>
  <c r="U256" i="63" l="1"/>
  <c r="W256" i="63"/>
  <c r="O257" i="63" l="1"/>
  <c r="N257" i="63"/>
  <c r="AU256" i="63"/>
  <c r="AV256" i="63" s="1"/>
  <c r="AT256" i="63"/>
  <c r="M257" i="63" l="1"/>
  <c r="L257" i="63" s="1"/>
  <c r="Q257" i="63"/>
  <c r="V257" i="63" s="1"/>
  <c r="AN257" i="63"/>
  <c r="AS257" i="63" s="1"/>
  <c r="P257" i="63" l="1"/>
  <c r="U257" i="63" s="1"/>
  <c r="Z257" i="63"/>
  <c r="AM257" i="63"/>
  <c r="W257" i="63" l="1"/>
  <c r="O258" i="63"/>
  <c r="N258" i="63"/>
  <c r="AT257" i="63"/>
  <c r="AU257" i="63"/>
  <c r="AV257" i="63" s="1"/>
  <c r="M258" i="63" l="1"/>
  <c r="L258" i="63" s="1"/>
  <c r="Q258" i="63"/>
  <c r="V258" i="63" s="1"/>
  <c r="AN258" i="63"/>
  <c r="AS258" i="63" s="1"/>
  <c r="P258" i="63" l="1"/>
  <c r="U258" i="63" s="1"/>
  <c r="W258" i="63"/>
  <c r="Z258" i="63"/>
  <c r="AM258" i="63"/>
  <c r="N259" i="63" l="1"/>
  <c r="AT258" i="63"/>
  <c r="AU258" i="63"/>
  <c r="AV258" i="63" s="1"/>
  <c r="O259" i="63"/>
  <c r="AN259" i="63" l="1"/>
  <c r="AS259" i="63" s="1"/>
  <c r="Q259" i="63"/>
  <c r="V259" i="63" s="1"/>
  <c r="M259" i="63"/>
  <c r="L259" i="63" s="1"/>
  <c r="Z259" i="63" l="1"/>
  <c r="AM259" i="63"/>
  <c r="P259" i="63"/>
  <c r="U259" i="63" l="1"/>
  <c r="W259" i="63"/>
  <c r="N260" i="63" l="1"/>
  <c r="AT259" i="63"/>
  <c r="O260" i="63"/>
  <c r="AU259" i="63"/>
  <c r="AV259" i="63" s="1"/>
  <c r="AN260" i="63" l="1"/>
  <c r="AS260" i="63" s="1"/>
  <c r="Q260" i="63"/>
  <c r="V260" i="63" s="1"/>
  <c r="M260" i="63"/>
  <c r="L260" i="63" s="1"/>
  <c r="Z260" i="63" l="1"/>
  <c r="AM260" i="63"/>
  <c r="P260" i="63"/>
  <c r="U260" i="63" l="1"/>
  <c r="W260" i="63"/>
  <c r="AT260" i="63" l="1"/>
  <c r="AU260" i="63"/>
  <c r="AV260" i="63" s="1"/>
  <c r="N261" i="63"/>
  <c r="O261" i="63"/>
  <c r="AN261" i="63" l="1"/>
  <c r="AS261" i="63" s="1"/>
  <c r="Q261" i="63"/>
  <c r="V261" i="63" s="1"/>
  <c r="M261" i="63"/>
  <c r="L261" i="63" s="1"/>
  <c r="AM261" i="63" l="1"/>
  <c r="Z261" i="63"/>
  <c r="P261" i="63"/>
  <c r="U261" i="63" l="1"/>
  <c r="W261" i="63"/>
  <c r="O262" i="63" l="1"/>
  <c r="N262" i="63"/>
  <c r="AT261" i="63"/>
  <c r="AU261" i="63"/>
  <c r="AV261" i="63" s="1"/>
  <c r="M262" i="63" l="1"/>
  <c r="L262" i="63" s="1"/>
  <c r="Q262" i="63"/>
  <c r="V262" i="63" s="1"/>
  <c r="AN262" i="63"/>
  <c r="AS262" i="63" s="1"/>
  <c r="P262" i="63" l="1"/>
  <c r="U262" i="63" s="1"/>
  <c r="AM262" i="63"/>
  <c r="Z262" i="63"/>
  <c r="W262" i="63" l="1"/>
  <c r="AU262" i="63" s="1"/>
  <c r="AV262" i="63" s="1"/>
  <c r="O263" i="63"/>
  <c r="AT262" i="63" l="1"/>
  <c r="N263" i="63"/>
  <c r="M263" i="63" s="1"/>
  <c r="L263" i="63" s="1"/>
  <c r="AN263" i="63"/>
  <c r="AS263" i="63" s="1"/>
  <c r="Q263" i="63" l="1"/>
  <c r="V263" i="63" s="1"/>
  <c r="Z263" i="63"/>
  <c r="AM263" i="63"/>
  <c r="P263" i="63" l="1"/>
  <c r="U263" i="63"/>
  <c r="W263" i="63"/>
  <c r="N264" i="63" l="1"/>
  <c r="AT263" i="63"/>
  <c r="O264" i="63"/>
  <c r="AU263" i="63"/>
  <c r="AV263" i="63" s="1"/>
  <c r="AN264" i="63" l="1"/>
  <c r="AS264" i="63" s="1"/>
  <c r="M264" i="63"/>
  <c r="L264" i="63" s="1"/>
  <c r="Q264" i="63"/>
  <c r="V264" i="63" s="1"/>
  <c r="AM264" i="63" l="1"/>
  <c r="Z264" i="63"/>
  <c r="P264" i="63"/>
  <c r="U264" i="63" l="1"/>
  <c r="W264" i="63"/>
  <c r="AT264" i="63" l="1"/>
  <c r="O265" i="63"/>
  <c r="N265" i="63"/>
  <c r="AU264" i="63"/>
  <c r="AV264" i="63" s="1"/>
  <c r="Q265" i="63" l="1"/>
  <c r="V265" i="63" s="1"/>
  <c r="M265" i="63"/>
  <c r="L265" i="63" s="1"/>
  <c r="AN265" i="63"/>
  <c r="AS265" i="63" s="1"/>
  <c r="P265" i="63" l="1"/>
  <c r="U265" i="63" s="1"/>
  <c r="Z265" i="63"/>
  <c r="AM265" i="63"/>
  <c r="W265" i="63" l="1"/>
  <c r="O266" i="63"/>
  <c r="AT265" i="63"/>
  <c r="N266" i="63"/>
  <c r="AU265" i="63"/>
  <c r="AV265" i="63" s="1"/>
  <c r="Q266" i="63" l="1"/>
  <c r="V266" i="63" s="1"/>
  <c r="M266" i="63"/>
  <c r="L266" i="63" s="1"/>
  <c r="AN266" i="63"/>
  <c r="AS266" i="63" s="1"/>
  <c r="P266" i="63"/>
  <c r="U266" i="63" s="1"/>
  <c r="Z266" i="63" l="1"/>
  <c r="AM266" i="63"/>
  <c r="W266" i="63"/>
  <c r="AU266" i="63" l="1"/>
  <c r="AV266" i="63" s="1"/>
  <c r="AT266" i="63"/>
  <c r="N267" i="63"/>
  <c r="O267" i="63"/>
  <c r="AN267" i="63" l="1"/>
  <c r="AS267" i="63" s="1"/>
  <c r="Q267" i="63"/>
  <c r="V267" i="63" s="1"/>
  <c r="M267" i="63"/>
  <c r="L267" i="63" s="1"/>
  <c r="AM267" i="63" l="1"/>
  <c r="Z267" i="63"/>
  <c r="P267" i="63"/>
  <c r="U267" i="63" l="1"/>
  <c r="W267" i="63"/>
  <c r="N268" i="63" l="1"/>
  <c r="AT267" i="63"/>
  <c r="AU267" i="63"/>
  <c r="AV267" i="63" s="1"/>
  <c r="O268" i="63"/>
  <c r="AN268" i="63" l="1"/>
  <c r="AS268" i="63" s="1"/>
  <c r="Q268" i="63"/>
  <c r="V268" i="63" s="1"/>
  <c r="M268" i="63"/>
  <c r="L268" i="63" s="1"/>
  <c r="Z268" i="63" l="1"/>
  <c r="AM268" i="63"/>
  <c r="P268" i="63"/>
  <c r="U268" i="63" l="1"/>
  <c r="W268" i="63"/>
  <c r="N269" i="63" l="1"/>
  <c r="AT268" i="63"/>
  <c r="O269" i="63"/>
  <c r="AU268" i="63"/>
  <c r="AV268" i="63" s="1"/>
  <c r="AN269" i="63" l="1"/>
  <c r="AS269" i="63" s="1"/>
  <c r="M269" i="63"/>
  <c r="L269" i="63" s="1"/>
  <c r="Q269" i="63"/>
  <c r="V269" i="63" s="1"/>
  <c r="AM269" i="63" l="1"/>
  <c r="Z269" i="63"/>
  <c r="P269" i="63"/>
  <c r="U269" i="63" l="1"/>
  <c r="W269" i="63"/>
  <c r="AT269" i="63" l="1"/>
  <c r="N270" i="63"/>
  <c r="AU269" i="63"/>
  <c r="AV269" i="63" s="1"/>
  <c r="O270" i="63"/>
  <c r="AN270" i="63" l="1"/>
  <c r="AS270" i="63" s="1"/>
  <c r="Q270" i="63"/>
  <c r="V270" i="63" s="1"/>
  <c r="M270" i="63"/>
  <c r="L270" i="63" s="1"/>
  <c r="Z270" i="63" l="1"/>
  <c r="AM270" i="63"/>
  <c r="P270" i="63"/>
  <c r="U270" i="63" l="1"/>
  <c r="W270" i="63"/>
  <c r="AT270" i="63" l="1"/>
  <c r="O271" i="63"/>
  <c r="N271" i="63"/>
  <c r="AU270" i="63"/>
  <c r="AV270" i="63" s="1"/>
  <c r="Q271" i="63" l="1"/>
  <c r="V271" i="63" s="1"/>
  <c r="M271" i="63"/>
  <c r="L271" i="63" s="1"/>
  <c r="AN271" i="63"/>
  <c r="AS271" i="63" s="1"/>
  <c r="P271" i="63" l="1"/>
  <c r="U271" i="63" s="1"/>
  <c r="AM271" i="63"/>
  <c r="Z271" i="63"/>
  <c r="W271" i="63" l="1"/>
  <c r="O272" i="63"/>
  <c r="AT271" i="63"/>
  <c r="N272" i="63"/>
  <c r="AU271" i="63"/>
  <c r="AV271" i="63" s="1"/>
  <c r="M272" i="63" l="1"/>
  <c r="L272" i="63" s="1"/>
  <c r="Q272" i="63"/>
  <c r="V272" i="63" s="1"/>
  <c r="AN272" i="63"/>
  <c r="AS272" i="63" s="1"/>
  <c r="P272" i="63" l="1"/>
  <c r="W272" i="63" s="1"/>
  <c r="AM272" i="63"/>
  <c r="Z272" i="63"/>
  <c r="U272" i="63" l="1"/>
  <c r="O273" i="63"/>
  <c r="AU272" i="63"/>
  <c r="AV272" i="63" s="1"/>
  <c r="N273" i="63"/>
  <c r="AT272" i="63"/>
  <c r="M273" i="63" l="1"/>
  <c r="L273" i="63" s="1"/>
  <c r="Q273" i="63"/>
  <c r="V273" i="63" s="1"/>
  <c r="AN273" i="63"/>
  <c r="AS273" i="63" s="1"/>
  <c r="P273" i="63" l="1"/>
  <c r="U273" i="63" s="1"/>
  <c r="AM273" i="63"/>
  <c r="Z273" i="63"/>
  <c r="W273" i="63" l="1"/>
  <c r="AU273" i="63" s="1"/>
  <c r="AV273" i="63" s="1"/>
  <c r="AT273" i="63" l="1"/>
  <c r="O274" i="63"/>
  <c r="AN274" i="63" s="1"/>
  <c r="AS274" i="63" s="1"/>
  <c r="N274" i="63"/>
  <c r="M274" i="63" s="1"/>
  <c r="L274" i="63" s="1"/>
  <c r="Q274" i="63" l="1"/>
  <c r="V274" i="63" s="1"/>
  <c r="AM274" i="63"/>
  <c r="Z274" i="63"/>
  <c r="P274" i="63" l="1"/>
  <c r="U274" i="63" s="1"/>
  <c r="W274" i="63" l="1"/>
  <c r="AT274" i="63" l="1"/>
  <c r="O275" i="63"/>
  <c r="AN275" i="63" s="1"/>
  <c r="AS275" i="63" s="1"/>
  <c r="AU274" i="63"/>
  <c r="AV274" i="63" s="1"/>
  <c r="N275" i="63"/>
  <c r="M275" i="63" l="1"/>
  <c r="L275" i="63" s="1"/>
  <c r="Q275" i="63"/>
  <c r="V275" i="63" l="1"/>
  <c r="P275" i="63"/>
  <c r="Z275" i="63"/>
  <c r="AM275" i="63"/>
  <c r="U275" i="63" l="1"/>
  <c r="W275" i="63"/>
  <c r="N276" i="63" l="1"/>
  <c r="AT275" i="63"/>
  <c r="O276" i="63"/>
  <c r="AU275" i="63"/>
  <c r="AV275" i="63" s="1"/>
  <c r="AN276" i="63" l="1"/>
  <c r="AS276" i="63" s="1"/>
  <c r="Q276" i="63"/>
  <c r="V276" i="63" s="1"/>
  <c r="M276" i="63"/>
  <c r="L276" i="63" s="1"/>
  <c r="AM276" i="63" l="1"/>
  <c r="Z276" i="63"/>
  <c r="P276" i="63"/>
  <c r="W276" i="63" l="1"/>
  <c r="U276" i="63"/>
  <c r="N277" i="63" l="1"/>
  <c r="AU276" i="63"/>
  <c r="AV276" i="63" s="1"/>
  <c r="O277" i="63"/>
  <c r="AT276" i="63"/>
  <c r="AN277" i="63" l="1"/>
  <c r="AS277" i="63" s="1"/>
  <c r="Q277" i="63"/>
  <c r="V277" i="63" s="1"/>
  <c r="M277" i="63"/>
  <c r="L277" i="63" s="1"/>
  <c r="Z277" i="63" l="1"/>
  <c r="AM277" i="63"/>
  <c r="P277" i="63"/>
  <c r="U277" i="63" l="1"/>
  <c r="W277" i="63"/>
  <c r="AT277" i="63" l="1"/>
  <c r="AU277" i="63"/>
  <c r="AV277" i="63" s="1"/>
  <c r="N278" i="63"/>
  <c r="O278" i="63"/>
  <c r="Q278" i="63" l="1"/>
  <c r="V278" i="63" s="1"/>
  <c r="M278" i="63"/>
  <c r="L278" i="63" s="1"/>
  <c r="AN278" i="63"/>
  <c r="AS278" i="63" s="1"/>
  <c r="P278" i="63" l="1"/>
  <c r="U278" i="63" s="1"/>
  <c r="W278" i="63"/>
  <c r="Z278" i="63"/>
  <c r="AM278" i="63"/>
  <c r="O279" i="63" l="1"/>
  <c r="AU278" i="63"/>
  <c r="AV278" i="63" s="1"/>
  <c r="AT278" i="63"/>
  <c r="N279" i="63"/>
  <c r="M279" i="63" l="1"/>
  <c r="L279" i="63" s="1"/>
  <c r="Q279" i="63"/>
  <c r="V279" i="63" s="1"/>
  <c r="AN279" i="63"/>
  <c r="AS279" i="63" s="1"/>
  <c r="P279" i="63" l="1"/>
  <c r="AM279" i="63"/>
  <c r="Z279" i="63"/>
  <c r="U279" i="63" l="1"/>
  <c r="W279" i="63"/>
  <c r="O280" i="63" l="1"/>
  <c r="AT279" i="63"/>
  <c r="AU279" i="63"/>
  <c r="AV279" i="63" s="1"/>
  <c r="N280" i="63"/>
  <c r="Q280" i="63" l="1"/>
  <c r="V280" i="63" s="1"/>
  <c r="M280" i="63"/>
  <c r="L280" i="63" s="1"/>
  <c r="AN280" i="63"/>
  <c r="AS280" i="63" s="1"/>
  <c r="P280" i="63"/>
  <c r="U280" i="63" l="1"/>
  <c r="W280" i="63"/>
  <c r="Z280" i="63"/>
  <c r="AM280" i="63"/>
  <c r="AT280" i="63" l="1"/>
  <c r="N281" i="63"/>
  <c r="O281" i="63"/>
  <c r="AU280" i="63"/>
  <c r="AV280" i="63" s="1"/>
  <c r="AN281" i="63" l="1"/>
  <c r="AS281" i="63" s="1"/>
  <c r="Q281" i="63"/>
  <c r="V281" i="63" s="1"/>
  <c r="M281" i="63"/>
  <c r="L281" i="63" s="1"/>
  <c r="AM281" i="63" l="1"/>
  <c r="Z281" i="63"/>
  <c r="P281" i="63"/>
  <c r="U281" i="63" l="1"/>
  <c r="W281" i="63"/>
  <c r="O282" i="63" l="1"/>
  <c r="AT281" i="63"/>
  <c r="N282" i="63"/>
  <c r="AU281" i="63"/>
  <c r="AV281" i="63" s="1"/>
  <c r="Q282" i="63" l="1"/>
  <c r="V282" i="63" s="1"/>
  <c r="M282" i="63"/>
  <c r="L282" i="63" s="1"/>
  <c r="AN282" i="63"/>
  <c r="AS282" i="63" s="1"/>
  <c r="P282" i="63"/>
  <c r="U282" i="63" s="1"/>
  <c r="AM282" i="63" l="1"/>
  <c r="Z282" i="63"/>
  <c r="W282" i="63"/>
  <c r="AT282" i="63" l="1"/>
  <c r="O283" i="63"/>
  <c r="AU282" i="63"/>
  <c r="AV282" i="63" s="1"/>
  <c r="N283" i="63"/>
  <c r="Q283" i="63" l="1"/>
  <c r="V283" i="63" s="1"/>
  <c r="M283" i="63"/>
  <c r="L283" i="63" s="1"/>
  <c r="AN283" i="63"/>
  <c r="AS283" i="63" s="1"/>
  <c r="P283" i="63"/>
  <c r="AM283" i="63" l="1"/>
  <c r="Z283" i="63"/>
  <c r="U283" i="63"/>
  <c r="W283" i="63"/>
  <c r="AT283" i="63" l="1"/>
  <c r="AU283" i="63"/>
  <c r="AV283" i="63" s="1"/>
  <c r="N284" i="63"/>
  <c r="O284" i="63"/>
  <c r="AN284" i="63" l="1"/>
  <c r="AS284" i="63" s="1"/>
  <c r="Q284" i="63"/>
  <c r="V284" i="63" s="1"/>
  <c r="M284" i="63"/>
  <c r="L284" i="63" s="1"/>
  <c r="AM284" i="63" l="1"/>
  <c r="Z284" i="63"/>
  <c r="P284" i="63"/>
  <c r="U284" i="63" l="1"/>
  <c r="W284" i="63"/>
  <c r="N285" i="63" l="1"/>
  <c r="AT284" i="63"/>
  <c r="AU284" i="63"/>
  <c r="AV284" i="63" s="1"/>
  <c r="O285" i="63"/>
  <c r="AN285" i="63" l="1"/>
  <c r="AS285" i="63" s="1"/>
  <c r="M285" i="63"/>
  <c r="L285" i="63" s="1"/>
  <c r="Q285" i="63"/>
  <c r="V285" i="63" s="1"/>
  <c r="AM285" i="63" l="1"/>
  <c r="Z285" i="63"/>
  <c r="P285" i="63"/>
  <c r="U285" i="63" l="1"/>
  <c r="W285" i="63"/>
  <c r="N286" i="63" l="1"/>
  <c r="AU285" i="63"/>
  <c r="AV285" i="63" s="1"/>
  <c r="O286" i="63"/>
  <c r="AT285" i="63"/>
  <c r="AN286" i="63" l="1"/>
  <c r="AS286" i="63" s="1"/>
  <c r="M286" i="63"/>
  <c r="L286" i="63" s="1"/>
  <c r="Q286" i="63"/>
  <c r="V286" i="63" s="1"/>
  <c r="P286" i="63" l="1"/>
  <c r="Z286" i="63"/>
  <c r="AM286" i="63"/>
  <c r="U286" i="63" l="1"/>
  <c r="W286" i="63"/>
  <c r="O287" i="63" l="1"/>
  <c r="AU286" i="63"/>
  <c r="AV286" i="63" s="1"/>
  <c r="N287" i="63"/>
  <c r="AT286" i="63"/>
  <c r="M287" i="63" l="1"/>
  <c r="L287" i="63" s="1"/>
  <c r="Q287" i="63"/>
  <c r="V287" i="63" s="1"/>
  <c r="AN287" i="63"/>
  <c r="AS287" i="63" s="1"/>
  <c r="P287" i="63" l="1"/>
  <c r="W287" i="63"/>
  <c r="U287" i="63"/>
  <c r="AM287" i="63"/>
  <c r="Z287" i="63"/>
  <c r="AT287" i="63" l="1"/>
  <c r="N288" i="63"/>
  <c r="O288" i="63"/>
  <c r="AU287" i="63"/>
  <c r="AV287" i="63" s="1"/>
  <c r="AN288" i="63" l="1"/>
  <c r="AS288" i="63" s="1"/>
  <c r="Q288" i="63"/>
  <c r="V288" i="63" s="1"/>
  <c r="M288" i="63"/>
  <c r="L288" i="63" s="1"/>
  <c r="P288" i="63" l="1"/>
  <c r="Z288" i="63"/>
  <c r="AM288" i="63"/>
  <c r="U288" i="63" l="1"/>
  <c r="W288" i="63"/>
  <c r="O289" i="63" l="1"/>
  <c r="AU288" i="63"/>
  <c r="AV288" i="63" s="1"/>
  <c r="N289" i="63"/>
  <c r="AT288" i="63"/>
  <c r="Q289" i="63" l="1"/>
  <c r="V289" i="63" s="1"/>
  <c r="M289" i="63"/>
  <c r="L289" i="63" s="1"/>
  <c r="AN289" i="63"/>
  <c r="AS289" i="63" s="1"/>
  <c r="P289" i="63"/>
  <c r="AM289" i="63" l="1"/>
  <c r="Z289" i="63"/>
  <c r="U289" i="63"/>
  <c r="W289" i="63"/>
  <c r="AT289" i="63" l="1"/>
  <c r="AU289" i="63"/>
  <c r="AV289" i="63" s="1"/>
  <c r="N290" i="63"/>
  <c r="O290" i="63"/>
  <c r="AN290" i="63" l="1"/>
  <c r="AS290" i="63" s="1"/>
  <c r="M290" i="63"/>
  <c r="L290" i="63" s="1"/>
  <c r="Q290" i="63"/>
  <c r="V290" i="63" s="1"/>
  <c r="P290" i="63" l="1"/>
  <c r="Z290" i="63"/>
  <c r="AM290" i="63"/>
  <c r="U290" i="63" l="1"/>
  <c r="W290" i="63"/>
  <c r="O291" i="63" l="1"/>
  <c r="N291" i="63"/>
  <c r="AT290" i="63"/>
  <c r="AU290" i="63"/>
  <c r="AV290" i="63" s="1"/>
  <c r="Q291" i="63" l="1"/>
  <c r="V291" i="63" s="1"/>
  <c r="M291" i="63"/>
  <c r="L291" i="63" s="1"/>
  <c r="AN291" i="63"/>
  <c r="AS291" i="63" s="1"/>
  <c r="P291" i="63" l="1"/>
  <c r="U291" i="63" s="1"/>
  <c r="W291" i="63"/>
  <c r="Z291" i="63"/>
  <c r="AM291" i="63"/>
  <c r="AU291" i="63" l="1"/>
  <c r="AV291" i="63" s="1"/>
  <c r="O292" i="63"/>
  <c r="N292" i="63"/>
  <c r="AT291" i="63"/>
  <c r="AN292" i="63" l="1"/>
  <c r="AS292" i="63" s="1"/>
  <c r="Q292" i="63"/>
  <c r="V292" i="63" s="1"/>
  <c r="M292" i="63"/>
  <c r="L292" i="63" s="1"/>
  <c r="AM292" i="63" l="1"/>
  <c r="Z292" i="63"/>
  <c r="P292" i="63"/>
  <c r="W292" i="63" l="1"/>
  <c r="U292" i="63"/>
  <c r="N293" i="63" l="1"/>
  <c r="AT292" i="63"/>
  <c r="AU292" i="63"/>
  <c r="AV292" i="63" s="1"/>
  <c r="O293" i="63"/>
  <c r="AN293" i="63" l="1"/>
  <c r="AS293" i="63" s="1"/>
  <c r="M293" i="63"/>
  <c r="L293" i="63" s="1"/>
  <c r="Q293" i="63"/>
  <c r="V293" i="63" s="1"/>
  <c r="Z293" i="63" l="1"/>
  <c r="AM293" i="63"/>
  <c r="P293" i="63"/>
  <c r="U293" i="63" l="1"/>
  <c r="W293" i="63"/>
  <c r="O294" i="63" l="1"/>
  <c r="N294" i="63"/>
  <c r="AT293" i="63"/>
  <c r="AU293" i="63"/>
  <c r="AV293" i="63" s="1"/>
  <c r="Q294" i="63" l="1"/>
  <c r="V294" i="63" s="1"/>
  <c r="M294" i="63"/>
  <c r="L294" i="63" s="1"/>
  <c r="AN294" i="63"/>
  <c r="AS294" i="63" s="1"/>
  <c r="P294" i="63" l="1"/>
  <c r="Z294" i="63"/>
  <c r="AM294" i="63"/>
  <c r="U294" i="63"/>
  <c r="W294" i="63"/>
  <c r="O295" i="63" l="1"/>
  <c r="AN295" i="63" s="1"/>
  <c r="AS295" i="63" s="1"/>
  <c r="AU294" i="63"/>
  <c r="AV294" i="63" s="1"/>
  <c r="N295" i="63"/>
  <c r="AT294" i="63"/>
  <c r="Q295" i="63" l="1"/>
  <c r="M295" i="63"/>
  <c r="L295" i="63" s="1"/>
  <c r="AM295" i="63" l="1"/>
  <c r="Z295" i="63"/>
  <c r="V295" i="63"/>
  <c r="P295" i="63"/>
  <c r="U295" i="63" l="1"/>
  <c r="W295" i="63"/>
  <c r="AT295" i="63" l="1"/>
  <c r="O296" i="63"/>
  <c r="AU295" i="63"/>
  <c r="AV295" i="63" s="1"/>
  <c r="N296" i="63"/>
  <c r="AN296" i="63" l="1"/>
  <c r="AS296" i="63" s="1"/>
  <c r="M296" i="63"/>
  <c r="L296" i="63" s="1"/>
  <c r="Q296" i="63"/>
  <c r="V296" i="63" s="1"/>
  <c r="AM296" i="63" l="1"/>
  <c r="Z296" i="63"/>
  <c r="P296" i="63"/>
  <c r="U296" i="63" l="1"/>
  <c r="W296" i="63"/>
  <c r="N297" i="63" l="1"/>
  <c r="AT296" i="63"/>
  <c r="O297" i="63"/>
  <c r="AU296" i="63"/>
  <c r="AV296" i="63" s="1"/>
  <c r="AN297" i="63" l="1"/>
  <c r="AS297" i="63" s="1"/>
  <c r="Q297" i="63"/>
  <c r="V297" i="63" s="1"/>
  <c r="M297" i="63"/>
  <c r="L297" i="63" s="1"/>
  <c r="Z297" i="63" l="1"/>
  <c r="AM297" i="63"/>
  <c r="P297" i="63"/>
  <c r="U297" i="63" l="1"/>
  <c r="W297" i="63"/>
  <c r="AT297" i="63" l="1"/>
  <c r="O298" i="63"/>
  <c r="N298" i="63"/>
  <c r="AU297" i="63"/>
  <c r="AV297" i="63" s="1"/>
  <c r="Q298" i="63" l="1"/>
  <c r="V298" i="63" s="1"/>
  <c r="M298" i="63"/>
  <c r="L298" i="63" s="1"/>
  <c r="AN298" i="63"/>
  <c r="AS298" i="63" s="1"/>
  <c r="P298" i="63" l="1"/>
  <c r="U298" i="63" s="1"/>
  <c r="Z298" i="63"/>
  <c r="AM298" i="63"/>
  <c r="W298" i="63"/>
  <c r="O299" i="63" l="1"/>
  <c r="AU298" i="63"/>
  <c r="AV298" i="63" s="1"/>
  <c r="AT298" i="63"/>
  <c r="N299" i="63"/>
  <c r="M299" i="63" l="1"/>
  <c r="L299" i="63" s="1"/>
  <c r="Q299" i="63"/>
  <c r="V299" i="63" s="1"/>
  <c r="AN299" i="63"/>
  <c r="AS299" i="63" s="1"/>
  <c r="P299" i="63" l="1"/>
  <c r="U299" i="63" s="1"/>
  <c r="AM299" i="63"/>
  <c r="Z299" i="63"/>
  <c r="W299" i="63" l="1"/>
  <c r="O300" i="63"/>
  <c r="N300" i="63"/>
  <c r="AU299" i="63"/>
  <c r="AV299" i="63" s="1"/>
  <c r="AT299" i="63"/>
  <c r="M300" i="63" l="1"/>
  <c r="L300" i="63" s="1"/>
  <c r="Q300" i="63"/>
  <c r="V300" i="63" s="1"/>
  <c r="AN300" i="63"/>
  <c r="AS300" i="63" s="1"/>
  <c r="P300" i="63" l="1"/>
  <c r="U300" i="63" s="1"/>
  <c r="AM300" i="63"/>
  <c r="Z300" i="63"/>
  <c r="W300" i="63" l="1"/>
  <c r="N301" i="63"/>
  <c r="AU300" i="63"/>
  <c r="AV300" i="63" s="1"/>
  <c r="O301" i="63"/>
  <c r="AN301" i="63" s="1"/>
  <c r="AS301" i="63" s="1"/>
  <c r="AT300" i="63"/>
  <c r="Q301" i="63" l="1"/>
  <c r="M301" i="63"/>
  <c r="L301" i="63" s="1"/>
  <c r="AM301" i="63" l="1"/>
  <c r="Z301" i="63"/>
  <c r="V301" i="63"/>
  <c r="P301" i="63"/>
  <c r="U301" i="63" l="1"/>
  <c r="W301" i="63"/>
  <c r="O302" i="63" l="1"/>
  <c r="AN302" i="63" s="1"/>
  <c r="AS302" i="63" s="1"/>
  <c r="AU301" i="63"/>
  <c r="AV301" i="63" s="1"/>
  <c r="N302" i="63"/>
  <c r="AT301" i="63"/>
  <c r="Q302" i="63" l="1"/>
  <c r="M302" i="63"/>
  <c r="L302" i="63" s="1"/>
  <c r="Z302" i="63" l="1"/>
  <c r="AM302" i="63"/>
  <c r="V302" i="63"/>
  <c r="P302" i="63"/>
  <c r="U302" i="63" l="1"/>
  <c r="W302" i="63"/>
  <c r="AU302" i="63" l="1"/>
  <c r="AV302" i="63" s="1"/>
  <c r="AT302" i="63"/>
  <c r="O303" i="63"/>
  <c r="AN303" i="63" s="1"/>
  <c r="AS303" i="63" s="1"/>
  <c r="N303" i="63"/>
  <c r="M303" i="63" l="1"/>
  <c r="L303" i="63" s="1"/>
  <c r="Q303" i="63"/>
  <c r="P303" i="63" l="1"/>
  <c r="V303" i="63"/>
  <c r="Z303" i="63"/>
  <c r="AM303" i="63"/>
  <c r="U303" i="63" l="1"/>
  <c r="W303" i="63"/>
  <c r="AT303" i="63" l="1"/>
  <c r="N304" i="63"/>
  <c r="AU303" i="63"/>
  <c r="AV303" i="63" s="1"/>
  <c r="O304" i="63"/>
  <c r="AN304" i="63" s="1"/>
  <c r="AS304" i="63" s="1"/>
  <c r="M304" i="63" l="1"/>
  <c r="L304" i="63" s="1"/>
  <c r="Q304" i="63"/>
  <c r="V304" i="63" l="1"/>
  <c r="P304" i="63"/>
  <c r="Z304" i="63"/>
  <c r="AM304" i="63"/>
  <c r="U304" i="63" l="1"/>
  <c r="W304" i="63"/>
  <c r="AT304" i="63" l="1"/>
  <c r="AU304" i="63"/>
  <c r="AV304" i="63" s="1"/>
  <c r="O305" i="63"/>
  <c r="AN305" i="63" s="1"/>
  <c r="AS305" i="63" s="1"/>
  <c r="N305" i="63"/>
  <c r="Q305" i="63" l="1"/>
  <c r="M305" i="63"/>
  <c r="L305" i="63" s="1"/>
  <c r="Z305" i="63" l="1"/>
  <c r="AM305" i="63"/>
  <c r="P305" i="63"/>
  <c r="V305" i="63"/>
  <c r="U305" i="63" l="1"/>
  <c r="W305" i="63"/>
  <c r="N306" i="63" l="1"/>
  <c r="AT305" i="63"/>
  <c r="O306" i="63"/>
  <c r="AN306" i="63" s="1"/>
  <c r="AS306" i="63" s="1"/>
  <c r="AU305" i="63"/>
  <c r="AV305" i="63" s="1"/>
  <c r="M306" i="63" l="1"/>
  <c r="L306" i="63" s="1"/>
  <c r="Q306" i="63"/>
  <c r="V306" i="63" l="1"/>
  <c r="P306" i="63"/>
  <c r="Z306" i="63"/>
  <c r="AM306" i="63"/>
  <c r="W306" i="63" l="1"/>
  <c r="U306" i="63"/>
  <c r="AT306" i="63" l="1"/>
  <c r="N307" i="63"/>
  <c r="AU306" i="63"/>
  <c r="AV306" i="63" s="1"/>
  <c r="O307" i="63"/>
  <c r="AN307" i="63" s="1"/>
  <c r="AS307" i="63" s="1"/>
  <c r="M307" i="63" l="1"/>
  <c r="L307" i="63" s="1"/>
  <c r="Q307" i="63"/>
  <c r="V307" i="63" l="1"/>
  <c r="P307" i="63"/>
  <c r="AM307" i="63"/>
  <c r="Z307" i="63"/>
  <c r="W307" i="63" l="1"/>
  <c r="U307" i="63"/>
  <c r="N308" i="63" l="1"/>
  <c r="AT307" i="63"/>
  <c r="O308" i="63"/>
  <c r="AN308" i="63" s="1"/>
  <c r="AS308" i="63" s="1"/>
  <c r="AU307" i="63"/>
  <c r="AV307" i="63" s="1"/>
  <c r="Q308" i="63" l="1"/>
  <c r="M308" i="63"/>
  <c r="L308" i="63" s="1"/>
  <c r="AM308" i="63" l="1"/>
  <c r="Z308" i="63"/>
  <c r="V308" i="63"/>
  <c r="P308" i="63"/>
  <c r="W308" i="63" l="1"/>
  <c r="U308" i="63"/>
  <c r="AU308" i="63" l="1"/>
  <c r="AV308" i="63" s="1"/>
  <c r="O309" i="63"/>
  <c r="AN309" i="63" s="1"/>
  <c r="AS309" i="63" s="1"/>
  <c r="N309" i="63"/>
  <c r="AT308" i="63"/>
  <c r="Q309" i="63" l="1"/>
  <c r="M309" i="63"/>
  <c r="L309" i="63" s="1"/>
  <c r="Z309" i="63" l="1"/>
  <c r="AM309" i="63"/>
  <c r="V309" i="63"/>
  <c r="P309" i="63"/>
  <c r="U309" i="63" l="1"/>
  <c r="W309" i="63"/>
  <c r="AT309" i="63" l="1"/>
  <c r="N310" i="63"/>
  <c r="AU309" i="63"/>
  <c r="AV309" i="63" s="1"/>
  <c r="O310" i="63"/>
  <c r="AN310" i="63" s="1"/>
  <c r="AS310" i="63" s="1"/>
  <c r="Q310" i="63" l="1"/>
  <c r="M310" i="63"/>
  <c r="L310" i="63" s="1"/>
  <c r="AM310" i="63" l="1"/>
  <c r="Z310" i="63"/>
  <c r="V310" i="63"/>
  <c r="P310" i="63"/>
  <c r="U310" i="63" l="1"/>
  <c r="W310" i="63"/>
  <c r="O311" i="63" l="1"/>
  <c r="AN311" i="63" s="1"/>
  <c r="AS311" i="63" s="1"/>
  <c r="N311" i="63"/>
  <c r="AT310" i="63"/>
  <c r="AU310" i="63"/>
  <c r="AV310" i="63" s="1"/>
  <c r="M311" i="63" l="1"/>
  <c r="L311" i="63" s="1"/>
  <c r="Q311" i="63"/>
  <c r="V311" i="63" l="1"/>
  <c r="P311" i="63"/>
  <c r="Z311" i="63"/>
  <c r="AM311" i="63"/>
  <c r="U311" i="63" l="1"/>
  <c r="W311" i="63"/>
  <c r="AT311" i="63" l="1"/>
  <c r="O312" i="63"/>
  <c r="AU311" i="63"/>
  <c r="AV311" i="63" s="1"/>
  <c r="N312" i="63"/>
  <c r="AN312" i="63" l="1"/>
  <c r="AS312" i="63" s="1"/>
  <c r="Q312" i="63"/>
  <c r="V312" i="63" s="1"/>
  <c r="M312" i="63"/>
  <c r="L312" i="63" s="1"/>
  <c r="Z312" i="63" l="1"/>
  <c r="AM312" i="63"/>
  <c r="P312" i="63"/>
  <c r="U312" i="63" l="1"/>
  <c r="W312" i="63"/>
  <c r="AT312" i="63" l="1"/>
  <c r="AU312" i="63"/>
  <c r="AV312" i="63" s="1"/>
  <c r="O313" i="63"/>
  <c r="N313" i="63"/>
  <c r="Q313" i="63" l="1"/>
  <c r="V313" i="63" s="1"/>
  <c r="M313" i="63"/>
  <c r="L313" i="63" s="1"/>
  <c r="AN313" i="63"/>
  <c r="AS313" i="63" s="1"/>
  <c r="P313" i="63" l="1"/>
  <c r="U313" i="63" s="1"/>
  <c r="AM313" i="63"/>
  <c r="Z313" i="63"/>
  <c r="W313" i="63" l="1"/>
  <c r="AT313" i="63"/>
  <c r="N314" i="63"/>
  <c r="AU313" i="63"/>
  <c r="AV313" i="63" s="1"/>
  <c r="O314" i="63"/>
  <c r="AN314" i="63" l="1"/>
  <c r="AS314" i="63" s="1"/>
  <c r="M314" i="63"/>
  <c r="L314" i="63" s="1"/>
  <c r="Q314" i="63"/>
  <c r="V314" i="63" s="1"/>
  <c r="Z314" i="63" l="1"/>
  <c r="AM314" i="63"/>
  <c r="P314" i="63"/>
  <c r="W314" i="63" l="1"/>
  <c r="U314" i="63"/>
  <c r="AU314" i="63" l="1"/>
  <c r="AV314" i="63" s="1"/>
  <c r="O315" i="63"/>
  <c r="N315" i="63"/>
  <c r="AT314" i="63"/>
  <c r="AN315" i="63" l="1"/>
  <c r="AS315" i="63" s="1"/>
  <c r="M315" i="63"/>
  <c r="L315" i="63" s="1"/>
  <c r="Q315" i="63"/>
  <c r="V315" i="63" s="1"/>
  <c r="AM315" i="63" l="1"/>
  <c r="Z315" i="63"/>
  <c r="P315" i="63"/>
  <c r="W315" i="63" l="1"/>
  <c r="U315" i="63"/>
  <c r="AT315" i="63" l="1"/>
  <c r="AU315" i="63"/>
  <c r="AV315" i="63" s="1"/>
  <c r="N316" i="63"/>
  <c r="O316" i="63"/>
  <c r="AN316" i="63" l="1"/>
  <c r="AS316" i="63" s="1"/>
  <c r="M316" i="63"/>
  <c r="L316" i="63" s="1"/>
  <c r="Q316" i="63"/>
  <c r="V316" i="63" s="1"/>
  <c r="AM316" i="63" l="1"/>
  <c r="Z316" i="63"/>
  <c r="P316" i="63"/>
  <c r="U316" i="63" l="1"/>
  <c r="W316" i="63"/>
  <c r="N317" i="63" l="1"/>
  <c r="AT316" i="63"/>
  <c r="O317" i="63"/>
  <c r="AU316" i="63"/>
  <c r="AV316" i="63" s="1"/>
  <c r="AN317" i="63" l="1"/>
  <c r="AS317" i="63" s="1"/>
  <c r="Q317" i="63"/>
  <c r="V317" i="63" s="1"/>
  <c r="M317" i="63"/>
  <c r="L317" i="63" s="1"/>
  <c r="P317" i="63" l="1"/>
  <c r="Z317" i="63"/>
  <c r="AM317" i="63"/>
  <c r="U317" i="63" l="1"/>
  <c r="W317" i="63"/>
  <c r="N318" i="63" l="1"/>
  <c r="AT317" i="63"/>
  <c r="O318" i="63"/>
  <c r="AU317" i="63"/>
  <c r="AV317" i="63" s="1"/>
  <c r="AN318" i="63" l="1"/>
  <c r="AS318" i="63" s="1"/>
  <c r="M318" i="63"/>
  <c r="L318" i="63" s="1"/>
  <c r="Q318" i="63"/>
  <c r="V318" i="63" s="1"/>
  <c r="P318" i="63" l="1"/>
  <c r="AM318" i="63"/>
  <c r="Z318" i="63"/>
  <c r="U318" i="63" l="1"/>
  <c r="W318" i="63"/>
  <c r="AT318" i="63" l="1"/>
  <c r="AU318" i="63"/>
  <c r="AV318" i="63" s="1"/>
  <c r="O319" i="63"/>
  <c r="N319" i="63"/>
  <c r="Q319" i="63" l="1"/>
  <c r="V319" i="63" s="1"/>
  <c r="M319" i="63"/>
  <c r="L319" i="63" s="1"/>
  <c r="AN319" i="63"/>
  <c r="AS319" i="63" s="1"/>
  <c r="P319" i="63"/>
  <c r="U319" i="63" s="1"/>
  <c r="Z319" i="63" l="1"/>
  <c r="AM319" i="63"/>
  <c r="W319" i="63"/>
  <c r="AT319" i="63" l="1"/>
  <c r="N320" i="63"/>
  <c r="AU319" i="63"/>
  <c r="AV319" i="63" s="1"/>
  <c r="O320" i="63"/>
  <c r="M320" i="63" l="1"/>
  <c r="L320" i="63" s="1"/>
  <c r="Q320" i="63"/>
  <c r="V320" i="63" s="1"/>
  <c r="AN320" i="63"/>
  <c r="AS320" i="63" s="1"/>
  <c r="P320" i="63" l="1"/>
  <c r="AM320" i="63"/>
  <c r="Z320" i="63"/>
  <c r="U320" i="63" l="1"/>
  <c r="W320" i="63"/>
  <c r="AT320" i="63" l="1"/>
  <c r="N321" i="63"/>
  <c r="O321" i="63"/>
  <c r="AU320" i="63"/>
  <c r="AV320" i="63" s="1"/>
  <c r="AN321" i="63" l="1"/>
  <c r="AS321" i="63" s="1"/>
  <c r="M321" i="63"/>
  <c r="L321" i="63" s="1"/>
  <c r="Q321" i="63"/>
  <c r="V321" i="63" s="1"/>
  <c r="P321" i="63" l="1"/>
  <c r="Z321" i="63"/>
  <c r="AM321" i="63"/>
  <c r="U321" i="63" l="1"/>
  <c r="W321" i="63"/>
  <c r="AU321" i="63" l="1"/>
  <c r="AV321" i="63" s="1"/>
  <c r="AT321" i="63"/>
  <c r="O322" i="63"/>
  <c r="N322" i="63"/>
  <c r="Q322" i="63" l="1"/>
  <c r="V322" i="63" s="1"/>
  <c r="M322" i="63"/>
  <c r="L322" i="63" s="1"/>
  <c r="AN322" i="63"/>
  <c r="AS322" i="63" s="1"/>
  <c r="P322" i="63" l="1"/>
  <c r="U322" i="63" s="1"/>
  <c r="AM322" i="63"/>
  <c r="Z322" i="63"/>
  <c r="W322" i="63"/>
  <c r="AT322" i="63" l="1"/>
  <c r="AU322" i="63"/>
  <c r="AV322" i="63" s="1"/>
  <c r="N323" i="63"/>
  <c r="O323" i="63"/>
  <c r="AN323" i="63" l="1"/>
  <c r="AS323" i="63" s="1"/>
  <c r="M323" i="63"/>
  <c r="L323" i="63" s="1"/>
  <c r="Q323" i="63"/>
  <c r="V323" i="63" s="1"/>
  <c r="P323" i="63" l="1"/>
  <c r="Z323" i="63"/>
  <c r="AM323" i="63"/>
  <c r="W323" i="63" l="1"/>
  <c r="U323" i="63"/>
  <c r="O324" i="63" l="1"/>
  <c r="N324" i="63"/>
  <c r="AU323" i="63"/>
  <c r="AV323" i="63" s="1"/>
  <c r="AT323" i="63"/>
  <c r="Q324" i="63" l="1"/>
  <c r="V324" i="63" s="1"/>
  <c r="M324" i="63"/>
  <c r="L324" i="63" s="1"/>
  <c r="AN324" i="63"/>
  <c r="AS324" i="63" s="1"/>
  <c r="P324" i="63" l="1"/>
  <c r="Z324" i="63"/>
  <c r="AM324" i="63"/>
  <c r="U324" i="63"/>
  <c r="W324" i="63"/>
  <c r="O325" i="63" l="1"/>
  <c r="AN325" i="63" s="1"/>
  <c r="AS325" i="63" s="1"/>
  <c r="AU324" i="63"/>
  <c r="AV324" i="63" s="1"/>
  <c r="AT324" i="63"/>
  <c r="N325" i="63"/>
  <c r="Q325" i="63" l="1"/>
  <c r="M325" i="63"/>
  <c r="L325" i="63" s="1"/>
  <c r="Z325" i="63" l="1"/>
  <c r="AM325" i="63"/>
  <c r="P325" i="63"/>
  <c r="V325" i="63"/>
  <c r="U325" i="63" l="1"/>
  <c r="W325" i="63"/>
  <c r="AU325" i="63" l="1"/>
  <c r="AV325" i="63" s="1"/>
  <c r="N326" i="63"/>
  <c r="AT325" i="63"/>
  <c r="O326" i="63"/>
  <c r="AN326" i="63" s="1"/>
  <c r="AS326" i="63" s="1"/>
  <c r="M326" i="63" l="1"/>
  <c r="L326" i="63" s="1"/>
  <c r="Q326" i="63"/>
  <c r="V326" i="63" l="1"/>
  <c r="P326" i="63"/>
  <c r="AM326" i="63"/>
  <c r="Z326" i="63"/>
  <c r="U326" i="63" l="1"/>
  <c r="W326" i="63"/>
  <c r="AU326" i="63" l="1"/>
  <c r="AV326" i="63" s="1"/>
  <c r="N327" i="63"/>
  <c r="AT326" i="63"/>
  <c r="O327" i="63"/>
  <c r="AN327" i="63" s="1"/>
  <c r="AS327" i="63" s="1"/>
  <c r="M327" i="63" l="1"/>
  <c r="L327" i="63" s="1"/>
  <c r="Q327" i="63"/>
  <c r="V327" i="63" s="1"/>
  <c r="P327" i="63" l="1"/>
  <c r="Z327" i="63"/>
  <c r="AM327" i="63"/>
  <c r="W327" i="63" l="1"/>
  <c r="U327" i="63"/>
  <c r="AU327" i="63" l="1"/>
  <c r="AV327" i="63" s="1"/>
  <c r="AT327" i="63"/>
  <c r="N328" i="63"/>
  <c r="O328" i="63"/>
  <c r="AN328" i="63" s="1"/>
  <c r="AS328" i="63" s="1"/>
  <c r="M328" i="63" l="1"/>
  <c r="L328" i="63" s="1"/>
  <c r="Q328" i="63"/>
  <c r="V328" i="63" l="1"/>
  <c r="P328" i="63"/>
  <c r="Z328" i="63"/>
  <c r="AM328" i="63"/>
  <c r="W328" i="63" l="1"/>
  <c r="U328" i="63"/>
  <c r="AT328" i="63" l="1"/>
  <c r="AU328" i="63"/>
  <c r="AV328" i="63" s="1"/>
  <c r="N329" i="63"/>
  <c r="O329" i="63"/>
  <c r="AN329" i="63" s="1"/>
  <c r="AS329" i="63" s="1"/>
  <c r="M329" i="63" l="1"/>
  <c r="L329" i="63" s="1"/>
  <c r="Q329" i="63"/>
  <c r="V329" i="63" l="1"/>
  <c r="P329" i="63"/>
  <c r="Z329" i="63"/>
  <c r="AM329" i="63"/>
  <c r="U329" i="63" l="1"/>
  <c r="W329" i="63"/>
  <c r="N330" i="63" l="1"/>
  <c r="AU329" i="63"/>
  <c r="AV329" i="63" s="1"/>
  <c r="AT329" i="63"/>
  <c r="O330" i="63"/>
  <c r="AN330" i="63" s="1"/>
  <c r="AS330" i="63" s="1"/>
  <c r="Q330" i="63" l="1"/>
  <c r="M330" i="63"/>
  <c r="L330" i="63" s="1"/>
  <c r="Z330" i="63" l="1"/>
  <c r="AM330" i="63"/>
  <c r="V330" i="63"/>
  <c r="P330" i="63"/>
  <c r="U330" i="63" l="1"/>
  <c r="W330" i="63"/>
  <c r="AT330" i="63" l="1"/>
  <c r="O331" i="63"/>
  <c r="AN331" i="63" s="1"/>
  <c r="AS331" i="63" s="1"/>
  <c r="N331" i="63"/>
  <c r="AU330" i="63"/>
  <c r="AV330" i="63" s="1"/>
  <c r="Q331" i="63" l="1"/>
  <c r="M331" i="63"/>
  <c r="L331" i="63" s="1"/>
  <c r="AM331" i="63" l="1"/>
  <c r="Z331" i="63"/>
  <c r="V331" i="63"/>
  <c r="P331" i="63"/>
  <c r="U331" i="63" l="1"/>
  <c r="W331" i="63"/>
  <c r="N332" i="63" l="1"/>
  <c r="AU331" i="63"/>
  <c r="AV331" i="63" s="1"/>
  <c r="AT331" i="63"/>
  <c r="O332" i="63"/>
  <c r="AN332" i="63" l="1"/>
  <c r="AS332" i="63" s="1"/>
  <c r="M332" i="63"/>
  <c r="L332" i="63" s="1"/>
  <c r="Q332" i="63"/>
  <c r="V332" i="63" s="1"/>
  <c r="Z332" i="63" l="1"/>
  <c r="AM332" i="63"/>
  <c r="P332" i="63"/>
  <c r="W332" i="63" l="1"/>
  <c r="U332" i="63"/>
  <c r="N333" i="63" l="1"/>
  <c r="O333" i="63"/>
  <c r="AT332" i="63"/>
  <c r="AU332" i="63"/>
  <c r="AV332" i="63" s="1"/>
  <c r="AN333" i="63" l="1"/>
  <c r="AS333" i="63" s="1"/>
  <c r="M333" i="63"/>
  <c r="L333" i="63" s="1"/>
  <c r="Q333" i="63"/>
  <c r="V333" i="63" s="1"/>
  <c r="AM333" i="63" l="1"/>
  <c r="Z333" i="63"/>
  <c r="P333" i="63"/>
  <c r="U333" i="63" l="1"/>
  <c r="W333" i="63"/>
  <c r="N334" i="63" l="1"/>
  <c r="AT333" i="63"/>
  <c r="O334" i="63"/>
  <c r="AU333" i="63"/>
  <c r="AV333" i="63" s="1"/>
  <c r="AN334" i="63" l="1"/>
  <c r="AS334" i="63" s="1"/>
  <c r="Q334" i="63"/>
  <c r="V334" i="63" s="1"/>
  <c r="M334" i="63"/>
  <c r="L334" i="63" s="1"/>
  <c r="AM334" i="63" l="1"/>
  <c r="Z334" i="63"/>
  <c r="P334" i="63"/>
  <c r="W334" i="63" l="1"/>
  <c r="U334" i="63"/>
  <c r="AT334" i="63" l="1"/>
  <c r="N335" i="63"/>
  <c r="AU334" i="63"/>
  <c r="AV334" i="63" s="1"/>
  <c r="O335" i="63"/>
  <c r="AN335" i="63" l="1"/>
  <c r="AS335" i="63" s="1"/>
  <c r="Q335" i="63"/>
  <c r="V335" i="63" s="1"/>
  <c r="M335" i="63"/>
  <c r="L335" i="63" s="1"/>
  <c r="AM335" i="63" l="1"/>
  <c r="Z335" i="63"/>
  <c r="P335" i="63"/>
  <c r="W335" i="63" l="1"/>
  <c r="U335" i="63"/>
  <c r="AU335" i="63" l="1"/>
  <c r="AV335" i="63" s="1"/>
  <c r="N336" i="63"/>
  <c r="AT335" i="63"/>
  <c r="O336" i="63"/>
  <c r="AN336" i="63" l="1"/>
  <c r="AS336" i="63" s="1"/>
  <c r="M336" i="63"/>
  <c r="L336" i="63" s="1"/>
  <c r="Q336" i="63"/>
  <c r="V336" i="63" s="1"/>
  <c r="AM336" i="63" l="1"/>
  <c r="Z336" i="63"/>
  <c r="P336" i="63"/>
  <c r="W336" i="63" l="1"/>
  <c r="U336" i="63"/>
  <c r="AT336" i="63" l="1"/>
  <c r="N337" i="63"/>
  <c r="O337" i="63"/>
  <c r="AU336" i="63"/>
  <c r="AV336" i="63" s="1"/>
  <c r="AN337" i="63" l="1"/>
  <c r="AS337" i="63" s="1"/>
  <c r="M337" i="63"/>
  <c r="L337" i="63" s="1"/>
  <c r="Q337" i="63"/>
  <c r="V337" i="63" s="1"/>
  <c r="AM337" i="63" l="1"/>
  <c r="Z337" i="63"/>
  <c r="P337" i="63"/>
  <c r="U337" i="63" l="1"/>
  <c r="W337" i="63"/>
  <c r="AT337" i="63" l="1"/>
  <c r="N338" i="63"/>
  <c r="O338" i="63"/>
  <c r="AU337" i="63"/>
  <c r="AV337" i="63" s="1"/>
  <c r="AN338" i="63" l="1"/>
  <c r="AS338" i="63" s="1"/>
  <c r="M338" i="63"/>
  <c r="L338" i="63" s="1"/>
  <c r="Q338" i="63"/>
  <c r="V338" i="63" s="1"/>
  <c r="AM338" i="63" l="1"/>
  <c r="Z338" i="63"/>
  <c r="P338" i="63"/>
  <c r="W338" i="63" l="1"/>
  <c r="U338" i="63"/>
  <c r="O339" i="63" l="1"/>
  <c r="AT338" i="63"/>
  <c r="AU338" i="63"/>
  <c r="AV338" i="63" s="1"/>
  <c r="N339" i="63"/>
  <c r="Q339" i="63" l="1"/>
  <c r="V339" i="63" s="1"/>
  <c r="M339" i="63"/>
  <c r="L339" i="63" s="1"/>
  <c r="AN339" i="63"/>
  <c r="AS339" i="63" s="1"/>
  <c r="P339" i="63" l="1"/>
  <c r="U339" i="63" s="1"/>
  <c r="Z339" i="63"/>
  <c r="AM339" i="63"/>
  <c r="W339" i="63" l="1"/>
  <c r="O340" i="63" s="1"/>
  <c r="N340" i="63"/>
  <c r="AU339" i="63"/>
  <c r="AV339" i="63" s="1"/>
  <c r="AT339" i="63"/>
  <c r="M340" i="63" l="1"/>
  <c r="L340" i="63" s="1"/>
  <c r="Q340" i="63"/>
  <c r="V340" i="63" s="1"/>
  <c r="AN340" i="63"/>
  <c r="AS340" i="63" s="1"/>
  <c r="P340" i="63" l="1"/>
  <c r="U340" i="63"/>
  <c r="W340" i="63"/>
  <c r="Z340" i="63"/>
  <c r="AM340" i="63"/>
  <c r="AU340" i="63" l="1"/>
  <c r="AV340" i="63" s="1"/>
  <c r="AT340" i="63"/>
  <c r="O341" i="63"/>
  <c r="AN341" i="63" s="1"/>
  <c r="AS341" i="63" s="1"/>
  <c r="N341" i="63"/>
  <c r="Q341" i="63" l="1"/>
  <c r="M341" i="63"/>
  <c r="L341" i="63" s="1"/>
  <c r="Z341" i="63" l="1"/>
  <c r="AM341" i="63"/>
  <c r="V341" i="63"/>
  <c r="P341" i="63"/>
  <c r="U341" i="63" l="1"/>
  <c r="W341" i="63"/>
  <c r="O342" i="63" l="1"/>
  <c r="AN342" i="63" s="1"/>
  <c r="AS342" i="63" s="1"/>
  <c r="AT341" i="63"/>
  <c r="AU341" i="63"/>
  <c r="AV341" i="63" s="1"/>
  <c r="N342" i="63"/>
  <c r="Q342" i="63" l="1"/>
  <c r="M342" i="63"/>
  <c r="L342" i="63" s="1"/>
  <c r="AM342" i="63" l="1"/>
  <c r="Z342" i="63"/>
  <c r="V342" i="63"/>
  <c r="P342" i="63"/>
  <c r="U342" i="63" l="1"/>
  <c r="W342" i="63"/>
  <c r="AU342" i="63" l="1"/>
  <c r="AV342" i="63" s="1"/>
  <c r="O343" i="63"/>
  <c r="N343" i="63"/>
  <c r="AT342" i="63"/>
  <c r="M343" i="63" l="1"/>
  <c r="L343" i="63" s="1"/>
  <c r="Q343" i="63"/>
  <c r="V343" i="63" s="1"/>
  <c r="AN343" i="63"/>
  <c r="AS343" i="63" s="1"/>
  <c r="P343" i="63" l="1"/>
  <c r="U343" i="63" s="1"/>
  <c r="W343" i="63"/>
  <c r="Z343" i="63"/>
  <c r="AM343" i="63"/>
  <c r="AU343" i="63" l="1"/>
  <c r="AV343" i="63" s="1"/>
  <c r="N344" i="63"/>
  <c r="AT343" i="63"/>
  <c r="O344" i="63"/>
  <c r="AN344" i="63" l="1"/>
  <c r="AS344" i="63" s="1"/>
  <c r="Q344" i="63"/>
  <c r="V344" i="63" s="1"/>
  <c r="M344" i="63"/>
  <c r="L344" i="63" s="1"/>
  <c r="Z344" i="63" l="1"/>
  <c r="AM344" i="63"/>
  <c r="P344" i="63"/>
  <c r="U344" i="63" l="1"/>
  <c r="W344" i="63"/>
  <c r="N345" i="63" l="1"/>
  <c r="AT344" i="63"/>
  <c r="O345" i="63"/>
  <c r="AU344" i="63"/>
  <c r="AV344" i="63" s="1"/>
  <c r="AN345" i="63" l="1"/>
  <c r="AS345" i="63" s="1"/>
  <c r="Q345" i="63"/>
  <c r="V345" i="63" s="1"/>
  <c r="M345" i="63"/>
  <c r="L345" i="63" s="1"/>
  <c r="Z345" i="63" l="1"/>
  <c r="AM345" i="63"/>
  <c r="P345" i="63"/>
  <c r="U345" i="63" l="1"/>
  <c r="W345" i="63"/>
  <c r="AU345" i="63" l="1"/>
  <c r="AV345" i="63" s="1"/>
  <c r="AT345" i="63"/>
  <c r="O346" i="63"/>
  <c r="N346" i="63"/>
  <c r="M346" i="63" l="1"/>
  <c r="L346" i="63" s="1"/>
  <c r="Q346" i="63"/>
  <c r="V346" i="63" s="1"/>
  <c r="AN346" i="63"/>
  <c r="AS346" i="63" s="1"/>
  <c r="P346" i="63" l="1"/>
  <c r="AM346" i="63"/>
  <c r="Z346" i="63"/>
  <c r="W346" i="63" l="1"/>
  <c r="U346" i="63"/>
  <c r="AU346" i="63" l="1"/>
  <c r="AV346" i="63" s="1"/>
  <c r="O347" i="63"/>
  <c r="AT346" i="63"/>
  <c r="N347" i="63"/>
  <c r="M347" i="63" l="1"/>
  <c r="L347" i="63" s="1"/>
  <c r="Q347" i="63"/>
  <c r="V347" i="63" s="1"/>
  <c r="AN347" i="63"/>
  <c r="AS347" i="63" s="1"/>
  <c r="P347" i="63" l="1"/>
  <c r="W347" i="63" s="1"/>
  <c r="U347" i="63"/>
  <c r="Z347" i="63"/>
  <c r="AM347" i="63"/>
  <c r="AT347" i="63" l="1"/>
  <c r="O348" i="63"/>
  <c r="AN348" i="63" s="1"/>
  <c r="AS348" i="63" s="1"/>
  <c r="AU347" i="63"/>
  <c r="AV347" i="63" s="1"/>
  <c r="N348" i="63"/>
  <c r="Q348" i="63" l="1"/>
  <c r="M348" i="63"/>
  <c r="L348" i="63" s="1"/>
  <c r="AM348" i="63" l="1"/>
  <c r="Z348" i="63"/>
  <c r="V348" i="63"/>
  <c r="P348" i="63"/>
  <c r="W348" i="63" l="1"/>
  <c r="U348" i="63"/>
  <c r="O349" i="63" l="1"/>
  <c r="AN349" i="63" s="1"/>
  <c r="AS349" i="63" s="1"/>
  <c r="AT348" i="63"/>
  <c r="AU348" i="63"/>
  <c r="AV348" i="63" s="1"/>
  <c r="N349" i="63"/>
  <c r="M349" i="63" l="1"/>
  <c r="L349" i="63" s="1"/>
  <c r="Q349" i="63"/>
  <c r="V349" i="63" l="1"/>
  <c r="P349" i="63"/>
  <c r="AM349" i="63"/>
  <c r="Z349" i="63"/>
  <c r="U349" i="63" l="1"/>
  <c r="W349" i="63"/>
  <c r="O350" i="63" l="1"/>
  <c r="AN350" i="63" s="1"/>
  <c r="AS350" i="63" s="1"/>
  <c r="AU349" i="63"/>
  <c r="AV349" i="63" s="1"/>
  <c r="N350" i="63"/>
  <c r="AT349" i="63"/>
  <c r="Q350" i="63" l="1"/>
  <c r="M350" i="63"/>
  <c r="L350" i="63" s="1"/>
  <c r="Z350" i="63" l="1"/>
  <c r="AM350" i="63"/>
  <c r="V350" i="63"/>
  <c r="P350" i="63"/>
  <c r="W350" i="63" l="1"/>
  <c r="U350" i="63"/>
  <c r="AT350" i="63" l="1"/>
  <c r="N351" i="63"/>
  <c r="AU350" i="63"/>
  <c r="AV350" i="63" s="1"/>
  <c r="O351" i="63"/>
  <c r="AN351" i="63" s="1"/>
  <c r="AS351" i="63" s="1"/>
  <c r="M351" i="63" l="1"/>
  <c r="L351" i="63" s="1"/>
  <c r="Q351" i="63"/>
  <c r="V351" i="63" l="1"/>
  <c r="P351" i="63"/>
  <c r="Z351" i="63"/>
  <c r="AM351" i="63"/>
  <c r="W351" i="63" l="1"/>
  <c r="U351" i="63"/>
  <c r="AT351" i="63" l="1"/>
  <c r="AU351" i="63"/>
  <c r="AV351" i="63" s="1"/>
  <c r="N352" i="63"/>
  <c r="O352" i="63"/>
  <c r="AN352" i="63" s="1"/>
  <c r="AS352" i="63" s="1"/>
  <c r="M352" i="63" l="1"/>
  <c r="L352" i="63" s="1"/>
  <c r="Q352" i="63"/>
  <c r="V352" i="63" s="1"/>
  <c r="Z352" i="63" l="1"/>
  <c r="AM352" i="63"/>
  <c r="P352" i="63"/>
  <c r="W352" i="63" l="1"/>
  <c r="U352" i="63"/>
  <c r="O353" i="63" l="1"/>
  <c r="AT352" i="63"/>
  <c r="AU352" i="63"/>
  <c r="AV352" i="63" s="1"/>
  <c r="N353" i="63"/>
  <c r="M353" i="63" l="1"/>
  <c r="L353" i="63" s="1"/>
  <c r="Q353" i="63"/>
  <c r="V353" i="63" s="1"/>
  <c r="AN353" i="63"/>
  <c r="AS353" i="63" s="1"/>
  <c r="P353" i="63" l="1"/>
  <c r="AM353" i="63"/>
  <c r="Z353" i="63"/>
  <c r="U353" i="63" l="1"/>
  <c r="W353" i="63"/>
  <c r="N354" i="63" l="1"/>
  <c r="AU353" i="63"/>
  <c r="AV353" i="63" s="1"/>
  <c r="AT353" i="63"/>
  <c r="O354" i="63"/>
  <c r="AN354" i="63" l="1"/>
  <c r="AS354" i="63" s="1"/>
  <c r="M354" i="63"/>
  <c r="L354" i="63" s="1"/>
  <c r="Q354" i="63"/>
  <c r="V354" i="63" s="1"/>
  <c r="AM354" i="63" l="1"/>
  <c r="Z354" i="63"/>
  <c r="P354" i="63"/>
  <c r="U354" i="63" l="1"/>
  <c r="W354" i="63"/>
  <c r="AT354" i="63" l="1"/>
  <c r="N355" i="63"/>
  <c r="AU354" i="63"/>
  <c r="AV354" i="63" s="1"/>
  <c r="O355" i="63"/>
  <c r="AN355" i="63" l="1"/>
  <c r="AS355" i="63" s="1"/>
  <c r="M355" i="63"/>
  <c r="L355" i="63" s="1"/>
  <c r="Q355" i="63"/>
  <c r="V355" i="63" s="1"/>
  <c r="AM355" i="63" l="1"/>
  <c r="Z355" i="63"/>
  <c r="P355" i="63"/>
  <c r="U355" i="63" l="1"/>
  <c r="W355" i="63"/>
  <c r="AT355" i="63" l="1"/>
  <c r="N356" i="63"/>
  <c r="AU355" i="63"/>
  <c r="AV355" i="63" s="1"/>
  <c r="O356" i="63"/>
  <c r="AN356" i="63" l="1"/>
  <c r="AS356" i="63" s="1"/>
  <c r="M356" i="63"/>
  <c r="L356" i="63" s="1"/>
  <c r="Q356" i="63"/>
  <c r="V356" i="63" s="1"/>
  <c r="Z356" i="63" l="1"/>
  <c r="AM356" i="63"/>
  <c r="P356" i="63"/>
  <c r="U356" i="63" l="1"/>
  <c r="W356" i="63"/>
  <c r="AT356" i="63" l="1"/>
  <c r="AU356" i="63"/>
  <c r="AV356" i="63" s="1"/>
  <c r="N357" i="63"/>
  <c r="O357" i="63"/>
  <c r="AN357" i="63" l="1"/>
  <c r="AS357" i="63" s="1"/>
  <c r="M357" i="63"/>
  <c r="L357" i="63" s="1"/>
  <c r="Q357" i="63"/>
  <c r="V357" i="63" s="1"/>
  <c r="Z357" i="63" l="1"/>
  <c r="AM357" i="63"/>
  <c r="P357" i="63"/>
  <c r="U357" i="63" l="1"/>
  <c r="W357" i="63"/>
  <c r="AT357" i="63" l="1"/>
  <c r="AU357" i="63"/>
  <c r="AV357" i="63" s="1"/>
  <c r="O358" i="63"/>
  <c r="N358" i="63"/>
  <c r="M358" i="63" l="1"/>
  <c r="L358" i="63" s="1"/>
  <c r="Q358" i="63"/>
  <c r="V358" i="63" s="1"/>
  <c r="AN358" i="63"/>
  <c r="AS358" i="63" s="1"/>
  <c r="P358" i="63" l="1"/>
  <c r="U358" i="63" s="1"/>
  <c r="W358" i="63"/>
  <c r="AM358" i="63"/>
  <c r="Z358" i="63"/>
  <c r="O359" i="63" l="1"/>
  <c r="AU358" i="63"/>
  <c r="AV358" i="63" s="1"/>
  <c r="N359" i="63"/>
  <c r="AT358" i="63"/>
  <c r="Q359" i="63" l="1"/>
  <c r="V359" i="63" s="1"/>
  <c r="M359" i="63"/>
  <c r="L359" i="63" s="1"/>
  <c r="AN359" i="63"/>
  <c r="AS359" i="63" s="1"/>
  <c r="P359" i="63"/>
  <c r="U359" i="63" l="1"/>
  <c r="W359" i="63"/>
  <c r="AM359" i="63"/>
  <c r="Z359" i="63"/>
  <c r="O360" i="63" l="1"/>
  <c r="AU359" i="63"/>
  <c r="AV359" i="63" s="1"/>
  <c r="N360" i="63"/>
  <c r="AT359" i="63"/>
  <c r="Q360" i="63" l="1"/>
  <c r="V360" i="63" s="1"/>
  <c r="M360" i="63"/>
  <c r="L360" i="63" s="1"/>
  <c r="AN360" i="63"/>
  <c r="AS360" i="63" s="1"/>
  <c r="P360" i="63"/>
  <c r="AM360" i="63" l="1"/>
  <c r="Z360" i="63"/>
  <c r="U360" i="63"/>
  <c r="W360" i="63"/>
  <c r="O361" i="63" l="1"/>
  <c r="AT360" i="63"/>
  <c r="N361" i="63"/>
  <c r="AU360" i="63"/>
  <c r="AV360" i="63" s="1"/>
  <c r="M361" i="63" l="1"/>
  <c r="L361" i="63" s="1"/>
  <c r="Q361" i="63"/>
  <c r="V361" i="63" s="1"/>
  <c r="AN361" i="63"/>
  <c r="AS361" i="63" s="1"/>
  <c r="P361" i="63" l="1"/>
  <c r="Z361" i="63"/>
  <c r="AM361" i="63"/>
  <c r="U361" i="63" l="1"/>
  <c r="W361" i="63"/>
  <c r="O362" i="63" l="1"/>
  <c r="AT361" i="63"/>
  <c r="AU361" i="63"/>
  <c r="AV361" i="63" s="1"/>
  <c r="N362" i="63"/>
  <c r="M362" i="63" l="1"/>
  <c r="L362" i="63" s="1"/>
  <c r="Q362" i="63"/>
  <c r="V362" i="63" s="1"/>
  <c r="AN362" i="63"/>
  <c r="AS362" i="63" s="1"/>
  <c r="P362" i="63" l="1"/>
  <c r="U362" i="63"/>
  <c r="W362" i="63"/>
  <c r="AM362" i="63"/>
  <c r="Z362" i="63"/>
  <c r="O363" i="63" l="1"/>
  <c r="AN363" i="63" s="1"/>
  <c r="AS363" i="63" s="1"/>
  <c r="AT362" i="63"/>
  <c r="AU362" i="63"/>
  <c r="AV362" i="63" s="1"/>
  <c r="N363" i="63"/>
  <c r="M363" i="63" l="1"/>
  <c r="L363" i="63" s="1"/>
  <c r="Q363" i="63"/>
  <c r="V363" i="63" l="1"/>
  <c r="P363" i="63"/>
  <c r="Z363" i="63"/>
  <c r="AM363" i="63"/>
  <c r="U363" i="63" l="1"/>
  <c r="W363" i="63"/>
  <c r="AU363" i="63" l="1"/>
  <c r="AV363" i="63" s="1"/>
  <c r="N364" i="63"/>
  <c r="AT363" i="63"/>
  <c r="O364" i="63"/>
  <c r="AN364" i="63" l="1"/>
  <c r="AS364" i="63" s="1"/>
  <c r="M364" i="63"/>
  <c r="L364" i="63" s="1"/>
  <c r="Q364" i="63"/>
  <c r="V364" i="63" s="1"/>
  <c r="AM364" i="63" l="1"/>
  <c r="Z364" i="63"/>
  <c r="P364" i="63"/>
  <c r="U364" i="63" l="1"/>
  <c r="W364" i="63"/>
  <c r="O365" i="63" l="1"/>
  <c r="N365" i="63"/>
  <c r="AT364" i="63"/>
  <c r="AU364" i="63"/>
  <c r="AV364" i="63" s="1"/>
  <c r="Q365" i="63" l="1"/>
  <c r="V365" i="63" s="1"/>
  <c r="M365" i="63"/>
  <c r="L365" i="63" s="1"/>
  <c r="AN365" i="63"/>
  <c r="AS365" i="63" s="1"/>
  <c r="P365" i="63"/>
  <c r="U365" i="63" s="1"/>
  <c r="W365" i="63" l="1"/>
  <c r="Z365" i="63"/>
  <c r="AM365" i="63"/>
  <c r="N366" i="63" l="1"/>
  <c r="AU365" i="63"/>
  <c r="AV365" i="63" s="1"/>
  <c r="AT365" i="63"/>
  <c r="O366" i="63"/>
  <c r="AN366" i="63" l="1"/>
  <c r="AS366" i="63" s="1"/>
  <c r="Q366" i="63"/>
  <c r="V366" i="63" s="1"/>
  <c r="M366" i="63"/>
  <c r="L366" i="63" s="1"/>
  <c r="Z366" i="63" l="1"/>
  <c r="AM366" i="63"/>
  <c r="P366" i="63"/>
  <c r="U366" i="63" l="1"/>
  <c r="W366" i="63"/>
  <c r="O367" i="63" l="1"/>
  <c r="AT366" i="63"/>
  <c r="N367" i="63"/>
  <c r="AU366" i="63"/>
  <c r="AV366" i="63" s="1"/>
  <c r="M367" i="63" l="1"/>
  <c r="L367" i="63" s="1"/>
  <c r="Q367" i="63"/>
  <c r="V367" i="63" s="1"/>
  <c r="AN367" i="63"/>
  <c r="AS367" i="63" s="1"/>
  <c r="P367" i="63" l="1"/>
  <c r="Z367" i="63"/>
  <c r="AM367" i="63"/>
  <c r="U367" i="63" l="1"/>
  <c r="W367" i="63"/>
  <c r="AT367" i="63" l="1"/>
  <c r="AU367" i="63"/>
  <c r="AV367" i="63" s="1"/>
  <c r="N368" i="63"/>
  <c r="O368" i="63"/>
  <c r="AN368" i="63" l="1"/>
  <c r="AS368" i="63" s="1"/>
  <c r="M368" i="63"/>
  <c r="L368" i="63" s="1"/>
  <c r="Q368" i="63"/>
  <c r="V368" i="63" s="1"/>
  <c r="AM368" i="63" l="1"/>
  <c r="Z368" i="63"/>
  <c r="P368" i="63"/>
  <c r="U368" i="63" l="1"/>
  <c r="W368" i="63"/>
  <c r="O369" i="63" l="1"/>
  <c r="AT368" i="63"/>
  <c r="AU368" i="63"/>
  <c r="AV368" i="63" s="1"/>
  <c r="N369" i="63"/>
  <c r="M369" i="63" l="1"/>
  <c r="L369" i="63" s="1"/>
  <c r="Q369" i="63"/>
  <c r="V369" i="63" s="1"/>
  <c r="AN369" i="63"/>
  <c r="AS369" i="63" s="1"/>
  <c r="P369" i="63" l="1"/>
  <c r="AM369" i="63"/>
  <c r="Z369" i="63"/>
  <c r="U369" i="63" l="1"/>
  <c r="W369" i="63"/>
  <c r="AT369" i="63" l="1"/>
  <c r="N370" i="63"/>
  <c r="AU369" i="63"/>
  <c r="AV369" i="63" s="1"/>
  <c r="O370" i="63"/>
  <c r="AN370" i="63" l="1"/>
  <c r="AS370" i="63" s="1"/>
  <c r="M370" i="63"/>
  <c r="L370" i="63" s="1"/>
  <c r="Q370" i="63"/>
  <c r="V370" i="63" s="1"/>
  <c r="Z370" i="63" l="1"/>
  <c r="AM370" i="63"/>
  <c r="P370" i="63"/>
  <c r="U370" i="63" l="1"/>
  <c r="W370" i="63"/>
  <c r="N371" i="63" l="1"/>
  <c r="AU370" i="63"/>
  <c r="AV370" i="63" s="1"/>
  <c r="O371" i="63"/>
  <c r="AT370" i="63"/>
  <c r="AN371" i="63" l="1"/>
  <c r="AS371" i="63" s="1"/>
  <c r="Q371" i="63"/>
  <c r="V371" i="63" s="1"/>
  <c r="M371" i="63"/>
  <c r="L371" i="63" s="1"/>
  <c r="AM371" i="63" l="1"/>
  <c r="Z371" i="63"/>
  <c r="P371" i="63"/>
  <c r="U371" i="63" l="1"/>
  <c r="W371" i="63"/>
  <c r="N372" i="63" l="1"/>
  <c r="AT371" i="63"/>
  <c r="O372" i="63"/>
  <c r="AU371" i="63"/>
  <c r="AV371" i="63" s="1"/>
  <c r="AN372" i="63" l="1"/>
  <c r="AS372" i="63" s="1"/>
  <c r="Q372" i="63"/>
  <c r="V372" i="63" s="1"/>
  <c r="M372" i="63"/>
  <c r="L372" i="63" s="1"/>
  <c r="Z372" i="63" l="1"/>
  <c r="AM372" i="63"/>
  <c r="P372" i="63"/>
  <c r="U372" i="63" l="1"/>
  <c r="W372" i="63"/>
  <c r="N373" i="63" l="1"/>
  <c r="O373" i="63"/>
  <c r="AT372" i="63"/>
  <c r="AU372" i="63"/>
  <c r="AV372" i="63" s="1"/>
  <c r="AN373" i="63" l="1"/>
  <c r="AS373" i="63" s="1"/>
  <c r="M373" i="63"/>
  <c r="L373" i="63" s="1"/>
  <c r="Q373" i="63"/>
  <c r="V373" i="63" s="1"/>
  <c r="Z373" i="63" l="1"/>
  <c r="AM373" i="63"/>
  <c r="P373" i="63"/>
  <c r="U373" i="63" l="1"/>
  <c r="W373" i="63"/>
  <c r="N374" i="63" l="1"/>
  <c r="AU373" i="63"/>
  <c r="AV373" i="63" s="1"/>
  <c r="O374" i="63"/>
  <c r="AT373" i="63"/>
  <c r="AN374" i="63" l="1"/>
  <c r="AS374" i="63" s="1"/>
  <c r="Q374" i="63"/>
  <c r="V374" i="63" s="1"/>
  <c r="M374" i="63"/>
  <c r="L374" i="63" s="1"/>
  <c r="Z374" i="63" l="1"/>
  <c r="AM374" i="63"/>
  <c r="P374" i="63"/>
  <c r="U374" i="63" l="1"/>
  <c r="W374" i="63"/>
  <c r="AT374" i="63" l="1"/>
  <c r="AU374" i="63"/>
  <c r="AV374" i="63" s="1"/>
  <c r="N375" i="63"/>
  <c r="O375" i="63"/>
  <c r="AN375" i="63" l="1"/>
  <c r="AS375" i="63" s="1"/>
  <c r="M375" i="63"/>
  <c r="L375" i="63" s="1"/>
  <c r="Q375" i="63"/>
  <c r="V375" i="63" s="1"/>
  <c r="Z375" i="63" l="1"/>
  <c r="AM375" i="63"/>
  <c r="P375" i="63"/>
  <c r="U375" i="63" l="1"/>
  <c r="W375" i="63"/>
  <c r="N376" i="63" l="1"/>
  <c r="AU375" i="63"/>
  <c r="AV375" i="63" s="1"/>
  <c r="AT375" i="63"/>
  <c r="O376" i="63"/>
  <c r="AN376" i="63" l="1"/>
  <c r="AS376" i="63" s="1"/>
  <c r="M376" i="63"/>
  <c r="L376" i="63" s="1"/>
  <c r="Q376" i="63"/>
  <c r="V376" i="63" s="1"/>
  <c r="AM376" i="63" l="1"/>
  <c r="Z376" i="63"/>
  <c r="P376" i="63"/>
  <c r="U376" i="63" l="1"/>
  <c r="W376" i="63"/>
  <c r="AU376" i="63" l="1"/>
  <c r="AV376" i="63" s="1"/>
  <c r="AT376" i="63"/>
  <c r="N377" i="63"/>
  <c r="O377" i="63"/>
  <c r="AN377" i="63" l="1"/>
  <c r="AS377" i="63" s="1"/>
  <c r="Q377" i="63"/>
  <c r="V377" i="63" s="1"/>
  <c r="M377" i="63"/>
  <c r="L377" i="63" s="1"/>
  <c r="Z377" i="63" l="1"/>
  <c r="AM377" i="63"/>
  <c r="P377" i="63"/>
  <c r="U377" i="63" l="1"/>
  <c r="W377" i="63"/>
  <c r="N378" i="63" l="1"/>
  <c r="AU377" i="63"/>
  <c r="AV377" i="63" s="1"/>
  <c r="O378" i="63"/>
  <c r="AT377" i="63"/>
  <c r="AN378" i="63" l="1"/>
  <c r="AS378" i="63" s="1"/>
  <c r="Q378" i="63"/>
  <c r="V378" i="63" s="1"/>
  <c r="M378" i="63"/>
  <c r="L378" i="63" s="1"/>
  <c r="AM378" i="63" l="1"/>
  <c r="Z378" i="63"/>
  <c r="P378" i="63"/>
  <c r="U378" i="63" l="1"/>
  <c r="W378" i="63"/>
  <c r="AT378" i="63" l="1"/>
  <c r="N379" i="63"/>
  <c r="AU378" i="63"/>
  <c r="AV378" i="63" s="1"/>
  <c r="O379" i="63"/>
  <c r="AN379" i="63" l="1"/>
  <c r="AS379" i="63" s="1"/>
  <c r="Q379" i="63"/>
  <c r="V379" i="63" s="1"/>
  <c r="M379" i="63"/>
  <c r="L379" i="63" s="1"/>
  <c r="AM379" i="63" l="1"/>
  <c r="Z379" i="63"/>
  <c r="P379" i="63"/>
  <c r="U379" i="63" l="1"/>
  <c r="W379" i="63"/>
  <c r="N380" i="63" l="1"/>
  <c r="AU379" i="63"/>
  <c r="AV379" i="63" s="1"/>
  <c r="AT379" i="63"/>
  <c r="O380" i="63"/>
  <c r="AN380" i="63" l="1"/>
  <c r="AS380" i="63" s="1"/>
  <c r="Q380" i="63"/>
  <c r="V380" i="63" s="1"/>
  <c r="M380" i="63"/>
  <c r="L380" i="63" s="1"/>
  <c r="AM380" i="63" l="1"/>
  <c r="Z380" i="63"/>
  <c r="P380" i="63"/>
  <c r="U380" i="63" l="1"/>
  <c r="W380" i="63"/>
  <c r="O381" i="63" l="1"/>
  <c r="AU380" i="63"/>
  <c r="AV380" i="63" s="1"/>
  <c r="AT380" i="63"/>
  <c r="N381" i="63"/>
  <c r="Q381" i="63" l="1"/>
  <c r="V381" i="63" s="1"/>
  <c r="M381" i="63"/>
  <c r="L381" i="63" s="1"/>
  <c r="AN381" i="63"/>
  <c r="AS381" i="63" s="1"/>
  <c r="P381" i="63"/>
  <c r="U381" i="63" s="1"/>
  <c r="Z381" i="63" l="1"/>
  <c r="AM381" i="63"/>
  <c r="W381" i="63"/>
  <c r="AU381" i="63" l="1"/>
  <c r="AV381" i="63" s="1"/>
  <c r="AT381" i="63"/>
  <c r="N382" i="63"/>
  <c r="O382" i="63"/>
  <c r="M382" i="63" l="1"/>
  <c r="L382" i="63" s="1"/>
  <c r="Q382" i="63"/>
  <c r="V382" i="63" s="1"/>
  <c r="AN382" i="63"/>
  <c r="AS382" i="63" s="1"/>
  <c r="P382" i="63" l="1"/>
  <c r="U382" i="63" s="1"/>
  <c r="Z382" i="63"/>
  <c r="AM382" i="63"/>
  <c r="W382" i="63" l="1"/>
  <c r="AT382" i="63"/>
  <c r="N383" i="63"/>
  <c r="O383" i="63"/>
  <c r="AU382" i="63"/>
  <c r="AV382" i="63" s="1"/>
  <c r="AN383" i="63" l="1"/>
  <c r="AS383" i="63" s="1"/>
  <c r="M383" i="63"/>
  <c r="L383" i="63" s="1"/>
  <c r="Q383" i="63"/>
  <c r="V383" i="63" s="1"/>
  <c r="AM383" i="63" l="1"/>
  <c r="Z383" i="63"/>
  <c r="P383" i="63"/>
  <c r="U383" i="63" l="1"/>
  <c r="W383" i="63"/>
  <c r="O384" i="63" l="1"/>
  <c r="AU383" i="63"/>
  <c r="AV383" i="63" s="1"/>
  <c r="N384" i="63"/>
  <c r="AT383" i="63"/>
  <c r="Q384" i="63" l="1"/>
  <c r="V384" i="63" s="1"/>
  <c r="M384" i="63"/>
  <c r="L384" i="63" s="1"/>
  <c r="AN384" i="63"/>
  <c r="AS384" i="63" s="1"/>
  <c r="P384" i="63"/>
  <c r="U384" i="63" s="1"/>
  <c r="W384" i="63" l="1"/>
  <c r="Z384" i="63"/>
  <c r="AM384" i="63"/>
  <c r="O385" i="63" l="1"/>
  <c r="N385" i="63"/>
  <c r="AU384" i="63"/>
  <c r="AV384" i="63" s="1"/>
  <c r="AT384" i="63"/>
  <c r="M385" i="63" l="1"/>
  <c r="L385" i="63" s="1"/>
  <c r="Q385" i="63"/>
  <c r="V385" i="63" s="1"/>
  <c r="AN385" i="63"/>
  <c r="AS385" i="63" s="1"/>
  <c r="P385" i="63" l="1"/>
  <c r="U385" i="63" s="1"/>
  <c r="W385" i="63"/>
  <c r="AM385" i="63"/>
  <c r="Z385" i="63"/>
  <c r="AU385" i="63" l="1"/>
  <c r="AV385" i="63" s="1"/>
  <c r="N386" i="63"/>
  <c r="O386" i="63"/>
  <c r="AT385" i="63"/>
  <c r="AN386" i="63" l="1"/>
  <c r="AS386" i="63" s="1"/>
  <c r="M386" i="63"/>
  <c r="L386" i="63" s="1"/>
  <c r="Q386" i="63"/>
  <c r="V386" i="63" s="1"/>
  <c r="AM386" i="63" l="1"/>
  <c r="Z386" i="63"/>
  <c r="P386" i="63"/>
  <c r="U386" i="63" l="1"/>
  <c r="W386" i="63"/>
  <c r="O387" i="63" l="1"/>
  <c r="AT386" i="63"/>
  <c r="AU386" i="63"/>
  <c r="AV386" i="63" s="1"/>
  <c r="N387" i="63"/>
  <c r="M387" i="63" l="1"/>
  <c r="L387" i="63" s="1"/>
  <c r="Q387" i="63"/>
  <c r="V387" i="63" s="1"/>
  <c r="AN387" i="63"/>
  <c r="AS387" i="63" s="1"/>
  <c r="P387" i="63" l="1"/>
  <c r="U387" i="63" s="1"/>
  <c r="W387" i="63"/>
  <c r="Z387" i="63"/>
  <c r="AM387" i="63"/>
  <c r="O388" i="63" l="1"/>
  <c r="AT387" i="63"/>
  <c r="AU387" i="63"/>
  <c r="AV387" i="63" s="1"/>
  <c r="N388" i="63"/>
  <c r="M388" i="63" l="1"/>
  <c r="L388" i="63" s="1"/>
  <c r="Q388" i="63"/>
  <c r="V388" i="63" s="1"/>
  <c r="AN388" i="63"/>
  <c r="AS388" i="63" s="1"/>
  <c r="P388" i="63" l="1"/>
  <c r="Z388" i="63"/>
  <c r="AM388" i="63"/>
  <c r="U388" i="63" l="1"/>
  <c r="W388" i="63"/>
  <c r="N389" i="63" l="1"/>
  <c r="AU388" i="63"/>
  <c r="AV388" i="63" s="1"/>
  <c r="AT388" i="63"/>
  <c r="O389" i="63"/>
  <c r="AN389" i="63" l="1"/>
  <c r="AS389" i="63" s="1"/>
  <c r="M389" i="63"/>
  <c r="L389" i="63" s="1"/>
  <c r="Q389" i="63"/>
  <c r="V389" i="63" s="1"/>
  <c r="Z389" i="63" l="1"/>
  <c r="AM389" i="63"/>
  <c r="P389" i="63"/>
  <c r="U389" i="63" l="1"/>
  <c r="W389" i="63"/>
  <c r="AU389" i="63" l="1"/>
  <c r="AV389" i="63" s="1"/>
  <c r="N390" i="63"/>
  <c r="O390" i="63"/>
  <c r="AT389" i="63"/>
  <c r="AN390" i="63" l="1"/>
  <c r="AS390" i="63" s="1"/>
  <c r="M390" i="63"/>
  <c r="L390" i="63" s="1"/>
  <c r="Q390" i="63"/>
  <c r="V390" i="63" s="1"/>
  <c r="AM390" i="63" l="1"/>
  <c r="Z390" i="63"/>
  <c r="P390" i="63"/>
  <c r="U390" i="63" l="1"/>
  <c r="W390" i="63"/>
  <c r="AT390" i="63" l="1"/>
  <c r="N391" i="63"/>
  <c r="AU390" i="63"/>
  <c r="AV390" i="63" s="1"/>
  <c r="O391" i="63"/>
  <c r="AN391" i="63" l="1"/>
  <c r="AS391" i="63" s="1"/>
  <c r="Q391" i="63"/>
  <c r="V391" i="63" s="1"/>
  <c r="M391" i="63"/>
  <c r="L391" i="63" s="1"/>
  <c r="AM391" i="63" l="1"/>
  <c r="Z391" i="63"/>
  <c r="P391" i="63"/>
  <c r="U391" i="63" l="1"/>
  <c r="W391" i="63"/>
  <c r="AU391" i="63" l="1"/>
  <c r="AV391" i="63" s="1"/>
  <c r="AT391" i="63"/>
  <c r="N392" i="63"/>
  <c r="O392" i="63"/>
  <c r="AN392" i="63" l="1"/>
  <c r="AS392" i="63" s="1"/>
  <c r="Q392" i="63"/>
  <c r="V392" i="63" s="1"/>
  <c r="M392" i="63"/>
  <c r="L392" i="63" s="1"/>
  <c r="AM392" i="63" l="1"/>
  <c r="Z392" i="63"/>
  <c r="P392" i="63"/>
  <c r="U392" i="63" l="1"/>
  <c r="W392" i="63"/>
  <c r="AT392" i="63" l="1"/>
  <c r="AU392" i="63"/>
  <c r="AV392" i="63" s="1"/>
  <c r="N393" i="63"/>
  <c r="O393" i="63"/>
  <c r="AN393" i="63" l="1"/>
  <c r="AS393" i="63" s="1"/>
  <c r="Q393" i="63"/>
  <c r="V393" i="63" s="1"/>
  <c r="M393" i="63"/>
  <c r="L393" i="63" s="1"/>
  <c r="Z393" i="63" l="1"/>
  <c r="AM393" i="63"/>
  <c r="P393" i="63"/>
  <c r="U393" i="63" l="1"/>
  <c r="W393" i="63"/>
  <c r="AU393" i="63" l="1"/>
  <c r="AV393" i="63" s="1"/>
  <c r="AT393" i="63"/>
  <c r="N394" i="63"/>
  <c r="O394" i="63"/>
  <c r="AN394" i="63" l="1"/>
  <c r="AS394" i="63" s="1"/>
  <c r="M394" i="63"/>
  <c r="L394" i="63" s="1"/>
  <c r="Q394" i="63"/>
  <c r="V394" i="63" s="1"/>
  <c r="AM394" i="63" l="1"/>
  <c r="Z394" i="63"/>
  <c r="P394" i="63"/>
  <c r="U394" i="63" l="1"/>
  <c r="W394" i="63"/>
  <c r="O395" i="63" l="1"/>
  <c r="AT394" i="63"/>
  <c r="N395" i="63"/>
  <c r="AU394" i="63"/>
  <c r="AV394" i="63" s="1"/>
  <c r="Q395" i="63" l="1"/>
  <c r="V395" i="63" s="1"/>
  <c r="M395" i="63"/>
  <c r="L395" i="63" s="1"/>
  <c r="AN395" i="63"/>
  <c r="AS395" i="63" s="1"/>
  <c r="P395" i="63"/>
  <c r="U395" i="63" s="1"/>
  <c r="W395" i="63" l="1"/>
  <c r="Z395" i="63"/>
  <c r="AM395" i="63"/>
  <c r="AU395" i="63" l="1"/>
  <c r="AV395" i="63" s="1"/>
  <c r="N396" i="63"/>
  <c r="AT395" i="63"/>
  <c r="O396" i="63"/>
  <c r="AN396" i="63" l="1"/>
  <c r="AS396" i="63" s="1"/>
  <c r="Q396" i="63"/>
  <c r="V396" i="63" s="1"/>
  <c r="M396" i="63"/>
  <c r="L396" i="63" s="1"/>
  <c r="Z396" i="63" l="1"/>
  <c r="AM396" i="63"/>
  <c r="P396" i="63"/>
  <c r="U396" i="63" l="1"/>
  <c r="W396" i="63"/>
  <c r="N397" i="63" l="1"/>
  <c r="AU396" i="63"/>
  <c r="AV396" i="63" s="1"/>
  <c r="O397" i="63"/>
  <c r="AT396" i="63"/>
  <c r="AN397" i="63" l="1"/>
  <c r="AS397" i="63" s="1"/>
  <c r="Q397" i="63"/>
  <c r="V397" i="63" s="1"/>
  <c r="M397" i="63"/>
  <c r="L397" i="63" s="1"/>
  <c r="P397" i="63" l="1"/>
  <c r="AM397" i="63"/>
  <c r="Z397" i="63"/>
  <c r="U397" i="63" l="1"/>
  <c r="W397" i="63"/>
  <c r="N398" i="63" l="1"/>
  <c r="O398" i="63"/>
  <c r="AT397" i="63"/>
  <c r="AU397" i="63"/>
  <c r="AV397" i="63" s="1"/>
  <c r="AN398" i="63" l="1"/>
  <c r="AS398" i="63" s="1"/>
  <c r="M398" i="63"/>
  <c r="L398" i="63" s="1"/>
  <c r="Q398" i="63"/>
  <c r="V398" i="63" s="1"/>
  <c r="AM398" i="63" l="1"/>
  <c r="Z398" i="63"/>
  <c r="P398" i="63"/>
  <c r="U398" i="63" l="1"/>
  <c r="W398" i="63"/>
  <c r="O399" i="63" l="1"/>
  <c r="AU398" i="63"/>
  <c r="AV398" i="63" s="1"/>
  <c r="AT398" i="63"/>
  <c r="N399" i="63"/>
  <c r="M399" i="63" l="1"/>
  <c r="L399" i="63" s="1"/>
  <c r="Q399" i="63"/>
  <c r="V399" i="63" s="1"/>
  <c r="AN399" i="63"/>
  <c r="AS399" i="63" s="1"/>
  <c r="P399" i="63" l="1"/>
  <c r="U399" i="63" s="1"/>
  <c r="W399" i="63"/>
  <c r="Z399" i="63"/>
  <c r="AM399" i="63"/>
  <c r="O400" i="63" l="1"/>
  <c r="AT399" i="63"/>
  <c r="N400" i="63"/>
  <c r="AU399" i="63"/>
  <c r="AV399" i="63" s="1"/>
  <c r="M400" i="63" l="1"/>
  <c r="L400" i="63" s="1"/>
  <c r="Q400" i="63"/>
  <c r="V400" i="63" s="1"/>
  <c r="AN400" i="63"/>
  <c r="AS400" i="63" s="1"/>
  <c r="P400" i="63" l="1"/>
  <c r="U400" i="63" s="1"/>
  <c r="W400" i="63"/>
  <c r="AM400" i="63"/>
  <c r="Z400" i="63"/>
  <c r="AU400" i="63" l="1"/>
  <c r="AV400" i="63" s="1"/>
  <c r="N401" i="63"/>
  <c r="AT400" i="63"/>
  <c r="O401" i="63"/>
  <c r="AN401" i="63" l="1"/>
  <c r="AS401" i="63" s="1"/>
  <c r="Q401" i="63"/>
  <c r="V401" i="63" s="1"/>
  <c r="M401" i="63"/>
  <c r="L401" i="63" s="1"/>
  <c r="AM401" i="63" l="1"/>
  <c r="Z401" i="63"/>
  <c r="P401" i="63"/>
  <c r="U401" i="63" l="1"/>
  <c r="W401" i="63"/>
  <c r="AT401" i="63" l="1"/>
  <c r="N402" i="63"/>
  <c r="AU401" i="63"/>
  <c r="AV401" i="63" s="1"/>
  <c r="O402" i="63"/>
  <c r="AN402" i="63" l="1"/>
  <c r="AS402" i="63" s="1"/>
  <c r="M402" i="63"/>
  <c r="L402" i="63" s="1"/>
  <c r="Q402" i="63"/>
  <c r="V402" i="63" s="1"/>
  <c r="Z402" i="63" l="1"/>
  <c r="AM402" i="63"/>
  <c r="P402" i="63"/>
  <c r="U402" i="63" l="1"/>
  <c r="W402" i="63"/>
  <c r="N403" i="63" l="1"/>
  <c r="AT402" i="63"/>
  <c r="AU402" i="63"/>
  <c r="AV402" i="63" s="1"/>
  <c r="O403" i="63"/>
  <c r="AN403" i="63" l="1"/>
  <c r="AS403" i="63" s="1"/>
  <c r="Q403" i="63"/>
  <c r="V403" i="63" s="1"/>
  <c r="M403" i="63"/>
  <c r="L403" i="63" s="1"/>
  <c r="Z403" i="63" l="1"/>
  <c r="AM403" i="63"/>
  <c r="P403" i="63"/>
  <c r="U403" i="63" l="1"/>
  <c r="W403" i="63"/>
  <c r="N404" i="63" l="1"/>
  <c r="AT403" i="63"/>
  <c r="O404" i="63"/>
  <c r="AU403" i="63"/>
  <c r="AV403" i="63" s="1"/>
  <c r="AN404" i="63" l="1"/>
  <c r="AS404" i="63" s="1"/>
  <c r="M404" i="63"/>
  <c r="L404" i="63" s="1"/>
  <c r="Q404" i="63"/>
  <c r="V404" i="63" s="1"/>
  <c r="AM404" i="63" l="1"/>
  <c r="Z404" i="63"/>
  <c r="P404" i="63"/>
  <c r="U404" i="63" l="1"/>
  <c r="W404" i="63"/>
  <c r="O405" i="63" l="1"/>
  <c r="AU404" i="63"/>
  <c r="AV404" i="63" s="1"/>
  <c r="AT404" i="63"/>
  <c r="N405" i="63"/>
  <c r="M405" i="63" l="1"/>
  <c r="L405" i="63" s="1"/>
  <c r="Q405" i="63"/>
  <c r="V405" i="63" s="1"/>
  <c r="AN405" i="63"/>
  <c r="AS405" i="63" s="1"/>
  <c r="P405" i="63" l="1"/>
  <c r="U405" i="63" s="1"/>
  <c r="W405" i="63"/>
  <c r="Z405" i="63"/>
  <c r="AM405" i="63"/>
  <c r="AU405" i="63" l="1"/>
  <c r="AV405" i="63" s="1"/>
  <c r="O406" i="63"/>
  <c r="N406" i="63"/>
  <c r="AT405" i="63"/>
  <c r="Q406" i="63" l="1"/>
  <c r="V406" i="63" s="1"/>
  <c r="M406" i="63"/>
  <c r="L406" i="63" s="1"/>
  <c r="AN406" i="63"/>
  <c r="AS406" i="63" s="1"/>
  <c r="P406" i="63" l="1"/>
  <c r="U406" i="63" s="1"/>
  <c r="W406" i="63"/>
  <c r="Z406" i="63"/>
  <c r="AM406" i="63"/>
  <c r="N407" i="63" l="1"/>
  <c r="AT406" i="63"/>
  <c r="AU406" i="63"/>
  <c r="AV406" i="63" s="1"/>
  <c r="O407" i="63"/>
  <c r="AN407" i="63" l="1"/>
  <c r="AS407" i="63" s="1"/>
  <c r="Q407" i="63"/>
  <c r="V407" i="63" s="1"/>
  <c r="M407" i="63"/>
  <c r="L407" i="63" s="1"/>
  <c r="Z407" i="63" l="1"/>
  <c r="AM407" i="63"/>
  <c r="P407" i="63"/>
  <c r="U407" i="63" l="1"/>
  <c r="W407" i="63"/>
  <c r="AU407" i="63" l="1"/>
  <c r="AV407" i="63" s="1"/>
  <c r="O408" i="63"/>
  <c r="AT407" i="63"/>
  <c r="N408" i="63"/>
  <c r="Q408" i="63" l="1"/>
  <c r="V408" i="63" s="1"/>
  <c r="M408" i="63"/>
  <c r="L408" i="63" s="1"/>
  <c r="AN408" i="63"/>
  <c r="AS408" i="63" s="1"/>
  <c r="P408" i="63" l="1"/>
  <c r="U408" i="63" s="1"/>
  <c r="W408" i="63"/>
  <c r="Z408" i="63"/>
  <c r="AM408" i="63"/>
  <c r="O409" i="63" l="1"/>
  <c r="AT408" i="63"/>
  <c r="AU408" i="63"/>
  <c r="AV408" i="63" s="1"/>
  <c r="N409" i="63"/>
  <c r="M409" i="63" l="1"/>
  <c r="L409" i="63" s="1"/>
  <c r="Q409" i="63"/>
  <c r="V409" i="63" s="1"/>
  <c r="AN409" i="63"/>
  <c r="AS409" i="63" s="1"/>
  <c r="P409" i="63" l="1"/>
  <c r="U409" i="63" s="1"/>
  <c r="W409" i="63"/>
  <c r="AM409" i="63"/>
  <c r="Z409" i="63"/>
  <c r="O410" i="63" l="1"/>
  <c r="AU409" i="63"/>
  <c r="AV409" i="63" s="1"/>
  <c r="AT409" i="63"/>
  <c r="N410" i="63"/>
  <c r="M410" i="63" l="1"/>
  <c r="L410" i="63" s="1"/>
  <c r="Q410" i="63"/>
  <c r="V410" i="63" s="1"/>
  <c r="AN410" i="63"/>
  <c r="AS410" i="63" s="1"/>
  <c r="P410" i="63" l="1"/>
  <c r="U410" i="63" s="1"/>
  <c r="W410" i="63"/>
  <c r="AM410" i="63"/>
  <c r="Z410" i="63"/>
  <c r="AU410" i="63" l="1"/>
  <c r="AV410" i="63" s="1"/>
  <c r="O411" i="63"/>
  <c r="AT410" i="63"/>
  <c r="N411" i="63"/>
  <c r="M411" i="63" l="1"/>
  <c r="L411" i="63" s="1"/>
  <c r="Q411" i="63"/>
  <c r="V411" i="63" s="1"/>
  <c r="AN411" i="63"/>
  <c r="AS411" i="63" s="1"/>
  <c r="P411" i="63" l="1"/>
  <c r="Z411" i="63"/>
  <c r="AM411" i="63"/>
  <c r="U411" i="63" l="1"/>
  <c r="W411" i="63"/>
  <c r="AU411" i="63" l="1"/>
  <c r="AV411" i="63" s="1"/>
  <c r="AT411" i="63"/>
  <c r="N412" i="63"/>
  <c r="O412" i="63"/>
  <c r="AN412" i="63" l="1"/>
  <c r="AS412" i="63" s="1"/>
  <c r="M412" i="63"/>
  <c r="L412" i="63" s="1"/>
  <c r="Q412" i="63"/>
  <c r="V412" i="63" s="1"/>
  <c r="Z412" i="63" l="1"/>
  <c r="AM412" i="63"/>
  <c r="P412" i="63"/>
  <c r="W412" i="63" l="1"/>
  <c r="U412" i="63"/>
  <c r="AT412" i="63" l="1"/>
  <c r="O413" i="63"/>
  <c r="N413" i="63"/>
  <c r="AU412" i="63"/>
  <c r="AV412" i="63" s="1"/>
  <c r="M413" i="63" l="1"/>
  <c r="L413" i="63" s="1"/>
  <c r="Q413" i="63"/>
  <c r="V413" i="63" s="1"/>
  <c r="AN413" i="63"/>
  <c r="AS413" i="63" s="1"/>
  <c r="P413" i="63" l="1"/>
  <c r="U413" i="63" s="1"/>
  <c r="Z413" i="63"/>
  <c r="AM413" i="63"/>
  <c r="W413" i="63" l="1"/>
  <c r="N414" i="63"/>
  <c r="AT413" i="63"/>
  <c r="O414" i="63"/>
  <c r="AN414" i="63" s="1"/>
  <c r="AS414" i="63" s="1"/>
  <c r="AU413" i="63"/>
  <c r="AV413" i="63" s="1"/>
  <c r="Q414" i="63" l="1"/>
  <c r="M414" i="63"/>
  <c r="L414" i="63" s="1"/>
  <c r="AM414" i="63" l="1"/>
  <c r="Z414" i="63"/>
  <c r="V414" i="63"/>
  <c r="P414" i="63"/>
  <c r="W414" i="63" l="1"/>
  <c r="U414" i="63"/>
  <c r="N415" i="63" l="1"/>
  <c r="O415" i="63"/>
  <c r="AN415" i="63" s="1"/>
  <c r="AS415" i="63" s="1"/>
  <c r="AU414" i="63"/>
  <c r="AV414" i="63" s="1"/>
  <c r="AT414" i="63"/>
  <c r="Q415" i="63" l="1"/>
  <c r="M415" i="63"/>
  <c r="L415" i="63" s="1"/>
  <c r="Z415" i="63" l="1"/>
  <c r="AM415" i="63"/>
  <c r="V415" i="63"/>
  <c r="P415" i="63"/>
  <c r="U415" i="63" l="1"/>
  <c r="W415" i="63"/>
  <c r="O416" i="63" l="1"/>
  <c r="AN416" i="63" s="1"/>
  <c r="AS416" i="63" s="1"/>
  <c r="N416" i="63"/>
  <c r="AU415" i="63"/>
  <c r="AV415" i="63" s="1"/>
  <c r="AT415" i="63"/>
  <c r="M416" i="63" l="1"/>
  <c r="L416" i="63" s="1"/>
  <c r="Q416" i="63"/>
  <c r="P416" i="63" l="1"/>
  <c r="V416" i="63"/>
  <c r="AM416" i="63"/>
  <c r="Z416" i="63"/>
  <c r="U416" i="63" l="1"/>
  <c r="W416" i="63"/>
  <c r="N417" i="63" l="1"/>
  <c r="AU416" i="63"/>
  <c r="AV416" i="63" s="1"/>
  <c r="O417" i="63"/>
  <c r="AN417" i="63" s="1"/>
  <c r="AS417" i="63" s="1"/>
  <c r="AT416" i="63"/>
  <c r="M417" i="63" l="1"/>
  <c r="L417" i="63" s="1"/>
  <c r="Q417" i="63"/>
  <c r="V417" i="63" l="1"/>
  <c r="P417" i="63"/>
  <c r="AM417" i="63"/>
  <c r="Z417" i="63"/>
  <c r="U417" i="63" l="1"/>
  <c r="W417" i="63"/>
  <c r="O418" i="63" l="1"/>
  <c r="AN418" i="63" s="1"/>
  <c r="AS418" i="63" s="1"/>
  <c r="N418" i="63"/>
  <c r="AT417" i="63"/>
  <c r="AU417" i="63"/>
  <c r="AV417" i="63" s="1"/>
  <c r="Q418" i="63" l="1"/>
  <c r="M418" i="63"/>
  <c r="L418" i="63" s="1"/>
  <c r="AM418" i="63" l="1"/>
  <c r="Z418" i="63"/>
  <c r="V418" i="63"/>
  <c r="P418" i="63"/>
  <c r="U418" i="63" l="1"/>
  <c r="W418" i="63"/>
  <c r="N419" i="63" l="1"/>
  <c r="AU418" i="63"/>
  <c r="AV418" i="63" s="1"/>
  <c r="O419" i="63"/>
  <c r="AN419" i="63" s="1"/>
  <c r="AS419" i="63" s="1"/>
  <c r="AT418" i="63"/>
  <c r="M419" i="63" l="1"/>
  <c r="L419" i="63" s="1"/>
  <c r="Q419" i="63"/>
  <c r="V419" i="63" l="1"/>
  <c r="P419" i="63"/>
  <c r="Z419" i="63"/>
  <c r="AM419" i="63"/>
  <c r="U419" i="63" l="1"/>
  <c r="W419" i="63"/>
  <c r="AO419" i="63" l="1"/>
  <c r="O420" i="63"/>
  <c r="AV419" i="63"/>
  <c r="AT419" i="63"/>
  <c r="N420" i="63"/>
  <c r="AU419" i="63"/>
  <c r="M420" i="63" l="1"/>
  <c r="L420" i="63" s="1"/>
  <c r="Q420" i="63"/>
  <c r="AP420" i="63"/>
  <c r="AN420" i="63"/>
  <c r="AS420" i="63" s="1"/>
  <c r="V420" i="63" l="1"/>
  <c r="P420" i="63"/>
  <c r="Z420" i="63"/>
  <c r="AM420" i="63"/>
  <c r="U420" i="63" l="1"/>
  <c r="W420" i="63"/>
  <c r="N421" i="63" l="1"/>
  <c r="AT420" i="63"/>
  <c r="AO420" i="63"/>
  <c r="AU420" i="63"/>
  <c r="AV420" i="63"/>
  <c r="O421" i="63"/>
  <c r="AN421" i="63" l="1"/>
  <c r="AS421" i="63" s="1"/>
  <c r="AP421" i="63"/>
  <c r="Q421" i="63"/>
  <c r="V421" i="63" s="1"/>
  <c r="M421" i="63"/>
  <c r="L421" i="63" s="1"/>
  <c r="Z421" i="63" l="1"/>
  <c r="AM421" i="63"/>
  <c r="P421" i="63"/>
  <c r="W421" i="63" l="1"/>
  <c r="U421" i="63"/>
  <c r="AV421" i="63" l="1"/>
  <c r="O422" i="63"/>
  <c r="AU421" i="63"/>
  <c r="AT421" i="63"/>
  <c r="AO421" i="63"/>
  <c r="N422" i="63"/>
  <c r="M422" i="63" l="1"/>
  <c r="L422" i="63" s="1"/>
  <c r="Q422" i="63"/>
  <c r="V422" i="63" s="1"/>
  <c r="AP422" i="63"/>
  <c r="AN422" i="63"/>
  <c r="AS422" i="63" s="1"/>
  <c r="P422" i="63" l="1"/>
  <c r="U422" i="63"/>
  <c r="W422" i="63"/>
  <c r="AM422" i="63"/>
  <c r="Z422" i="63"/>
  <c r="N423" i="63" l="1"/>
  <c r="AU422" i="63"/>
  <c r="O423" i="63"/>
  <c r="AT422" i="63"/>
  <c r="AO422" i="63"/>
  <c r="AV422" i="63"/>
  <c r="AP423" i="63" l="1"/>
  <c r="AN423" i="63"/>
  <c r="AS423" i="63" s="1"/>
  <c r="M423" i="63"/>
  <c r="L423" i="63" s="1"/>
  <c r="Q423" i="63"/>
  <c r="V423" i="63" s="1"/>
  <c r="AM423" i="63" l="1"/>
  <c r="Z423" i="63"/>
  <c r="P423" i="63"/>
  <c r="W423" i="63" l="1"/>
  <c r="U423" i="63"/>
  <c r="AV423" i="63" l="1"/>
  <c r="O424" i="63"/>
  <c r="AO423" i="63"/>
  <c r="AU423" i="63"/>
  <c r="AT423" i="63"/>
  <c r="N424" i="63"/>
  <c r="Q424" i="63" l="1"/>
  <c r="V424" i="63" s="1"/>
  <c r="M424" i="63"/>
  <c r="L424" i="63" s="1"/>
  <c r="AN424" i="63"/>
  <c r="AS424" i="63" s="1"/>
  <c r="AP424" i="63"/>
  <c r="P424" i="63" l="1"/>
  <c r="W424" i="63" s="1"/>
  <c r="U424" i="63"/>
  <c r="Z424" i="63"/>
  <c r="AM424" i="63"/>
  <c r="N425" i="63"/>
  <c r="AV424" i="63"/>
  <c r="AT424" i="63"/>
  <c r="AO424" i="63"/>
  <c r="O425" i="63"/>
  <c r="AU424" i="63"/>
  <c r="AN425" i="63" l="1"/>
  <c r="AS425" i="63" s="1"/>
  <c r="AP425" i="63"/>
  <c r="M425" i="63"/>
  <c r="L425" i="63" s="1"/>
  <c r="Q425" i="63"/>
  <c r="V425" i="63" s="1"/>
  <c r="P425" i="63" l="1"/>
  <c r="AM425" i="63"/>
  <c r="Z425" i="63"/>
  <c r="U425" i="63" l="1"/>
  <c r="W425" i="63"/>
  <c r="AU425" i="63" l="1"/>
  <c r="AT425" i="63"/>
  <c r="AO425" i="63"/>
  <c r="AV425" i="63"/>
  <c r="N426" i="63"/>
  <c r="O426" i="63"/>
  <c r="AN426" i="63" l="1"/>
  <c r="AS426" i="63" s="1"/>
  <c r="AP426" i="63"/>
  <c r="M426" i="63"/>
  <c r="L426" i="63" s="1"/>
  <c r="Q426" i="63"/>
  <c r="V426" i="63" s="1"/>
  <c r="Z426" i="63" l="1"/>
  <c r="AM426" i="63"/>
  <c r="P426" i="63"/>
  <c r="U426" i="63" l="1"/>
  <c r="W426" i="63"/>
  <c r="AU426" i="63" l="1"/>
  <c r="AT426" i="63"/>
  <c r="AO426" i="63"/>
  <c r="O427" i="63"/>
  <c r="AV426" i="63"/>
  <c r="N427" i="63"/>
  <c r="M427" i="63" l="1"/>
  <c r="L427" i="63" s="1"/>
  <c r="Q427" i="63"/>
  <c r="V427" i="63" s="1"/>
  <c r="AN427" i="63"/>
  <c r="AS427" i="63" s="1"/>
  <c r="AP427" i="63"/>
  <c r="P427" i="63" l="1"/>
  <c r="AM427" i="63"/>
  <c r="Z427" i="63"/>
  <c r="U427" i="63" l="1"/>
  <c r="W427" i="63"/>
  <c r="O428" i="63" l="1"/>
  <c r="N428" i="63"/>
  <c r="AO427" i="63"/>
  <c r="AV427" i="63"/>
  <c r="AU427" i="63"/>
  <c r="AT427" i="63"/>
  <c r="M428" i="63" l="1"/>
  <c r="L428" i="63" s="1"/>
  <c r="Q428" i="63"/>
  <c r="V428" i="63" s="1"/>
  <c r="AN428" i="63"/>
  <c r="AS428" i="63" s="1"/>
  <c r="AP428" i="63"/>
  <c r="P428" i="63" l="1"/>
  <c r="AM428" i="63"/>
  <c r="Z428" i="63"/>
  <c r="U428" i="63" l="1"/>
  <c r="W428" i="63"/>
  <c r="N429" i="63" l="1"/>
  <c r="AT428" i="63"/>
  <c r="AO428" i="63"/>
  <c r="AU428" i="63"/>
  <c r="AV428" i="63"/>
  <c r="O429" i="63"/>
  <c r="AP429" i="63" l="1"/>
  <c r="AN429" i="63"/>
  <c r="AS429" i="63" s="1"/>
  <c r="Q429" i="63"/>
  <c r="V429" i="63" s="1"/>
  <c r="M429" i="63"/>
  <c r="L429" i="63" s="1"/>
  <c r="Z429" i="63" l="1"/>
  <c r="AM429" i="63"/>
  <c r="P429" i="63"/>
  <c r="U429" i="63" l="1"/>
  <c r="W429" i="63"/>
  <c r="AU429" i="63" l="1"/>
  <c r="N430" i="63"/>
  <c r="AT429" i="63"/>
  <c r="O430" i="63"/>
  <c r="AV429" i="63"/>
  <c r="AO429" i="63"/>
  <c r="AP430" i="63" l="1"/>
  <c r="AN430" i="63"/>
  <c r="AS430" i="63" s="1"/>
  <c r="Q430" i="63"/>
  <c r="V430" i="63" s="1"/>
  <c r="M430" i="63"/>
  <c r="L430" i="63" s="1"/>
  <c r="P430" i="63" l="1"/>
  <c r="AM430" i="63"/>
  <c r="Z430" i="63"/>
  <c r="U430" i="63" l="1"/>
  <c r="W430" i="63"/>
  <c r="N431" i="63" l="1"/>
  <c r="AO430" i="63"/>
  <c r="AT430" i="63"/>
  <c r="AV430" i="63"/>
  <c r="AU430" i="63"/>
  <c r="O431" i="63"/>
  <c r="AP431" i="63" l="1"/>
  <c r="AN431" i="63"/>
  <c r="AS431" i="63" s="1"/>
  <c r="M431" i="63"/>
  <c r="L431" i="63" s="1"/>
  <c r="Q431" i="63"/>
  <c r="V431" i="63" s="1"/>
  <c r="P431" i="63" l="1"/>
  <c r="AM431" i="63"/>
  <c r="Z431" i="63"/>
  <c r="U431" i="63" l="1"/>
  <c r="W431" i="63"/>
  <c r="AT431" i="63" l="1"/>
  <c r="AU431" i="63"/>
  <c r="N432" i="63"/>
  <c r="O432" i="63"/>
  <c r="AV431" i="63"/>
  <c r="AO431" i="63"/>
  <c r="M432" i="63" l="1"/>
  <c r="L432" i="63" s="1"/>
  <c r="Q432" i="63"/>
  <c r="V432" i="63" s="1"/>
  <c r="AN432" i="63"/>
  <c r="AS432" i="63" s="1"/>
  <c r="AP432" i="63"/>
  <c r="P432" i="63" l="1"/>
  <c r="U432" i="63" s="1"/>
  <c r="AM432" i="63"/>
  <c r="Z432" i="63"/>
  <c r="W432" i="63" l="1"/>
  <c r="O433" i="63"/>
  <c r="AV432" i="63"/>
  <c r="AU432" i="63"/>
  <c r="AO432" i="63"/>
  <c r="N433" i="63"/>
  <c r="AT432" i="63"/>
  <c r="M433" i="63" l="1"/>
  <c r="L433" i="63" s="1"/>
  <c r="Q433" i="63"/>
  <c r="V433" i="63" s="1"/>
  <c r="AN433" i="63"/>
  <c r="AS433" i="63" s="1"/>
  <c r="AP433" i="63"/>
  <c r="P433" i="63" l="1"/>
  <c r="U433" i="63" s="1"/>
  <c r="W433" i="63"/>
  <c r="AM433" i="63"/>
  <c r="Z433" i="63"/>
  <c r="AV433" i="63" l="1"/>
  <c r="N434" i="63"/>
  <c r="O434" i="63"/>
  <c r="AO433" i="63"/>
  <c r="AT433" i="63"/>
  <c r="AU433" i="63"/>
  <c r="AP434" i="63" l="1"/>
  <c r="AN434" i="63"/>
  <c r="AS434" i="63" s="1"/>
  <c r="Q434" i="63"/>
  <c r="V434" i="63" s="1"/>
  <c r="M434" i="63"/>
  <c r="L434" i="63" s="1"/>
  <c r="Z434" i="63" l="1"/>
  <c r="AM434" i="63"/>
  <c r="P434" i="63"/>
  <c r="U434" i="63" l="1"/>
  <c r="W434" i="63"/>
  <c r="AU434" i="63" l="1"/>
  <c r="AT434" i="63"/>
  <c r="N435" i="63"/>
  <c r="AO434" i="63"/>
  <c r="AV434" i="63"/>
  <c r="O435" i="63"/>
  <c r="AN435" i="63" l="1"/>
  <c r="AS435" i="63" s="1"/>
  <c r="AP435" i="63"/>
  <c r="M435" i="63"/>
  <c r="L435" i="63" s="1"/>
  <c r="Q435" i="63"/>
  <c r="V435" i="63" s="1"/>
  <c r="Z435" i="63" l="1"/>
  <c r="AM435" i="63"/>
  <c r="P435" i="63"/>
  <c r="U435" i="63" l="1"/>
  <c r="W435" i="63"/>
  <c r="AV435" i="63" l="1"/>
  <c r="O436" i="63"/>
  <c r="AU435" i="63"/>
  <c r="AO435" i="63"/>
  <c r="AT435" i="63"/>
  <c r="N436" i="63"/>
  <c r="M436" i="63" l="1"/>
  <c r="L436" i="63" s="1"/>
  <c r="Q436" i="63"/>
  <c r="V436" i="63" s="1"/>
  <c r="AP436" i="63"/>
  <c r="AN436" i="63"/>
  <c r="AS436" i="63" s="1"/>
  <c r="P436" i="63" l="1"/>
  <c r="U436" i="63" s="1"/>
  <c r="Z436" i="63"/>
  <c r="AM436" i="63"/>
  <c r="W436" i="63" l="1"/>
  <c r="AV436" i="63" s="1"/>
  <c r="AT436" i="63"/>
  <c r="O437" i="63"/>
  <c r="AO436" i="63"/>
  <c r="AU436" i="63"/>
  <c r="N437" i="63" l="1"/>
  <c r="Q437" i="63"/>
  <c r="V437" i="63" s="1"/>
  <c r="M437" i="63"/>
  <c r="L437" i="63" s="1"/>
  <c r="AN437" i="63"/>
  <c r="AS437" i="63" s="1"/>
  <c r="AP437" i="63"/>
  <c r="P437" i="63"/>
  <c r="U437" i="63" s="1"/>
  <c r="W437" i="63" l="1"/>
  <c r="AM437" i="63"/>
  <c r="Z437" i="63"/>
  <c r="AU437" i="63" l="1"/>
  <c r="N438" i="63"/>
  <c r="AT437" i="63"/>
  <c r="AV437" i="63"/>
  <c r="AO437" i="63"/>
  <c r="O438" i="63"/>
  <c r="AN438" i="63" l="1"/>
  <c r="AS438" i="63" s="1"/>
  <c r="AP438" i="63"/>
  <c r="Q438" i="63"/>
  <c r="V438" i="63" s="1"/>
  <c r="M438" i="63"/>
  <c r="L438" i="63" s="1"/>
  <c r="AM438" i="63" l="1"/>
  <c r="Z438" i="63"/>
  <c r="P438" i="63"/>
  <c r="U438" i="63" l="1"/>
  <c r="W438" i="63"/>
  <c r="O439" i="63" l="1"/>
  <c r="N439" i="63"/>
  <c r="AV438" i="63"/>
  <c r="AT438" i="63"/>
  <c r="AO438" i="63"/>
  <c r="AU438" i="63"/>
  <c r="M439" i="63" l="1"/>
  <c r="L439" i="63" s="1"/>
  <c r="Q439" i="63"/>
  <c r="V439" i="63" s="1"/>
  <c r="AP439" i="63"/>
  <c r="AN439" i="63"/>
  <c r="AS439" i="63" s="1"/>
  <c r="P439" i="63" l="1"/>
  <c r="U439" i="63" s="1"/>
  <c r="Z439" i="63"/>
  <c r="AM439" i="63"/>
  <c r="W439" i="63" l="1"/>
  <c r="AU439" i="63" s="1"/>
  <c r="O440" i="63"/>
  <c r="AV439" i="63"/>
  <c r="N440" i="63" l="1"/>
  <c r="AT439" i="63"/>
  <c r="AO439" i="63"/>
  <c r="AP440" i="63"/>
  <c r="AN440" i="63"/>
  <c r="AS440" i="63" s="1"/>
  <c r="M440" i="63"/>
  <c r="L440" i="63" s="1"/>
  <c r="Q440" i="63"/>
  <c r="V440" i="63" s="1"/>
  <c r="AM440" i="63" l="1"/>
  <c r="Z440" i="63"/>
  <c r="P440" i="63"/>
  <c r="U440" i="63" l="1"/>
  <c r="W440" i="63"/>
  <c r="AV440" i="63" l="1"/>
  <c r="AT440" i="63"/>
  <c r="N441" i="63"/>
  <c r="AU440" i="63"/>
  <c r="O441" i="63"/>
  <c r="AO440" i="63"/>
  <c r="AN441" i="63" l="1"/>
  <c r="AS441" i="63" s="1"/>
  <c r="AP441" i="63"/>
  <c r="Q441" i="63"/>
  <c r="V441" i="63" s="1"/>
  <c r="M441" i="63"/>
  <c r="L441" i="63" s="1"/>
  <c r="AM441" i="63" l="1"/>
  <c r="Z441" i="63"/>
  <c r="P441" i="63"/>
  <c r="U441" i="63" l="1"/>
  <c r="W441" i="63"/>
  <c r="E55" i="1"/>
  <c r="H32" i="1"/>
  <c r="H54" i="1" s="1"/>
  <c r="K41" i="1" s="1"/>
  <c r="AO441" i="63" l="1"/>
  <c r="AU441" i="63"/>
  <c r="AV441" i="63"/>
  <c r="N442" i="63"/>
  <c r="O442" i="63"/>
  <c r="AT441" i="63"/>
  <c r="D54" i="1"/>
  <c r="G80" i="1" s="1"/>
  <c r="K49" i="1"/>
  <c r="M442" i="63" l="1"/>
  <c r="L442" i="63" s="1"/>
  <c r="Q442" i="63"/>
  <c r="V442" i="63" s="1"/>
  <c r="AN442" i="63"/>
  <c r="AS442" i="63" s="1"/>
  <c r="AP442" i="63"/>
  <c r="P442" i="63"/>
  <c r="U442" i="63" s="1"/>
  <c r="G14" i="33"/>
  <c r="E17" i="33" s="1"/>
  <c r="G82" i="1"/>
  <c r="H80" i="1" s="1"/>
  <c r="E39" i="33"/>
  <c r="E15" i="33"/>
  <c r="E25" i="33"/>
  <c r="E52" i="33"/>
  <c r="W442" i="63" l="1"/>
  <c r="Z442" i="63"/>
  <c r="AM442" i="63"/>
  <c r="E16" i="33"/>
  <c r="H76" i="1"/>
  <c r="H77" i="1"/>
  <c r="H78" i="1"/>
  <c r="H79" i="1"/>
  <c r="N443" i="63" l="1"/>
  <c r="AT442" i="63"/>
  <c r="AO442" i="63"/>
  <c r="AU442" i="63"/>
  <c r="O443" i="63"/>
  <c r="AV442" i="63"/>
  <c r="H81" i="1"/>
  <c r="H82" i="1"/>
  <c r="AP443" i="63" l="1"/>
  <c r="AN443" i="63"/>
  <c r="AS443" i="63" s="1"/>
  <c r="Q443" i="63"/>
  <c r="V443" i="63" s="1"/>
  <c r="M443" i="63"/>
  <c r="L443" i="63" s="1"/>
  <c r="Z443" i="63" l="1"/>
  <c r="AM443" i="63"/>
  <c r="P443" i="63"/>
  <c r="U443" i="63" l="1"/>
  <c r="W443" i="63"/>
  <c r="AU443" i="63" l="1"/>
  <c r="AO443" i="63"/>
  <c r="AT443" i="63"/>
  <c r="O444" i="63"/>
  <c r="N444" i="63"/>
  <c r="AV443" i="63"/>
  <c r="AN444" i="63" l="1"/>
  <c r="AS444" i="63" s="1"/>
  <c r="AP444" i="63"/>
  <c r="M444" i="63"/>
  <c r="L444" i="63" s="1"/>
  <c r="Q444" i="63"/>
  <c r="V444" i="63" s="1"/>
  <c r="Z444" i="63" l="1"/>
  <c r="AM444" i="63"/>
  <c r="P444" i="63"/>
  <c r="U444" i="63" l="1"/>
  <c r="W444" i="63"/>
  <c r="AV444" i="63" l="1"/>
  <c r="AO444" i="63"/>
  <c r="AU444" i="63"/>
  <c r="AT444" i="63"/>
  <c r="N445" i="63"/>
  <c r="O445" i="63"/>
  <c r="B54" i="64"/>
  <c r="B53" i="64" s="1"/>
  <c r="Y2" i="64" s="1"/>
  <c r="AN445" i="63" l="1"/>
  <c r="AS445" i="63" s="1"/>
  <c r="AP445" i="63"/>
  <c r="Q445" i="63"/>
  <c r="V445" i="63" s="1"/>
  <c r="M445" i="63"/>
  <c r="L445" i="63" s="1"/>
  <c r="AA2" i="64"/>
  <c r="AM445" i="63" l="1"/>
  <c r="Z445" i="63"/>
  <c r="P445" i="63"/>
  <c r="U445" i="63" l="1"/>
  <c r="W445" i="63"/>
  <c r="N446" i="63" l="1"/>
  <c r="AV445" i="63"/>
  <c r="AT445" i="63"/>
  <c r="O446" i="63"/>
  <c r="AO445" i="63"/>
  <c r="AU445" i="63"/>
  <c r="AP446" i="63" l="1"/>
  <c r="AN446" i="63"/>
  <c r="AS446" i="63" s="1"/>
  <c r="Q446" i="63"/>
  <c r="V446" i="63" s="1"/>
  <c r="M446" i="63"/>
  <c r="L446" i="63" s="1"/>
  <c r="Z446" i="63" l="1"/>
  <c r="AM446" i="63"/>
  <c r="P446" i="63"/>
  <c r="U446" i="63" l="1"/>
  <c r="W446" i="63"/>
  <c r="AT446" i="63" l="1"/>
  <c r="AO446" i="63"/>
  <c r="AV446" i="63"/>
  <c r="N447" i="63"/>
  <c r="O447" i="63"/>
  <c r="AU446" i="63"/>
  <c r="Q447" i="63" l="1"/>
  <c r="V447" i="63" s="1"/>
  <c r="M447" i="63"/>
  <c r="L447" i="63" s="1"/>
  <c r="AP447" i="63"/>
  <c r="AN447" i="63"/>
  <c r="AS447" i="63" s="1"/>
  <c r="P447" i="63" l="1"/>
  <c r="U447" i="63" s="1"/>
  <c r="AM447" i="63"/>
  <c r="Z447" i="63"/>
  <c r="W447" i="63" l="1"/>
  <c r="N448" i="63" s="1"/>
  <c r="AU447" i="63"/>
  <c r="AV447" i="63"/>
  <c r="AT447" i="63"/>
  <c r="AO447" i="63"/>
  <c r="O448" i="63" l="1"/>
  <c r="AN448" i="63" s="1"/>
  <c r="AS448" i="63" s="1"/>
  <c r="AP448" i="63"/>
  <c r="M448" i="63"/>
  <c r="L448" i="63" s="1"/>
  <c r="Q448" i="63"/>
  <c r="V448" i="63" s="1"/>
  <c r="P448" i="63" l="1"/>
  <c r="Z448" i="63"/>
  <c r="AM448" i="63"/>
  <c r="U448" i="63" l="1"/>
  <c r="W448" i="63"/>
  <c r="AU448" i="63" l="1"/>
  <c r="O449" i="63"/>
  <c r="AT448" i="63"/>
  <c r="N449" i="63"/>
  <c r="AO448" i="63"/>
  <c r="AV448" i="63"/>
  <c r="Q449" i="63" l="1"/>
  <c r="V449" i="63" s="1"/>
  <c r="M449" i="63"/>
  <c r="L449" i="63" s="1"/>
  <c r="AN449" i="63"/>
  <c r="AS449" i="63" s="1"/>
  <c r="AP449" i="63"/>
  <c r="P449" i="63" l="1"/>
  <c r="U449" i="63" s="1"/>
  <c r="Z449" i="63"/>
  <c r="AM449" i="63"/>
  <c r="W449" i="63" l="1"/>
  <c r="N450" i="63" s="1"/>
  <c r="AT449" i="63"/>
  <c r="O450" i="63"/>
  <c r="AO449" i="63"/>
  <c r="AV449" i="63"/>
  <c r="AU449" i="63"/>
  <c r="AP450" i="63" l="1"/>
  <c r="AN450" i="63"/>
  <c r="AS450" i="63" s="1"/>
  <c r="M450" i="63"/>
  <c r="L450" i="63" s="1"/>
  <c r="Q450" i="63"/>
  <c r="V450" i="63" s="1"/>
  <c r="AM450" i="63" l="1"/>
  <c r="Z450" i="63"/>
  <c r="P450" i="63"/>
  <c r="U450" i="63" l="1"/>
  <c r="W450" i="63"/>
  <c r="N451" i="63" l="1"/>
  <c r="AO450" i="63"/>
  <c r="AT450" i="63"/>
  <c r="AU450" i="63"/>
  <c r="O451" i="63"/>
  <c r="AV450" i="63"/>
  <c r="AP451" i="63" l="1"/>
  <c r="AN451" i="63"/>
  <c r="AS451" i="63" s="1"/>
  <c r="M451" i="63"/>
  <c r="L451" i="63" s="1"/>
  <c r="Q451" i="63"/>
  <c r="V451" i="63" s="1"/>
  <c r="AM451" i="63" l="1"/>
  <c r="Z451" i="63"/>
  <c r="P451" i="63"/>
  <c r="U451" i="63" l="1"/>
  <c r="W451" i="63"/>
  <c r="N452" i="63" l="1"/>
  <c r="AT451" i="63"/>
  <c r="AO451" i="63"/>
  <c r="AV451" i="63"/>
  <c r="O452" i="63"/>
  <c r="AU451" i="63"/>
  <c r="Q452" i="63" l="1"/>
  <c r="V452" i="63" s="1"/>
  <c r="M452" i="63"/>
  <c r="L452" i="63" s="1"/>
  <c r="AN452" i="63"/>
  <c r="AS452" i="63" s="1"/>
  <c r="AP452" i="63"/>
  <c r="P452" i="63" l="1"/>
  <c r="U452" i="63" s="1"/>
  <c r="Z452" i="63"/>
  <c r="AM452" i="63"/>
  <c r="W452" i="63" l="1"/>
  <c r="AT452" i="63" s="1"/>
  <c r="AO452" i="63" l="1"/>
  <c r="AV452" i="63"/>
  <c r="AU452" i="63"/>
  <c r="N453" i="63"/>
  <c r="O453" i="63"/>
  <c r="AP453" i="63" s="1"/>
  <c r="M453" i="63"/>
  <c r="L453" i="63" s="1"/>
  <c r="Q453" i="63"/>
  <c r="V453" i="63" s="1"/>
  <c r="AN453" i="63"/>
  <c r="AS453" i="63" s="1"/>
  <c r="P453" i="63" l="1"/>
  <c r="U453" i="63" s="1"/>
  <c r="AM453" i="63"/>
  <c r="Z453" i="63"/>
  <c r="W453" i="63" l="1"/>
  <c r="O454" i="63" s="1"/>
  <c r="AO453" i="63"/>
  <c r="N454" i="63"/>
  <c r="AV453" i="63"/>
  <c r="AU453" i="63" l="1"/>
  <c r="AT453" i="63"/>
  <c r="M454" i="63"/>
  <c r="L454" i="63" s="1"/>
  <c r="Q454" i="63"/>
  <c r="V454" i="63" s="1"/>
  <c r="AP454" i="63"/>
  <c r="AN454" i="63"/>
  <c r="AS454" i="63" s="1"/>
  <c r="P454" i="63" l="1"/>
  <c r="U454" i="63" s="1"/>
  <c r="Z454" i="63"/>
  <c r="AM454" i="63"/>
  <c r="W454" i="63" l="1"/>
  <c r="N455" i="63" s="1"/>
  <c r="AO454" i="63"/>
  <c r="O455" i="63"/>
  <c r="AT454" i="63" l="1"/>
  <c r="AV454" i="63"/>
  <c r="AU454" i="63"/>
  <c r="AN455" i="63"/>
  <c r="AS455" i="63" s="1"/>
  <c r="AP455" i="63"/>
  <c r="Q455" i="63"/>
  <c r="V455" i="63" s="1"/>
  <c r="M455" i="63"/>
  <c r="L455" i="63" s="1"/>
  <c r="Z455" i="63" l="1"/>
  <c r="AM455" i="63"/>
  <c r="P455" i="63"/>
  <c r="U455" i="63" l="1"/>
  <c r="W455" i="63"/>
  <c r="AT455" i="63" l="1"/>
  <c r="N456" i="63"/>
  <c r="AV455" i="63"/>
  <c r="AU455" i="63"/>
  <c r="O456" i="63"/>
  <c r="AO455" i="63"/>
  <c r="AP456" i="63" l="1"/>
  <c r="AN456" i="63"/>
  <c r="AS456" i="63" s="1"/>
  <c r="Q456" i="63"/>
  <c r="V456" i="63" s="1"/>
  <c r="M456" i="63"/>
  <c r="L456" i="63" s="1"/>
  <c r="P456" i="63" l="1"/>
  <c r="Z456" i="63"/>
  <c r="AM456" i="63"/>
  <c r="U456" i="63" l="1"/>
  <c r="W456" i="63"/>
  <c r="AU456" i="63" l="1"/>
  <c r="AV456" i="63"/>
  <c r="O457" i="63"/>
  <c r="AT456" i="63"/>
  <c r="N457" i="63"/>
  <c r="AO456" i="63"/>
  <c r="Q457" i="63" l="1"/>
  <c r="V457" i="63" s="1"/>
  <c r="M457" i="63"/>
  <c r="L457" i="63" s="1"/>
  <c r="AN457" i="63"/>
  <c r="AS457" i="63" s="1"/>
  <c r="AP457" i="63"/>
  <c r="P457" i="63"/>
  <c r="U457" i="63" s="1"/>
  <c r="W457" i="63" l="1"/>
  <c r="AM457" i="63"/>
  <c r="Z457" i="63"/>
  <c r="N458" i="63" l="1"/>
  <c r="AU457" i="63"/>
  <c r="AO457" i="63"/>
  <c r="AT457" i="63"/>
  <c r="O458" i="63"/>
  <c r="AV457" i="63"/>
  <c r="AP458" i="63" l="1"/>
  <c r="AN458" i="63"/>
  <c r="AS458" i="63" s="1"/>
  <c r="Q458" i="63"/>
  <c r="V458" i="63" s="1"/>
  <c r="M458" i="63"/>
  <c r="L458" i="63" s="1"/>
  <c r="Z458" i="63" l="1"/>
  <c r="AM458" i="63"/>
  <c r="P458" i="63"/>
  <c r="U458" i="63" l="1"/>
  <c r="W458" i="63"/>
  <c r="AT458" i="63" l="1"/>
  <c r="O459" i="63"/>
  <c r="N459" i="63"/>
  <c r="AV458" i="63"/>
  <c r="AU458" i="63"/>
  <c r="AO458" i="63"/>
  <c r="Q459" i="63" l="1"/>
  <c r="V459" i="63" s="1"/>
  <c r="M459" i="63"/>
  <c r="L459" i="63" s="1"/>
  <c r="AN459" i="63"/>
  <c r="AS459" i="63" s="1"/>
  <c r="AP459" i="63"/>
  <c r="P459" i="63" l="1"/>
  <c r="U459" i="63" s="1"/>
  <c r="AM459" i="63"/>
  <c r="Z459" i="63"/>
  <c r="W459" i="63" l="1"/>
  <c r="AV459" i="63" s="1"/>
  <c r="AU459" i="63"/>
  <c r="O460" i="63"/>
  <c r="AO459" i="63" l="1"/>
  <c r="N460" i="63"/>
  <c r="AT459" i="63"/>
  <c r="AN460" i="63"/>
  <c r="AS460" i="63" s="1"/>
  <c r="AP460" i="63"/>
  <c r="M460" i="63"/>
  <c r="L460" i="63" s="1"/>
  <c r="Q460" i="63"/>
  <c r="V460" i="63" s="1"/>
  <c r="AM460" i="63" l="1"/>
  <c r="Z460" i="63"/>
  <c r="P460" i="63"/>
  <c r="U460" i="63" l="1"/>
  <c r="W460" i="63"/>
  <c r="AO460" i="63" l="1"/>
  <c r="AU460" i="63"/>
  <c r="AT460" i="63"/>
  <c r="O461" i="63"/>
  <c r="AV460" i="63"/>
  <c r="N461" i="63"/>
  <c r="M461" i="63" l="1"/>
  <c r="L461" i="63" s="1"/>
  <c r="Q461" i="63"/>
  <c r="V461" i="63" s="1"/>
  <c r="AP461" i="63"/>
  <c r="AN461" i="63"/>
  <c r="AS461" i="63" s="1"/>
  <c r="P461" i="63" l="1"/>
  <c r="U461" i="63" s="1"/>
  <c r="AM461" i="63"/>
  <c r="Z461" i="63"/>
  <c r="W461" i="63" l="1"/>
  <c r="AO461" i="63"/>
  <c r="AT461" i="63"/>
  <c r="AV461" i="63"/>
  <c r="AU461" i="63"/>
  <c r="O462" i="63"/>
  <c r="N462" i="63"/>
  <c r="Q462" i="63" l="1"/>
  <c r="V462" i="63" s="1"/>
  <c r="M462" i="63"/>
  <c r="L462" i="63" s="1"/>
  <c r="AP462" i="63"/>
  <c r="AN462" i="63"/>
  <c r="AS462" i="63" s="1"/>
  <c r="P462" i="63" l="1"/>
  <c r="U462" i="63" s="1"/>
  <c r="W462" i="63"/>
  <c r="Z462" i="63"/>
  <c r="AM462" i="63"/>
  <c r="AT462" i="63" l="1"/>
  <c r="AV462" i="63"/>
  <c r="N463" i="63"/>
  <c r="AO462" i="63"/>
  <c r="AU462" i="63"/>
  <c r="O463" i="63"/>
  <c r="M463" i="63" l="1"/>
  <c r="L463" i="63" s="1"/>
  <c r="Q463" i="63"/>
  <c r="V463" i="63" s="1"/>
  <c r="AN463" i="63"/>
  <c r="AS463" i="63" s="1"/>
  <c r="AP463" i="63"/>
  <c r="P463" i="63" l="1"/>
  <c r="U463" i="63" s="1"/>
  <c r="AM463" i="63"/>
  <c r="Z463" i="63"/>
  <c r="W463" i="63" l="1"/>
  <c r="AU463" i="63"/>
  <c r="AO463" i="63"/>
  <c r="AV463" i="63"/>
  <c r="N464" i="63"/>
  <c r="AT463" i="63"/>
  <c r="O464" i="63"/>
  <c r="AN464" i="63" l="1"/>
  <c r="AS464" i="63" s="1"/>
  <c r="AP464" i="63"/>
  <c r="Q464" i="63"/>
  <c r="V464" i="63" s="1"/>
  <c r="M464" i="63"/>
  <c r="L464" i="63" s="1"/>
  <c r="AM464" i="63" l="1"/>
  <c r="Z464" i="63"/>
  <c r="P464" i="63"/>
  <c r="U464" i="63" l="1"/>
  <c r="W464" i="63"/>
  <c r="AT464" i="63" l="1"/>
  <c r="AV464" i="63"/>
  <c r="O465" i="63"/>
  <c r="N465" i="63"/>
  <c r="AU464" i="63"/>
  <c r="AO464" i="63"/>
  <c r="Q465" i="63" l="1"/>
  <c r="V465" i="63" s="1"/>
  <c r="M465" i="63"/>
  <c r="L465" i="63" s="1"/>
  <c r="AP465" i="63"/>
  <c r="AN465" i="63"/>
  <c r="AS465" i="63" s="1"/>
  <c r="P465" i="63" l="1"/>
  <c r="U465" i="63" s="1"/>
  <c r="AM465" i="63"/>
  <c r="Z465" i="63"/>
  <c r="W465" i="63" l="1"/>
  <c r="AV465" i="63" s="1"/>
  <c r="AT465" i="63"/>
  <c r="O466" i="63"/>
  <c r="AO465" i="63"/>
  <c r="N466" i="63"/>
  <c r="AU465" i="63"/>
  <c r="Q466" i="63" l="1"/>
  <c r="V466" i="63" s="1"/>
  <c r="M466" i="63"/>
  <c r="L466" i="63" s="1"/>
  <c r="AP466" i="63"/>
  <c r="AN466" i="63"/>
  <c r="AS466" i="63" s="1"/>
  <c r="P466" i="63"/>
  <c r="U466" i="63" s="1"/>
  <c r="AM466" i="63" l="1"/>
  <c r="Z466" i="63"/>
  <c r="W466" i="63"/>
  <c r="AV466" i="63" l="1"/>
  <c r="N467" i="63"/>
  <c r="AO466" i="63"/>
  <c r="AT466" i="63"/>
  <c r="AU466" i="63"/>
  <c r="O467" i="63"/>
  <c r="AN467" i="63" l="1"/>
  <c r="AS467" i="63" s="1"/>
  <c r="AP467" i="63"/>
  <c r="Q467" i="63"/>
  <c r="V467" i="63" s="1"/>
  <c r="M467" i="63"/>
  <c r="L467" i="63" s="1"/>
  <c r="Z467" i="63" l="1"/>
  <c r="AM467" i="63"/>
  <c r="P467" i="63"/>
  <c r="U467" i="63" l="1"/>
  <c r="W467" i="63"/>
  <c r="O468" i="63" l="1"/>
  <c r="N468" i="63"/>
  <c r="AO467" i="63"/>
  <c r="AT467" i="63"/>
  <c r="AU467" i="63"/>
  <c r="AV467" i="63"/>
  <c r="Q468" i="63" l="1"/>
  <c r="V468" i="63" s="1"/>
  <c r="M468" i="63"/>
  <c r="L468" i="63" s="1"/>
  <c r="AN468" i="63"/>
  <c r="AS468" i="63" s="1"/>
  <c r="AP468" i="63"/>
  <c r="P468" i="63"/>
  <c r="U468" i="63" s="1"/>
  <c r="W468" i="63" l="1"/>
  <c r="AM468" i="63"/>
  <c r="Z468" i="63"/>
  <c r="O469" i="63" l="1"/>
  <c r="AO468" i="63"/>
  <c r="AU468" i="63"/>
  <c r="N469" i="63"/>
  <c r="AT468" i="63"/>
  <c r="AV468" i="63"/>
  <c r="Q469" i="63" l="1"/>
  <c r="V469" i="63" s="1"/>
  <c r="M469" i="63"/>
  <c r="L469" i="63" s="1"/>
  <c r="AP469" i="63"/>
  <c r="AN469" i="63"/>
  <c r="AS469" i="63" s="1"/>
  <c r="P469" i="63"/>
  <c r="U469" i="63" s="1"/>
  <c r="W469" i="63" l="1"/>
  <c r="AM469" i="63"/>
  <c r="Z469" i="63"/>
  <c r="AV469" i="63" l="1"/>
  <c r="N470" i="63"/>
  <c r="AU469" i="63"/>
  <c r="O470" i="63"/>
  <c r="AT469" i="63"/>
  <c r="AO469" i="63"/>
  <c r="AN470" i="63" l="1"/>
  <c r="AS470" i="63" s="1"/>
  <c r="AP470" i="63"/>
  <c r="Q470" i="63"/>
  <c r="V470" i="63" s="1"/>
  <c r="M470" i="63"/>
  <c r="L470" i="63" s="1"/>
  <c r="P470" i="63" l="1"/>
  <c r="AM470" i="63"/>
  <c r="Z470" i="63"/>
  <c r="U470" i="63" l="1"/>
  <c r="W470" i="63"/>
  <c r="AI7" i="63"/>
  <c r="AI8" i="63" s="1"/>
  <c r="X5" i="63" s="1"/>
  <c r="AB3" i="63" s="1"/>
  <c r="AV470" i="63" l="1"/>
  <c r="AU470" i="63"/>
  <c r="AT470" i="63"/>
  <c r="N471" i="63"/>
  <c r="AO470" i="63"/>
  <c r="O471" i="63"/>
  <c r="AR9" i="63"/>
  <c r="AR8" i="63"/>
  <c r="AI10" i="63"/>
  <c r="AB5" i="63"/>
  <c r="AA5" i="63" s="1"/>
  <c r="AO418" i="63" s="1"/>
  <c r="AC3" i="63"/>
  <c r="AA3" i="63"/>
  <c r="AR4" i="63"/>
  <c r="AT3" i="63"/>
  <c r="AU5" i="63"/>
  <c r="AU3" i="63"/>
  <c r="AS3" i="63"/>
  <c r="AT5" i="63"/>
  <c r="AU4" i="63"/>
  <c r="AT4" i="63"/>
  <c r="AS4" i="63"/>
  <c r="AR3" i="63"/>
  <c r="AR5" i="63"/>
  <c r="AS5" i="63"/>
  <c r="AI9" i="63"/>
  <c r="AP471" i="63" l="1"/>
  <c r="AN471" i="63"/>
  <c r="AS471" i="63" s="1"/>
  <c r="M471" i="63"/>
  <c r="L471" i="63" s="1"/>
  <c r="Q471" i="63"/>
  <c r="V471" i="63" s="1"/>
  <c r="F15" i="1"/>
  <c r="F54"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Z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55" i="64"/>
  <c r="AB2" i="64" s="1"/>
  <c r="Z471" i="63" l="1"/>
  <c r="AM471" i="63"/>
  <c r="P471" i="63"/>
  <c r="B13" i="64"/>
  <c r="AI2" i="64" s="1"/>
  <c r="Y16" i="63"/>
  <c r="AL16" i="63" s="1"/>
  <c r="AJ15" i="63"/>
  <c r="X2" i="64"/>
  <c r="B12" i="64"/>
  <c r="T2" i="64" s="1"/>
  <c r="B16" i="64"/>
  <c r="AJ2" i="64" s="1"/>
  <c r="R63" i="63"/>
  <c r="U471" i="63" l="1"/>
  <c r="W471" i="63"/>
  <c r="Y17" i="63"/>
  <c r="AL17" i="63" s="1"/>
  <c r="AJ16" i="63"/>
  <c r="AD2" i="64"/>
  <c r="R64" i="63"/>
  <c r="T63" i="63"/>
  <c r="AU471" i="63" l="1"/>
  <c r="AT471" i="63"/>
  <c r="AO471" i="63"/>
  <c r="O472" i="63"/>
  <c r="N472" i="63"/>
  <c r="AV471" i="63"/>
  <c r="Y18" i="63"/>
  <c r="AL18" i="63" s="1"/>
  <c r="AJ17" i="63"/>
  <c r="T64" i="63"/>
  <c r="R65" i="63"/>
  <c r="AN472" i="63" l="1"/>
  <c r="AS472" i="63" s="1"/>
  <c r="AP472" i="63"/>
  <c r="M472" i="63"/>
  <c r="L472" i="63" s="1"/>
  <c r="Q472" i="63"/>
  <c r="V472" i="63" s="1"/>
  <c r="Y19" i="63"/>
  <c r="AL19" i="63" s="1"/>
  <c r="AJ18" i="63"/>
  <c r="R66" i="63"/>
  <c r="T65" i="63"/>
  <c r="AM472" i="63" l="1"/>
  <c r="Z472" i="63"/>
  <c r="P472" i="63"/>
  <c r="AJ19" i="63"/>
  <c r="Y20" i="63"/>
  <c r="AL20" i="63" s="1"/>
  <c r="T66" i="63"/>
  <c r="R67" i="63"/>
  <c r="U472" i="63" l="1"/>
  <c r="W472" i="63"/>
  <c r="AJ20" i="63"/>
  <c r="Y21" i="63"/>
  <c r="AL21" i="63" s="1"/>
  <c r="T67" i="63"/>
  <c r="R68" i="63"/>
  <c r="AT472" i="63" l="1"/>
  <c r="AO472" i="63"/>
  <c r="AU472" i="63"/>
  <c r="O473" i="63"/>
  <c r="AV472" i="63"/>
  <c r="N473" i="63"/>
  <c r="Y22" i="63"/>
  <c r="AL22" i="63" s="1"/>
  <c r="AJ21" i="63"/>
  <c r="T68" i="63"/>
  <c r="R69" i="63"/>
  <c r="Q473" i="63" l="1"/>
  <c r="V473" i="63" s="1"/>
  <c r="M473" i="63"/>
  <c r="L473" i="63" s="1"/>
  <c r="AP473" i="63"/>
  <c r="AN473" i="63"/>
  <c r="AS473" i="63" s="1"/>
  <c r="Y23" i="63"/>
  <c r="AL23" i="63" s="1"/>
  <c r="AJ22" i="63"/>
  <c r="T69" i="63"/>
  <c r="R70" i="63"/>
  <c r="P473" i="63" l="1"/>
  <c r="U473" i="63" s="1"/>
  <c r="AM473" i="63"/>
  <c r="Z473" i="63"/>
  <c r="Y24" i="63"/>
  <c r="AL24" i="63" s="1"/>
  <c r="AJ23" i="63"/>
  <c r="R71" i="63"/>
  <c r="T70" i="63"/>
  <c r="W473" i="63" l="1"/>
  <c r="O474" i="63"/>
  <c r="AT473" i="63"/>
  <c r="AO473" i="63"/>
  <c r="AV473" i="63"/>
  <c r="N474" i="63"/>
  <c r="AU473" i="63"/>
  <c r="Y25" i="63"/>
  <c r="AL25" i="63" s="1"/>
  <c r="AJ24" i="63"/>
  <c r="R72" i="63"/>
  <c r="T71" i="63"/>
  <c r="Q474" i="63" l="1"/>
  <c r="V474" i="63" s="1"/>
  <c r="M474" i="63"/>
  <c r="L474" i="63" s="1"/>
  <c r="AP474" i="63"/>
  <c r="AN474" i="63"/>
  <c r="AS474" i="63" s="1"/>
  <c r="P474" i="63"/>
  <c r="U474" i="63" s="1"/>
  <c r="Y26" i="63"/>
  <c r="AL26" i="63" s="1"/>
  <c r="AJ25" i="63"/>
  <c r="T72" i="63"/>
  <c r="R73" i="63"/>
  <c r="W474" i="63" l="1"/>
  <c r="Z474" i="63"/>
  <c r="AM474" i="63"/>
  <c r="Y27" i="63"/>
  <c r="AL27" i="63" s="1"/>
  <c r="AJ26" i="63"/>
  <c r="R74" i="63"/>
  <c r="T73" i="63"/>
  <c r="AV474" i="63" l="1"/>
  <c r="AU474" i="63"/>
  <c r="AO474" i="63"/>
  <c r="N475" i="63"/>
  <c r="O475" i="63"/>
  <c r="AT474" i="63"/>
  <c r="Y28" i="63"/>
  <c r="AL28" i="63" s="1"/>
  <c r="AJ27" i="63"/>
  <c r="R75" i="63"/>
  <c r="T74" i="63"/>
  <c r="AP475" i="63" l="1"/>
  <c r="AN475" i="63"/>
  <c r="AS475" i="63" s="1"/>
  <c r="M475" i="63"/>
  <c r="L475" i="63" s="1"/>
  <c r="Q475" i="63"/>
  <c r="V475" i="63" s="1"/>
  <c r="Y29" i="63"/>
  <c r="AL29" i="63" s="1"/>
  <c r="AJ28" i="63"/>
  <c r="R76" i="63"/>
  <c r="T75" i="63"/>
  <c r="P475" i="63" l="1"/>
  <c r="AM475" i="63"/>
  <c r="Z475" i="63"/>
  <c r="Y30" i="63"/>
  <c r="AL30" i="63" s="1"/>
  <c r="AJ29" i="63"/>
  <c r="T76" i="63"/>
  <c r="R77" i="63"/>
  <c r="U475" i="63" l="1"/>
  <c r="W475" i="63"/>
  <c r="Y31" i="63"/>
  <c r="AL31" i="63" s="1"/>
  <c r="AJ30" i="63"/>
  <c r="R78" i="63"/>
  <c r="T77" i="63"/>
  <c r="AU475" i="63" l="1"/>
  <c r="N476" i="63"/>
  <c r="O476" i="63"/>
  <c r="AO475" i="63"/>
  <c r="AT475" i="63"/>
  <c r="AV475" i="63"/>
  <c r="Y32" i="63"/>
  <c r="AL32" i="63" s="1"/>
  <c r="AJ31" i="63"/>
  <c r="R79" i="63"/>
  <c r="T78" i="63"/>
  <c r="AP476" i="63" l="1"/>
  <c r="AN476" i="63"/>
  <c r="AS476" i="63" s="1"/>
  <c r="M476" i="63"/>
  <c r="L476" i="63" s="1"/>
  <c r="Q476" i="63"/>
  <c r="V476" i="63" s="1"/>
  <c r="Y33" i="63"/>
  <c r="AL33" i="63" s="1"/>
  <c r="AJ32" i="63"/>
  <c r="R80" i="63"/>
  <c r="T79" i="63"/>
  <c r="Z476" i="63" l="1"/>
  <c r="AM476" i="63"/>
  <c r="P476" i="63"/>
  <c r="Y34" i="63"/>
  <c r="AL34" i="63" s="1"/>
  <c r="AJ33" i="63"/>
  <c r="T80" i="63"/>
  <c r="R81" i="63"/>
  <c r="U476" i="63" l="1"/>
  <c r="W476" i="63"/>
  <c r="Y35" i="63"/>
  <c r="AL35" i="63" s="1"/>
  <c r="AJ34" i="63"/>
  <c r="R82" i="63"/>
  <c r="T81" i="63"/>
  <c r="O477" i="63" l="1"/>
  <c r="AT476" i="63"/>
  <c r="AO476" i="63"/>
  <c r="AU476" i="63"/>
  <c r="N477" i="63"/>
  <c r="AV476" i="63"/>
  <c r="Y36" i="63"/>
  <c r="AL36" i="63" s="1"/>
  <c r="AJ35" i="63"/>
  <c r="R83" i="63"/>
  <c r="T82" i="63"/>
  <c r="M477" i="63" l="1"/>
  <c r="L477" i="63" s="1"/>
  <c r="Q477" i="63"/>
  <c r="V477" i="63" s="1"/>
  <c r="AN477" i="63"/>
  <c r="AS477" i="63" s="1"/>
  <c r="AP477" i="63"/>
  <c r="Y37" i="63"/>
  <c r="AL37" i="63" s="1"/>
  <c r="AJ36" i="63"/>
  <c r="R84" i="63"/>
  <c r="T83" i="63"/>
  <c r="P477" i="63" l="1"/>
  <c r="U477" i="63" s="1"/>
  <c r="Z477" i="63"/>
  <c r="AM477" i="63"/>
  <c r="Y38" i="63"/>
  <c r="AL38" i="63" s="1"/>
  <c r="AJ37" i="63"/>
  <c r="T84" i="63"/>
  <c r="R85" i="63"/>
  <c r="W477" i="63" l="1"/>
  <c r="O478" i="63"/>
  <c r="AO477" i="63"/>
  <c r="AU477" i="63"/>
  <c r="AT477" i="63"/>
  <c r="N478" i="63"/>
  <c r="AV477" i="63"/>
  <c r="Y39" i="63"/>
  <c r="AL39" i="63" s="1"/>
  <c r="AJ38" i="63"/>
  <c r="R86" i="63"/>
  <c r="T85" i="63"/>
  <c r="M478" i="63" l="1"/>
  <c r="L478" i="63" s="1"/>
  <c r="Q478" i="63"/>
  <c r="V478" i="63" s="1"/>
  <c r="AP478" i="63"/>
  <c r="AN478" i="63"/>
  <c r="AS478" i="63" s="1"/>
  <c r="Y40" i="63"/>
  <c r="AL40" i="63" s="1"/>
  <c r="AJ39" i="63"/>
  <c r="R87" i="63"/>
  <c r="T86" i="63"/>
  <c r="P478" i="63" l="1"/>
  <c r="Z478" i="63"/>
  <c r="AM478" i="63"/>
  <c r="Y41" i="63"/>
  <c r="AL41" i="63" s="1"/>
  <c r="AJ40" i="63"/>
  <c r="R88" i="63"/>
  <c r="T87" i="63"/>
  <c r="U478" i="63" l="1"/>
  <c r="W478" i="63"/>
  <c r="AJ41" i="63"/>
  <c r="Y42" i="63"/>
  <c r="AL42" i="63" s="1"/>
  <c r="T88" i="63"/>
  <c r="R89" i="63"/>
  <c r="O479" i="63" l="1"/>
  <c r="AT478" i="63"/>
  <c r="N479" i="63"/>
  <c r="AO478" i="63"/>
  <c r="AU478" i="63"/>
  <c r="AV478" i="63"/>
  <c r="Y43" i="63"/>
  <c r="AL43" i="63" s="1"/>
  <c r="AJ42" i="63"/>
  <c r="R90" i="63"/>
  <c r="T89" i="63"/>
  <c r="Q479" i="63" l="1"/>
  <c r="V479" i="63" s="1"/>
  <c r="M479" i="63"/>
  <c r="L479" i="63" s="1"/>
  <c r="AP479" i="63"/>
  <c r="AN479" i="63"/>
  <c r="AS479" i="63" s="1"/>
  <c r="Y44" i="63"/>
  <c r="AL44" i="63" s="1"/>
  <c r="AJ43" i="63"/>
  <c r="R91" i="63"/>
  <c r="T90" i="63"/>
  <c r="P479" i="63" l="1"/>
  <c r="U479" i="63" s="1"/>
  <c r="Z479" i="63"/>
  <c r="AM479" i="63"/>
  <c r="Y45" i="63"/>
  <c r="AL45" i="63" s="1"/>
  <c r="AJ44" i="63"/>
  <c r="R92" i="63"/>
  <c r="T91" i="63"/>
  <c r="W479" i="63" l="1"/>
  <c r="AV479" i="63"/>
  <c r="AU479" i="63"/>
  <c r="O480" i="63"/>
  <c r="AT479" i="63"/>
  <c r="AO479" i="63"/>
  <c r="N480" i="63"/>
  <c r="Y46" i="63"/>
  <c r="AL46" i="63" s="1"/>
  <c r="AJ45" i="63"/>
  <c r="T92" i="63"/>
  <c r="R93" i="63"/>
  <c r="M480" i="63" l="1"/>
  <c r="L480" i="63" s="1"/>
  <c r="Q480" i="63"/>
  <c r="V480" i="63" s="1"/>
  <c r="AN480" i="63"/>
  <c r="AS480" i="63" s="1"/>
  <c r="AP480" i="63"/>
  <c r="Y47" i="63"/>
  <c r="AL47" i="63" s="1"/>
  <c r="AJ46" i="63"/>
  <c r="R94" i="63"/>
  <c r="T93" i="63"/>
  <c r="P480" i="63" l="1"/>
  <c r="U480" i="63" s="1"/>
  <c r="AM480" i="63"/>
  <c r="Z480" i="63"/>
  <c r="Y48" i="63"/>
  <c r="AL48" i="63" s="1"/>
  <c r="AJ47" i="63"/>
  <c r="R95" i="63"/>
  <c r="T94" i="63"/>
  <c r="W480" i="63" l="1"/>
  <c r="N481" i="63" s="1"/>
  <c r="O481" i="63"/>
  <c r="AO480" i="63"/>
  <c r="AT480" i="63"/>
  <c r="AV480" i="63"/>
  <c r="AU480" i="63"/>
  <c r="Y49" i="63"/>
  <c r="AL49" i="63" s="1"/>
  <c r="AJ48" i="63"/>
  <c r="R96" i="63"/>
  <c r="T95" i="63"/>
  <c r="AN481" i="63" l="1"/>
  <c r="AS481" i="63" s="1"/>
  <c r="AP481" i="63"/>
  <c r="M481" i="63"/>
  <c r="L481" i="63" s="1"/>
  <c r="Q481" i="63"/>
  <c r="V481" i="63" s="1"/>
  <c r="Y50" i="63"/>
  <c r="AL50" i="63" s="1"/>
  <c r="AJ49" i="63"/>
  <c r="T96" i="63"/>
  <c r="R97" i="63"/>
  <c r="Z481" i="63" l="1"/>
  <c r="AM481" i="63"/>
  <c r="P481" i="63"/>
  <c r="Y51" i="63"/>
  <c r="AL51" i="63" s="1"/>
  <c r="AJ50" i="63"/>
  <c r="R98" i="63"/>
  <c r="T97" i="63"/>
  <c r="U481" i="63" l="1"/>
  <c r="W481" i="63"/>
  <c r="AJ51" i="63"/>
  <c r="Y52" i="63"/>
  <c r="AL52" i="63" s="1"/>
  <c r="R99" i="63"/>
  <c r="T98" i="63"/>
  <c r="AT481" i="63" l="1"/>
  <c r="AV481" i="63"/>
  <c r="N482" i="63"/>
  <c r="AO481" i="63"/>
  <c r="AU481" i="63"/>
  <c r="O482" i="63"/>
  <c r="Y53" i="63"/>
  <c r="AL53" i="63" s="1"/>
  <c r="AJ52" i="63"/>
  <c r="R100" i="63"/>
  <c r="T99" i="63"/>
  <c r="AP482" i="63" l="1"/>
  <c r="AN482" i="63"/>
  <c r="AS482" i="63" s="1"/>
  <c r="Q482" i="63"/>
  <c r="V482" i="63" s="1"/>
  <c r="M482" i="63"/>
  <c r="L482" i="63" s="1"/>
  <c r="Y54" i="63"/>
  <c r="AL54" i="63" s="1"/>
  <c r="AJ53" i="63"/>
  <c r="T100" i="63"/>
  <c r="R101" i="63"/>
  <c r="Z482" i="63" l="1"/>
  <c r="AM482" i="63"/>
  <c r="P482" i="63"/>
  <c r="Y55" i="63"/>
  <c r="AL55" i="63" s="1"/>
  <c r="AJ54" i="63"/>
  <c r="R102" i="63"/>
  <c r="T101" i="63"/>
  <c r="U482" i="63" l="1"/>
  <c r="W482" i="63"/>
  <c r="Y56" i="63"/>
  <c r="AL56" i="63" s="1"/>
  <c r="AJ55" i="63"/>
  <c r="R103" i="63"/>
  <c r="T102" i="63"/>
  <c r="AO482" i="63" l="1"/>
  <c r="AV482" i="63"/>
  <c r="AU482" i="63"/>
  <c r="AT482" i="63"/>
  <c r="N483" i="63"/>
  <c r="O483" i="63"/>
  <c r="Y57" i="63"/>
  <c r="AL57" i="63" s="1"/>
  <c r="AJ56" i="63"/>
  <c r="R104" i="63"/>
  <c r="T103" i="63"/>
  <c r="AP483" i="63" l="1"/>
  <c r="AN483" i="63"/>
  <c r="AS483" i="63" s="1"/>
  <c r="M483" i="63"/>
  <c r="L483" i="63" s="1"/>
  <c r="Q483" i="63"/>
  <c r="V483" i="63" s="1"/>
  <c r="Y58" i="63"/>
  <c r="AL58" i="63" s="1"/>
  <c r="AJ57" i="63"/>
  <c r="T104" i="63"/>
  <c r="R105" i="63"/>
  <c r="P483" i="63" l="1"/>
  <c r="AM483" i="63"/>
  <c r="Z483" i="63"/>
  <c r="AJ9" i="63"/>
  <c r="AJ58" i="63"/>
  <c r="Y59" i="63"/>
  <c r="AA59" i="63"/>
  <c r="AP59" i="63" s="1"/>
  <c r="R106" i="63"/>
  <c r="T105" i="63"/>
  <c r="U483" i="63" l="1"/>
  <c r="W483"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N484" i="63" l="1"/>
  <c r="AU483" i="63"/>
  <c r="O484" i="63"/>
  <c r="AT483" i="63"/>
  <c r="AV483" i="63"/>
  <c r="AO483" i="63"/>
  <c r="AB59" i="63"/>
  <c r="AD492" i="63"/>
  <c r="R108" i="63"/>
  <c r="T107" i="63"/>
  <c r="AN484" i="63" l="1"/>
  <c r="AS484" i="63" s="1"/>
  <c r="AP484" i="63"/>
  <c r="M484" i="63"/>
  <c r="L484" i="63" s="1"/>
  <c r="Q484" i="63"/>
  <c r="V484" i="63" s="1"/>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M484" i="63" l="1"/>
  <c r="Z484" i="63"/>
  <c r="P484" i="63"/>
  <c r="AF59" i="63"/>
  <c r="Y60" i="63"/>
  <c r="AA60" i="63"/>
  <c r="AP60" i="63" s="1"/>
  <c r="AJ59" i="63"/>
  <c r="AK59" i="63" s="1"/>
  <c r="AE492" i="63"/>
  <c r="AF491" i="63"/>
  <c r="AD494" i="63"/>
  <c r="R110" i="63"/>
  <c r="T109" i="63"/>
  <c r="U484" i="63" l="1"/>
  <c r="W484" i="63"/>
  <c r="AE493" i="63"/>
  <c r="AF492" i="63"/>
  <c r="AD495" i="63"/>
  <c r="AI60" i="63"/>
  <c r="AC60" i="63"/>
  <c r="AH60" i="63" s="1"/>
  <c r="R111" i="63"/>
  <c r="T110" i="63"/>
  <c r="O485" i="63" l="1"/>
  <c r="AO484" i="63"/>
  <c r="AV484" i="63"/>
  <c r="AT484" i="63"/>
  <c r="N485" i="63"/>
  <c r="AU484" i="63"/>
  <c r="AB60" i="63"/>
  <c r="AD496" i="63"/>
  <c r="AE494" i="63"/>
  <c r="AF493" i="63"/>
  <c r="R112" i="63"/>
  <c r="T111" i="63"/>
  <c r="M485" i="63" l="1"/>
  <c r="L485" i="63" s="1"/>
  <c r="Q485" i="63"/>
  <c r="V485" i="63" s="1"/>
  <c r="AN485" i="63"/>
  <c r="AS485" i="63" s="1"/>
  <c r="AP485" i="63"/>
  <c r="P485" i="63"/>
  <c r="U485" i="63" s="1"/>
  <c r="AE495" i="63"/>
  <c r="AF494" i="63"/>
  <c r="AD497" i="63"/>
  <c r="AF60" i="63"/>
  <c r="AG60" i="63"/>
  <c r="AL60" i="63"/>
  <c r="T112" i="63"/>
  <c r="R113" i="63"/>
  <c r="W485" i="63" l="1"/>
  <c r="AM485" i="63"/>
  <c r="Z485" i="63"/>
  <c r="AJ60" i="63"/>
  <c r="AK60" i="63" s="1"/>
  <c r="Y61" i="63"/>
  <c r="AA61" i="63"/>
  <c r="AP61" i="63" s="1"/>
  <c r="AD498" i="63"/>
  <c r="AE496" i="63"/>
  <c r="AF495" i="63"/>
  <c r="R114" i="63"/>
  <c r="T113" i="63"/>
  <c r="AV485" i="63" l="1"/>
  <c r="AU485" i="63"/>
  <c r="N486" i="63"/>
  <c r="AO485" i="63"/>
  <c r="AT485" i="63"/>
  <c r="O486" i="63"/>
  <c r="AE497" i="63"/>
  <c r="AF496" i="63"/>
  <c r="AD499" i="63"/>
  <c r="AI61" i="63"/>
  <c r="AC61" i="63"/>
  <c r="AH61" i="63" s="1"/>
  <c r="R115" i="63"/>
  <c r="T114" i="63"/>
  <c r="M486" i="63" l="1"/>
  <c r="L486" i="63" s="1"/>
  <c r="Q486" i="63"/>
  <c r="V486" i="63" s="1"/>
  <c r="AP486" i="63"/>
  <c r="AN486" i="63"/>
  <c r="AS486" i="63" s="1"/>
  <c r="AB61" i="63"/>
  <c r="AD500" i="63"/>
  <c r="AE498" i="63"/>
  <c r="AF497" i="63"/>
  <c r="R116" i="63"/>
  <c r="T115" i="63"/>
  <c r="P486" i="63" l="1"/>
  <c r="U486" i="63" s="1"/>
  <c r="AM486" i="63"/>
  <c r="Z486" i="63"/>
  <c r="AE499" i="63"/>
  <c r="AF498" i="63"/>
  <c r="AD501" i="63"/>
  <c r="AF61" i="63"/>
  <c r="AG61" i="63"/>
  <c r="AL61" i="63"/>
  <c r="T116" i="63"/>
  <c r="R117" i="63"/>
  <c r="W486" i="63" l="1"/>
  <c r="AT486" i="63" s="1"/>
  <c r="O487" i="63"/>
  <c r="N487" i="63"/>
  <c r="AV486" i="63"/>
  <c r="AU486" i="63"/>
  <c r="AJ61" i="63"/>
  <c r="AK61" i="63" s="1"/>
  <c r="AA62" i="63"/>
  <c r="AP62" i="63" s="1"/>
  <c r="Y62" i="63"/>
  <c r="AD502" i="63"/>
  <c r="AE500" i="63"/>
  <c r="AF499" i="63"/>
  <c r="R118" i="63"/>
  <c r="T117" i="63"/>
  <c r="AO486" i="63" l="1"/>
  <c r="AP487" i="63"/>
  <c r="AN487" i="63"/>
  <c r="AS487" i="63" s="1"/>
  <c r="Q487" i="63"/>
  <c r="V487" i="63" s="1"/>
  <c r="M487" i="63"/>
  <c r="L487" i="63" s="1"/>
  <c r="AE501" i="63"/>
  <c r="AF500" i="63"/>
  <c r="AD503" i="63"/>
  <c r="AC62" i="63"/>
  <c r="AH62" i="63" s="1"/>
  <c r="AI62" i="63"/>
  <c r="R119" i="63"/>
  <c r="T118" i="63"/>
  <c r="AM487" i="63" l="1"/>
  <c r="Z487" i="63"/>
  <c r="P487" i="63"/>
  <c r="AB62" i="63"/>
  <c r="AD504" i="63"/>
  <c r="AE502" i="63"/>
  <c r="AF501" i="63"/>
  <c r="R120" i="63"/>
  <c r="T119" i="63"/>
  <c r="U487" i="63" l="1"/>
  <c r="W487" i="63"/>
  <c r="AE503" i="63"/>
  <c r="AF502" i="63"/>
  <c r="AD505" i="63"/>
  <c r="AG62" i="63"/>
  <c r="AF62" i="63"/>
  <c r="AL62" i="63"/>
  <c r="T120" i="63"/>
  <c r="R121" i="63"/>
  <c r="AU487" i="63" l="1"/>
  <c r="O488" i="63"/>
  <c r="N488" i="63"/>
  <c r="AT487" i="63"/>
  <c r="AV487" i="63"/>
  <c r="AO487" i="63"/>
  <c r="AJ62" i="63"/>
  <c r="AK62" i="63" s="1"/>
  <c r="Y63" i="63"/>
  <c r="AA63" i="63"/>
  <c r="AP63" i="63" s="1"/>
  <c r="AD506" i="63"/>
  <c r="AE504" i="63"/>
  <c r="AF503" i="63"/>
  <c r="R122" i="63"/>
  <c r="T121" i="63"/>
  <c r="M488" i="63" l="1"/>
  <c r="L488" i="63" s="1"/>
  <c r="Q488" i="63"/>
  <c r="V488" i="63" s="1"/>
  <c r="AN488" i="63"/>
  <c r="AS488" i="63" s="1"/>
  <c r="AP488" i="63"/>
  <c r="P488" i="63"/>
  <c r="U488" i="63" s="1"/>
  <c r="AE505" i="63"/>
  <c r="AF504" i="63"/>
  <c r="AD507" i="63"/>
  <c r="AI63" i="63"/>
  <c r="AC63" i="63"/>
  <c r="AH63" i="63" s="1"/>
  <c r="R123" i="63"/>
  <c r="T122" i="63"/>
  <c r="W488" i="63" l="1"/>
  <c r="Z488" i="63"/>
  <c r="AM488" i="63"/>
  <c r="AB63" i="63"/>
  <c r="AD508" i="63"/>
  <c r="AE506" i="63"/>
  <c r="AF505" i="63"/>
  <c r="R124" i="63"/>
  <c r="T123" i="63"/>
  <c r="AO488" i="63" l="1"/>
  <c r="N489" i="63"/>
  <c r="AV488" i="63"/>
  <c r="AU488" i="63"/>
  <c r="O489" i="63"/>
  <c r="AT488" i="63"/>
  <c r="AE507" i="63"/>
  <c r="AF506" i="63"/>
  <c r="AD509" i="63"/>
  <c r="AF63" i="63"/>
  <c r="AG63" i="63"/>
  <c r="AL63" i="63"/>
  <c r="T124" i="63"/>
  <c r="R125" i="63"/>
  <c r="AN489" i="63" l="1"/>
  <c r="AS489" i="63" s="1"/>
  <c r="AP489" i="63"/>
  <c r="Q489" i="63"/>
  <c r="V489" i="63" s="1"/>
  <c r="M489" i="63"/>
  <c r="L489" i="63" s="1"/>
  <c r="Y64" i="63"/>
  <c r="AA64" i="63"/>
  <c r="AP64" i="63" s="1"/>
  <c r="AJ63" i="63"/>
  <c r="AK63" i="63" s="1"/>
  <c r="AD510" i="63"/>
  <c r="AE508" i="63"/>
  <c r="AF507" i="63"/>
  <c r="R126" i="63"/>
  <c r="T125" i="63"/>
  <c r="P489" i="63" l="1"/>
  <c r="AM489" i="63"/>
  <c r="Z489" i="63"/>
  <c r="AE509" i="63"/>
  <c r="AF508" i="63"/>
  <c r="AD511" i="63"/>
  <c r="AI64" i="63"/>
  <c r="AC64" i="63"/>
  <c r="AH64" i="63" s="1"/>
  <c r="R127" i="63"/>
  <c r="T126" i="63"/>
  <c r="U489" i="63" l="1"/>
  <c r="W489" i="63"/>
  <c r="AB64" i="63"/>
  <c r="AD512" i="63"/>
  <c r="AE510" i="63"/>
  <c r="AF509" i="63"/>
  <c r="R128" i="63"/>
  <c r="T127" i="63"/>
  <c r="N490" i="63" l="1"/>
  <c r="AO489" i="63"/>
  <c r="AU489" i="63"/>
  <c r="AV489" i="63"/>
  <c r="O490" i="63"/>
  <c r="AT489" i="63"/>
  <c r="AE511" i="63"/>
  <c r="AF510" i="63"/>
  <c r="AD513" i="63"/>
  <c r="AG64" i="63"/>
  <c r="AF64" i="63"/>
  <c r="AL64" i="63"/>
  <c r="T128" i="63"/>
  <c r="R129" i="63"/>
  <c r="AN490" i="63" l="1"/>
  <c r="AS490" i="63" s="1"/>
  <c r="AP490" i="63"/>
  <c r="M490" i="63"/>
  <c r="L490" i="63" s="1"/>
  <c r="Q490" i="63"/>
  <c r="V490" i="63" s="1"/>
  <c r="AJ64" i="63"/>
  <c r="AK64" i="63" s="1"/>
  <c r="Y65" i="63"/>
  <c r="AA65" i="63"/>
  <c r="AP65" i="63" s="1"/>
  <c r="AD514" i="63"/>
  <c r="AE512" i="63"/>
  <c r="AF511" i="63"/>
  <c r="R130" i="63"/>
  <c r="T129" i="63"/>
  <c r="P490" i="63" l="1"/>
  <c r="AM490" i="63"/>
  <c r="Z490" i="63"/>
  <c r="AD515" i="63"/>
  <c r="AI65" i="63"/>
  <c r="AC65" i="63"/>
  <c r="AH65" i="63" s="1"/>
  <c r="AE513" i="63"/>
  <c r="AF512" i="63"/>
  <c r="R131" i="63"/>
  <c r="T130" i="63"/>
  <c r="U490" i="63" l="1"/>
  <c r="W490" i="63"/>
  <c r="AE514" i="63"/>
  <c r="AF513" i="63"/>
  <c r="AB65" i="63"/>
  <c r="AD516" i="63"/>
  <c r="R132" i="63"/>
  <c r="T131" i="63"/>
  <c r="AT490" i="63" l="1"/>
  <c r="AO490" i="63"/>
  <c r="AU490" i="63"/>
  <c r="AV490" i="63"/>
  <c r="AD517" i="63"/>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A76" i="63"/>
  <c r="AP76" i="63" s="1"/>
  <c r="AC76" i="63"/>
  <c r="AH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A80" i="63"/>
  <c r="AP80" i="63" s="1"/>
  <c r="AC80" i="63"/>
  <c r="AH80" i="63" s="1"/>
  <c r="AI80" i="63"/>
  <c r="T184" i="63"/>
  <c r="R185" i="63"/>
  <c r="AB80" i="63" l="1"/>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AK84" i="63" s="1"/>
  <c r="R200" i="63"/>
  <c r="T199" i="63"/>
  <c r="AG84" i="63" l="1"/>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AI108" i="63"/>
  <c r="T268" i="63"/>
  <c r="R269" i="63"/>
  <c r="AB108" i="63" l="1"/>
  <c r="AL108" i="63" s="1"/>
  <c r="AJ108" i="63" s="1"/>
  <c r="AK108" i="63" s="1"/>
  <c r="R270" i="63"/>
  <c r="T269" i="63"/>
  <c r="AG108" i="63" l="1"/>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AA112" i="63"/>
  <c r="AP112" i="63" s="1"/>
  <c r="R279" i="63"/>
  <c r="T278" i="63"/>
  <c r="AJ111" i="63" l="1"/>
  <c r="AK111" i="63" s="1"/>
  <c r="AI112" i="63"/>
  <c r="AC112" i="63"/>
  <c r="AH112" i="63" s="1"/>
  <c r="R280" i="63"/>
  <c r="T279" i="63"/>
  <c r="AB112" i="63" l="1"/>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A133" i="63"/>
  <c r="AP133" i="63" s="1"/>
  <c r="AC133" i="63"/>
  <c r="AH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c r="AB135" i="63" l="1"/>
  <c r="AL135" i="63" s="1"/>
  <c r="AJ135" i="63" s="1"/>
  <c r="AK135" i="63" s="1"/>
  <c r="AF135" i="63" l="1"/>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F137" i="63"/>
  <c r="AA138" i="63"/>
  <c r="AP138" i="63" s="1"/>
  <c r="AJ137" i="63"/>
  <c r="AK137" i="63" s="1"/>
  <c r="Y138" i="63"/>
  <c r="AC138" i="63" l="1"/>
  <c r="AH138"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c r="AB140" i="63" l="1"/>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A145" i="63"/>
  <c r="AP145" i="63" s="1"/>
  <c r="AC145" i="63"/>
  <c r="AH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c r="AB147" i="63" l="1"/>
  <c r="AF147" i="63" s="1"/>
  <c r="AL147" i="63" l="1"/>
  <c r="AJ147" i="63" s="1"/>
  <c r="AK147" i="63" s="1"/>
  <c r="AG147" i="63"/>
  <c r="AA148" i="63" l="1"/>
  <c r="AP148" i="63" s="1"/>
  <c r="Y148" i="63"/>
  <c r="AC148" i="63" s="1"/>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A150" i="63"/>
  <c r="AP150" i="63" s="1"/>
  <c r="AC150" i="63"/>
  <c r="AH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F153" i="63"/>
  <c r="AJ153" i="63"/>
  <c r="AK153" i="63" s="1"/>
  <c r="AA154" i="63"/>
  <c r="AP154" i="63" s="1"/>
  <c r="Y154" i="63"/>
  <c r="AC154" i="63" l="1"/>
  <c r="AH154" i="63" s="1"/>
  <c r="AI154" i="63"/>
  <c r="AB154" i="63" l="1"/>
  <c r="AG154" i="63" s="1"/>
  <c r="AL154" i="63" l="1"/>
  <c r="AJ154" i="63" s="1"/>
  <c r="AK154" i="63" s="1"/>
  <c r="AF154" i="63"/>
  <c r="Y155" i="63" l="1"/>
  <c r="AA155" i="63"/>
  <c r="AP155" i="63" s="1"/>
  <c r="AC155" i="63"/>
  <c r="AH155" i="63" s="1"/>
  <c r="AI155" i="63" l="1"/>
  <c r="AB155" i="63"/>
  <c r="AF155" i="63" s="1"/>
  <c r="AL155" i="63" l="1"/>
  <c r="AJ155" i="63" s="1"/>
  <c r="AK155" i="63" s="1"/>
  <c r="AG155" i="63"/>
  <c r="Y156" i="63" l="1"/>
  <c r="AA156" i="63"/>
  <c r="AP156" i="63" s="1"/>
  <c r="AC156" i="63"/>
  <c r="AH156" i="63" s="1"/>
  <c r="AI156" i="63" l="1"/>
  <c r="AB156" i="63"/>
  <c r="AL156" i="63" s="1"/>
  <c r="AJ156" i="63" s="1"/>
  <c r="AK156" i="63" l="1"/>
  <c r="AF156" i="63"/>
  <c r="AA157" i="63"/>
  <c r="AP157" i="63" s="1"/>
  <c r="AG156" i="63"/>
  <c r="Y157" i="63"/>
  <c r="AC157" i="63" s="1"/>
  <c r="AH157" i="63" s="1"/>
  <c r="AI157" i="63" l="1"/>
  <c r="AB157" i="63"/>
  <c r="AG157" i="63" s="1"/>
  <c r="AL157" i="63" l="1"/>
  <c r="AF157" i="63"/>
  <c r="AA158" i="63"/>
  <c r="AP158" i="63" s="1"/>
  <c r="AJ157" i="63"/>
  <c r="AK157" i="63" s="1"/>
  <c r="Y158" i="63"/>
  <c r="AC158" i="63" l="1"/>
  <c r="AH158"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AJ160" i="63"/>
  <c r="AK160" i="63" s="1"/>
  <c r="Y161" i="63"/>
  <c r="AC161" i="63" l="1"/>
  <c r="AH161"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c r="AA164" i="63" l="1"/>
  <c r="AP164" i="63" s="1"/>
  <c r="AC164" i="63"/>
  <c r="AH164" i="63" s="1"/>
  <c r="AI164" i="63" l="1"/>
  <c r="AB164" i="63"/>
  <c r="AL164" i="63" s="1"/>
  <c r="AA165" i="63" s="1"/>
  <c r="AP165" i="63" s="1"/>
  <c r="AF164" i="63"/>
  <c r="AG164" i="63"/>
  <c r="Y165" i="63" l="1"/>
  <c r="AJ164" i="63"/>
  <c r="AK164" i="63" s="1"/>
  <c r="AC165" i="63"/>
  <c r="AH165"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A169" i="63"/>
  <c r="AP169" i="63" s="1"/>
  <c r="AC169" i="63"/>
  <c r="AH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F181" i="63"/>
  <c r="AG181" i="63"/>
  <c r="Y182" i="63" l="1"/>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A196" i="63"/>
  <c r="AP196" i="63" s="1"/>
  <c r="AC196" i="63"/>
  <c r="AH196" i="63" s="1"/>
  <c r="AI196" i="63"/>
  <c r="AB196" i="63" l="1"/>
  <c r="AG196" i="63" s="1"/>
  <c r="AL196" i="63" l="1"/>
  <c r="AA197" i="63" s="1"/>
  <c r="AP197" i="63" s="1"/>
  <c r="AF196" i="63"/>
  <c r="Y197" i="63" l="1"/>
  <c r="AC197" i="63" s="1"/>
  <c r="AH197" i="63" s="1"/>
  <c r="AJ196" i="63"/>
  <c r="AK196" i="63" s="1"/>
  <c r="AI197" i="63"/>
  <c r="AB197" i="63" l="1"/>
  <c r="AG197" i="63" s="1"/>
  <c r="AL197" i="63" l="1"/>
  <c r="AJ197" i="63" s="1"/>
  <c r="AK197" i="63" s="1"/>
  <c r="AF197" i="63"/>
  <c r="Y198" i="63" l="1"/>
  <c r="AA198" i="63"/>
  <c r="AP198" i="63" s="1"/>
  <c r="AC198" i="63"/>
  <c r="AH198" i="63" s="1"/>
  <c r="AI198" i="63" l="1"/>
  <c r="AB198" i="63"/>
  <c r="AG198" i="63" s="1"/>
  <c r="AF198" i="63" l="1"/>
  <c r="AL198" i="63"/>
  <c r="AJ198" i="63" s="1"/>
  <c r="AK198" i="63" s="1"/>
  <c r="Y199" i="63"/>
  <c r="AA199" i="63" l="1"/>
  <c r="AP199" i="63" s="1"/>
  <c r="AC199" i="63"/>
  <c r="AH199" i="63" s="1"/>
  <c r="AI199" i="63" l="1"/>
  <c r="AB199" i="63"/>
  <c r="AG199" i="63" s="1"/>
  <c r="AL199" i="63" l="1"/>
  <c r="AJ199" i="63" s="1"/>
  <c r="AK199" i="63" s="1"/>
  <c r="AF199" i="63"/>
  <c r="AA200" i="63"/>
  <c r="AP200" i="63" s="1"/>
  <c r="Y200" i="63"/>
  <c r="AC200" i="63" l="1"/>
  <c r="AH200" i="63" s="1"/>
  <c r="AI200" i="63"/>
  <c r="AB200" i="63" l="1"/>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s="1"/>
  <c r="AG204" i="63" l="1"/>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A208" i="63"/>
  <c r="AP208" i="63" s="1"/>
  <c r="AC208" i="63"/>
  <c r="AH208" i="63" s="1"/>
  <c r="AI208" i="63" l="1"/>
  <c r="AB208" i="63"/>
  <c r="AF208" i="63" s="1"/>
  <c r="AG208" i="63" l="1"/>
  <c r="AL208" i="63"/>
  <c r="AJ208" i="63" s="1"/>
  <c r="AK208" i="63" s="1"/>
  <c r="AA209" i="63"/>
  <c r="AP209" i="63" s="1"/>
  <c r="Y209" i="63"/>
  <c r="AC209" i="63" l="1"/>
  <c r="AH209" i="63" s="1"/>
  <c r="AI209" i="63"/>
  <c r="AB209" i="63" l="1"/>
  <c r="AL209" i="63" s="1"/>
  <c r="AJ209" i="63" s="1"/>
  <c r="AK209" i="63" s="1"/>
  <c r="AF209" i="63" l="1"/>
  <c r="AG209" i="63"/>
  <c r="AA210" i="63"/>
  <c r="AP210" i="63" s="1"/>
  <c r="Y210" i="63"/>
  <c r="AC210" i="63" s="1"/>
  <c r="AH210" i="63" s="1"/>
  <c r="AI210" i="63" l="1"/>
  <c r="AB210" i="63"/>
  <c r="AG210" i="63" s="1"/>
  <c r="AL210" i="63" l="1"/>
  <c r="AJ210" i="63" s="1"/>
  <c r="AK210" i="63" s="1"/>
  <c r="AF210" i="63"/>
  <c r="Y211" i="63" l="1"/>
  <c r="AA211" i="63"/>
  <c r="AP211" i="63" s="1"/>
  <c r="AC211" i="63"/>
  <c r="AH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c r="AP213" i="63" s="1"/>
  <c r="Y213" i="63"/>
  <c r="AC213" i="63" l="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G216" i="63"/>
  <c r="AA217" i="63"/>
  <c r="AP217" i="63" s="1"/>
  <c r="AJ216" i="63"/>
  <c r="AK216" i="63" s="1"/>
  <c r="Y217" i="63"/>
  <c r="AC217" i="63" l="1"/>
  <c r="AH217" i="63" s="1"/>
  <c r="AI217" i="63"/>
  <c r="AB217" i="63" l="1"/>
  <c r="AL217" i="63" s="1"/>
  <c r="AA218" i="63" s="1"/>
  <c r="AP218" i="63" s="1"/>
  <c r="AF217" i="63" l="1"/>
  <c r="AG217" i="63"/>
  <c r="Y218" i="63"/>
  <c r="AJ217" i="63"/>
  <c r="AK217" i="63" s="1"/>
  <c r="AC218" i="63"/>
  <c r="AH218"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A220" i="63"/>
  <c r="AP220" i="63" s="1"/>
  <c r="AC220" i="63"/>
  <c r="AH220" i="63" s="1"/>
  <c r="AI220" i="63"/>
  <c r="AB220" i="63" l="1"/>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c r="AA223" i="63" l="1"/>
  <c r="AP223" i="63" s="1"/>
  <c r="AC223" i="63"/>
  <c r="AH223" i="63" s="1"/>
  <c r="AI223" i="63"/>
  <c r="AB223" i="63" l="1"/>
  <c r="AF223" i="63" s="1"/>
  <c r="AL223" i="63" l="1"/>
  <c r="AJ223" i="63" s="1"/>
  <c r="AK223" i="63" s="1"/>
  <c r="AG223" i="63"/>
  <c r="Y224" i="63" l="1"/>
  <c r="AC224" i="63" s="1"/>
  <c r="AH224" i="63" s="1"/>
  <c r="AA224" i="63"/>
  <c r="AP224" i="63" s="1"/>
  <c r="AI224" i="63" l="1"/>
  <c r="AB224" i="63"/>
  <c r="AL224" i="63" s="1"/>
  <c r="AJ224" i="63" s="1"/>
  <c r="AF224" i="63"/>
  <c r="AG224" i="63"/>
  <c r="Y225" i="63" l="1"/>
  <c r="AC225" i="63" s="1"/>
  <c r="AH225" i="63" s="1"/>
  <c r="AA225" i="63"/>
  <c r="AP225" i="63" s="1"/>
  <c r="AK224" i="63"/>
  <c r="AI225" i="63" l="1"/>
  <c r="AB225" i="63"/>
  <c r="AL225" i="63" s="1"/>
  <c r="AA226" i="63" s="1"/>
  <c r="AP226" i="63" s="1"/>
  <c r="AG225" i="63" l="1"/>
  <c r="AF225" i="63"/>
  <c r="Y226" i="63"/>
  <c r="AJ225" i="63"/>
  <c r="AK225" i="63" s="1"/>
  <c r="AC226" i="63"/>
  <c r="AH226"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A233" i="63"/>
  <c r="AP233" i="63" s="1"/>
  <c r="AC233" i="63"/>
  <c r="AH233" i="63" s="1"/>
  <c r="AI233" i="63" l="1"/>
  <c r="AB233" i="63"/>
  <c r="AL233" i="63" s="1"/>
  <c r="AJ233" i="63" s="1"/>
  <c r="AF233" i="63"/>
  <c r="AK233" i="63" l="1"/>
  <c r="AG233" i="63"/>
  <c r="Y234" i="63"/>
  <c r="AA234" i="63"/>
  <c r="AP234" i="63" s="1"/>
  <c r="AC234" i="63"/>
  <c r="AH234" i="63" s="1"/>
  <c r="AI234" i="63" l="1"/>
  <c r="AB234" i="63"/>
  <c r="AG234" i="63" s="1"/>
  <c r="AF234" i="63"/>
  <c r="AL234" i="63" l="1"/>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A239" i="63"/>
  <c r="AP239" i="63" s="1"/>
  <c r="AC239" i="63"/>
  <c r="AH239" i="63" s="1"/>
  <c r="AI239" i="63"/>
  <c r="AB239" i="63" l="1"/>
  <c r="AG239" i="63" s="1"/>
  <c r="AL239" i="63" l="1"/>
  <c r="AJ239" i="63" s="1"/>
  <c r="AK239" i="63" s="1"/>
  <c r="AF239" i="63"/>
  <c r="AA240" i="63" l="1"/>
  <c r="AP240" i="63" s="1"/>
  <c r="Y240" i="63"/>
  <c r="AC240" i="63" s="1"/>
  <c r="AH240" i="63" s="1"/>
  <c r="AI240" i="63" l="1"/>
  <c r="AB240" i="63"/>
  <c r="AF240" i="63" s="1"/>
  <c r="AL240" i="63" l="1"/>
  <c r="AJ240" i="63" s="1"/>
  <c r="AK240" i="63" s="1"/>
  <c r="AG240" i="63"/>
  <c r="Y241" i="63" l="1"/>
  <c r="AA241" i="63"/>
  <c r="AP241" i="63" s="1"/>
  <c r="AC241" i="63"/>
  <c r="AH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F253" i="63"/>
  <c r="AG253" i="63"/>
  <c r="AK253" i="63" l="1"/>
  <c r="Y254" i="63"/>
  <c r="AA254" i="63"/>
  <c r="AP254" i="63" s="1"/>
  <c r="AC254" i="63"/>
  <c r="AH254" i="63" s="1"/>
  <c r="AI254" i="63" l="1"/>
  <c r="AB254" i="63"/>
  <c r="AG254" i="63" s="1"/>
  <c r="AL254" i="63" l="1"/>
  <c r="AJ254" i="63" s="1"/>
  <c r="AK254" i="63" s="1"/>
  <c r="AF254" i="63"/>
  <c r="AA255" i="63" l="1"/>
  <c r="AP255" i="63" s="1"/>
  <c r="Y255" i="63"/>
  <c r="AC255" i="63" s="1"/>
  <c r="AH255" i="63" s="1"/>
  <c r="AI255" i="63"/>
  <c r="AB255" i="63" l="1"/>
  <c r="AF255" i="63" s="1"/>
  <c r="AG255" i="63" l="1"/>
  <c r="AL255" i="63"/>
  <c r="AA256" i="63" s="1"/>
  <c r="AP256" i="63" s="1"/>
  <c r="Y256" i="63" l="1"/>
  <c r="AJ255" i="63"/>
  <c r="AK255" i="63" s="1"/>
  <c r="AC256" i="63"/>
  <c r="AH256"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F259" i="63"/>
  <c r="AL259" i="63"/>
  <c r="AA260" i="63" l="1"/>
  <c r="AP260" i="63" s="1"/>
  <c r="AJ259" i="63"/>
  <c r="AK259" i="63" s="1"/>
  <c r="Y260" i="63"/>
  <c r="AC260" i="63" l="1"/>
  <c r="AH260"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J263" i="63"/>
  <c r="AK263" i="63" s="1"/>
  <c r="AC264" i="63"/>
  <c r="AH264"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AA269" i="63"/>
  <c r="AP269" i="63" s="1"/>
  <c r="Y269" i="63"/>
  <c r="AC269" i="63" l="1"/>
  <c r="AH269" i="63" s="1"/>
  <c r="AI269" i="63"/>
  <c r="AB269" i="63" l="1"/>
  <c r="AL269" i="63" s="1"/>
  <c r="AJ269" i="63" s="1"/>
  <c r="AK269" i="63" s="1"/>
  <c r="AF269" i="63"/>
  <c r="AG269" i="63" l="1"/>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s="1"/>
  <c r="AG275" i="63" l="1"/>
  <c r="AF275" i="63"/>
  <c r="Y276" i="63"/>
  <c r="AA276" i="63"/>
  <c r="AP276" i="63" s="1"/>
  <c r="AC276" i="63"/>
  <c r="AH276" i="63" s="1"/>
  <c r="AI276" i="63" l="1"/>
  <c r="AB276" i="63"/>
  <c r="AL276" i="63" s="1"/>
  <c r="AJ276" i="63" s="1"/>
  <c r="AK276" i="63" s="1"/>
  <c r="AF276" i="63" l="1"/>
  <c r="AG276" i="63"/>
  <c r="Y277" i="63"/>
  <c r="AC277" i="63" s="1"/>
  <c r="AH277" i="63" s="1"/>
  <c r="AA277" i="63"/>
  <c r="AP277" i="63" s="1"/>
  <c r="AI277" i="63" l="1"/>
  <c r="AB277" i="63"/>
  <c r="AL277" i="63" s="1"/>
  <c r="AA278" i="63" s="1"/>
  <c r="AP278" i="63" s="1"/>
  <c r="AF277" i="63"/>
  <c r="AG277" i="63"/>
  <c r="AJ277" i="63" l="1"/>
  <c r="AK277" i="63" s="1"/>
  <c r="Y278" i="63"/>
  <c r="AC278" i="63" s="1"/>
  <c r="AH278" i="63" s="1"/>
  <c r="AI278" i="63"/>
  <c r="AB278" i="63" l="1"/>
  <c r="AF278" i="63" s="1"/>
  <c r="AL278" i="63" l="1"/>
  <c r="AA279" i="63" s="1"/>
  <c r="AP279" i="63" s="1"/>
  <c r="AG278" i="63"/>
  <c r="Y279" i="63" l="1"/>
  <c r="AJ278" i="63"/>
  <c r="AK278" i="63" s="1"/>
  <c r="AC279" i="63"/>
  <c r="AH279"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c r="AG285" i="63" l="1"/>
  <c r="AK285" i="63"/>
  <c r="Y286" i="63"/>
  <c r="AA286" i="63"/>
  <c r="AP286" i="63" s="1"/>
  <c r="AC286" i="63"/>
  <c r="AH286" i="63" s="1"/>
  <c r="AI286" i="63" l="1"/>
  <c r="AB286" i="63"/>
  <c r="AF286" i="63" s="1"/>
  <c r="AL286" i="63" l="1"/>
  <c r="AJ286" i="63" s="1"/>
  <c r="AK286" i="63" s="1"/>
  <c r="AG286" i="63"/>
  <c r="Y287" i="63" l="1"/>
  <c r="AA287" i="63"/>
  <c r="AP287" i="63" s="1"/>
  <c r="AC287" i="63"/>
  <c r="AH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c r="AJ289" i="63" l="1"/>
  <c r="AK289" i="63" s="1"/>
  <c r="AC290" i="63"/>
  <c r="AH290"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J291" i="63"/>
  <c r="AK291" i="63" s="1"/>
  <c r="AC292" i="63"/>
  <c r="AH292"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F299" i="63"/>
  <c r="AJ299" i="63"/>
  <c r="AK299" i="63" s="1"/>
  <c r="AA300" i="63"/>
  <c r="AP300" i="63" s="1"/>
  <c r="Y300" i="63"/>
  <c r="AC300" i="63" l="1"/>
  <c r="AH300" i="63" s="1"/>
  <c r="AI300" i="63"/>
  <c r="AB300" i="63" l="1"/>
  <c r="AF300" i="63" s="1"/>
  <c r="AL300" i="63" l="1"/>
  <c r="AJ300" i="63" s="1"/>
  <c r="AK300" i="63" s="1"/>
  <c r="AG300" i="63"/>
  <c r="Y301" i="63" l="1"/>
  <c r="AC301" i="63" s="1"/>
  <c r="AH301" i="63" s="1"/>
  <c r="AA301" i="63"/>
  <c r="AP301" i="63" s="1"/>
  <c r="AI301" i="63" l="1"/>
  <c r="AB301" i="63"/>
  <c r="AL301" i="63" s="1"/>
  <c r="AJ301" i="63" s="1"/>
  <c r="AK301" i="63" s="1"/>
  <c r="AF301" i="63" l="1"/>
  <c r="AG301" i="63"/>
  <c r="Y302" i="63"/>
  <c r="AA302" i="63"/>
  <c r="AP302" i="63" s="1"/>
  <c r="AC302" i="63"/>
  <c r="AH302" i="63" s="1"/>
  <c r="AI302" i="63" l="1"/>
  <c r="AB302" i="63"/>
  <c r="AF302" i="63"/>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AJ304" i="63" s="1"/>
  <c r="AK304" i="63" s="1"/>
  <c r="AF304" i="63"/>
  <c r="Y305" i="63"/>
  <c r="AA305" i="63" l="1"/>
  <c r="AP305" i="63" s="1"/>
  <c r="AC305" i="63"/>
  <c r="AH305" i="63" s="1"/>
  <c r="AI305" i="63" l="1"/>
  <c r="AB305" i="63"/>
  <c r="AL305" i="63" s="1"/>
  <c r="AJ305" i="63" s="1"/>
  <c r="AK305" i="63" s="1"/>
  <c r="AF305" i="63" l="1"/>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A311" i="63"/>
  <c r="AP311" i="63" s="1"/>
  <c r="AC311" i="63"/>
  <c r="AH311" i="63" s="1"/>
  <c r="AI311" i="63" l="1"/>
  <c r="AB311" i="63"/>
  <c r="AG311" i="63" s="1"/>
  <c r="AF311" i="63"/>
  <c r="AL311" i="63"/>
  <c r="AJ311" i="63" l="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s="1"/>
  <c r="AA321" i="63" l="1"/>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F322" i="63"/>
  <c r="AG322" i="63"/>
  <c r="AA323" i="63"/>
  <c r="AP323" i="63" s="1"/>
  <c r="AC323" i="63"/>
  <c r="AH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J327" i="63"/>
  <c r="AK327" i="63" s="1"/>
  <c r="AC328" i="63"/>
  <c r="AH328" i="63" s="1"/>
  <c r="AI328" i="63"/>
  <c r="AB328" i="63" l="1"/>
  <c r="AF328" i="63" s="1"/>
  <c r="AL328" i="63" l="1"/>
  <c r="AA329" i="63" s="1"/>
  <c r="AP329" i="63" s="1"/>
  <c r="AG328" i="63"/>
  <c r="Y329" i="63"/>
  <c r="AJ328" i="63" l="1"/>
  <c r="AK328" i="63" s="1"/>
  <c r="AC329" i="63"/>
  <c r="AH329"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c r="AA331" i="63" l="1"/>
  <c r="AP331" i="63" s="1"/>
  <c r="AC331" i="63"/>
  <c r="AH331" i="63" s="1"/>
  <c r="AI331" i="63"/>
  <c r="AB331" i="63" l="1"/>
  <c r="AF331" i="63" s="1"/>
  <c r="AL331" i="63" l="1"/>
  <c r="AA332" i="63" s="1"/>
  <c r="AP332" i="63" s="1"/>
  <c r="AG331" i="63"/>
  <c r="Y332" i="63" l="1"/>
  <c r="AJ331" i="63"/>
  <c r="AK331" i="63" s="1"/>
  <c r="AC332" i="63"/>
  <c r="AH332"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c r="AF346" i="63" l="1"/>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A359" i="63"/>
  <c r="AP359" i="63" s="1"/>
  <c r="AC359" i="63"/>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AA361" i="63"/>
  <c r="AP361" i="63" s="1"/>
  <c r="Y361" i="63"/>
  <c r="AC361" i="63" l="1"/>
  <c r="AH361" i="63" s="1"/>
  <c r="AI361" i="63"/>
  <c r="AB361" i="63" l="1"/>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c r="AG367" i="63" l="1"/>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F375" i="63"/>
  <c r="AA376" i="63"/>
  <c r="AP376" i="63" s="1"/>
  <c r="AJ375" i="63"/>
  <c r="AK375" i="63" s="1"/>
  <c r="Y376" i="63"/>
  <c r="AC376" i="63" l="1"/>
  <c r="AH376"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c r="AG378" i="63" l="1"/>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F380" i="63"/>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J393" i="63"/>
  <c r="AK393" i="63" s="1"/>
  <c r="AC394" i="63"/>
  <c r="AH394"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F397" i="63"/>
  <c r="AA398" i="63"/>
  <c r="AP398" i="63" s="1"/>
  <c r="AG397" i="63"/>
  <c r="AC398" i="63"/>
  <c r="AH398" i="63" s="1"/>
  <c r="AI398" i="63" l="1"/>
  <c r="AB398" i="63"/>
  <c r="AL398" i="63" s="1"/>
  <c r="AJ398" i="63" s="1"/>
  <c r="AK398" i="63" l="1"/>
  <c r="AG398" i="63"/>
  <c r="AF398" i="63"/>
  <c r="Y399" i="63"/>
  <c r="AA399" i="63"/>
  <c r="AP399" i="63" s="1"/>
  <c r="AC399" i="63"/>
  <c r="AH399" i="63" s="1"/>
  <c r="AI399" i="63" l="1"/>
  <c r="AB399" i="63"/>
  <c r="AG399" i="63" s="1"/>
  <c r="AL399" i="63" l="1"/>
  <c r="AF399" i="63"/>
  <c r="AA400" i="63"/>
  <c r="AP400" i="63" s="1"/>
  <c r="AJ399" i="63"/>
  <c r="AK399" i="63" s="1"/>
  <c r="Y400" i="63"/>
  <c r="AC400" i="63" l="1"/>
  <c r="AH400" i="63" s="1"/>
  <c r="AI400" i="63"/>
  <c r="AB400" i="63" l="1"/>
  <c r="AF400" i="63" s="1"/>
  <c r="AL400" i="63" l="1"/>
  <c r="AJ400" i="63" s="1"/>
  <c r="AK400" i="63" s="1"/>
  <c r="AG400" i="63"/>
  <c r="Y401" i="63"/>
  <c r="AA401" i="63" l="1"/>
  <c r="AP401" i="63" s="1"/>
  <c r="AC401" i="63"/>
  <c r="AH401" i="63" s="1"/>
  <c r="AI401" i="63"/>
  <c r="AB401" i="63" l="1"/>
  <c r="AG401" i="63" s="1"/>
  <c r="AF401" i="63" l="1"/>
  <c r="AL401" i="63"/>
  <c r="AA402" i="63"/>
  <c r="AP402" i="63" s="1"/>
  <c r="AJ401" i="63"/>
  <c r="AK401" i="63" s="1"/>
  <c r="Y402" i="63"/>
  <c r="AC402" i="63" l="1"/>
  <c r="AH402"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G403" i="63"/>
  <c r="AF403"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J419" i="63"/>
  <c r="AK419" i="63" s="1"/>
  <c r="AC420" i="63"/>
  <c r="AH420"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J427" i="63"/>
  <c r="AK427" i="63" s="1"/>
  <c r="AC428" i="63"/>
  <c r="AH428"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A430" i="63"/>
  <c r="AI430" i="63" s="1"/>
  <c r="AC430" i="63"/>
  <c r="AH430" i="63" s="1"/>
  <c r="AB430" i="63" l="1"/>
  <c r="AF430" i="63" s="1"/>
  <c r="AL430" i="63" l="1"/>
  <c r="AJ430" i="63" s="1"/>
  <c r="AK430" i="63" s="1"/>
  <c r="AG430" i="63"/>
  <c r="Y431" i="63" l="1"/>
  <c r="AA431" i="63"/>
  <c r="AI431" i="63" s="1"/>
  <c r="AC431" i="63"/>
  <c r="AH431" i="63" s="1"/>
  <c r="AB431" i="63" l="1"/>
  <c r="AL431" i="63" s="1"/>
  <c r="AJ431" i="63" s="1"/>
  <c r="AK431" i="63" s="1"/>
  <c r="AG431" i="63" l="1"/>
  <c r="AF431" i="63"/>
  <c r="Y432" i="63"/>
  <c r="AC432" i="63" s="1"/>
  <c r="AH432" i="63" s="1"/>
  <c r="AA432" i="63"/>
  <c r="AI432" i="63" s="1"/>
  <c r="AB432" i="63" l="1"/>
  <c r="AL432" i="63" s="1"/>
  <c r="AA433" i="63" s="1"/>
  <c r="Y433" i="63" l="1"/>
  <c r="AF432" i="63"/>
  <c r="AJ432" i="63"/>
  <c r="AK432" i="63" s="1"/>
  <c r="AG432" i="63"/>
  <c r="AC433" i="63"/>
  <c r="AH433"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G444" i="63"/>
  <c r="AA445" i="63"/>
  <c r="AJ444" i="63"/>
  <c r="AK444" i="63" s="1"/>
  <c r="Y445" i="63"/>
  <c r="AC445" i="63" l="1"/>
  <c r="AH445" i="63" s="1"/>
  <c r="AI445" i="63"/>
  <c r="AB445" i="63" l="1"/>
  <c r="AG445" i="63" s="1"/>
  <c r="AF445" i="63" l="1"/>
  <c r="AL445" i="63"/>
  <c r="AJ445" i="63" s="1"/>
  <c r="AK445" i="63" s="1"/>
  <c r="Y446" i="63"/>
  <c r="AA446" i="63" l="1"/>
  <c r="AI446" i="63" s="1"/>
  <c r="AC446" i="63"/>
  <c r="AH446" i="63" s="1"/>
  <c r="AB446" i="63" l="1"/>
  <c r="AL446" i="63" s="1"/>
  <c r="AJ446" i="63" s="1"/>
  <c r="AK446" i="63" s="1"/>
  <c r="AA447" i="63" l="1"/>
  <c r="AI447" i="63" s="1"/>
  <c r="Y447" i="63"/>
  <c r="AC447" i="63" s="1"/>
  <c r="AH447" i="63" s="1"/>
  <c r="AG446" i="63"/>
  <c r="AF446" i="63"/>
  <c r="AB447" i="63" l="1"/>
  <c r="AL447" i="63" s="1"/>
  <c r="AA448" i="63" s="1"/>
  <c r="AG447" i="63" l="1"/>
  <c r="AF447" i="63"/>
  <c r="Y448" i="63"/>
  <c r="AJ447" i="63"/>
  <c r="AK447" i="63" s="1"/>
  <c r="AC448" i="63"/>
  <c r="AH448"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J457" i="63"/>
  <c r="AK457" i="63" s="1"/>
  <c r="AC458" i="63"/>
  <c r="AH458"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AJ460" i="63"/>
  <c r="AK460" i="63" s="1"/>
  <c r="Y461" i="63"/>
  <c r="AC461" i="63" l="1"/>
  <c r="AH461"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c r="AL468" i="63" l="1"/>
  <c r="AJ468" i="63" s="1"/>
  <c r="AK468" i="63" s="1"/>
  <c r="Y469" i="63"/>
  <c r="AA469" i="63" l="1"/>
  <c r="AI469" i="63" s="1"/>
  <c r="AC469" i="63"/>
  <c r="AH469" i="63" s="1"/>
  <c r="AB469" i="63" l="1"/>
  <c r="AG469" i="63" s="1"/>
  <c r="AL469" i="63" l="1"/>
  <c r="AJ469" i="63" s="1"/>
  <c r="AK469" i="63" s="1"/>
  <c r="AF469" i="63"/>
  <c r="Y470" i="63" l="1"/>
  <c r="AA470" i="63"/>
  <c r="AI470" i="63" s="1"/>
  <c r="AC470" i="63"/>
  <c r="AH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c r="Y472" i="63" l="1"/>
  <c r="AC472" i="63" s="1"/>
  <c r="AH472" i="63" s="1"/>
  <c r="AI472" i="63"/>
  <c r="AB472" i="63" l="1"/>
  <c r="AG472" i="63" s="1"/>
  <c r="AF472" i="63" l="1"/>
  <c r="AL472" i="63"/>
  <c r="AJ472" i="63" s="1"/>
  <c r="AK472" i="63" s="1"/>
  <c r="AA473" i="63"/>
  <c r="Y473" i="63"/>
  <c r="AC473" i="63" l="1"/>
  <c r="AH473" i="63" s="1"/>
  <c r="AI473" i="63"/>
  <c r="AB473" i="63" l="1"/>
  <c r="AG473" i="63" s="1"/>
  <c r="AF473" i="63" l="1"/>
  <c r="AL473" i="63"/>
  <c r="AJ473" i="63" s="1"/>
  <c r="AK473" i="63" s="1"/>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A478" i="63"/>
  <c r="AC478" i="63"/>
  <c r="AH478" i="63" s="1"/>
  <c r="AI478" i="63"/>
  <c r="AB478" i="63" l="1"/>
  <c r="AF478" i="63" s="1"/>
  <c r="AG478" i="63" l="1"/>
  <c r="AL478" i="63"/>
  <c r="AA479" i="63"/>
  <c r="AJ478" i="63"/>
  <c r="AK478" i="63" s="1"/>
  <c r="Y479" i="63"/>
  <c r="AC479" i="63" l="1"/>
  <c r="AH479" i="63" s="1"/>
  <c r="AI479" i="63"/>
  <c r="AB479" i="63" l="1"/>
  <c r="AG479" i="63" s="1"/>
  <c r="AL479" i="63" l="1"/>
  <c r="AF479" i="63"/>
  <c r="AJ479" i="63"/>
  <c r="AK479" i="63" s="1"/>
  <c r="AA480" i="63"/>
  <c r="Y480" i="63"/>
  <c r="AC480" i="63" l="1"/>
  <c r="AH480" i="63" s="1"/>
  <c r="AI480" i="63"/>
  <c r="AB480" i="63" l="1"/>
  <c r="AG480" i="63" s="1"/>
  <c r="AL480" i="63" l="1"/>
  <c r="AA481" i="63" s="1"/>
  <c r="AF480" i="63"/>
  <c r="Y481" i="63" l="1"/>
  <c r="AC481" i="63" s="1"/>
  <c r="AH481" i="63" s="1"/>
  <c r="AJ480" i="63"/>
  <c r="AK480" i="63" s="1"/>
  <c r="AI481" i="63"/>
  <c r="AB481" i="63" l="1"/>
  <c r="AF481" i="63" s="1"/>
  <c r="AL481" i="63" l="1"/>
  <c r="AG481" i="63"/>
  <c r="AJ481" i="63"/>
  <c r="AK481" i="63" s="1"/>
  <c r="Y482" i="63"/>
  <c r="AA482" i="63"/>
  <c r="AI482" i="63" l="1"/>
  <c r="AC482" i="63"/>
  <c r="AH482" i="63" s="1"/>
  <c r="AB482" i="63" l="1"/>
  <c r="AF482" i="63" l="1"/>
  <c r="AG482" i="63"/>
  <c r="AL482" i="63"/>
  <c r="AA483" i="63" l="1"/>
  <c r="AJ482" i="63"/>
  <c r="AK482" i="63" s="1"/>
  <c r="Y483" i="63"/>
  <c r="AC483" i="63" l="1"/>
  <c r="AH483" i="63" s="1"/>
  <c r="AI483" i="63"/>
  <c r="AB483" i="63" l="1"/>
  <c r="AF483" i="63" s="1"/>
  <c r="AL483" i="63" l="1"/>
  <c r="AA484" i="63" s="1"/>
  <c r="AG483" i="63"/>
  <c r="Y484" i="63" l="1"/>
  <c r="AJ483" i="63"/>
  <c r="AK483" i="63" s="1"/>
  <c r="AC484" i="63"/>
  <c r="AH484"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A488" i="63"/>
  <c r="AI488" i="63" s="1"/>
  <c r="AC488" i="63"/>
  <c r="AH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E14" i="66" l="1"/>
  <c r="B14" i="66" l="1"/>
  <c r="B11" i="6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<sst xmlns="http://schemas.openxmlformats.org/spreadsheetml/2006/main" count="3008" uniqueCount="1160">
  <si>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</si>
  <si>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</si>
  <si>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</si>
  <si>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</si>
  <si>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</si>
  <si>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</si>
  <si>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</si>
  <si>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</si>
  <si>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</si>
  <si>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</si>
  <si>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</si>
  <si>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</si>
  <si>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</si>
  <si>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</si>
  <si>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</si>
  <si>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</si>
  <si>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</si>
  <si>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</si>
  <si>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</si>
  <si>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</si>
  <si>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</si>
  <si>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</si>
  <si>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</si>
  <si>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</si>
  <si>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</si>
  <si>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</si>
  <si>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</si>
  <si>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</si>
  <si>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</si>
  <si>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</si>
  <si>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</si>
  <si>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</si>
  <si>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</si>
  <si>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</si>
  <si>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</si>
  <si>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</si>
  <si>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</si>
  <si>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</si>
  <si>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</si>
  <si>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</si>
  <si>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</si>
  <si>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</si>
  <si>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</si>
  <si>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</si>
  <si>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</si>
  <si>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</si>
  <si>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</si>
  <si>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</si>
  <si>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</si>
  <si>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</si>
  <si>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</si>
  <si>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</si>
  <si>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</si>
  <si>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</si>
  <si>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</si>
  <si>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</si>
  <si>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</si>
  <si>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</si>
  <si>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</si>
  <si>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</si>
  <si>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</si>
  <si>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</si>
  <si>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</si>
  <si>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</si>
  <si>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</si>
  <si>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</si>
  <si>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</si>
  <si>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</si>
  <si>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</si>
  <si>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</si>
  <si>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</si>
  <si>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</si>
  <si>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</si>
  <si>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</si>
  <si>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</si>
  <si>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</si>
  <si>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</si>
  <si>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</si>
  <si>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</si>
  <si>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</si>
  <si>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</si>
  <si>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</si>
  <si>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</si>
  <si>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</si>
  <si>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</si>
  <si>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</si>
  <si>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</si>
  <si>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</si>
  <si>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</si>
  <si>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</si>
  <si>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</si>
  <si>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</si>
  <si>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</si>
  <si>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</si>
  <si>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</si>
  <si>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</si>
  <si>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</si>
  <si>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</si>
  <si>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</si>
  <si>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</si>
  <si>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</si>
  <si>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</si>
  <si>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</si>
  <si>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</si>
  <si>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</si>
  <si>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</si>
  <si>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</si>
  <si>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</si>
  <si>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</si>
  <si>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</si>
  <si>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</si>
  <si>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</si>
  <si>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</si>
  <si>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</si>
  <si>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</si>
  <si>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</si>
  <si>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</si>
  <si>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</si>
  <si>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</si>
  <si>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</si>
  <si>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</si>
  <si>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</si>
  <si>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</si>
  <si>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</si>
  <si>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</si>
  <si>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</si>
  <si>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</si>
  <si>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</si>
  <si>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</si>
  <si>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</si>
  <si>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</si>
  <si>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</si>
  <si>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</si>
  <si>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</si>
  <si>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</si>
  <si>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</si>
  <si>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</si>
  <si>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</si>
  <si>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</si>
  <si>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</si>
  <si>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</si>
  <si>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</si>
  <si>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</si>
  <si>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</si>
  <si>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</si>
  <si>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</si>
  <si>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</si>
  <si>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</si>
  <si>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</si>
  <si>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</si>
  <si>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</si>
  <si>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</si>
  <si>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</si>
  <si>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</si>
  <si>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</si>
  <si>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</si>
  <si>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</si>
  <si>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</si>
  <si>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</si>
  <si>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</si>
  <si>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</si>
  <si>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</si>
  <si>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</si>
  <si>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</si>
  <si>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</si>
  <si>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</si>
  <si>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</si>
  <si>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</si>
  <si>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</si>
  <si>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</si>
  <si>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</si>
  <si>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</si>
  <si>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</si>
  <si>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</si>
  <si>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</si>
  <si>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</si>
  <si>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</si>
  <si>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</si>
  <si>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</si>
  <si>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</si>
  <si>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</si>
  <si>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</si>
  <si>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</si>
  <si>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</si>
  <si>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</si>
  <si>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</si>
  <si>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</si>
  <si>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</si>
  <si>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</si>
  <si>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</si>
  <si>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</si>
  <si>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</si>
  <si>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</si>
  <si>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</si>
  <si>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</si>
  <si>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</si>
  <si>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</si>
  <si>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</si>
  <si>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</si>
  <si>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</si>
  <si>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</si>
  <si>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</si>
  <si>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</si>
  <si>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</si>
  <si>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</si>
  <si>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</si>
  <si>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</si>
  <si>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</si>
  <si>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</si>
  <si>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</si>
  <si>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</si>
  <si>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</si>
  <si>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</si>
  <si>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</si>
  <si>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</si>
  <si>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</si>
  <si>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</si>
  <si>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</si>
  <si>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</si>
  <si>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</si>
  <si>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</si>
  <si>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</si>
  <si>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</si>
  <si>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</si>
  <si>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</si>
  <si>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</si>
  <si>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</si>
  <si>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</si>
  <si>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</si>
  <si>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</si>
  <si>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</si>
  <si>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</si>
  <si>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</si>
  <si>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</si>
  <si>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</si>
  <si>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</si>
  <si>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</si>
  <si>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</si>
  <si>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</si>
  <si>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</si>
  <si>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</si>
  <si>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</si>
  <si>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</si>
  <si>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</si>
  <si>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</si>
  <si>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</si>
  <si>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</si>
  <si>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</si>
  <si>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</si>
  <si>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</si>
  <si>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</si>
  <si>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</si>
  <si>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</si>
  <si>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</si>
  <si>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</si>
  <si>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</si>
  <si>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</si>
  <si>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</si>
  <si>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</si>
  <si>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</si>
  <si>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</si>
  <si>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</si>
  <si>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</si>
  <si>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</si>
  <si>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</si>
  <si>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</si>
  <si>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</si>
  <si>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</si>
  <si>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</si>
  <si>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</si>
  <si>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</si>
  <si>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</si>
  <si>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</si>
  <si>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</si>
  <si>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</si>
  <si>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</si>
  <si>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</si>
  <si>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</si>
  <si>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</si>
  <si>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</si>
  <si>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</si>
  <si>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</si>
  <si>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</si>
  <si>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</si>
  <si>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</si>
  <si>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</si>
  <si>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</si>
  <si>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</si>
  <si>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</si>
  <si>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</si>
  <si>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</si>
  <si>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</si>
  <si>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</si>
  <si>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</si>
  <si>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</si>
  <si>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</si>
  <si>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</si>
  <si>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</si>
  <si>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</si>
  <si>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</si>
  <si>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</si>
  <si>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</si>
  <si>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</si>
  <si>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</si>
  <si>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</si>
  <si>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</si>
  <si>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</si>
  <si>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</si>
  <si>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</si>
  <si>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</si>
  <si>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</si>
  <si>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</si>
  <si>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</si>
  <si>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</si>
  <si>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</si>
  <si>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</si>
  <si>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</si>
  <si>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</si>
  <si>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</si>
  <si>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</si>
  <si>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</si>
  <si>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</si>
  <si>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</si>
  <si>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</si>
  <si>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</si>
  <si>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</si>
  <si>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</si>
  <si>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</si>
  <si>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</si>
  <si>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</si>
  <si>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</si>
  <si>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</si>
  <si>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</si>
  <si>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</si>
  <si>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</si>
  <si>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</si>
  <si>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</si>
  <si>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</si>
  <si>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</si>
  <si>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</si>
  <si>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</si>
  <si>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</si>
  <si>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</si>
  <si>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</si>
  <si>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</si>
  <si>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</si>
  <si>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</si>
  <si>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</si>
  <si>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</si>
  <si>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</si>
  <si>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</si>
  <si>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</si>
  <si>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</si>
  <si>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</si>
  <si>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</si>
  <si>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</si>
  <si>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</si>
  <si>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</si>
  <si>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</si>
  <si>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</si>
  <si>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</si>
  <si>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</si>
  <si>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</si>
  <si>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</si>
  <si>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</si>
  <si>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</si>
  <si>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</si>
  <si>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</si>
  <si>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</si>
  <si>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</si>
  <si>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</si>
  <si>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</si>
  <si>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</si>
  <si>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</si>
  <si>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</si>
  <si>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</si>
  <si>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</si>
  <si>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</si>
  <si>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</si>
  <si>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</si>
  <si>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</si>
  <si>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</si>
  <si>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</si>
  <si>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</si>
  <si>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</si>
  <si>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</si>
  <si>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</si>
  <si>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</si>
  <si>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</si>
  <si>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</si>
  <si>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</si>
  <si>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</si>
  <si>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</si>
  <si>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</si>
  <si>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</si>
  <si>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</si>
  <si>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</si>
  <si>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</si>
  <si>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</si>
  <si>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</si>
  <si>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</si>
  <si>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</si>
  <si>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</si>
  <si>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</si>
  <si>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</si>
  <si>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</si>
  <si>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</si>
  <si>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</si>
  <si>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</si>
  <si>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</si>
  <si>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</si>
  <si>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</si>
  <si>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</si>
  <si>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</si>
  <si>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</si>
  <si>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</si>
  <si>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</si>
  <si>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</si>
  <si>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</si>
  <si>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</si>
  <si>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</si>
  <si>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</si>
  <si>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</si>
  <si>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</si>
  <si>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</si>
  <si>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</si>
  <si>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</si>
  <si>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</si>
  <si>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</si>
  <si>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</si>
  <si>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</si>
  <si>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</si>
  <si>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</si>
  <si>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</si>
  <si>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</si>
  <si>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</si>
  <si>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</si>
  <si>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</si>
  <si>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</si>
  <si>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</si>
  <si>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</si>
  <si>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</si>
  <si>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</si>
  <si>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</si>
  <si>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</si>
  <si>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</si>
  <si>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</si>
  <si>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</si>
  <si>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</si>
  <si>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</si>
  <si>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</si>
  <si>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</si>
  <si>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</si>
  <si>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</si>
  <si>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</si>
  <si>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</si>
  <si>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</si>
  <si>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</si>
  <si>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</si>
  <si>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</si>
  <si>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</si>
  <si>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</si>
  <si>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</si>
  <si>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</si>
  <si>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</si>
  <si>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</si>
  <si>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</si>
  <si>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</si>
  <si>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</si>
  <si>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</si>
  <si>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</si>
  <si>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</si>
  <si>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</si>
  <si>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</si>
  <si>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</si>
  <si>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</si>
  <si>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</si>
  <si>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</si>
  <si>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</si>
  <si>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</si>
  <si>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</si>
  <si>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</si>
  <si>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</si>
  <si>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</si>
  <si>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</si>
  <si>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</si>
  <si>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</si>
  <si>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</si>
  <si>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</si>
  <si>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</si>
  <si>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</si>
  <si>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</si>
  <si>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</si>
  <si>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</si>
  <si>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</si>
  <si>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</si>
  <si>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</si>
  <si>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</si>
  <si>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</si>
  <si>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</si>
  <si>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</si>
  <si>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</si>
  <si>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</si>
  <si>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</si>
  <si>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</si>
  <si>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</si>
  <si>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</si>
  <si>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</si>
  <si>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</si>
  <si>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</si>
  <si>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</si>
  <si>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</si>
  <si>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</si>
  <si>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</si>
  <si>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</si>
  <si>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</si>
  <si>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</si>
  <si>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</si>
  <si>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</si>
  <si>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</si>
  <si>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</si>
  <si>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</si>
  <si>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</si>
  <si>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</si>
  <si>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</si>
  <si>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</si>
  <si>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</si>
  <si>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</si>
  <si>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</si>
  <si>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</si>
  <si>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</si>
  <si>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</si>
  <si>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</si>
  <si>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</si>
  <si>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</si>
  <si>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</si>
  <si>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</si>
  <si>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</si>
  <si>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</si>
  <si>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</si>
  <si>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</si>
  <si>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</si>
  <si>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</si>
  <si>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</si>
  <si>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</si>
  <si>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</si>
  <si>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</si>
  <si>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</si>
  <si>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</si>
  <si>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</si>
  <si>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</si>
  <si>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</si>
  <si>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</si>
  <si>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</si>
  <si>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</si>
  <si>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</si>
  <si>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</si>
  <si>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</si>
  <si>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</si>
  <si>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</si>
  <si>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</si>
  <si>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</si>
  <si>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</si>
  <si>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</si>
  <si>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</si>
  <si>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</si>
  <si>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</si>
  <si>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</si>
  <si>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</si>
  <si>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</si>
  <si>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</si>
  <si>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</si>
  <si>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</si>
  <si>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</si>
  <si>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</si>
  <si>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</si>
  <si>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</si>
  <si>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</si>
  <si>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</si>
  <si>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</si>
  <si>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</si>
  <si>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</si>
  <si>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</si>
  <si>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</si>
  <si>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</si>
  <si>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</si>
  <si>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</si>
  <si>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</si>
  <si>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</si>
  <si>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</si>
  <si>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</si>
  <si>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</si>
  <si>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</si>
  <si>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</si>
  <si>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</si>
  <si>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</si>
  <si>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</si>
  <si>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</si>
  <si>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</si>
  <si>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</si>
  <si>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</si>
  <si>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</si>
  <si>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</si>
  <si>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</si>
  <si>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</si>
  <si>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</si>
  <si>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</si>
  <si>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</si>
  <si>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</si>
  <si>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</si>
  <si>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</si>
  <si>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</si>
  <si>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</si>
  <si>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</si>
  <si>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</si>
  <si>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</si>
  <si>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</si>
  <si>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</si>
  <si>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</si>
  <si>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</si>
  <si>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</si>
  <si>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</si>
  <si>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</si>
  <si>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</si>
  <si>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</si>
  <si>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</si>
  <si>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</si>
  <si>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</si>
  <si>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</si>
  <si>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</si>
  <si>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</si>
  <si>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</si>
  <si>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</si>
  <si>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</si>
  <si>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</si>
  <si>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</si>
  <si>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</si>
  <si>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</si>
  <si>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</si>
  <si>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</si>
  <si>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</si>
  <si>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</si>
  <si>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</si>
  <si>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</si>
  <si>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</si>
  <si>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</si>
  <si>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</si>
  <si>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</si>
  <si>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</si>
  <si>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</si>
  <si>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</si>
  <si>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</si>
  <si>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</si>
  <si>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</si>
  <si>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</si>
  <si>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</si>
  <si>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</si>
  <si>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</si>
  <si>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</si>
  <si>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</si>
  <si>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</si>
  <si>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</si>
  <si>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</si>
  <si>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</si>
  <si>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</si>
  <si>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</si>
  <si>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</si>
  <si>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</si>
  <si>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</si>
  <si>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</si>
  <si>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</si>
  <si>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</si>
  <si>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</si>
  <si>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</si>
  <si>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</si>
  <si>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</si>
  <si>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</si>
  <si>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</si>
  <si>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</si>
  <si>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</si>
  <si>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</si>
  <si>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</si>
  <si>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</si>
  <si>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</si>
  <si>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</si>
  <si>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</si>
  <si>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</si>
  <si>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</si>
  <si>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</si>
  <si>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</si>
  <si>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</si>
  <si>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</si>
  <si>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</si>
  <si>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</si>
  <si>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</si>
  <si>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</si>
  <si>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</si>
  <si>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</si>
  <si>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</si>
  <si>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</si>
  <si>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</si>
  <si>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</si>
  <si>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</si>
  <si>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</si>
  <si>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</si>
  <si>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</si>
  <si>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</si>
  <si>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</si>
  <si>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</si>
  <si>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</si>
  <si>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</si>
  <si>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</si>
  <si>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</si>
  <si>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</si>
  <si>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</si>
  <si>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</si>
  <si>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</si>
  <si>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</si>
  <si>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</si>
  <si>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</si>
  <si>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</si>
  <si>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</si>
  <si>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</si>
  <si>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</si>
  <si>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</si>
  <si>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</si>
  <si>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</si>
  <si>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</si>
  <si>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</si>
  <si>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</si>
  <si>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</si>
  <si>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</si>
  <si>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</si>
  <si>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</si>
  <si>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</si>
  <si>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</si>
  <si>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</si>
  <si>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</si>
  <si>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</si>
  <si>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</si>
  <si>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</si>
  <si>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</si>
  <si>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</si>
  <si>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</si>
  <si>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</si>
  <si>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</si>
  <si>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</si>
  <si>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</si>
  <si>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</si>
  <si>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</si>
  <si>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</si>
  <si>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</si>
  <si>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</si>
  <si>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</si>
  <si>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</si>
  <si>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</si>
  <si>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</si>
  <si>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</si>
  <si>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</si>
  <si>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</si>
  <si>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</si>
  <si>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</si>
  <si>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</si>
  <si>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</si>
  <si>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</si>
  <si>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</si>
  <si>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</si>
  <si>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</si>
  <si>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</si>
  <si>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</si>
  <si>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</si>
  <si>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</si>
  <si>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</si>
  <si>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</si>
  <si>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</si>
  <si>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</si>
  <si>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</si>
  <si>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</si>
  <si>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</si>
  <si>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</si>
  <si>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</si>
  <si>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</si>
  <si>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</si>
  <si>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</si>
  <si>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</si>
  <si>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</si>
  <si>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</si>
  <si>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</si>
  <si>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</si>
  <si>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</si>
  <si>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</si>
  <si>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</si>
  <si>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</si>
  <si>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</si>
  <si>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</si>
  <si>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</si>
  <si>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</si>
  <si>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</si>
  <si>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</si>
  <si>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</si>
  <si>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</si>
  <si>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</si>
  <si>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</si>
  <si>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</si>
  <si>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</si>
  <si>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</si>
  <si>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</si>
  <si>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</si>
  <si>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</si>
  <si>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</si>
  <si>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</si>
  <si>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</si>
  <si>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</si>
  <si>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</si>
  <si>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</si>
  <si>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</si>
  <si>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</si>
  <si>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</si>
  <si>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</si>
  <si>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</si>
  <si>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</si>
  <si>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</si>
  <si>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</si>
  <si>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</si>
  <si>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</si>
  <si>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</si>
  <si>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</si>
  <si>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</si>
  <si>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</si>
  <si>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</si>
  <si>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</si>
  <si>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</si>
  <si>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</si>
  <si>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</si>
  <si>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</si>
  <si>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</si>
  <si>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</si>
  <si>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</si>
  <si>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</si>
  <si>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</si>
  <si>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</si>
  <si>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</si>
  <si>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</si>
  <si>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</si>
  <si>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</si>
  <si>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</si>
  <si>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</si>
  <si>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</si>
  <si>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</si>
  <si>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</si>
  <si>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</si>
  <si>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</si>
  <si>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</si>
  <si>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</si>
  <si>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</si>
  <si>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</si>
  <si>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</si>
  <si>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</si>
  <si>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</si>
  <si>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</si>
  <si>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</si>
  <si>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</si>
  <si>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</si>
  <si>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</si>
  <si>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</si>
  <si>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</si>
  <si>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</si>
  <si>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</si>
  <si>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</si>
  <si>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</si>
  <si>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</si>
  <si>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</si>
  <si>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</si>
  <si>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</si>
  <si>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</si>
  <si>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</si>
  <si>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</si>
  <si>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</si>
  <si>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</si>
  <si>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</si>
  <si>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</si>
  <si>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</si>
  <si>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</si>
  <si>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</si>
  <si>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</si>
  <si>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</si>
  <si>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</si>
  <si>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</si>
  <si>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</si>
  <si>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</si>
  <si>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</si>
  <si>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</si>
  <si>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</si>
  <si>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</si>
  <si>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</si>
  <si>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</si>
  <si>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</si>
  <si>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</si>
  <si>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</si>
  <si>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</si>
  <si>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</si>
  <si>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</si>
  <si>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</si>
  <si>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</si>
  <si>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</si>
  <si>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</si>
  <si>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</si>
  <si>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</si>
  <si>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</si>
  <si>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</si>
  <si>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</si>
  <si>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</si>
  <si>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</si>
  <si>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</si>
  <si>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</si>
  <si>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</si>
  <si>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</si>
  <si>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</si>
  <si>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</si>
  <si>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</si>
  <si>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</si>
  <si>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</si>
  <si>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</si>
  <si>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</si>
  <si>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</si>
  <si>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</si>
  <si>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</si>
  <si>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</si>
  <si>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</si>
  <si>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</si>
  <si>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</si>
  <si>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</si>
  <si>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</si>
  <si>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</si>
  <si>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</si>
  <si>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</si>
  <si>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</si>
  <si>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</si>
  <si>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</si>
  <si>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</si>
  <si>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</si>
  <si>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</si>
  <si>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</si>
  <si>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</si>
  <si>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</si>
  <si>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</si>
  <si>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</si>
  <si>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</si>
  <si>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</si>
  <si>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</si>
  <si>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</si>
  <si>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</si>
  <si>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</si>
  <si>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</si>
  <si>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</si>
  <si>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</si>
  <si>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</si>
  <si>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</si>
  <si>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</si>
  <si>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</si>
  <si>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</si>
  <si>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</si>
  <si>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</si>
  <si>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</si>
  <si>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</si>
  <si>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</si>
  <si>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</si>
  <si>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</si>
  <si>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</si>
  <si>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</si>
  <si>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</si>
  <si>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</si>
  <si>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</si>
  <si>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</si>
  <si>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</si>
  <si>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</si>
  <si>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</si>
  <si>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</si>
  <si>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</si>
  <si>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</si>
  <si>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</si>
  <si>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</si>
  <si>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</si>
  <si>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</si>
  <si>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</si>
  <si>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</si>
  <si>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</si>
  <si>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</si>
  <si>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</si>
  <si>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</si>
  <si>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</si>
  <si>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</si>
  <si>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</si>
  <si>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</si>
  <si>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</si>
  <si>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</si>
  <si>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</si>
  <si>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</si>
  <si>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</si>
  <si>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</si>
  <si>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</si>
  <si>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</si>
  <si>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</si>
  <si>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</si>
  <si>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</si>
  <si>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</si>
  <si>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</si>
  <si>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</si>
  <si>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</si>
  <si>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</si>
  <si>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</si>
  <si>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</si>
  <si>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</si>
  <si>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</si>
  <si>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</si>
  <si>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</si>
  <si>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</si>
  <si>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</si>
  <si>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</si>
  <si>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</si>
  <si>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</si>
  <si>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</si>
  <si>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</si>
  <si>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</si>
  <si>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</si>
  <si>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</si>
  <si>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</si>
  <si>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</si>
  <si>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</si>
  <si>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</si>
  <si>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</si>
  <si>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</si>
  <si>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</si>
  <si>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</si>
  <si>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</si>
  <si>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</si>
  <si>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</si>
  <si>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</si>
  <si>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</si>
  <si>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</si>
  <si>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</si>
  <si>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</si>
  <si>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</si>
  <si>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</si>
  <si>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</si>
  <si>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</si>
  <si>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</si>
  <si>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</si>
  <si>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</si>
  <si>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</si>
  <si>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</si>
  <si>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</si>
  <si>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</si>
  <si>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</si>
  <si>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</si>
  <si>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</si>
  <si>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</si>
  <si>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</si>
  <si>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</si>
  <si>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</si>
  <si>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</si>
  <si>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</si>
  <si>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</si>
  <si>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</si>
  <si>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</si>
  <si>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</si>
  <si>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</si>
  <si>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</si>
  <si>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</si>
  <si>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</si>
  <si>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</si>
  <si>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</si>
  <si>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</si>
  <si>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</si>
  <si>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</si>
  <si>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</si>
  <si>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</si>
  <si>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</si>
  <si>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</si>
  <si>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</si>
  <si>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</si>
  <si>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</si>
  <si>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</si>
  <si>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</si>
  <si>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</si>
  <si>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</si>
  <si>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</si>
  <si>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</si>
  <si>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</si>
  <si>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</si>
  <si>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</si>
  <si>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</si>
  <si>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</si>
  <si>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</si>
  <si>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</si>
  <si>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</si>
  <si>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</si>
  <si>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</si>
  <si>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</si>
  <si>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</si>
  <si>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</si>
  <si>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</si>
  <si>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</si>
  <si>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</si>
  <si>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</si>
  <si>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</si>
  <si>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</si>
  <si>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</si>
  <si>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</si>
  <si>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</si>
  <si>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Ever Amarildo Cardoza Bolanos</t>
  </si>
  <si>
    <t>Leaseor</t>
  </si>
  <si>
    <t>Selling-Buyer2</t>
  </si>
  <si>
    <t>Maria Geraldina Sarmiento</t>
  </si>
  <si>
    <t>if  blank, use Buyer</t>
  </si>
  <si>
    <t>NoteNormal Payment</t>
  </si>
  <si>
    <t>Selling-Buyer Add1</t>
  </si>
  <si>
    <t>NoteBallon Payment</t>
  </si>
  <si>
    <t>The lease shall be without cost, with the acknowledgement that Lessee will cooperate with work crews in remodeling effort.</t>
  </si>
  <si>
    <t>NoteBallonTerm</t>
  </si>
  <si>
    <t>Sell Your Home, LLC</t>
  </si>
  <si>
    <t>Rent Indicator1</t>
  </si>
  <si>
    <t>NoteRentCompensationFormat:</t>
  </si>
  <si>
    <t>no</t>
  </si>
  <si>
    <t>Rent Description1</t>
  </si>
  <si>
    <t>NotePurchaseFormat:</t>
  </si>
  <si>
    <t>Selling Earnest Money:</t>
  </si>
  <si>
    <t>Rent if not = to mortgage:</t>
  </si>
  <si>
    <t>NoteSecurity Interest:</t>
  </si>
  <si>
    <t>Purchase and Sale Agreement</t>
  </si>
  <si>
    <t>WAKE</t>
  </si>
  <si>
    <t>Private Lender</t>
  </si>
  <si>
    <t>PL Holder:</t>
  </si>
  <si>
    <t>PL Add1:</t>
  </si>
  <si>
    <t>PL Add2</t>
  </si>
  <si>
    <t>PL Amount:</t>
  </si>
  <si>
    <t>LO95 CANDLEWICK SUB SE2</t>
  </si>
  <si>
    <t>PL Position</t>
  </si>
  <si>
    <t>BEING all of Lot 95, Section 2, of Candlewick Subdivision, as depicted in Book of Maps 1974, Page 271, Wake County Registry</t>
  </si>
  <si>
    <t>Pl Interest Rate:</t>
  </si>
  <si>
    <t>0104931</t>
  </si>
  <si>
    <t>Adverse Conditions1</t>
  </si>
  <si>
    <t>First Position Mortgage to Shellpoint in the amount of approximately $122,713.02</t>
  </si>
  <si>
    <t>Adverse Conditions2</t>
  </si>
  <si>
    <t>Deferred Balance of $54,532.00.</t>
  </si>
  <si>
    <t>Adverse Conditions3</t>
  </si>
  <si>
    <t>Lien to Poyner Spruill Attorneys at Law in the amount of $100,000.00.</t>
  </si>
  <si>
    <t>Quit Claim Grantor:</t>
  </si>
  <si>
    <t>Buy Your Home Retiremnet Plan Trust</t>
  </si>
  <si>
    <t>Mark's Creek</t>
  </si>
  <si>
    <t>Primary Seller:</t>
  </si>
  <si>
    <t>Buying Secondary Seller:</t>
  </si>
  <si>
    <t>Seller Relationship:</t>
  </si>
  <si>
    <t>Seller Secondary Relationship:</t>
  </si>
  <si>
    <t>Joshua Kennedy</t>
  </si>
  <si>
    <t>Buying-Seller2Address1</t>
  </si>
  <si>
    <t>Buying-Seller2Address2</t>
  </si>
  <si>
    <t>:</t>
  </si>
  <si>
    <t>X:      -    -       :</t>
  </si>
  <si>
    <t>Shellpoint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</si>
</sst>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89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6"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49" fontId="0" fillId="2" borderId="0" xfId="0" applyNumberFormat="1" applyFill="1" applyAlignment="1">
      <alignment horizontal="left"/>
    </xf>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15"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5" xfId="0" applyNumberFormat="1" applyFont="1" applyFill="1" applyBorder="1"/>
    <xf numFmtId="164" fontId="14" fillId="17" borderId="36" xfId="0" applyNumberFormat="1" applyFont="1" applyFill="1" applyBorder="1"/>
    <xf numFmtId="3" fontId="14" fillId="0" borderId="0" xfId="0" applyNumberFormat="1" applyFont="1"/>
    <xf numFmtId="0" fontId="14" fillId="24" borderId="37" xfId="0" applyFont="1" applyFill="1" applyBorder="1" applyAlignment="1">
      <alignment horizontal="right"/>
    </xf>
    <xf numFmtId="0" fontId="0" fillId="24" borderId="37" xfId="0" applyFill="1" applyBorder="1"/>
    <xf numFmtId="0" fontId="15" fillId="0" borderId="9" xfId="0" applyFont="1" applyBorder="1" applyAlignment="1">
      <alignment horizontal="center"/>
    </xf>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164" fontId="14" fillId="0" borderId="11" xfId="0" applyNumberFormat="1" applyFont="1" applyBorder="1"/>
    <xf numFmtId="0" fontId="14" fillId="0" borderId="12" xfId="0" applyFont="1" applyBorder="1"/>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32" xfId="0" applyNumberFormat="1" applyFont="1" applyFill="1" applyBorder="1"/>
    <xf numFmtId="3" fontId="14" fillId="2" borderId="33"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164" fontId="15" fillId="0" borderId="0" xfId="0" applyNumberFormat="1" applyFont="1" applyAlignment="1">
      <alignment horizontal="right"/>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0" borderId="9" xfId="0" applyFont="1" applyBorder="1" applyAlignment="1">
      <alignment horizontal="center" wrapText="1"/>
    </xf>
    <xf numFmtId="0" fontId="14" fillId="0" borderId="3" xfId="0" applyFont="1" applyBorder="1"/>
    <xf numFmtId="0" fontId="14" fillId="0" borderId="7" xfId="0" applyFont="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35"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36" activePane="bottomRight" state="frozen"/>
      <selection pane="topRight" activeCell="C1" sqref="C1:E1"/>
      <selection pane="bottomLeft" activeCell="C1" sqref="C1:E1"/>
      <selection pane="bottomRight" activeCell="M36" sqref="M36"/>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8"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655</v>
      </c>
      <c r="B1" s="417" t="str">
        <f>IF(R3=1,"Flip","")</f>
        <v/>
      </c>
      <c r="C1" s="418" t="str">
        <f>IF(R3=2,"Hold","")</f>
        <v/>
      </c>
      <c r="D1" s="418" t="str">
        <f>IF(R3=3,"Slow Flip","")</f>
        <v>Slow Flip</v>
      </c>
      <c r="E1" s="488"/>
      <c r="F1" s="696" t="s">
        <v>921</v>
      </c>
      <c r="G1" s="697"/>
      <c r="H1" s="697"/>
      <c r="P1" s="38" t="s">
        <v>657</v>
      </c>
      <c r="Q1" s="37" t="b">
        <v>0</v>
      </c>
    </row>
    <row r="2" spans="1:23" ht="16.5" customHeight="1" thickBot="1" x14ac:dyDescent="0.3">
      <c r="A2" s="113"/>
      <c r="B2" s="628" t="s">
        <v>805</v>
      </c>
      <c r="C2" s="629"/>
      <c r="D2" s="629"/>
      <c r="E2" s="626" t="s">
        <v>806</v>
      </c>
      <c r="F2" s="627"/>
      <c r="G2" s="482" t="s">
        <v>807</v>
      </c>
      <c r="H2" s="703" t="s">
        <v>0</v>
      </c>
      <c r="I2" s="704"/>
      <c r="J2" s="684" t="s">
        <v>1</v>
      </c>
      <c r="K2" s="613">
        <v>45715</v>
      </c>
      <c r="M2" s="465" t="s">
        <v>2</v>
      </c>
      <c r="N2" s="465"/>
      <c r="P2" s="38" t="s">
        <v>656</v>
      </c>
      <c r="Q2" s="37" t="b">
        <v>0</v>
      </c>
    </row>
    <row r="3" spans="1:23" ht="12" customHeight="1" thickBot="1" x14ac:dyDescent="0.25">
      <c r="A3" s="115" t="s">
        <v>4</v>
      </c>
      <c r="B3" s="116"/>
      <c r="D3" s="643" t="s">
        <v>5</v>
      </c>
      <c r="E3" s="643"/>
      <c r="F3" s="643" t="s">
        <v>6</v>
      </c>
      <c r="G3" s="637"/>
      <c r="H3" s="637"/>
      <c r="I3" s="705"/>
      <c r="J3" s="685"/>
      <c r="K3" s="614"/>
      <c r="P3" s="137" t="s">
        <v>38</v>
      </c>
      <c r="Q3" s="37" t="b">
        <v>0</v>
      </c>
      <c r="R3" s="37">
        <v>3</v>
      </c>
    </row>
    <row r="4" spans="1:23" ht="12" customHeight="1" thickBot="1" x14ac:dyDescent="0.25">
      <c r="A4" s="38" t="s">
        <v>7</v>
      </c>
      <c r="B4" s="706">
        <v>276800</v>
      </c>
      <c r="C4" s="707"/>
      <c r="D4" s="376"/>
      <c r="E4" s="403"/>
      <c r="F4" s="400"/>
      <c r="G4" s="400"/>
      <c r="H4" s="123"/>
      <c r="I4" s="124"/>
      <c r="P4" s="137" t="s">
        <v>39</v>
      </c>
      <c r="Q4" s="37" t="b">
        <v>0</v>
      </c>
    </row>
    <row r="5" spans="1:23" ht="12" customHeight="1" thickBot="1" x14ac:dyDescent="0.25">
      <c r="A5" s="38" t="s">
        <v>9</v>
      </c>
      <c r="B5" s="469">
        <f>+Amortization!M4</f>
        <v>0.05</v>
      </c>
      <c r="C5" s="335">
        <v>0</v>
      </c>
      <c r="D5" s="404"/>
      <c r="E5" s="405"/>
      <c r="F5" s="400"/>
      <c r="G5" s="400"/>
      <c r="H5" s="126"/>
      <c r="I5" s="127"/>
      <c r="N5" s="139" t="s">
        <v>10</v>
      </c>
      <c r="O5" s="270"/>
      <c r="P5" s="137" t="s">
        <v>40</v>
      </c>
      <c r="Q5" s="37" t="b">
        <v>1</v>
      </c>
    </row>
    <row r="6" spans="1:23" ht="12" customHeight="1" thickBot="1" x14ac:dyDescent="0.25">
      <c r="A6" s="38" t="s">
        <v>11</v>
      </c>
      <c r="B6" s="708">
        <f>IF(B1="Flip",B4,IF(C1="hold",B4*(1+C5),+Amortization!O3))</f>
        <v>290640</v>
      </c>
      <c r="C6" s="709"/>
      <c r="D6" s="404"/>
      <c r="E6" s="405"/>
      <c r="F6" s="400"/>
      <c r="G6" s="408">
        <f>IF(OR(R3=1,R3=2),$B$6,0)</f>
        <v>0</v>
      </c>
      <c r="H6" s="126"/>
      <c r="I6" s="127"/>
      <c r="O6" s="270"/>
      <c r="P6" s="464"/>
      <c r="Q6" s="37" t="b">
        <v>0</v>
      </c>
    </row>
    <row r="7" spans="1:23" ht="12" customHeight="1" thickBot="1" x14ac:dyDescent="0.25">
      <c r="A7" s="38" t="s">
        <v>13</v>
      </c>
      <c r="B7" s="469">
        <f>+Amortization!O2</f>
        <v>0.1</v>
      </c>
      <c r="C7" s="350">
        <f>+B6*B7</f>
        <v>29064</v>
      </c>
      <c r="D7" s="351"/>
      <c r="E7" s="352">
        <f>IF(R3=3,+C7,0)</f>
        <v>29064</v>
      </c>
      <c r="F7" s="401"/>
      <c r="G7" s="400"/>
      <c r="H7" s="126"/>
      <c r="I7" s="127"/>
      <c r="J7" s="684" t="s">
        <v>12</v>
      </c>
      <c r="K7" s="674">
        <v>0.03</v>
      </c>
      <c r="O7" s="270"/>
      <c r="P7" s="464"/>
    </row>
    <row r="8" spans="1:23" ht="12" customHeight="1" thickBot="1" x14ac:dyDescent="0.25">
      <c r="A8" s="38" t="s">
        <v>633</v>
      </c>
      <c r="B8" s="338"/>
      <c r="C8" s="422"/>
      <c r="D8" s="351"/>
      <c r="E8" s="405"/>
      <c r="F8" s="401"/>
      <c r="G8" s="409">
        <f>+IF($C$1="hold",$K$7,0)*$C$50/12*B4</f>
        <v>0</v>
      </c>
      <c r="H8" s="423"/>
      <c r="I8" s="127"/>
      <c r="J8" s="685"/>
      <c r="K8" s="675"/>
    </row>
    <row r="9" spans="1:23" ht="12" customHeight="1" thickBot="1" x14ac:dyDescent="0.25">
      <c r="A9" s="136" t="str">
        <f>IF(R3=3,"Delta Mortgages","Monthly Rent:")</f>
        <v>Delta Mortgages</v>
      </c>
      <c r="B9" s="656">
        <v>1800</v>
      </c>
      <c r="C9" s="700"/>
      <c r="D9" s="406"/>
      <c r="E9" s="407"/>
      <c r="F9" s="402"/>
      <c r="G9" s="410"/>
      <c r="H9" s="411"/>
      <c r="I9" s="419">
        <f>IF(OR(C1="Hold",D1="Slow Flip"),IF(C1="hold",+B9,+Amortization!AJ7),"")</f>
        <v>1083.53</v>
      </c>
      <c r="J9" s="684" t="s">
        <v>14</v>
      </c>
      <c r="K9" s="619">
        <v>1368</v>
      </c>
    </row>
    <row r="10" spans="1:23" ht="12" customHeight="1" thickBot="1" x14ac:dyDescent="0.25">
      <c r="C10" s="686" t="s">
        <v>15</v>
      </c>
      <c r="D10" s="651" t="s">
        <v>15</v>
      </c>
      <c r="E10" s="117">
        <f>SUM(D4:E9)</f>
        <v>29064</v>
      </c>
      <c r="F10" s="615">
        <f>+SUM(F4:G9)</f>
        <v>0</v>
      </c>
      <c r="G10" s="616"/>
      <c r="H10" s="615">
        <f>SUM(H4:I9)</f>
        <v>1083.53</v>
      </c>
      <c r="I10" s="616"/>
      <c r="J10" s="685"/>
      <c r="K10" s="620"/>
      <c r="M10" s="532" t="s">
        <v>648</v>
      </c>
      <c r="N10" s="533"/>
      <c r="O10" s="525"/>
      <c r="P10" s="534"/>
      <c r="S10" s="37" t="s">
        <v>808</v>
      </c>
      <c r="T10" s="37" t="s">
        <v>809</v>
      </c>
      <c r="U10" s="139"/>
    </row>
    <row r="11" spans="1:23" ht="12" customHeight="1" thickBot="1" x14ac:dyDescent="0.3">
      <c r="C11" s="118"/>
      <c r="D11" s="119"/>
      <c r="E11" s="112"/>
      <c r="F11" s="623" t="str">
        <f>IF(R3=3,"Profit calcuations based on selling in 5 years","")</f>
        <v>Profit calcuations based on selling in 5 years</v>
      </c>
      <c r="G11" s="624"/>
      <c r="H11" s="624"/>
      <c r="I11" s="625"/>
      <c r="M11" s="535" t="s">
        <v>651</v>
      </c>
      <c r="N11" s="139">
        <v>250000</v>
      </c>
      <c r="O11" s="332" t="b">
        <f>+$B$4&gt;N11</f>
        <v>1</v>
      </c>
      <c r="P11" s="536">
        <f>B4</f>
        <v>276800</v>
      </c>
      <c r="S11" s="37">
        <v>2</v>
      </c>
      <c r="T11" s="458">
        <v>44672</v>
      </c>
      <c r="U11" s="139">
        <v>6264</v>
      </c>
    </row>
    <row r="12" spans="1:23" ht="12" customHeight="1" thickTop="1" thickBot="1" x14ac:dyDescent="0.25">
      <c r="A12" s="120" t="s">
        <v>16</v>
      </c>
      <c r="B12" s="120"/>
      <c r="C12" s="121"/>
      <c r="D12" s="376"/>
      <c r="E12" s="377"/>
      <c r="F12" s="384"/>
      <c r="G12" s="431"/>
      <c r="H12" s="386"/>
      <c r="I12" s="421"/>
      <c r="M12" s="535" t="s">
        <v>652</v>
      </c>
      <c r="N12" s="139">
        <v>700000</v>
      </c>
      <c r="O12" s="332" t="b">
        <f>+$B$4&lt;N12</f>
        <v>1</v>
      </c>
      <c r="P12" s="537">
        <f>B4</f>
        <v>276800</v>
      </c>
      <c r="S12" s="37" t="s">
        <v>810</v>
      </c>
      <c r="T12" s="458">
        <v>41353</v>
      </c>
      <c r="U12" s="139">
        <v>86284</v>
      </c>
      <c r="V12" s="37" t="s">
        <v>811</v>
      </c>
    </row>
    <row r="13" spans="1:23" ht="12" customHeight="1" thickBot="1" x14ac:dyDescent="0.25">
      <c r="A13" s="38" t="s">
        <v>632</v>
      </c>
      <c r="B13" s="116"/>
      <c r="D13" s="404"/>
      <c r="E13" s="420"/>
      <c r="F13" s="356"/>
      <c r="G13" s="428">
        <f>IF(R3=3,+Amortization!AJ10,0)</f>
        <v>298253.79000000015</v>
      </c>
      <c r="H13" s="429"/>
      <c r="I13" s="430"/>
      <c r="J13" s="475" t="s">
        <v>8</v>
      </c>
      <c r="K13" s="477" t="b">
        <v>0</v>
      </c>
      <c r="M13" s="535" t="s">
        <v>650</v>
      </c>
      <c r="N13" s="139">
        <v>80000</v>
      </c>
      <c r="O13" s="332" t="b">
        <f>N13&lt;K61</f>
        <v>1</v>
      </c>
      <c r="P13" s="536">
        <f>K61</f>
        <v>149081.32179919883</v>
      </c>
      <c r="T13" s="37">
        <v>2019</v>
      </c>
      <c r="U13" s="139" t="s">
        <v>812</v>
      </c>
      <c r="V13" s="37" t="s">
        <v>813</v>
      </c>
      <c r="W13" s="37" t="s">
        <v>814</v>
      </c>
    </row>
    <row r="14" spans="1:23" ht="11.25" customHeight="1" thickBot="1" x14ac:dyDescent="0.3">
      <c r="A14" s="38" t="s">
        <v>17</v>
      </c>
      <c r="B14" s="330"/>
      <c r="C14" s="457">
        <v>28063.26</v>
      </c>
      <c r="D14" s="378">
        <f>-C14</f>
        <v>-28063.26</v>
      </c>
      <c r="E14" s="352"/>
      <c r="F14" s="385"/>
      <c r="G14" s="146">
        <f>IF(K13,0,0.3*C14)</f>
        <v>8418.9779999999992</v>
      </c>
      <c r="H14" s="693" t="s">
        <v>18</v>
      </c>
      <c r="I14" s="694"/>
      <c r="J14" s="591" t="s">
        <v>19</v>
      </c>
      <c r="K14" s="679"/>
      <c r="M14" s="535" t="s">
        <v>649</v>
      </c>
      <c r="N14" s="538">
        <v>0.35</v>
      </c>
      <c r="O14" s="332" t="b">
        <f>N14&lt;K61/B4</f>
        <v>1</v>
      </c>
      <c r="P14" s="539">
        <f>+K61/B4</f>
        <v>0.53858859031502471</v>
      </c>
      <c r="T14" s="37">
        <v>2020</v>
      </c>
      <c r="U14" s="139" t="s">
        <v>812</v>
      </c>
      <c r="V14" s="37" t="s">
        <v>815</v>
      </c>
      <c r="W14" s="37" t="s">
        <v>816</v>
      </c>
    </row>
    <row r="15" spans="1:23" ht="12" customHeight="1" x14ac:dyDescent="0.2">
      <c r="A15" s="38" t="s">
        <v>20</v>
      </c>
      <c r="B15" s="247">
        <v>3.7499999999999999E-2</v>
      </c>
      <c r="C15" s="209">
        <v>97228</v>
      </c>
      <c r="D15" s="378">
        <f>-C15</f>
        <v>-97228</v>
      </c>
      <c r="E15" s="352">
        <f>+C15</f>
        <v>97228</v>
      </c>
      <c r="F15" s="356">
        <f>IF(OR($R$3=1,$R$3=2,$R$3=3),IF(OR($R$3=1,$R$3=2),-C15,Amortization!AI9),0)</f>
        <v>-79062.029999999926</v>
      </c>
      <c r="G15" s="476"/>
      <c r="H15" s="393"/>
      <c r="I15" s="394"/>
      <c r="J15" s="680"/>
      <c r="K15" s="681"/>
      <c r="M15" s="535" t="s">
        <v>654</v>
      </c>
      <c r="N15" s="139">
        <v>30000</v>
      </c>
      <c r="O15" s="332" t="b">
        <f>+N15&gt;($C$14+$C$20)</f>
        <v>0</v>
      </c>
      <c r="P15" s="540">
        <f>$C$14+$C$20</f>
        <v>33063.259999999995</v>
      </c>
      <c r="U15" s="139"/>
      <c r="V15" s="37" t="s">
        <v>817</v>
      </c>
    </row>
    <row r="16" spans="1:23" ht="12" customHeight="1" x14ac:dyDescent="0.2">
      <c r="A16" s="38" t="s">
        <v>625</v>
      </c>
      <c r="B16" s="208"/>
      <c r="C16" s="209"/>
      <c r="D16" s="378"/>
      <c r="E16" s="352"/>
      <c r="F16" s="356">
        <f>-(120-C49)*(C16/120)</f>
        <v>0</v>
      </c>
      <c r="G16" s="357"/>
      <c r="H16" s="393">
        <f>-(C16*B16/12)</f>
        <v>0</v>
      </c>
      <c r="I16" s="394"/>
      <c r="J16" s="680"/>
      <c r="K16" s="681"/>
      <c r="M16" s="535" t="s">
        <v>653</v>
      </c>
      <c r="N16" s="139">
        <v>140000</v>
      </c>
      <c r="O16" s="332" t="b">
        <f>+N16&gt;($C$14+$C$20+E19)</f>
        <v>1</v>
      </c>
      <c r="P16" s="540">
        <f>($C$14+$C$20+E19)</f>
        <v>33063.259999999995</v>
      </c>
      <c r="T16" s="458">
        <v>41353</v>
      </c>
      <c r="U16" s="139">
        <v>5000</v>
      </c>
      <c r="V16" s="37" t="s">
        <v>818</v>
      </c>
    </row>
    <row r="17" spans="1:22" ht="12" customHeight="1" thickBot="1" x14ac:dyDescent="0.25">
      <c r="A17" s="38" t="s">
        <v>21</v>
      </c>
      <c r="B17" s="208">
        <v>0</v>
      </c>
      <c r="C17" s="209"/>
      <c r="D17" s="378">
        <f>-C17</f>
        <v>0</v>
      </c>
      <c r="E17" s="352">
        <f>+C17</f>
        <v>0</v>
      </c>
      <c r="F17" s="356">
        <f>IF(OR($R$3=1,$R$3=2,$R$3=3),IF(OR($R$3=1,$R$3=2),-C17,),0)</f>
        <v>0</v>
      </c>
      <c r="G17" s="357"/>
      <c r="H17" s="393"/>
      <c r="I17" s="394"/>
      <c r="J17" s="682"/>
      <c r="K17" s="683"/>
      <c r="M17" s="535"/>
      <c r="O17" s="332"/>
      <c r="P17" s="541"/>
      <c r="T17" s="458">
        <v>44672</v>
      </c>
      <c r="U17" s="139">
        <v>6264</v>
      </c>
      <c r="V17" s="37" t="s">
        <v>819</v>
      </c>
    </row>
    <row r="18" spans="1:22" ht="12" customHeight="1" thickBot="1" x14ac:dyDescent="0.25">
      <c r="A18" s="38" t="s">
        <v>22</v>
      </c>
      <c r="B18" s="187"/>
      <c r="C18" s="188">
        <v>2466</v>
      </c>
      <c r="D18" s="378"/>
      <c r="E18" s="352"/>
      <c r="F18" s="356">
        <f>-C18</f>
        <v>-2466</v>
      </c>
      <c r="G18" s="357"/>
      <c r="H18" s="393"/>
      <c r="I18" s="394"/>
      <c r="J18" s="40"/>
      <c r="K18" s="40"/>
      <c r="M18" s="535"/>
      <c r="O18" s="332"/>
      <c r="P18" s="541"/>
    </row>
    <row r="19" spans="1:22" ht="12" customHeight="1" thickBot="1" x14ac:dyDescent="0.25">
      <c r="A19" s="38" t="s">
        <v>616</v>
      </c>
      <c r="B19" s="349">
        <f>+B17</f>
        <v>0</v>
      </c>
      <c r="C19" s="350">
        <v>0</v>
      </c>
      <c r="D19" s="351">
        <f>-C19</f>
        <v>0</v>
      </c>
      <c r="E19" s="352">
        <f>+C19</f>
        <v>0</v>
      </c>
      <c r="F19" s="353">
        <f>IF(B1="flip",-C19,0)</f>
        <v>0</v>
      </c>
      <c r="G19" s="354"/>
      <c r="H19" s="393"/>
      <c r="I19" s="394"/>
      <c r="J19" s="40"/>
      <c r="K19" s="40"/>
      <c r="M19" s="535"/>
      <c r="O19" s="332"/>
      <c r="P19" s="542"/>
    </row>
    <row r="20" spans="1:22" ht="12" customHeight="1" thickBot="1" x14ac:dyDescent="0.25">
      <c r="A20" s="136" t="s">
        <v>24</v>
      </c>
      <c r="B20" s="456"/>
      <c r="C20" s="338">
        <v>5000</v>
      </c>
      <c r="D20" s="378">
        <f>-C20</f>
        <v>-5000</v>
      </c>
      <c r="E20" s="352"/>
      <c r="F20" s="356"/>
      <c r="G20" s="357"/>
      <c r="H20" s="396"/>
      <c r="I20" s="394"/>
      <c r="J20" s="40"/>
      <c r="K20" s="40"/>
      <c r="M20" s="543"/>
      <c r="N20" s="531"/>
      <c r="O20" s="526"/>
      <c r="P20" s="544"/>
    </row>
    <row r="21" spans="1:22" ht="12" customHeight="1" thickBot="1" x14ac:dyDescent="0.3">
      <c r="A21" s="38" t="s">
        <v>624</v>
      </c>
      <c r="B21" s="698">
        <f>-SUM(D14:D20)</f>
        <v>130291.26</v>
      </c>
      <c r="C21" s="699"/>
      <c r="D21" s="378"/>
      <c r="E21" s="352"/>
      <c r="F21" s="356"/>
      <c r="G21" s="357"/>
      <c r="H21" s="396"/>
      <c r="I21" s="394"/>
      <c r="P21" s="464"/>
    </row>
    <row r="22" spans="1:22" ht="12" customHeight="1" thickBot="1" x14ac:dyDescent="0.25">
      <c r="A22" s="38" t="s">
        <v>617</v>
      </c>
      <c r="B22" s="355">
        <v>0.75</v>
      </c>
      <c r="C22" s="350">
        <f>IF(C1="Hold",+B4*B22,0)</f>
        <v>0</v>
      </c>
      <c r="D22" s="351"/>
      <c r="E22" s="352">
        <f>IF(AND(Q1,R3=2),C22+B21,0)</f>
        <v>0</v>
      </c>
      <c r="F22" s="356" t="str">
        <f>IF(AND(Q1,R3=2),-C22,"")</f>
        <v/>
      </c>
      <c r="G22" s="357"/>
      <c r="H22" s="395">
        <f>IF(AND(Q1,R3=2),IF(Q2,IPMT(B23/12,1,C23*12,C22),PMT(B23/12,12*C23,C22)),0)</f>
        <v>0</v>
      </c>
      <c r="I22" s="394"/>
      <c r="J22" s="621" t="s">
        <v>629</v>
      </c>
      <c r="K22" s="622"/>
      <c r="P22" s="464"/>
    </row>
    <row r="23" spans="1:22" ht="12" customHeight="1" thickBot="1" x14ac:dyDescent="0.25">
      <c r="A23" s="38" t="s">
        <v>618</v>
      </c>
      <c r="B23" s="358">
        <v>6.5000000000000002E-2</v>
      </c>
      <c r="C23" s="359">
        <v>30</v>
      </c>
      <c r="D23" s="351"/>
      <c r="E23" s="352"/>
      <c r="F23" s="356"/>
      <c r="G23" s="357"/>
      <c r="H23" s="396"/>
      <c r="I23" s="394"/>
      <c r="J23" s="621" t="s">
        <v>615</v>
      </c>
      <c r="K23" s="622"/>
      <c r="P23" s="464"/>
    </row>
    <row r="24" spans="1:22" ht="12" customHeight="1" thickBot="1" x14ac:dyDescent="0.25">
      <c r="A24" s="38" t="s">
        <v>619</v>
      </c>
      <c r="B24" s="695">
        <v>45566</v>
      </c>
      <c r="C24" s="610"/>
      <c r="D24" s="351"/>
      <c r="E24" s="352"/>
      <c r="F24" s="356"/>
      <c r="G24" s="357"/>
      <c r="H24" s="396"/>
      <c r="I24" s="394"/>
      <c r="K24" s="40"/>
      <c r="P24" s="464"/>
    </row>
    <row r="25" spans="1:22" ht="12" customHeight="1" thickBot="1" x14ac:dyDescent="0.25">
      <c r="A25" s="136" t="s">
        <v>23</v>
      </c>
      <c r="B25" s="173">
        <v>0</v>
      </c>
      <c r="C25" s="174"/>
      <c r="D25" s="378"/>
      <c r="E25" s="352"/>
      <c r="F25" s="356"/>
      <c r="G25" s="357"/>
      <c r="H25" s="395"/>
      <c r="I25" s="394"/>
      <c r="Q25" s="139"/>
    </row>
    <row r="26" spans="1:22" ht="12" customHeight="1" thickBot="1" x14ac:dyDescent="0.25">
      <c r="A26" s="136" t="s">
        <v>26</v>
      </c>
      <c r="B26" s="150"/>
      <c r="C26" s="174">
        <v>2466</v>
      </c>
      <c r="D26" s="378">
        <f>-B26</f>
        <v>0</v>
      </c>
      <c r="E26" s="352"/>
      <c r="F26" s="356"/>
      <c r="G26" s="357"/>
      <c r="H26" s="396"/>
      <c r="I26" s="394"/>
      <c r="M26" s="458">
        <v>45894</v>
      </c>
      <c r="N26" s="139">
        <v>276800</v>
      </c>
      <c r="Q26" s="139"/>
    </row>
    <row r="27" spans="1:22" ht="12" customHeight="1" thickBot="1" x14ac:dyDescent="0.25">
      <c r="A27" s="136" t="s">
        <v>491</v>
      </c>
      <c r="B27" s="701">
        <v>5000</v>
      </c>
      <c r="C27" s="702">
        <v>5000</v>
      </c>
      <c r="D27" s="378">
        <f>-B27</f>
        <v>-5000</v>
      </c>
      <c r="E27" s="352"/>
      <c r="F27" s="356"/>
      <c r="G27" s="357"/>
      <c r="H27" s="396"/>
      <c r="I27" s="394"/>
    </row>
    <row r="28" spans="1:22" ht="12" customHeight="1" thickBot="1" x14ac:dyDescent="0.25">
      <c r="A28" s="136" t="s">
        <v>587</v>
      </c>
      <c r="B28" s="333">
        <f>+F72/30.42</f>
        <v>6.0157790927021697</v>
      </c>
      <c r="C28" s="125"/>
      <c r="D28" s="378"/>
      <c r="E28" s="352"/>
      <c r="F28" s="356"/>
      <c r="G28" s="357"/>
      <c r="H28" s="395"/>
      <c r="I28" s="394"/>
      <c r="Q28" s="139"/>
    </row>
    <row r="29" spans="1:22" ht="12" customHeight="1" x14ac:dyDescent="0.2">
      <c r="A29" s="136" t="s">
        <v>582</v>
      </c>
      <c r="B29" s="331">
        <f>+STR!K17/12</f>
        <v>0</v>
      </c>
      <c r="C29" s="125"/>
      <c r="D29" s="378"/>
      <c r="E29" s="352"/>
      <c r="F29" s="356"/>
      <c r="G29" s="357"/>
      <c r="H29" s="395">
        <f>-B29</f>
        <v>0</v>
      </c>
      <c r="I29" s="394"/>
      <c r="J29" s="676" t="s">
        <v>25</v>
      </c>
      <c r="K29" s="593"/>
      <c r="Q29" s="139"/>
    </row>
    <row r="30" spans="1:22" ht="12" customHeight="1" thickBot="1" x14ac:dyDescent="0.25">
      <c r="A30" s="136" t="s">
        <v>586</v>
      </c>
      <c r="C30" s="551">
        <f>+B45/C50</f>
        <v>777.53728894722224</v>
      </c>
      <c r="D30" s="378"/>
      <c r="E30" s="352"/>
      <c r="F30" s="356"/>
      <c r="G30" s="357"/>
      <c r="H30" s="395"/>
      <c r="I30" s="394"/>
      <c r="J30" s="677"/>
      <c r="K30" s="678"/>
      <c r="O30" s="270"/>
      <c r="P30" s="464"/>
    </row>
    <row r="31" spans="1:22" ht="12" customHeight="1" x14ac:dyDescent="0.2">
      <c r="A31" s="136" t="s">
        <v>909</v>
      </c>
      <c r="B31" s="564">
        <f>+Carrying!B25/Profit!$B$28</f>
        <v>14.95234426229508</v>
      </c>
      <c r="C31" s="125"/>
      <c r="D31" s="378"/>
      <c r="E31" s="352"/>
      <c r="F31" s="356"/>
      <c r="G31" s="357"/>
      <c r="H31" s="395">
        <f>IF(OR($R$3=2,$R$3=3),-B31,0)</f>
        <v>-14.95234426229508</v>
      </c>
      <c r="I31" s="394">
        <f t="shared" ref="I31:I34" si="0">IF($R$3=3,+B31,0)</f>
        <v>14.95234426229508</v>
      </c>
      <c r="J31" s="687" t="s">
        <v>27</v>
      </c>
      <c r="K31" s="688"/>
      <c r="P31" s="464"/>
    </row>
    <row r="32" spans="1:22" ht="12" customHeight="1" x14ac:dyDescent="0.2">
      <c r="A32" s="136" t="s">
        <v>969</v>
      </c>
      <c r="B32" s="564">
        <f>+Carrying!E25/Profit!$B$28</f>
        <v>549.04775409836066</v>
      </c>
      <c r="C32" s="125"/>
      <c r="D32" s="378"/>
      <c r="E32" s="352"/>
      <c r="F32" s="356"/>
      <c r="G32" s="357"/>
      <c r="H32" s="395">
        <f t="shared" ref="H32:H34" si="1">IF(OR($R$3=2,$R$3=3),-B32,0)</f>
        <v>-549.04775409836066</v>
      </c>
      <c r="I32" s="394"/>
      <c r="J32" s="689"/>
      <c r="K32" s="690"/>
      <c r="P32" s="464"/>
    </row>
    <row r="33" spans="1:11" ht="12" customHeight="1" x14ac:dyDescent="0.2">
      <c r="A33" s="136" t="s">
        <v>592</v>
      </c>
      <c r="B33" s="564">
        <f>+Carrying!H25/Profit!$B$28</f>
        <v>304.65546885245902</v>
      </c>
      <c r="C33" s="125"/>
      <c r="D33" s="378"/>
      <c r="E33" s="352"/>
      <c r="F33" s="356"/>
      <c r="G33" s="357"/>
      <c r="H33" s="395">
        <f t="shared" si="1"/>
        <v>-304.65546885245902</v>
      </c>
      <c r="I33" s="394">
        <f t="shared" si="0"/>
        <v>304.65546885245902</v>
      </c>
      <c r="J33" s="689"/>
      <c r="K33" s="690"/>
    </row>
    <row r="34" spans="1:11" ht="12" customHeight="1" thickBot="1" x14ac:dyDescent="0.25">
      <c r="A34" s="136" t="s">
        <v>955</v>
      </c>
      <c r="B34" s="564">
        <f>+Carrying!K25/Profit!$B$28</f>
        <v>0</v>
      </c>
      <c r="C34" s="125"/>
      <c r="D34" s="378"/>
      <c r="E34" s="352"/>
      <c r="F34" s="356"/>
      <c r="G34" s="357"/>
      <c r="H34" s="395">
        <f t="shared" si="1"/>
        <v>0</v>
      </c>
      <c r="I34" s="394">
        <f t="shared" si="0"/>
        <v>0</v>
      </c>
      <c r="J34" s="691"/>
      <c r="K34" s="692"/>
    </row>
    <row r="35" spans="1:11" ht="12" customHeight="1" x14ac:dyDescent="0.2">
      <c r="A35" s="136" t="s">
        <v>479</v>
      </c>
      <c r="B35" s="564">
        <f>+Carrying!N25/Profit!$B$28</f>
        <v>0</v>
      </c>
      <c r="C35" s="125"/>
      <c r="D35" s="378"/>
      <c r="E35" s="352"/>
      <c r="F35" s="356"/>
      <c r="G35" s="357"/>
      <c r="H35" s="395"/>
      <c r="I35" s="394"/>
    </row>
    <row r="36" spans="1:11" ht="12" customHeight="1" x14ac:dyDescent="0.2">
      <c r="A36" s="136" t="s">
        <v>956</v>
      </c>
      <c r="B36" s="564">
        <f>+Carrying!Q25/Profit!$B$28</f>
        <v>46.151960655737703</v>
      </c>
      <c r="C36" s="125"/>
      <c r="D36" s="378"/>
      <c r="E36" s="352"/>
      <c r="F36" s="356"/>
      <c r="G36" s="357"/>
      <c r="H36" s="395"/>
      <c r="I36" s="394"/>
    </row>
    <row r="37" spans="1:11" ht="12" customHeight="1" x14ac:dyDescent="0.2">
      <c r="A37" s="136" t="s">
        <v>957</v>
      </c>
      <c r="B37" s="564">
        <f>+Carrying!T25/Profit!$B$28</f>
        <v>0</v>
      </c>
      <c r="C37" s="125"/>
      <c r="D37" s="378"/>
      <c r="E37" s="352"/>
      <c r="F37" s="356"/>
      <c r="G37" s="357"/>
      <c r="H37" s="395"/>
      <c r="I37" s="394"/>
    </row>
    <row r="38" spans="1:11" ht="12" customHeight="1" x14ac:dyDescent="0.2">
      <c r="A38" s="136" t="s">
        <v>591</v>
      </c>
      <c r="B38" s="564">
        <f>+Carrying!W25/Profit!$B$28</f>
        <v>0</v>
      </c>
      <c r="C38" s="125"/>
      <c r="D38" s="378"/>
      <c r="E38" s="352"/>
      <c r="F38" s="356"/>
      <c r="G38" s="357"/>
      <c r="H38" s="395"/>
      <c r="I38" s="394"/>
    </row>
    <row r="39" spans="1:11" ht="12" customHeight="1" x14ac:dyDescent="0.2">
      <c r="A39" s="136" t="s">
        <v>658</v>
      </c>
      <c r="B39" s="564">
        <f>+Carrying!Z25/Profit!$B$28</f>
        <v>0</v>
      </c>
      <c r="C39" s="125"/>
      <c r="D39" s="378"/>
      <c r="E39" s="352"/>
      <c r="F39" s="356"/>
      <c r="G39" s="357"/>
      <c r="H39" s="395"/>
      <c r="I39" s="394"/>
    </row>
    <row r="40" spans="1:11" ht="12" customHeight="1" thickBot="1" x14ac:dyDescent="0.25">
      <c r="A40" s="136" t="s">
        <v>958</v>
      </c>
      <c r="B40" s="564">
        <f>+Carrying!AC25/Profit!$B$28</f>
        <v>0</v>
      </c>
      <c r="C40" s="125"/>
      <c r="D40" s="378"/>
      <c r="E40" s="352"/>
      <c r="F40" s="356"/>
      <c r="G40" s="357"/>
      <c r="H40" s="395"/>
      <c r="I40" s="394"/>
    </row>
    <row r="41" spans="1:11" ht="12" customHeight="1" thickBot="1" x14ac:dyDescent="0.25">
      <c r="A41" s="136" t="s">
        <v>959</v>
      </c>
      <c r="B41" s="564">
        <f>+Carrying!AF25/Profit!$B$28</f>
        <v>0</v>
      </c>
      <c r="C41" s="125"/>
      <c r="D41" s="378"/>
      <c r="E41" s="352"/>
      <c r="F41" s="356"/>
      <c r="G41" s="357"/>
      <c r="H41" s="395"/>
      <c r="I41" s="394"/>
      <c r="J41" s="670" t="s">
        <v>29</v>
      </c>
      <c r="K41" s="672">
        <f>IF(+R3=3,-H54,+B42/B28)</f>
        <v>1493.6555672131149</v>
      </c>
    </row>
    <row r="42" spans="1:11" ht="12" customHeight="1" thickBot="1" x14ac:dyDescent="0.3">
      <c r="A42" s="38" t="s">
        <v>29</v>
      </c>
      <c r="B42" s="668">
        <f>+B28*SUM(B31:B41)</f>
        <v>5503.2800000000007</v>
      </c>
      <c r="C42" s="669"/>
      <c r="D42" s="351">
        <f>-B42</f>
        <v>-5503.2800000000007</v>
      </c>
      <c r="E42" s="352"/>
      <c r="F42" s="356"/>
      <c r="G42" s="357"/>
      <c r="H42" s="395"/>
      <c r="I42" s="394"/>
      <c r="J42" s="671"/>
      <c r="K42" s="673"/>
    </row>
    <row r="43" spans="1:11" ht="12" customHeight="1" thickBot="1" x14ac:dyDescent="0.25">
      <c r="A43" s="566" t="s">
        <v>31</v>
      </c>
      <c r="B43" s="567">
        <v>0.1</v>
      </c>
      <c r="C43" s="568" t="b">
        <v>1</v>
      </c>
      <c r="D43" s="378"/>
      <c r="E43" s="352"/>
      <c r="F43" s="356"/>
      <c r="G43" s="357"/>
      <c r="H43" s="395"/>
      <c r="I43" s="394"/>
    </row>
    <row r="44" spans="1:11" ht="12" customHeight="1" thickBot="1" x14ac:dyDescent="0.25">
      <c r="A44" s="136" t="s">
        <v>33</v>
      </c>
      <c r="B44" s="569">
        <v>75000</v>
      </c>
      <c r="C44" s="570">
        <f>+(B6*0.75)-SUM(C15:C19)-B44</f>
        <v>43286</v>
      </c>
      <c r="D44" s="378"/>
      <c r="E44" s="352">
        <f>IF(C43,B44,0)</f>
        <v>75000</v>
      </c>
      <c r="F44" s="356">
        <f>IF(C43,-E44,0)</f>
        <v>-75000</v>
      </c>
      <c r="G44" s="357"/>
      <c r="H44" s="395">
        <f>IF($R$3=3,-E44*B43/12,0)</f>
        <v>-625</v>
      </c>
      <c r="I44" s="394"/>
      <c r="J44" s="670" t="s">
        <v>1108</v>
      </c>
      <c r="K44" s="672">
        <f>+SUM(C15:C19)+B44</f>
        <v>174694</v>
      </c>
    </row>
    <row r="45" spans="1:11" ht="12" customHeight="1" thickBot="1" x14ac:dyDescent="0.25">
      <c r="A45" s="136" t="s">
        <v>35</v>
      </c>
      <c r="B45" s="333">
        <f>-D67</f>
        <v>27991.342402099999</v>
      </c>
      <c r="C45" s="125"/>
      <c r="D45" s="378">
        <f>-B45</f>
        <v>-27991.342402099999</v>
      </c>
      <c r="E45" s="352"/>
      <c r="F45" s="356"/>
      <c r="G45" s="357"/>
      <c r="H45" s="396"/>
      <c r="I45" s="394"/>
      <c r="J45" s="671"/>
      <c r="K45" s="673"/>
    </row>
    <row r="46" spans="1:11" ht="12" customHeight="1" thickBot="1" x14ac:dyDescent="0.25">
      <c r="A46" s="136" t="s">
        <v>36</v>
      </c>
      <c r="B46" s="333">
        <v>600</v>
      </c>
      <c r="C46" s="125"/>
      <c r="D46" s="378">
        <f>-B46</f>
        <v>-600</v>
      </c>
      <c r="E46" s="352"/>
      <c r="F46" s="356"/>
      <c r="G46" s="357"/>
      <c r="H46" s="396"/>
      <c r="I46" s="394"/>
    </row>
    <row r="47" spans="1:11" ht="12" customHeight="1" thickBot="1" x14ac:dyDescent="0.3">
      <c r="A47" s="38" t="s">
        <v>38</v>
      </c>
      <c r="B47" s="558"/>
      <c r="C47" s="559">
        <v>500</v>
      </c>
      <c r="D47" s="378"/>
      <c r="E47" s="352"/>
      <c r="F47" s="356" t="str">
        <f>IF(Q3,-C47,"")</f>
        <v/>
      </c>
      <c r="G47" s="357"/>
      <c r="H47" s="396"/>
      <c r="I47" s="394"/>
      <c r="J47" s="641" t="s">
        <v>30</v>
      </c>
      <c r="K47" s="666">
        <f>+B21</f>
        <v>130291.26</v>
      </c>
    </row>
    <row r="48" spans="1:11" ht="12" customHeight="1" thickBot="1" x14ac:dyDescent="0.25">
      <c r="A48" s="137" t="s">
        <v>39</v>
      </c>
      <c r="B48" s="432"/>
      <c r="C48" s="138">
        <v>3.5999999999999997E-2</v>
      </c>
      <c r="D48" s="378"/>
      <c r="E48" s="352"/>
      <c r="F48" s="356" t="str">
        <f>IF(Q4,IF(OR(R3=1,R3=2),-C48*$F$10,0),"")</f>
        <v/>
      </c>
      <c r="G48" s="357"/>
      <c r="H48" s="396"/>
      <c r="I48" s="394"/>
      <c r="J48" s="642"/>
      <c r="K48" s="667"/>
    </row>
    <row r="49" spans="1:15" ht="12" customHeight="1" thickBot="1" x14ac:dyDescent="0.25">
      <c r="A49" s="137" t="s">
        <v>40</v>
      </c>
      <c r="B49" s="433"/>
      <c r="C49" s="191">
        <v>2.4E-2</v>
      </c>
      <c r="D49" s="378"/>
      <c r="E49" s="352"/>
      <c r="F49" s="356">
        <f>IF(Q5,IF(OR(R3=1,R3=2),-C49*$F$10,0),"")</f>
        <v>0</v>
      </c>
      <c r="G49" s="357"/>
      <c r="H49" s="396"/>
      <c r="I49" s="394"/>
      <c r="J49" s="641" t="s">
        <v>34</v>
      </c>
      <c r="K49" s="666">
        <f>-E55</f>
        <v>-30966.117597900007</v>
      </c>
    </row>
    <row r="50" spans="1:15" ht="12" customHeight="1" thickBot="1" x14ac:dyDescent="0.25">
      <c r="A50" s="192" t="s">
        <v>41</v>
      </c>
      <c r="B50" s="190"/>
      <c r="C50" s="219">
        <v>36</v>
      </c>
      <c r="D50" s="378"/>
      <c r="E50" s="352"/>
      <c r="F50" s="356"/>
      <c r="G50" s="357"/>
      <c r="H50" s="396"/>
      <c r="I50" s="394"/>
      <c r="J50" s="642"/>
      <c r="K50" s="667"/>
    </row>
    <row r="51" spans="1:15" ht="12" customHeight="1" thickBot="1" x14ac:dyDescent="0.3">
      <c r="A51" s="38" t="s">
        <v>42</v>
      </c>
      <c r="B51" s="656"/>
      <c r="C51" s="657"/>
      <c r="D51" s="379"/>
      <c r="E51" s="352"/>
      <c r="F51" s="356">
        <f>-C51</f>
        <v>0</v>
      </c>
      <c r="G51" s="357"/>
      <c r="H51" s="397"/>
      <c r="I51" s="394"/>
      <c r="J51" s="571" t="s">
        <v>37</v>
      </c>
      <c r="K51" s="638"/>
    </row>
    <row r="52" spans="1:15" ht="12" customHeight="1" thickBot="1" x14ac:dyDescent="0.25">
      <c r="A52" s="38" t="s">
        <v>43</v>
      </c>
      <c r="B52" s="654">
        <f>+D87</f>
        <v>940</v>
      </c>
      <c r="C52" s="655"/>
      <c r="D52" s="378">
        <f>-B52</f>
        <v>-940</v>
      </c>
      <c r="E52" s="352"/>
      <c r="F52" s="356"/>
      <c r="G52" s="357"/>
      <c r="H52" s="397"/>
      <c r="I52" s="394"/>
      <c r="J52" s="639"/>
      <c r="K52" s="640"/>
    </row>
    <row r="53" spans="1:15" ht="12" customHeight="1" thickBot="1" x14ac:dyDescent="0.25">
      <c r="A53" s="38" t="s">
        <v>44</v>
      </c>
      <c r="B53" s="652">
        <f>+D98</f>
        <v>290</v>
      </c>
      <c r="C53" s="653"/>
      <c r="D53" s="380"/>
      <c r="E53" s="381"/>
      <c r="F53" s="382">
        <f>-B53</f>
        <v>-290</v>
      </c>
      <c r="G53" s="383"/>
      <c r="H53" s="398"/>
      <c r="I53" s="399"/>
    </row>
    <row r="54" spans="1:15" ht="12" customHeight="1" thickBot="1" x14ac:dyDescent="0.25">
      <c r="B54" s="650" t="s">
        <v>45</v>
      </c>
      <c r="C54" s="651"/>
      <c r="D54" s="201">
        <f>+SUM(D14:D53)</f>
        <v>-170325.88240210002</v>
      </c>
      <c r="E54" s="459"/>
      <c r="F54" s="460">
        <f>+SUM(F14:F53)</f>
        <v>-156818.02999999991</v>
      </c>
      <c r="G54" s="459"/>
      <c r="H54" s="461">
        <f>SUM(H15:H53)</f>
        <v>-1493.6555672131149</v>
      </c>
      <c r="I54" s="462">
        <f>SUM(I15:I53)+H10</f>
        <v>1403.137813114754</v>
      </c>
    </row>
    <row r="55" spans="1:15" ht="12" customHeight="1" thickBot="1" x14ac:dyDescent="0.25">
      <c r="A55" s="39"/>
      <c r="B55" s="664" t="s">
        <v>46</v>
      </c>
      <c r="C55" s="665"/>
      <c r="D55" s="665"/>
      <c r="E55" s="143">
        <f>+SUM(D10:E53)</f>
        <v>30966.117597900007</v>
      </c>
      <c r="F55" s="617">
        <f>+SUM(F10:G53)</f>
        <v>149854.73800000024</v>
      </c>
      <c r="G55" s="618"/>
      <c r="H55" s="141"/>
      <c r="I55" s="145">
        <f>+SUM(H54:I54)</f>
        <v>-90.517754098360911</v>
      </c>
      <c r="O55" s="112"/>
    </row>
    <row r="56" spans="1:15" ht="12" customHeight="1" x14ac:dyDescent="0.2">
      <c r="A56" s="39"/>
      <c r="B56" s="39"/>
      <c r="D56" s="39"/>
      <c r="E56" s="599" t="s">
        <v>47</v>
      </c>
      <c r="F56" s="600"/>
      <c r="G56" s="140">
        <f>SUM(E55:G55)</f>
        <v>180820.85559790026</v>
      </c>
      <c r="H56" s="141"/>
      <c r="I56" s="142"/>
      <c r="J56" s="580" t="s">
        <v>48</v>
      </c>
      <c r="K56" s="597" t="s">
        <v>49</v>
      </c>
      <c r="O56" s="112"/>
    </row>
    <row r="57" spans="1:15" ht="12" customHeight="1" thickBot="1" x14ac:dyDescent="0.25">
      <c r="A57" s="39"/>
      <c r="B57" s="39"/>
      <c r="E57" s="599" t="s">
        <v>50</v>
      </c>
      <c r="F57" s="600"/>
      <c r="G57" s="600"/>
      <c r="H57" s="463">
        <f>IF(OR(R3=2,R3=3),IF(R3=2,C50,60),0)</f>
        <v>60</v>
      </c>
      <c r="I57" s="202">
        <f>IF(OR(R3=2,R3=3),+H57*I55,0)</f>
        <v>-5431.0652459016546</v>
      </c>
      <c r="J57" s="581"/>
      <c r="K57" s="598"/>
    </row>
    <row r="58" spans="1:15" ht="12" customHeight="1" thickBot="1" x14ac:dyDescent="0.25">
      <c r="A58" s="39"/>
      <c r="B58" s="39"/>
      <c r="E58" s="144"/>
      <c r="F58" s="582" t="s">
        <v>634</v>
      </c>
      <c r="G58" s="583"/>
      <c r="H58" s="128"/>
      <c r="I58" s="128">
        <f>+I57+G56</f>
        <v>175389.79035199861</v>
      </c>
      <c r="J58" s="129">
        <f>$B$25*$I$58</f>
        <v>0</v>
      </c>
      <c r="K58" s="130">
        <f>+$I$58-J58</f>
        <v>175389.79035199861</v>
      </c>
    </row>
    <row r="59" spans="1:15" ht="12" customHeight="1" thickTop="1" thickBot="1" x14ac:dyDescent="0.3">
      <c r="A59" s="131" t="s">
        <v>51</v>
      </c>
      <c r="B59" s="662">
        <f>IF(OR(C1="Hold",D1="slow flip"),0.15,0)</f>
        <v>0.15</v>
      </c>
      <c r="C59" s="663"/>
      <c r="D59" s="131"/>
      <c r="E59" s="131"/>
      <c r="H59" s="336"/>
      <c r="I59" s="337" t="s">
        <v>620</v>
      </c>
      <c r="J59" s="140">
        <f>-I81</f>
        <v>0</v>
      </c>
      <c r="K59" s="176">
        <f>+I81</f>
        <v>0</v>
      </c>
    </row>
    <row r="60" spans="1:15" ht="12" customHeight="1" thickTop="1" thickBot="1" x14ac:dyDescent="0.3">
      <c r="A60" s="38" t="s">
        <v>53</v>
      </c>
      <c r="B60" s="658">
        <v>0.1</v>
      </c>
      <c r="C60" s="659">
        <v>0.15</v>
      </c>
      <c r="D60" s="660">
        <f>+K62*B60</f>
        <v>14908.132179919885</v>
      </c>
      <c r="E60" s="661"/>
      <c r="H60" s="589" t="s">
        <v>52</v>
      </c>
      <c r="I60" s="590"/>
      <c r="J60" s="434" t="s">
        <v>475</v>
      </c>
      <c r="K60" s="176">
        <f>IF(B59="",0,-$B$59*SUM(K58:K59))</f>
        <v>-26308.46855279979</v>
      </c>
    </row>
    <row r="61" spans="1:15" ht="12" customHeight="1" x14ac:dyDescent="0.2">
      <c r="G61" s="39"/>
      <c r="H61" s="589" t="s">
        <v>584</v>
      </c>
      <c r="I61" s="590"/>
      <c r="J61" s="129">
        <f>SUM(J58:J60)</f>
        <v>0</v>
      </c>
      <c r="K61" s="130">
        <f>SUM(K58:K60)</f>
        <v>149081.32179919883</v>
      </c>
    </row>
    <row r="62" spans="1:15" ht="12" customHeight="1" thickBot="1" x14ac:dyDescent="0.25">
      <c r="A62" s="116"/>
      <c r="C62" s="38"/>
      <c r="D62" s="38"/>
      <c r="E62" s="38"/>
      <c r="H62" s="582" t="s">
        <v>635</v>
      </c>
      <c r="I62" s="583"/>
      <c r="J62" s="134"/>
      <c r="K62" s="329">
        <f>SUM(J61:K61)</f>
        <v>149081.32179919883</v>
      </c>
    </row>
    <row r="63" spans="1:15" ht="12" customHeight="1" thickTop="1" x14ac:dyDescent="0.2">
      <c r="A63" s="120" t="s">
        <v>54</v>
      </c>
    </row>
    <row r="64" spans="1:15" ht="12" customHeight="1" thickBot="1" x14ac:dyDescent="0.25">
      <c r="A64" s="38" t="s">
        <v>55</v>
      </c>
      <c r="B64" s="603">
        <f>+'Gnatt Chart'!J5</f>
        <v>25446.674910999998</v>
      </c>
      <c r="C64" s="603"/>
      <c r="D64" s="603">
        <f>-B64</f>
        <v>-25446.674910999998</v>
      </c>
      <c r="E64" s="603"/>
    </row>
    <row r="65" spans="1:11" ht="12" customHeight="1" thickBot="1" x14ac:dyDescent="0.25">
      <c r="A65" s="38" t="s">
        <v>56</v>
      </c>
      <c r="B65" s="132">
        <v>0.1</v>
      </c>
      <c r="D65" s="603"/>
      <c r="E65" s="603"/>
      <c r="G65" s="591" t="s">
        <v>57</v>
      </c>
      <c r="H65" s="592"/>
      <c r="I65" s="592"/>
      <c r="J65" s="593"/>
    </row>
    <row r="66" spans="1:11" ht="12" customHeight="1" thickBot="1" x14ac:dyDescent="0.25">
      <c r="A66" s="38" t="s">
        <v>58</v>
      </c>
      <c r="B66" s="633">
        <f>IF(Q12&lt;&gt;"Yes",+B65*SUM(B64:C64),0)</f>
        <v>2544.6674911</v>
      </c>
      <c r="C66" s="633"/>
      <c r="D66" s="633">
        <f>-B66</f>
        <v>-2544.6674911</v>
      </c>
      <c r="E66" s="633"/>
      <c r="G66" s="594"/>
      <c r="H66" s="595"/>
      <c r="I66" s="595"/>
      <c r="J66" s="596"/>
    </row>
    <row r="67" spans="1:11" ht="12" customHeight="1" thickBot="1" x14ac:dyDescent="0.25">
      <c r="A67" s="38" t="s">
        <v>59</v>
      </c>
      <c r="D67" s="601">
        <f>+SUM(D64:E66)</f>
        <v>-27991.342402099999</v>
      </c>
      <c r="E67" s="602"/>
      <c r="G67" s="577" t="s">
        <v>570</v>
      </c>
      <c r="H67" s="578"/>
      <c r="I67" s="578"/>
      <c r="J67" s="579"/>
    </row>
    <row r="68" spans="1:11" ht="12" customHeight="1" thickTop="1" thickBot="1" x14ac:dyDescent="0.25">
      <c r="A68" s="133" t="s">
        <v>60</v>
      </c>
      <c r="B68" s="131"/>
      <c r="C68" s="131"/>
      <c r="D68" s="38"/>
      <c r="E68" s="38"/>
      <c r="G68" s="574"/>
      <c r="H68" s="575"/>
      <c r="I68" s="575"/>
      <c r="J68" s="576"/>
    </row>
    <row r="69" spans="1:11" ht="12" customHeight="1" x14ac:dyDescent="0.2">
      <c r="A69" s="38" t="s">
        <v>61</v>
      </c>
      <c r="B69" s="631">
        <v>350</v>
      </c>
      <c r="C69" s="632"/>
      <c r="D69" s="603"/>
      <c r="E69" s="603"/>
      <c r="H69" s="37"/>
      <c r="I69" s="37"/>
    </row>
    <row r="70" spans="1:11" ht="12" customHeight="1" thickBot="1" x14ac:dyDescent="0.25">
      <c r="A70" s="38" t="s">
        <v>62</v>
      </c>
      <c r="B70" s="611">
        <v>0</v>
      </c>
      <c r="C70" s="612"/>
      <c r="D70" s="603"/>
      <c r="E70" s="603"/>
      <c r="H70" s="37"/>
      <c r="I70" s="37"/>
    </row>
    <row r="71" spans="1:11" ht="12" customHeight="1" thickBot="1" x14ac:dyDescent="0.25">
      <c r="A71" s="38" t="s">
        <v>63</v>
      </c>
      <c r="B71" s="611">
        <v>250</v>
      </c>
      <c r="C71" s="612"/>
      <c r="F71" s="630" t="s">
        <v>484</v>
      </c>
      <c r="G71" s="606"/>
      <c r="H71" s="606" t="s">
        <v>216</v>
      </c>
      <c r="I71" s="606"/>
      <c r="J71" s="312" t="s">
        <v>485</v>
      </c>
    </row>
    <row r="72" spans="1:11" ht="12" customHeight="1" thickBot="1" x14ac:dyDescent="0.3">
      <c r="A72" s="38" t="s">
        <v>63</v>
      </c>
      <c r="B72" s="611"/>
      <c r="C72" s="612"/>
      <c r="F72" s="607">
        <f>_xlfn.DAYS(J72,H72)</f>
        <v>183</v>
      </c>
      <c r="G72" s="608"/>
      <c r="H72" s="609">
        <v>45748</v>
      </c>
      <c r="I72" s="610"/>
      <c r="J72" s="524">
        <v>45931</v>
      </c>
    </row>
    <row r="73" spans="1:11" ht="12" customHeight="1" x14ac:dyDescent="0.2">
      <c r="A73" s="38" t="s">
        <v>64</v>
      </c>
      <c r="B73" s="611"/>
      <c r="C73" s="612"/>
      <c r="D73" s="122"/>
      <c r="E73" s="114"/>
      <c r="F73" s="114"/>
      <c r="G73" s="114"/>
      <c r="H73" s="313"/>
      <c r="I73" s="314"/>
      <c r="J73" s="114"/>
      <c r="K73" s="584" t="s">
        <v>568</v>
      </c>
    </row>
    <row r="74" spans="1:11" ht="12" customHeight="1" x14ac:dyDescent="0.2">
      <c r="A74" s="38" t="s">
        <v>64</v>
      </c>
      <c r="B74" s="611"/>
      <c r="C74" s="612"/>
      <c r="D74" s="315"/>
      <c r="G74" s="587" t="s">
        <v>486</v>
      </c>
      <c r="H74" s="587" t="s">
        <v>487</v>
      </c>
      <c r="I74" s="587" t="s">
        <v>488</v>
      </c>
      <c r="J74" s="587" t="s">
        <v>489</v>
      </c>
      <c r="K74" s="585"/>
    </row>
    <row r="75" spans="1:11" ht="12" customHeight="1" thickBot="1" x14ac:dyDescent="0.25">
      <c r="A75" s="38" t="s">
        <v>65</v>
      </c>
      <c r="B75" s="611"/>
      <c r="C75" s="612"/>
      <c r="D75" s="115" t="s">
        <v>257</v>
      </c>
      <c r="E75" s="643" t="s">
        <v>490</v>
      </c>
      <c r="F75" s="643"/>
      <c r="G75" s="588"/>
      <c r="H75" s="588"/>
      <c r="I75" s="588"/>
      <c r="J75" s="588"/>
      <c r="K75" s="586"/>
    </row>
    <row r="76" spans="1:11" ht="12" customHeight="1" x14ac:dyDescent="0.25">
      <c r="A76" s="38" t="s">
        <v>66</v>
      </c>
      <c r="B76" s="611"/>
      <c r="C76" s="612"/>
      <c r="D76" s="387">
        <v>45397</v>
      </c>
      <c r="E76" s="644" t="s">
        <v>623</v>
      </c>
      <c r="F76" s="645"/>
      <c r="G76" s="388"/>
      <c r="H76" s="389">
        <f>+G76/$G$82</f>
        <v>0</v>
      </c>
      <c r="I76" s="390">
        <f>+$J$58*H76</f>
        <v>0</v>
      </c>
      <c r="J76" s="391">
        <f>+G76+I76</f>
        <v>0</v>
      </c>
      <c r="K76" s="392">
        <f>IF(G76="",0,+I76/G76*365/_xlfn.DAYS($J$72,D76))</f>
        <v>0</v>
      </c>
    </row>
    <row r="77" spans="1:11" ht="12" customHeight="1" x14ac:dyDescent="0.25">
      <c r="A77" s="38" t="s">
        <v>67</v>
      </c>
      <c r="B77" s="611"/>
      <c r="C77" s="612"/>
      <c r="D77" s="387">
        <f>+D76+90</f>
        <v>45487</v>
      </c>
      <c r="E77" s="644" t="str">
        <f>+E76</f>
        <v>unknown</v>
      </c>
      <c r="F77" s="645"/>
      <c r="G77" s="388"/>
      <c r="H77" s="389">
        <f>+G77/$G$82</f>
        <v>0</v>
      </c>
      <c r="I77" s="390">
        <f>+$J$58*H77</f>
        <v>0</v>
      </c>
      <c r="J77" s="391">
        <f>+G77+I77</f>
        <v>0</v>
      </c>
      <c r="K77" s="392">
        <f>IF(G77="",0,+I77/G77*365/_xlfn.DAYS($J$72,D77))</f>
        <v>0</v>
      </c>
    </row>
    <row r="78" spans="1:11" ht="12" customHeight="1" x14ac:dyDescent="0.25">
      <c r="A78" s="38" t="s">
        <v>68</v>
      </c>
      <c r="B78" s="611"/>
      <c r="C78" s="612"/>
      <c r="D78" s="387">
        <f>+D77+270</f>
        <v>45757</v>
      </c>
      <c r="E78" s="644" t="str">
        <f>+E77</f>
        <v>unknown</v>
      </c>
      <c r="F78" s="645"/>
      <c r="G78" s="388"/>
      <c r="H78" s="389">
        <f>+G78/$G$82</f>
        <v>0</v>
      </c>
      <c r="I78" s="390">
        <f>+$J$58*H78</f>
        <v>0</v>
      </c>
      <c r="J78" s="391">
        <f>+G78+I78</f>
        <v>0</v>
      </c>
      <c r="K78" s="392">
        <f>IF(G78="",0,+I78/G78*365/_xlfn.DAYS($J$72,D78))</f>
        <v>0</v>
      </c>
    </row>
    <row r="79" spans="1:11" ht="12" customHeight="1" thickBot="1" x14ac:dyDescent="0.3">
      <c r="A79" s="38" t="s">
        <v>69</v>
      </c>
      <c r="B79" s="611"/>
      <c r="C79" s="612"/>
      <c r="D79" s="387">
        <f>+J72-120</f>
        <v>45811</v>
      </c>
      <c r="E79" s="644" t="str">
        <f>+E78</f>
        <v>unknown</v>
      </c>
      <c r="F79" s="645"/>
      <c r="G79" s="388"/>
      <c r="H79" s="389">
        <f>+G79/$G$82</f>
        <v>0</v>
      </c>
      <c r="I79" s="390">
        <f>+$J$58*H79</f>
        <v>0</v>
      </c>
      <c r="J79" s="391">
        <f>+G79+I79</f>
        <v>0</v>
      </c>
      <c r="K79" s="392">
        <f>IF(G79="",0,+I79/G79*365/_xlfn.DAYS($J$72,D79))</f>
        <v>0</v>
      </c>
    </row>
    <row r="80" spans="1:11" ht="12" customHeight="1" thickBot="1" x14ac:dyDescent="0.3">
      <c r="A80" s="38" t="s">
        <v>70</v>
      </c>
      <c r="B80" s="611">
        <v>200</v>
      </c>
      <c r="C80" s="612"/>
      <c r="D80" s="360">
        <v>45422</v>
      </c>
      <c r="E80" s="646" t="str">
        <f>+F1</f>
        <v>Heritage Management</v>
      </c>
      <c r="F80" s="647"/>
      <c r="G80" s="361">
        <f>-D54-SUM(G75:G78)</f>
        <v>170325.88240210002</v>
      </c>
      <c r="H80" s="362">
        <f>+G80/$G$82</f>
        <v>1</v>
      </c>
      <c r="I80" s="361">
        <f>+$J$58*H80</f>
        <v>0</v>
      </c>
      <c r="J80" s="363">
        <f>+G80+I80</f>
        <v>170325.88240210002</v>
      </c>
      <c r="K80" s="364" t="e">
        <f>IF(G80=0,0,+I80/G80*$F$72/_xlfn.DAYS(J71,H71))</f>
        <v>#VALUE!</v>
      </c>
    </row>
    <row r="81" spans="1:11" ht="12" customHeight="1" thickBot="1" x14ac:dyDescent="0.3">
      <c r="A81" s="38" t="s">
        <v>71</v>
      </c>
      <c r="B81" s="611"/>
      <c r="C81" s="612"/>
      <c r="D81" s="365" t="str">
        <f>+J71</f>
        <v>End Date</v>
      </c>
      <c r="E81" s="604" t="s">
        <v>621</v>
      </c>
      <c r="F81" s="605"/>
      <c r="G81" s="366">
        <f>+SUM(G75:G78)</f>
        <v>0</v>
      </c>
      <c r="H81" s="367">
        <f>+SUM(H75:H78)</f>
        <v>0</v>
      </c>
      <c r="I81" s="366">
        <f>+SUM(I75:I78)</f>
        <v>0</v>
      </c>
      <c r="J81" s="366">
        <f>+SUM(J75:J78)</f>
        <v>0</v>
      </c>
      <c r="K81" s="368">
        <f>AVERAGE(K75:K78)</f>
        <v>0</v>
      </c>
    </row>
    <row r="82" spans="1:11" ht="12" customHeight="1" thickBot="1" x14ac:dyDescent="0.3">
      <c r="A82" s="38" t="s">
        <v>72</v>
      </c>
      <c r="B82" s="611"/>
      <c r="C82" s="612"/>
      <c r="D82" s="369"/>
      <c r="E82" s="370" t="s">
        <v>622</v>
      </c>
      <c r="F82" s="371"/>
      <c r="G82" s="372">
        <f>SUM(G75:G78)+G80</f>
        <v>170325.88240210002</v>
      </c>
      <c r="H82" s="373">
        <f>SUM(H75:H78)+H80</f>
        <v>1</v>
      </c>
      <c r="I82" s="372">
        <f>SUM(I78:I81)</f>
        <v>0</v>
      </c>
      <c r="J82" s="374">
        <f>SUM(J75:J78)</f>
        <v>0</v>
      </c>
      <c r="K82" s="375" t="e">
        <f>AVERAGE(K75:K81)</f>
        <v>#VALUE!</v>
      </c>
    </row>
    <row r="83" spans="1:11" ht="12" customHeight="1" x14ac:dyDescent="0.2">
      <c r="A83" s="38" t="s">
        <v>73</v>
      </c>
      <c r="B83" s="611">
        <v>90</v>
      </c>
      <c r="C83" s="612"/>
      <c r="D83" s="603"/>
      <c r="E83" s="603"/>
    </row>
    <row r="84" spans="1:11" ht="12" customHeight="1" x14ac:dyDescent="0.2">
      <c r="A84" s="38" t="s">
        <v>569</v>
      </c>
      <c r="B84" s="611">
        <v>20</v>
      </c>
      <c r="C84" s="612"/>
      <c r="D84" s="603"/>
      <c r="E84" s="603"/>
    </row>
    <row r="85" spans="1:11" ht="12" customHeight="1" x14ac:dyDescent="0.2">
      <c r="A85" s="38" t="s">
        <v>74</v>
      </c>
      <c r="B85" s="611">
        <v>30</v>
      </c>
      <c r="C85" s="612"/>
      <c r="D85" s="603"/>
      <c r="E85" s="603"/>
    </row>
    <row r="86" spans="1:11" ht="12" customHeight="1" thickBot="1" x14ac:dyDescent="0.25">
      <c r="A86" s="38" t="s">
        <v>75</v>
      </c>
      <c r="B86" s="648"/>
      <c r="C86" s="649"/>
      <c r="D86" s="636"/>
      <c r="E86" s="637"/>
    </row>
    <row r="87" spans="1:11" ht="12" customHeight="1" thickBot="1" x14ac:dyDescent="0.25">
      <c r="D87" s="601">
        <f>+SUM(B69:C86)</f>
        <v>940</v>
      </c>
      <c r="E87" s="602"/>
      <c r="G87" s="571" t="s">
        <v>76</v>
      </c>
      <c r="H87" s="572"/>
      <c r="I87" s="572"/>
      <c r="J87" s="573"/>
    </row>
    <row r="88" spans="1:11" ht="12" customHeight="1" thickBot="1" x14ac:dyDescent="0.25">
      <c r="G88" s="574"/>
      <c r="H88" s="575"/>
      <c r="I88" s="575"/>
      <c r="J88" s="576"/>
    </row>
    <row r="89" spans="1:11" ht="12" customHeight="1" thickTop="1" thickBot="1" x14ac:dyDescent="0.25">
      <c r="A89" s="133" t="s">
        <v>77</v>
      </c>
      <c r="B89" s="131"/>
      <c r="C89" s="131"/>
      <c r="D89" s="131"/>
      <c r="E89" s="131"/>
    </row>
    <row r="90" spans="1:11" ht="12" customHeight="1" x14ac:dyDescent="0.2">
      <c r="A90" s="38" t="s">
        <v>61</v>
      </c>
      <c r="B90" s="631"/>
      <c r="C90" s="632"/>
      <c r="D90" s="603"/>
      <c r="E90" s="603"/>
    </row>
    <row r="91" spans="1:11" ht="12" customHeight="1" x14ac:dyDescent="0.2">
      <c r="A91" s="38" t="s">
        <v>63</v>
      </c>
      <c r="B91" s="611">
        <v>250</v>
      </c>
      <c r="C91" s="612"/>
      <c r="D91" s="603"/>
      <c r="E91" s="603"/>
    </row>
    <row r="92" spans="1:11" ht="12" customHeight="1" x14ac:dyDescent="0.2">
      <c r="A92" s="38" t="s">
        <v>78</v>
      </c>
      <c r="B92" s="611">
        <v>0</v>
      </c>
      <c r="C92" s="612"/>
      <c r="D92" s="603"/>
      <c r="E92" s="603"/>
    </row>
    <row r="93" spans="1:11" ht="12" customHeight="1" x14ac:dyDescent="0.2">
      <c r="A93" s="38" t="s">
        <v>79</v>
      </c>
      <c r="B93" s="611"/>
      <c r="C93" s="612"/>
      <c r="D93" s="603"/>
      <c r="E93" s="603"/>
    </row>
    <row r="94" spans="1:11" ht="12" customHeight="1" x14ac:dyDescent="0.2">
      <c r="A94" s="38" t="s">
        <v>73</v>
      </c>
      <c r="B94" s="611"/>
      <c r="C94" s="612"/>
      <c r="D94" s="603"/>
      <c r="E94" s="603"/>
    </row>
    <row r="95" spans="1:11" ht="12" customHeight="1" x14ac:dyDescent="0.2">
      <c r="A95" s="38" t="s">
        <v>80</v>
      </c>
      <c r="B95" s="611">
        <v>40</v>
      </c>
      <c r="C95" s="612"/>
      <c r="D95" s="603"/>
      <c r="E95" s="603"/>
    </row>
    <row r="96" spans="1:11" ht="12" customHeight="1" x14ac:dyDescent="0.2">
      <c r="A96" s="38" t="s">
        <v>81</v>
      </c>
      <c r="B96" s="611"/>
      <c r="C96" s="612"/>
      <c r="D96" s="603"/>
      <c r="E96" s="603"/>
    </row>
    <row r="97" spans="1:10" ht="12" customHeight="1" thickBot="1" x14ac:dyDescent="0.25">
      <c r="A97" s="38" t="s">
        <v>75</v>
      </c>
      <c r="B97" s="634"/>
      <c r="C97" s="635"/>
      <c r="D97" s="636"/>
      <c r="E97" s="637"/>
    </row>
    <row r="98" spans="1:10" ht="12" customHeight="1" thickTop="1" thickBot="1" x14ac:dyDescent="0.25">
      <c r="D98" s="601">
        <f>+SUM(B90:C97)</f>
        <v>290</v>
      </c>
      <c r="E98" s="602"/>
      <c r="G98" s="571" t="s">
        <v>82</v>
      </c>
      <c r="H98" s="572"/>
      <c r="I98" s="572"/>
      <c r="J98" s="573"/>
    </row>
    <row r="99" spans="1:10" ht="12" customHeight="1" thickBot="1" x14ac:dyDescent="0.25">
      <c r="G99" s="574"/>
      <c r="H99" s="575"/>
      <c r="I99" s="575"/>
      <c r="J99" s="576"/>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F1:H1"/>
    <mergeCell ref="B21:C21"/>
    <mergeCell ref="B9:C9"/>
    <mergeCell ref="B27:C27"/>
    <mergeCell ref="J2:J3"/>
    <mergeCell ref="H2:I3"/>
    <mergeCell ref="D3:E3"/>
    <mergeCell ref="F3:G3"/>
    <mergeCell ref="B4:C4"/>
    <mergeCell ref="B6:C6"/>
    <mergeCell ref="K7:K8"/>
    <mergeCell ref="J29:K30"/>
    <mergeCell ref="J14:K17"/>
    <mergeCell ref="J7:J8"/>
    <mergeCell ref="J9:J10"/>
    <mergeCell ref="C10:D10"/>
    <mergeCell ref="K47:K48"/>
    <mergeCell ref="J47:J48"/>
    <mergeCell ref="J31:K34"/>
    <mergeCell ref="H10:I10"/>
    <mergeCell ref="H14:I14"/>
    <mergeCell ref="B24:C2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1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7.5703125" style="50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602</v>
      </c>
      <c r="N1" s="343"/>
      <c r="O1" s="507" t="s">
        <v>659</v>
      </c>
      <c r="P1" s="13">
        <v>2.5000000000000001E-2</v>
      </c>
      <c r="Q1" s="13">
        <v>3.5000000000000003E-2</v>
      </c>
      <c r="R1" s="13">
        <v>3.2500000000000001E-2</v>
      </c>
      <c r="S1" s="13"/>
      <c r="T1" s="13"/>
      <c r="Y1" s="343"/>
      <c r="Z1" s="503"/>
      <c r="AA1" s="507"/>
      <c r="AB1" s="13"/>
      <c r="AC1" s="13"/>
      <c r="AD1" s="13"/>
      <c r="AE1" s="13"/>
      <c r="AF1" s="13"/>
      <c r="AJ1" s="516"/>
      <c r="AK1" s="13"/>
      <c r="AP1"/>
      <c r="AQ1"/>
      <c r="AR1" s="348" t="s">
        <v>611</v>
      </c>
      <c r="AS1" s="348" t="s">
        <v>612</v>
      </c>
      <c r="AT1" s="348" t="s">
        <v>613</v>
      </c>
      <c r="AU1" s="516" t="s">
        <v>614</v>
      </c>
      <c r="AV1" s="14"/>
      <c r="AW1"/>
      <c r="AX1" s="285"/>
      <c r="AY1" s="14"/>
    </row>
    <row r="2" spans="1:51" ht="15.75" thickBot="1" x14ac:dyDescent="0.3">
      <c r="B2" s="344" t="s">
        <v>598</v>
      </c>
      <c r="C2" s="520">
        <f>+Profit!C15</f>
        <v>97228</v>
      </c>
      <c r="N2" s="30" t="s">
        <v>607</v>
      </c>
      <c r="O2" s="508">
        <f>IF($AW$2=1,P2,IF($AW$2=2,Q2,IF($AW$2=3,R2)))</f>
        <v>0.1</v>
      </c>
      <c r="P2" s="509">
        <v>0.1</v>
      </c>
      <c r="Q2" s="509">
        <v>0.15</v>
      </c>
      <c r="R2" s="509">
        <v>0.2</v>
      </c>
      <c r="Y2" s="340"/>
      <c r="Z2" s="30" t="s">
        <v>607</v>
      </c>
      <c r="AA2" s="508">
        <f>IF($AW$2=1,AB2,IF($AW$2=2,AC2,IF($AW$2=3,AD2)))</f>
        <v>0.1</v>
      </c>
      <c r="AB2" s="509">
        <v>0.1</v>
      </c>
      <c r="AC2" s="509">
        <v>0.15</v>
      </c>
      <c r="AD2" s="509">
        <v>0.2</v>
      </c>
      <c r="AJ2" s="14"/>
      <c r="AK2" s="14"/>
      <c r="AP2" s="30" t="s">
        <v>605</v>
      </c>
      <c r="AQ2" s="341">
        <v>0.03</v>
      </c>
      <c r="AS2" s="285"/>
      <c r="AT2" s="285"/>
      <c r="AU2" s="14"/>
      <c r="AV2" s="14"/>
      <c r="AW2">
        <v>1</v>
      </c>
      <c r="AX2" s="285"/>
    </row>
    <row r="3" spans="1:51" ht="15.75" thickBot="1" x14ac:dyDescent="0.3">
      <c r="B3" s="344" t="s">
        <v>597</v>
      </c>
      <c r="C3" s="479">
        <f>+Profit!B15</f>
        <v>3.7499999999999999E-2</v>
      </c>
      <c r="N3" s="487"/>
      <c r="O3" s="412">
        <f>IF($AW$2=1,P3,IF($AW$2=2,Q3,IF($AW$2=3,R3)))</f>
        <v>290640</v>
      </c>
      <c r="P3" s="413">
        <f>+Profit!$B$4*(1+$M$4)</f>
        <v>290640</v>
      </c>
      <c r="Q3" s="414">
        <f>+P3</f>
        <v>290640</v>
      </c>
      <c r="R3" s="415">
        <f>+Q3</f>
        <v>290640</v>
      </c>
      <c r="Y3" s="710" t="s">
        <v>606</v>
      </c>
      <c r="Z3" s="711"/>
      <c r="AA3" s="412">
        <f>IF($AW$2=1,AB3,IF($AW$2=2,AC3,IF($AW$2=3,AD3)))</f>
        <v>360257.4</v>
      </c>
      <c r="AB3" s="413">
        <f>+O3+X5</f>
        <v>360257.4</v>
      </c>
      <c r="AC3" s="414">
        <f>+AB3</f>
        <v>360257.4</v>
      </c>
      <c r="AD3" s="415">
        <f>+AC3</f>
        <v>360257.4</v>
      </c>
      <c r="AJ3" s="14"/>
      <c r="AK3" s="14"/>
      <c r="AP3" s="30" t="s">
        <v>608</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4" t="s">
        <v>599</v>
      </c>
      <c r="C4" s="519">
        <v>30</v>
      </c>
      <c r="D4" s="14">
        <f>+C4*12</f>
        <v>360</v>
      </c>
      <c r="L4" s="2" t="s">
        <v>661</v>
      </c>
      <c r="M4" s="478">
        <v>0.05</v>
      </c>
      <c r="N4" s="487"/>
      <c r="O4" s="412">
        <f>IF($AW$2=1,P4,IF($AW$2=2,Q4,IF($AW$2=3,R4)))</f>
        <v>29064</v>
      </c>
      <c r="P4" s="413">
        <f t="shared" ref="P4:R4" si="0">+$O$3*P2</f>
        <v>29064</v>
      </c>
      <c r="Q4" s="414">
        <f t="shared" si="0"/>
        <v>43596</v>
      </c>
      <c r="R4" s="415">
        <f t="shared" si="0"/>
        <v>58128</v>
      </c>
      <c r="W4" s="486" t="s">
        <v>730</v>
      </c>
      <c r="Y4" s="710" t="s">
        <v>607</v>
      </c>
      <c r="Z4" s="711"/>
      <c r="AA4" s="412">
        <f>IF($AW$2=1,AB4,IF($AW$2=2,AC4,IF($AW$2=3,AD4)))</f>
        <v>29064</v>
      </c>
      <c r="AB4" s="413">
        <f t="shared" ref="AB4:AD4" si="1">+$O$3*AB2</f>
        <v>29064</v>
      </c>
      <c r="AC4" s="414">
        <f t="shared" si="1"/>
        <v>43596</v>
      </c>
      <c r="AD4" s="415">
        <f t="shared" si="1"/>
        <v>58128</v>
      </c>
      <c r="AJ4" s="14"/>
      <c r="AK4" s="14"/>
      <c r="AP4" s="30" t="s">
        <v>626</v>
      </c>
      <c r="AQ4"/>
      <c r="AR4" s="285">
        <f>_xlfn.XLOOKUP(5,$L:$L,$AW:$AW)</f>
        <v>0</v>
      </c>
      <c r="AS4" s="285">
        <f>_xlfn.XLOOKUP(10,$L:$L,$AW:$AW)</f>
        <v>0</v>
      </c>
      <c r="AT4" s="285">
        <f>_xlfn.XLOOKUP(20,$L:$L,$AW:$AW)</f>
        <v>0</v>
      </c>
      <c r="AU4" s="14">
        <f>_xlfn.XLOOKUP(29,$L:$L,$AW:$AW)</f>
        <v>0</v>
      </c>
      <c r="AV4" s="14"/>
      <c r="AW4"/>
      <c r="AX4" s="285"/>
      <c r="AY4" s="14"/>
    </row>
    <row r="5" spans="1:51" ht="15.75" thickBot="1" x14ac:dyDescent="0.3">
      <c r="B5" s="344" t="s">
        <v>596</v>
      </c>
      <c r="C5" s="14">
        <f>ROUND(PMT($C$3/12,$D$4,-$C$2,0), 2)</f>
        <v>450.28</v>
      </c>
      <c r="N5" s="487"/>
      <c r="O5" s="412">
        <f>IF($AW$2=1,P5,IF($AW$2=2,Q5,IF($AW$2=3,R5)))</f>
        <v>261576</v>
      </c>
      <c r="P5" s="413">
        <f t="shared" ref="P5:R5" si="2">+P3-P4</f>
        <v>261576</v>
      </c>
      <c r="Q5" s="414">
        <f t="shared" si="2"/>
        <v>247044</v>
      </c>
      <c r="R5" s="415">
        <f t="shared" si="2"/>
        <v>232512</v>
      </c>
      <c r="W5" s="2" t="s">
        <v>689</v>
      </c>
      <c r="X5" s="413">
        <f>+AI8</f>
        <v>69617.399999999994</v>
      </c>
      <c r="Y5" s="719" t="s">
        <v>598</v>
      </c>
      <c r="Z5" s="720"/>
      <c r="AA5" s="412">
        <f>IF($AW$2=1,AB5,IF($AW$2=2,AC5,IF($AW$2=3,AD5)))</f>
        <v>331193.40000000002</v>
      </c>
      <c r="AB5" s="413">
        <f t="shared" ref="AB5:AD5" si="3">+AB3-AB4</f>
        <v>331193.40000000002</v>
      </c>
      <c r="AC5" s="414">
        <f t="shared" si="3"/>
        <v>316661.40000000002</v>
      </c>
      <c r="AD5" s="415">
        <f t="shared" si="3"/>
        <v>302129.40000000002</v>
      </c>
      <c r="AJ5" s="21"/>
      <c r="AK5" s="14"/>
      <c r="AP5" s="30" t="s">
        <v>609</v>
      </c>
      <c r="AQ5"/>
      <c r="AR5" s="346">
        <f>_xlfn.XLOOKUP(5,$L:$L,$AV:$AV)</f>
        <v>78407.570065820924</v>
      </c>
      <c r="AS5" s="346">
        <f>_xlfn.XLOOKUP(10,$L:$L,$AV:$AV)</f>
        <v>133354.62044153098</v>
      </c>
      <c r="AT5" s="346">
        <f>_xlfn.XLOOKUP(20,$L:$L,$AV:$AV)</f>
        <v>271325.0335870565</v>
      </c>
      <c r="AU5" s="21">
        <f>_xlfn.XLOOKUP(29,$L:$L,$AV:$AV)</f>
        <v>436270.23883955862</v>
      </c>
      <c r="AV5" s="14"/>
      <c r="AW5"/>
      <c r="AX5" s="285"/>
      <c r="AY5" s="14"/>
    </row>
    <row r="6" spans="1:51" ht="15.75" thickBot="1" x14ac:dyDescent="0.3">
      <c r="N6" s="487"/>
      <c r="O6" s="479">
        <f>IF($AW$2=1,P6,IF($AW$2=2,Q6,IF($AW$2=3,R6)))</f>
        <v>6.25E-2</v>
      </c>
      <c r="P6" s="341">
        <f>+$C$3+P1</f>
        <v>6.25E-2</v>
      </c>
      <c r="Q6" s="466">
        <f>+$C$3+Q1</f>
        <v>7.2500000000000009E-2</v>
      </c>
      <c r="R6" s="467">
        <f>+$C$3+R1</f>
        <v>7.0000000000000007E-2</v>
      </c>
      <c r="AB6" s="341">
        <f>+$C$3+P1</f>
        <v>6.25E-2</v>
      </c>
      <c r="AC6" s="466">
        <f>+$C$3+Q1</f>
        <v>7.2500000000000009E-2</v>
      </c>
      <c r="AD6" s="467">
        <f>+$C$3+R1</f>
        <v>7.0000000000000007E-2</v>
      </c>
      <c r="AH6" s="22"/>
      <c r="AI6" s="14" t="s">
        <v>723</v>
      </c>
      <c r="AJ6" s="14" t="s">
        <v>722</v>
      </c>
      <c r="AK6" s="517"/>
      <c r="AP6" s="30" t="s">
        <v>610</v>
      </c>
      <c r="AQ6"/>
      <c r="AR6" s="347">
        <f>SUM(AR3:AR5)</f>
        <v>148704.70006582094</v>
      </c>
      <c r="AS6" s="347">
        <f>SUM(AS3:AS5)</f>
        <v>273269.15044153074</v>
      </c>
      <c r="AT6" s="347">
        <f>SUM(AT3:AT5)</f>
        <v>550474.36358705675</v>
      </c>
      <c r="AU6" s="517">
        <f>SUM(AU3:AU5)</f>
        <v>855590.12883955752</v>
      </c>
      <c r="AV6" s="14"/>
      <c r="AW6"/>
      <c r="AX6" s="285"/>
      <c r="AY6" s="14"/>
    </row>
    <row r="7" spans="1:51" ht="15.75" thickBot="1" x14ac:dyDescent="0.3">
      <c r="N7" s="487"/>
      <c r="O7" s="510">
        <v>30</v>
      </c>
      <c r="P7" s="508">
        <f>+O7*12</f>
        <v>360</v>
      </c>
      <c r="Z7" s="285"/>
      <c r="AB7" s="510">
        <v>30</v>
      </c>
      <c r="AG7" s="30" t="s">
        <v>628</v>
      </c>
      <c r="AH7"/>
      <c r="AI7" s="285">
        <f>_xlfn.XLOOKUP(12,$M:$M,AS:AS)</f>
        <v>1160.29</v>
      </c>
      <c r="AJ7" s="285">
        <f>_xlfn.XLOOKUP(12,$M:$M,$AP:$AP)</f>
        <v>1083.53</v>
      </c>
      <c r="AK7" s="14"/>
      <c r="AP7" s="285"/>
      <c r="AQ7" s="285"/>
      <c r="AR7" s="285"/>
      <c r="AU7"/>
    </row>
    <row r="8" spans="1:51" ht="15.75" thickBot="1" x14ac:dyDescent="0.3">
      <c r="N8" s="487"/>
      <c r="O8" s="508">
        <f>ROUND(PMT($O$6/12,$P$7,-$O$5,0), 2)</f>
        <v>1610.57</v>
      </c>
      <c r="S8" s="507" t="s">
        <v>662</v>
      </c>
      <c r="T8" s="14">
        <v>134.16999999999999</v>
      </c>
      <c r="Y8" s="486" t="str">
        <f>+"Payment at "&amp;AA8</f>
        <v>Payment at 0.0375</v>
      </c>
      <c r="Z8" s="412">
        <f>ROUND(PMT($AA$8/12,$AC$8,-$AB$8,0), 2)</f>
        <v>1533.81</v>
      </c>
      <c r="AA8" s="479">
        <f>+C3</f>
        <v>3.7499999999999999E-2</v>
      </c>
      <c r="AB8" s="412">
        <f>+AA5</f>
        <v>331193.40000000002</v>
      </c>
      <c r="AC8" s="520">
        <f>+AB7*12</f>
        <v>360</v>
      </c>
      <c r="AG8" s="30" t="s">
        <v>721</v>
      </c>
      <c r="AH8"/>
      <c r="AI8" s="285">
        <f>+AI7*60</f>
        <v>69617.399999999994</v>
      </c>
      <c r="AJ8" s="285">
        <f>+AJ7*60</f>
        <v>65011.799999999996</v>
      </c>
      <c r="AK8" s="517"/>
      <c r="AQ8" s="507" t="s">
        <v>686</v>
      </c>
      <c r="AR8" s="285">
        <f>-_xlfn.XLOOKUP(5,$L:$L,$K:$K)</f>
        <v>-79062.029999999926</v>
      </c>
      <c r="AS8" s="517"/>
      <c r="AU8"/>
    </row>
    <row r="9" spans="1:51" ht="15.75" thickBot="1" x14ac:dyDescent="0.3">
      <c r="N9" s="487"/>
      <c r="O9" s="14">
        <v>45717</v>
      </c>
      <c r="S9" s="507" t="s">
        <v>663</v>
      </c>
      <c r="T9" s="14">
        <v>188.55</v>
      </c>
      <c r="Y9" s="486" t="str">
        <f>+"Payment at "&amp;AA9</f>
        <v>Payment at 0.0625</v>
      </c>
      <c r="Z9" s="412">
        <f>ROUND(PMT($AA$9/12,$AC$9,-$AB$9,0), 2)</f>
        <v>1630.04</v>
      </c>
      <c r="AA9" s="479">
        <f>IF($AW$2=1,AB6,IF($AW$2=2,AC6,IF($AW$2=3,AD6)))</f>
        <v>6.25E-2</v>
      </c>
      <c r="AB9" s="412">
        <v>247099</v>
      </c>
      <c r="AC9" s="520">
        <f>+AC8-60</f>
        <v>300</v>
      </c>
      <c r="AG9" s="30" t="s">
        <v>630</v>
      </c>
      <c r="AH9"/>
      <c r="AI9" s="285">
        <f>-_xlfn.XLOOKUP(5,$L:$L,$K:$K)</f>
        <v>-79062.029999999926</v>
      </c>
      <c r="AJ9" s="285">
        <f>-_xlfn.XLOOKUP(5,$L:$L,$K:$K)</f>
        <v>-79062.029999999926</v>
      </c>
      <c r="AK9" s="14"/>
      <c r="AQ9" s="507" t="s">
        <v>687</v>
      </c>
      <c r="AR9" s="346">
        <f>_xlfn.XLOOKUP(5,$L:$L,$W:$W)</f>
        <v>243808.7600000001</v>
      </c>
    </row>
    <row r="10" spans="1:51" ht="15" customHeight="1" thickBot="1" x14ac:dyDescent="0.3">
      <c r="AB10" s="412">
        <f>_xlfn.XLOOKUP(60,$M:$M,AL:AL)</f>
        <v>298253.79000000015</v>
      </c>
      <c r="AG10" s="30" t="s">
        <v>631</v>
      </c>
      <c r="AH10"/>
      <c r="AI10" s="346">
        <f>_xlfn.XLOOKUP(5,$L:$L,$W:$W)</f>
        <v>243808.7600000001</v>
      </c>
      <c r="AJ10" s="346">
        <f>_xlfn.XLOOKUP(5,$L:$L,$AL:$AL)</f>
        <v>298253.79000000015</v>
      </c>
      <c r="AK10" s="14"/>
      <c r="AQ10" s="507" t="s">
        <v>688</v>
      </c>
      <c r="AR10" s="468">
        <f>SUM(AR8:AR9)</f>
        <v>164746.73000000016</v>
      </c>
    </row>
    <row r="11" spans="1:51" ht="15.75" thickBot="1" x14ac:dyDescent="0.3">
      <c r="Y11" s="713"/>
      <c r="Z11" s="714"/>
      <c r="AC11" s="507"/>
      <c r="AG11" s="30" t="s">
        <v>660</v>
      </c>
      <c r="AH11"/>
      <c r="AI11" s="468">
        <f>SUM(AI8:AI10)</f>
        <v>234364.13000000018</v>
      </c>
      <c r="AJ11" s="468">
        <f>SUM(AJ8:AJ10)</f>
        <v>284203.56000000023</v>
      </c>
      <c r="AK11" s="14"/>
      <c r="AP11" s="468"/>
      <c r="AQ11" s="468"/>
      <c r="AR11" s="285"/>
    </row>
    <row r="12" spans="1:51" ht="15.75" thickBot="1" x14ac:dyDescent="0.3">
      <c r="N12" s="725" t="str">
        <f>"Mortgage Fixed at "&amp; O6</f>
        <v>Mortgage Fixed at 0.0625</v>
      </c>
      <c r="O12" s="726"/>
      <c r="P12" s="726"/>
      <c r="Q12" s="726"/>
      <c r="R12" s="726"/>
      <c r="S12" s="726"/>
      <c r="T12" s="726"/>
      <c r="U12" s="726"/>
      <c r="V12" s="726"/>
      <c r="W12" s="727"/>
      <c r="Y12" s="725" t="str">
        <f>"Mortgage Reduced to "&amp;AA8&amp;"% for 1st 5 years then "&amp;AA9 &amp; "%"</f>
        <v>Mortgage Reduced to 0.0375% for 1st 5 years then 0.0625%</v>
      </c>
      <c r="Z12" s="726"/>
      <c r="AA12" s="726"/>
      <c r="AB12" s="726"/>
      <c r="AC12" s="726"/>
      <c r="AD12" s="726"/>
      <c r="AE12" s="726"/>
      <c r="AF12" s="726"/>
      <c r="AG12" s="726"/>
      <c r="AH12" s="726"/>
      <c r="AI12" s="728"/>
      <c r="AJ12" s="728"/>
      <c r="AK12" s="728"/>
      <c r="AL12" s="699"/>
    </row>
    <row r="13" spans="1:51" ht="15" customHeight="1" thickBot="1" x14ac:dyDescent="0.3">
      <c r="C13" s="721" t="s">
        <v>695</v>
      </c>
      <c r="D13" s="722"/>
      <c r="E13" s="723"/>
      <c r="F13" s="723"/>
      <c r="G13" s="723"/>
      <c r="H13" s="724"/>
      <c r="I13" s="712" t="s">
        <v>691</v>
      </c>
      <c r="J13" s="608"/>
      <c r="N13" s="521"/>
      <c r="U13" s="715" t="s">
        <v>691</v>
      </c>
      <c r="V13" s="717"/>
      <c r="W13" s="521"/>
      <c r="Y13" s="521"/>
      <c r="AA13" s="715" t="s">
        <v>695</v>
      </c>
      <c r="AB13" s="716"/>
      <c r="AC13" s="718"/>
      <c r="AD13" s="718"/>
      <c r="AE13" s="718"/>
      <c r="AF13" s="692"/>
      <c r="AG13" s="715" t="s">
        <v>691</v>
      </c>
      <c r="AH13" s="717"/>
      <c r="AI13" s="715" t="s">
        <v>708</v>
      </c>
      <c r="AJ13" s="716"/>
      <c r="AK13" s="717"/>
      <c r="AL13" s="521"/>
      <c r="AN13" s="712" t="s">
        <v>724</v>
      </c>
      <c r="AO13" s="608"/>
      <c r="AP13" s="712" t="s">
        <v>725</v>
      </c>
      <c r="AQ13" s="608"/>
      <c r="AT13" s="516" t="s">
        <v>691</v>
      </c>
      <c r="AU13" s="712" t="s">
        <v>706</v>
      </c>
      <c r="AV13" s="608"/>
    </row>
    <row r="14" spans="1:51" ht="15" customHeight="1" thickBot="1" x14ac:dyDescent="0.3">
      <c r="A14" s="514" t="s">
        <v>257</v>
      </c>
      <c r="B14" s="345" t="s">
        <v>702</v>
      </c>
      <c r="C14" s="511" t="s">
        <v>204</v>
      </c>
      <c r="D14" s="518" t="s">
        <v>699</v>
      </c>
      <c r="E14" s="511" t="s">
        <v>693</v>
      </c>
      <c r="F14" s="511" t="s">
        <v>704</v>
      </c>
      <c r="G14" s="511" t="s">
        <v>701</v>
      </c>
      <c r="H14" s="511" t="s">
        <v>700</v>
      </c>
      <c r="I14" s="506" t="s">
        <v>699</v>
      </c>
      <c r="J14" s="506" t="s">
        <v>693</v>
      </c>
      <c r="K14" s="425" t="s">
        <v>705</v>
      </c>
      <c r="L14" s="416" t="s">
        <v>627</v>
      </c>
      <c r="M14" s="416" t="s">
        <v>600</v>
      </c>
      <c r="N14" s="345" t="s">
        <v>702</v>
      </c>
      <c r="O14" s="511" t="s">
        <v>204</v>
      </c>
      <c r="P14" s="511" t="s">
        <v>699</v>
      </c>
      <c r="Q14" s="511" t="s">
        <v>693</v>
      </c>
      <c r="R14" s="511" t="s">
        <v>704</v>
      </c>
      <c r="S14" s="511" t="s">
        <v>701</v>
      </c>
      <c r="T14" s="511" t="s">
        <v>690</v>
      </c>
      <c r="U14" s="506" t="s">
        <v>692</v>
      </c>
      <c r="V14" s="506" t="s">
        <v>693</v>
      </c>
      <c r="W14" s="511" t="s">
        <v>705</v>
      </c>
      <c r="X14" s="514" t="s">
        <v>257</v>
      </c>
      <c r="Y14" s="345" t="s">
        <v>702</v>
      </c>
      <c r="Z14" s="511" t="s">
        <v>694</v>
      </c>
      <c r="AA14" s="511" t="s">
        <v>204</v>
      </c>
      <c r="AB14" s="511" t="s">
        <v>699</v>
      </c>
      <c r="AC14" s="511" t="s">
        <v>693</v>
      </c>
      <c r="AD14" s="511" t="s">
        <v>704</v>
      </c>
      <c r="AE14" s="511" t="s">
        <v>701</v>
      </c>
      <c r="AF14" s="511" t="s">
        <v>700</v>
      </c>
      <c r="AG14" s="506" t="s">
        <v>699</v>
      </c>
      <c r="AH14" s="506" t="s">
        <v>693</v>
      </c>
      <c r="AI14" s="506" t="s">
        <v>709</v>
      </c>
      <c r="AJ14" s="506" t="s">
        <v>697</v>
      </c>
      <c r="AK14" s="506" t="s">
        <v>698</v>
      </c>
      <c r="AL14" s="506" t="s">
        <v>703</v>
      </c>
      <c r="AM14" s="416" t="s">
        <v>627</v>
      </c>
      <c r="AN14" s="511" t="s">
        <v>707</v>
      </c>
      <c r="AO14" s="511" t="s">
        <v>601</v>
      </c>
      <c r="AP14" s="511" t="s">
        <v>707</v>
      </c>
      <c r="AQ14" s="511" t="s">
        <v>601</v>
      </c>
      <c r="AR14" s="342" t="s">
        <v>603</v>
      </c>
      <c r="AS14" s="511" t="s">
        <v>604</v>
      </c>
      <c r="AT14" s="511" t="s">
        <v>604</v>
      </c>
      <c r="AU14" s="345" t="s">
        <v>695</v>
      </c>
      <c r="AV14" s="345" t="s">
        <v>696</v>
      </c>
    </row>
    <row r="15" spans="1:51" x14ac:dyDescent="0.25">
      <c r="A15" s="51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6">
        <f t="shared" ref="L15:L78" si="6">IF(MOD(M15,12)=0,M15/12,L14)</f>
        <v>0</v>
      </c>
      <c r="M15" s="426">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12">
        <f>+A15</f>
        <v>44409</v>
      </c>
      <c r="Y15" s="285">
        <f>+AA5</f>
        <v>331193.40000000002</v>
      </c>
      <c r="Z15" s="50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22">
        <f>SUM(AB15:AC15)-SUM(P15:Q15)</f>
        <v>0</v>
      </c>
      <c r="AJ15" s="522">
        <f t="shared" ref="AJ15:AJ78" si="17">+W15-AL15</f>
        <v>-69617.400000000023</v>
      </c>
      <c r="AK15" s="522"/>
      <c r="AL15" s="285">
        <f t="shared" ref="AL15" si="18">+Y15-AB15</f>
        <v>331193.40000000002</v>
      </c>
      <c r="AM15" s="426">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1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6">
        <f t="shared" si="6"/>
        <v>0</v>
      </c>
      <c r="M16" s="426">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12">
        <f t="shared" ref="X16:X79" si="27">+A16</f>
        <v>44439</v>
      </c>
      <c r="Y16" s="285">
        <f>IF(+AL15&lt;0,0,+AL15)</f>
        <v>331193.40000000002</v>
      </c>
      <c r="Z16" s="50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22">
        <f t="shared" ref="AI16:AI58" si="28">O16-AA16+AI15</f>
        <v>0</v>
      </c>
      <c r="AJ16" s="522">
        <f t="shared" si="17"/>
        <v>-69617.400000000023</v>
      </c>
      <c r="AK16" s="522"/>
      <c r="AL16" s="285">
        <f>+Y16-AB16</f>
        <v>331193.40000000002</v>
      </c>
      <c r="AM16" s="426">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1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6">
        <f t="shared" si="6"/>
        <v>0</v>
      </c>
      <c r="M17" s="426">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12">
        <f t="shared" si="27"/>
        <v>44469</v>
      </c>
      <c r="Y17" s="285">
        <f t="shared" ref="Y17:Y58" si="43">IF(+AL16&lt;0,0,+AL16)</f>
        <v>331193.40000000002</v>
      </c>
      <c r="Z17" s="50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22">
        <f t="shared" si="28"/>
        <v>0</v>
      </c>
      <c r="AJ17" s="522">
        <f t="shared" si="17"/>
        <v>-69617.400000000023</v>
      </c>
      <c r="AK17" s="522"/>
      <c r="AL17" s="285">
        <f t="shared" ref="AL17:AL58" si="46">+Y17-AB17</f>
        <v>331193.40000000002</v>
      </c>
      <c r="AM17" s="426">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1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6">
        <f t="shared" si="6"/>
        <v>0</v>
      </c>
      <c r="M18" s="426">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12">
        <f t="shared" si="27"/>
        <v>44499</v>
      </c>
      <c r="Y18" s="285">
        <f t="shared" si="43"/>
        <v>331193.40000000002</v>
      </c>
      <c r="Z18" s="50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22">
        <f t="shared" si="28"/>
        <v>0</v>
      </c>
      <c r="AJ18" s="522">
        <f t="shared" si="17"/>
        <v>-69617.400000000023</v>
      </c>
      <c r="AK18" s="522"/>
      <c r="AL18" s="285">
        <f t="shared" si="46"/>
        <v>331193.40000000002</v>
      </c>
      <c r="AM18" s="426">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1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6">
        <f t="shared" si="6"/>
        <v>0</v>
      </c>
      <c r="M19" s="426">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12">
        <f t="shared" si="27"/>
        <v>44529</v>
      </c>
      <c r="Y19" s="285">
        <f t="shared" si="43"/>
        <v>331193.40000000002</v>
      </c>
      <c r="Z19" s="50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22">
        <f t="shared" si="28"/>
        <v>0</v>
      </c>
      <c r="AJ19" s="522">
        <f t="shared" si="17"/>
        <v>-69617.400000000023</v>
      </c>
      <c r="AK19" s="522"/>
      <c r="AL19" s="285">
        <f t="shared" si="46"/>
        <v>331193.40000000002</v>
      </c>
      <c r="AM19" s="426">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1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6">
        <f t="shared" si="6"/>
        <v>0</v>
      </c>
      <c r="M20" s="426">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12">
        <f t="shared" si="27"/>
        <v>44559</v>
      </c>
      <c r="Y20" s="285">
        <f t="shared" si="43"/>
        <v>331193.40000000002</v>
      </c>
      <c r="Z20" s="50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22">
        <f t="shared" si="28"/>
        <v>0</v>
      </c>
      <c r="AJ20" s="522">
        <f t="shared" si="17"/>
        <v>-69617.400000000023</v>
      </c>
      <c r="AK20" s="522"/>
      <c r="AL20" s="285">
        <f t="shared" si="46"/>
        <v>331193.40000000002</v>
      </c>
      <c r="AM20" s="426">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1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6">
        <f t="shared" si="6"/>
        <v>0</v>
      </c>
      <c r="M21" s="426">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12">
        <f t="shared" si="27"/>
        <v>44589</v>
      </c>
      <c r="Y21" s="285">
        <f t="shared" si="43"/>
        <v>331193.40000000002</v>
      </c>
      <c r="Z21" s="50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22">
        <f t="shared" si="28"/>
        <v>0</v>
      </c>
      <c r="AJ21" s="522">
        <f t="shared" si="17"/>
        <v>-69617.400000000023</v>
      </c>
      <c r="AK21" s="522"/>
      <c r="AL21" s="285">
        <f t="shared" si="46"/>
        <v>331193.40000000002</v>
      </c>
      <c r="AM21" s="426">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1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6">
        <f t="shared" si="6"/>
        <v>0</v>
      </c>
      <c r="M22" s="426">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12">
        <f t="shared" si="27"/>
        <v>44619</v>
      </c>
      <c r="Y22" s="285">
        <f t="shared" si="43"/>
        <v>331193.40000000002</v>
      </c>
      <c r="Z22" s="50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22">
        <f t="shared" si="28"/>
        <v>0</v>
      </c>
      <c r="AJ22" s="522">
        <f t="shared" si="17"/>
        <v>-69617.400000000023</v>
      </c>
      <c r="AK22" s="522"/>
      <c r="AL22" s="285">
        <f t="shared" si="46"/>
        <v>331193.40000000002</v>
      </c>
      <c r="AM22" s="426">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1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6">
        <f t="shared" si="6"/>
        <v>0</v>
      </c>
      <c r="M23" s="426">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12">
        <f t="shared" si="27"/>
        <v>44649</v>
      </c>
      <c r="Y23" s="285">
        <f t="shared" si="43"/>
        <v>331193.40000000002</v>
      </c>
      <c r="Z23" s="50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22">
        <f t="shared" si="28"/>
        <v>0</v>
      </c>
      <c r="AJ23" s="522">
        <f t="shared" si="17"/>
        <v>-69617.400000000023</v>
      </c>
      <c r="AK23" s="522"/>
      <c r="AL23" s="285">
        <f t="shared" si="46"/>
        <v>331193.40000000002</v>
      </c>
      <c r="AM23" s="426">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1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6">
        <f t="shared" si="6"/>
        <v>0</v>
      </c>
      <c r="M24" s="426">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12">
        <f t="shared" si="27"/>
        <v>44679</v>
      </c>
      <c r="Y24" s="285">
        <f t="shared" si="43"/>
        <v>331193.40000000002</v>
      </c>
      <c r="Z24" s="50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22">
        <f t="shared" si="28"/>
        <v>0</v>
      </c>
      <c r="AJ24" s="522">
        <f t="shared" si="17"/>
        <v>-69617.400000000023</v>
      </c>
      <c r="AK24" s="522"/>
      <c r="AL24" s="285">
        <f t="shared" si="46"/>
        <v>331193.40000000002</v>
      </c>
      <c r="AM24" s="426">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1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6">
        <f t="shared" si="6"/>
        <v>0</v>
      </c>
      <c r="M25" s="426">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12">
        <f t="shared" si="27"/>
        <v>44709</v>
      </c>
      <c r="Y25" s="285">
        <f t="shared" si="43"/>
        <v>331193.40000000002</v>
      </c>
      <c r="Z25" s="50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22">
        <f t="shared" si="28"/>
        <v>0</v>
      </c>
      <c r="AJ25" s="522">
        <f t="shared" si="17"/>
        <v>-69617.400000000023</v>
      </c>
      <c r="AK25" s="522"/>
      <c r="AL25" s="285">
        <f t="shared" si="46"/>
        <v>331193.40000000002</v>
      </c>
      <c r="AM25" s="426">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15">
        <f t="shared" si="34"/>
        <v>44739</v>
      </c>
      <c r="B26" s="346">
        <f t="shared" si="22"/>
        <v>95591.739999999991</v>
      </c>
      <c r="C26" s="21">
        <f t="shared" si="4"/>
        <v>450.28</v>
      </c>
      <c r="D26" s="21">
        <f t="shared" si="35"/>
        <v>151.55999999999995</v>
      </c>
      <c r="E26" s="21">
        <f t="shared" si="5"/>
        <v>298.72000000000003</v>
      </c>
      <c r="F26" s="21"/>
      <c r="G26" s="21"/>
      <c r="H26" s="21"/>
      <c r="I26" s="346">
        <f t="shared" si="36"/>
        <v>2091.66</v>
      </c>
      <c r="J26" s="346">
        <f t="shared" si="37"/>
        <v>3615.54</v>
      </c>
      <c r="K26" s="346">
        <f t="shared" si="38"/>
        <v>95440.18</v>
      </c>
      <c r="L26" s="427">
        <f t="shared" si="6"/>
        <v>0</v>
      </c>
      <c r="M26" s="427">
        <f t="shared" si="23"/>
        <v>0</v>
      </c>
      <c r="N26" s="346">
        <f t="shared" si="24"/>
        <v>261576</v>
      </c>
      <c r="O26" s="346">
        <f t="shared" si="25"/>
        <v>0</v>
      </c>
      <c r="P26" s="346">
        <f t="shared" si="39"/>
        <v>0</v>
      </c>
      <c r="Q26" s="346">
        <f t="shared" si="26"/>
        <v>0</v>
      </c>
      <c r="R26" s="346">
        <f t="shared" si="7"/>
        <v>0</v>
      </c>
      <c r="S26" s="346">
        <f t="shared" si="8"/>
        <v>0</v>
      </c>
      <c r="T26" s="346">
        <f t="shared" si="9"/>
        <v>0</v>
      </c>
      <c r="U26" s="346">
        <f t="shared" si="40"/>
        <v>0</v>
      </c>
      <c r="V26" s="346">
        <f t="shared" si="41"/>
        <v>0</v>
      </c>
      <c r="W26" s="346">
        <f t="shared" si="42"/>
        <v>261576</v>
      </c>
      <c r="X26" s="515">
        <f t="shared" si="27"/>
        <v>44739</v>
      </c>
      <c r="Y26" s="346">
        <f t="shared" si="43"/>
        <v>331193.40000000002</v>
      </c>
      <c r="Z26" s="505">
        <f t="shared" si="10"/>
        <v>3.7499999999999999E-2</v>
      </c>
      <c r="AA26" s="346">
        <f t="shared" si="11"/>
        <v>0</v>
      </c>
      <c r="AB26" s="346">
        <f t="shared" si="12"/>
        <v>0</v>
      </c>
      <c r="AC26" s="346">
        <f t="shared" si="13"/>
        <v>0</v>
      </c>
      <c r="AD26" s="346">
        <f t="shared" si="14"/>
        <v>0</v>
      </c>
      <c r="AE26" s="346">
        <f t="shared" si="15"/>
        <v>0</v>
      </c>
      <c r="AF26" s="346">
        <f t="shared" si="16"/>
        <v>0</v>
      </c>
      <c r="AG26" s="346">
        <f t="shared" si="44"/>
        <v>0</v>
      </c>
      <c r="AH26" s="346">
        <f t="shared" si="45"/>
        <v>0</v>
      </c>
      <c r="AI26" s="523">
        <f t="shared" si="28"/>
        <v>0</v>
      </c>
      <c r="AJ26" s="523">
        <f t="shared" si="17"/>
        <v>-69617.400000000023</v>
      </c>
      <c r="AK26" s="523"/>
      <c r="AL26" s="346">
        <f t="shared" si="46"/>
        <v>331193.40000000002</v>
      </c>
      <c r="AM26" s="427">
        <f t="shared" si="29"/>
        <v>0</v>
      </c>
      <c r="AN26" s="21">
        <f t="shared" si="19"/>
        <v>0</v>
      </c>
      <c r="AO26" s="21">
        <f t="shared" si="30"/>
        <v>166439.66</v>
      </c>
      <c r="AP26" s="21">
        <f t="shared" si="20"/>
        <v>0</v>
      </c>
      <c r="AQ26" s="21"/>
      <c r="AR26" s="23"/>
      <c r="AS26" s="21">
        <f t="shared" si="21"/>
        <v>0</v>
      </c>
      <c r="AT26" s="21">
        <f t="shared" si="31"/>
        <v>0</v>
      </c>
      <c r="AU26" s="346">
        <f t="shared" si="32"/>
        <v>672.14983627333561</v>
      </c>
      <c r="AV26" s="285">
        <f t="shared" si="33"/>
        <v>7956.08434560759</v>
      </c>
    </row>
    <row r="27" spans="1:48" x14ac:dyDescent="0.25">
      <c r="A27" s="51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6">
        <f t="shared" si="6"/>
        <v>0</v>
      </c>
      <c r="M27" s="426">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12">
        <f t="shared" si="27"/>
        <v>44769</v>
      </c>
      <c r="Y27" s="285">
        <f t="shared" si="43"/>
        <v>331193.40000000002</v>
      </c>
      <c r="Z27" s="50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22">
        <f t="shared" si="28"/>
        <v>0</v>
      </c>
      <c r="AJ27" s="522">
        <f t="shared" si="17"/>
        <v>-69617.400000000023</v>
      </c>
      <c r="AK27" s="522"/>
      <c r="AL27" s="285">
        <f t="shared" si="46"/>
        <v>331193.40000000002</v>
      </c>
      <c r="AM27" s="426">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1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6">
        <f t="shared" si="6"/>
        <v>0</v>
      </c>
      <c r="M28" s="426">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12">
        <f t="shared" si="27"/>
        <v>44799</v>
      </c>
      <c r="Y28" s="285">
        <f t="shared" si="43"/>
        <v>331193.40000000002</v>
      </c>
      <c r="Z28" s="50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22">
        <f t="shared" si="28"/>
        <v>0</v>
      </c>
      <c r="AJ28" s="522">
        <f t="shared" si="17"/>
        <v>-69617.400000000023</v>
      </c>
      <c r="AK28" s="522"/>
      <c r="AL28" s="285">
        <f t="shared" si="46"/>
        <v>331193.40000000002</v>
      </c>
      <c r="AM28" s="426">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1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6">
        <f t="shared" si="6"/>
        <v>0</v>
      </c>
      <c r="M29" s="426">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12">
        <f t="shared" si="27"/>
        <v>44829</v>
      </c>
      <c r="Y29" s="285">
        <f t="shared" si="43"/>
        <v>331193.40000000002</v>
      </c>
      <c r="Z29" s="50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22">
        <f t="shared" si="28"/>
        <v>0</v>
      </c>
      <c r="AJ29" s="522">
        <f t="shared" si="17"/>
        <v>-69617.400000000023</v>
      </c>
      <c r="AK29" s="522"/>
      <c r="AL29" s="285">
        <f t="shared" si="46"/>
        <v>331193.40000000002</v>
      </c>
      <c r="AM29" s="426">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1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6">
        <f t="shared" si="6"/>
        <v>0</v>
      </c>
      <c r="M30" s="426">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12">
        <f t="shared" si="27"/>
        <v>44859</v>
      </c>
      <c r="Y30" s="285">
        <f t="shared" si="43"/>
        <v>331193.40000000002</v>
      </c>
      <c r="Z30" s="50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22">
        <f t="shared" si="28"/>
        <v>0</v>
      </c>
      <c r="AJ30" s="522">
        <f t="shared" si="17"/>
        <v>-69617.400000000023</v>
      </c>
      <c r="AK30" s="522"/>
      <c r="AL30" s="285">
        <f t="shared" si="46"/>
        <v>331193.40000000002</v>
      </c>
      <c r="AM30" s="426">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1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6">
        <f t="shared" si="6"/>
        <v>0</v>
      </c>
      <c r="M31" s="426">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12">
        <f t="shared" si="27"/>
        <v>44889</v>
      </c>
      <c r="Y31" s="285">
        <f t="shared" si="43"/>
        <v>331193.40000000002</v>
      </c>
      <c r="Z31" s="50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22">
        <f t="shared" si="28"/>
        <v>0</v>
      </c>
      <c r="AJ31" s="522">
        <f t="shared" si="17"/>
        <v>-69617.400000000023</v>
      </c>
      <c r="AK31" s="522"/>
      <c r="AL31" s="285">
        <f t="shared" si="46"/>
        <v>331193.40000000002</v>
      </c>
      <c r="AM31" s="426">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1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6">
        <f t="shared" si="6"/>
        <v>0</v>
      </c>
      <c r="M32" s="426">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12">
        <f t="shared" si="27"/>
        <v>44919</v>
      </c>
      <c r="Y32" s="285">
        <f t="shared" si="43"/>
        <v>331193.40000000002</v>
      </c>
      <c r="Z32" s="50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22">
        <f t="shared" si="28"/>
        <v>0</v>
      </c>
      <c r="AJ32" s="522">
        <f t="shared" si="17"/>
        <v>-69617.400000000023</v>
      </c>
      <c r="AK32" s="522"/>
      <c r="AL32" s="285">
        <f t="shared" si="46"/>
        <v>331193.40000000002</v>
      </c>
      <c r="AM32" s="426">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1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6">
        <f t="shared" si="6"/>
        <v>0</v>
      </c>
      <c r="M33" s="426">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12">
        <f t="shared" si="27"/>
        <v>44949</v>
      </c>
      <c r="Y33" s="285">
        <f t="shared" si="43"/>
        <v>331193.40000000002</v>
      </c>
      <c r="Z33" s="50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22">
        <f t="shared" si="28"/>
        <v>0</v>
      </c>
      <c r="AJ33" s="522">
        <f t="shared" si="17"/>
        <v>-69617.400000000023</v>
      </c>
      <c r="AK33" s="522"/>
      <c r="AL33" s="285">
        <f t="shared" si="46"/>
        <v>331193.40000000002</v>
      </c>
      <c r="AM33" s="426">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1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6">
        <f t="shared" si="6"/>
        <v>0</v>
      </c>
      <c r="M34" s="426">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12">
        <f t="shared" si="27"/>
        <v>44979</v>
      </c>
      <c r="Y34" s="285">
        <f t="shared" si="43"/>
        <v>331193.40000000002</v>
      </c>
      <c r="Z34" s="50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22">
        <f t="shared" si="28"/>
        <v>0</v>
      </c>
      <c r="AJ34" s="522">
        <f t="shared" si="17"/>
        <v>-69617.400000000023</v>
      </c>
      <c r="AK34" s="522"/>
      <c r="AL34" s="285">
        <f t="shared" si="46"/>
        <v>331193.40000000002</v>
      </c>
      <c r="AM34" s="426">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1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6">
        <f t="shared" si="6"/>
        <v>0</v>
      </c>
      <c r="M35" s="426">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12">
        <f t="shared" si="27"/>
        <v>45009</v>
      </c>
      <c r="Y35" s="285">
        <f t="shared" si="43"/>
        <v>331193.40000000002</v>
      </c>
      <c r="Z35" s="50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22">
        <f t="shared" si="28"/>
        <v>0</v>
      </c>
      <c r="AJ35" s="522">
        <f t="shared" si="17"/>
        <v>-69617.400000000023</v>
      </c>
      <c r="AK35" s="522"/>
      <c r="AL35" s="285">
        <f t="shared" si="46"/>
        <v>331193.40000000002</v>
      </c>
      <c r="AM35" s="426">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1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6">
        <f t="shared" si="6"/>
        <v>0</v>
      </c>
      <c r="M36" s="426">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12">
        <f t="shared" si="27"/>
        <v>45039</v>
      </c>
      <c r="Y36" s="285">
        <f t="shared" si="43"/>
        <v>331193.40000000002</v>
      </c>
      <c r="Z36" s="50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22">
        <f t="shared" si="28"/>
        <v>0</v>
      </c>
      <c r="AJ36" s="522">
        <f t="shared" si="17"/>
        <v>-69617.400000000023</v>
      </c>
      <c r="AK36" s="522"/>
      <c r="AL36" s="285">
        <f t="shared" si="46"/>
        <v>331193.40000000002</v>
      </c>
      <c r="AM36" s="426">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1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6">
        <f t="shared" si="6"/>
        <v>0</v>
      </c>
      <c r="M37" s="426">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12">
        <f t="shared" si="27"/>
        <v>45069</v>
      </c>
      <c r="Y37" s="285">
        <f t="shared" si="43"/>
        <v>331193.40000000002</v>
      </c>
      <c r="Z37" s="50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22">
        <f t="shared" si="28"/>
        <v>0</v>
      </c>
      <c r="AJ37" s="522">
        <f t="shared" si="17"/>
        <v>-69617.400000000023</v>
      </c>
      <c r="AK37" s="522"/>
      <c r="AL37" s="285">
        <f t="shared" si="46"/>
        <v>331193.40000000002</v>
      </c>
      <c r="AM37" s="426">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15">
        <f t="shared" si="34"/>
        <v>45099</v>
      </c>
      <c r="B38" s="346">
        <f t="shared" si="22"/>
        <v>93741.48</v>
      </c>
      <c r="C38" s="21">
        <f t="shared" si="4"/>
        <v>450.28</v>
      </c>
      <c r="D38" s="21">
        <f t="shared" si="35"/>
        <v>157.33999999999997</v>
      </c>
      <c r="E38" s="21">
        <f t="shared" si="5"/>
        <v>292.94</v>
      </c>
      <c r="F38" s="21"/>
      <c r="G38" s="21"/>
      <c r="H38" s="21"/>
      <c r="I38" s="346">
        <f t="shared" si="47"/>
        <v>3947.7</v>
      </c>
      <c r="J38" s="346">
        <f t="shared" si="48"/>
        <v>7162.86</v>
      </c>
      <c r="K38" s="346">
        <f t="shared" si="49"/>
        <v>93584.14</v>
      </c>
      <c r="L38" s="427">
        <f t="shared" si="6"/>
        <v>0</v>
      </c>
      <c r="M38" s="427">
        <f t="shared" si="23"/>
        <v>0</v>
      </c>
      <c r="N38" s="346">
        <f t="shared" si="24"/>
        <v>261576</v>
      </c>
      <c r="O38" s="346">
        <f t="shared" si="25"/>
        <v>0</v>
      </c>
      <c r="P38" s="346">
        <f t="shared" si="39"/>
        <v>0</v>
      </c>
      <c r="Q38" s="346">
        <f t="shared" si="26"/>
        <v>0</v>
      </c>
      <c r="R38" s="346">
        <f t="shared" si="7"/>
        <v>0</v>
      </c>
      <c r="S38" s="346">
        <f t="shared" si="8"/>
        <v>0</v>
      </c>
      <c r="T38" s="346">
        <f t="shared" si="9"/>
        <v>0</v>
      </c>
      <c r="U38" s="346">
        <f t="shared" si="40"/>
        <v>0</v>
      </c>
      <c r="V38" s="346">
        <f t="shared" si="41"/>
        <v>0</v>
      </c>
      <c r="W38" s="346">
        <f t="shared" si="42"/>
        <v>261576</v>
      </c>
      <c r="X38" s="515">
        <f t="shared" si="27"/>
        <v>45099</v>
      </c>
      <c r="Y38" s="346">
        <f t="shared" si="43"/>
        <v>331193.40000000002</v>
      </c>
      <c r="Z38" s="505">
        <f t="shared" si="10"/>
        <v>3.7499999999999999E-2</v>
      </c>
      <c r="AA38" s="346">
        <f t="shared" si="11"/>
        <v>0</v>
      </c>
      <c r="AB38" s="346">
        <f t="shared" si="12"/>
        <v>0</v>
      </c>
      <c r="AC38" s="346">
        <f t="shared" si="13"/>
        <v>0</v>
      </c>
      <c r="AD38" s="346">
        <f t="shared" si="14"/>
        <v>0</v>
      </c>
      <c r="AE38" s="346">
        <f t="shared" si="15"/>
        <v>0</v>
      </c>
      <c r="AF38" s="346">
        <f t="shared" si="16"/>
        <v>0</v>
      </c>
      <c r="AG38" s="346">
        <f t="shared" si="44"/>
        <v>0</v>
      </c>
      <c r="AH38" s="346">
        <f t="shared" si="45"/>
        <v>0</v>
      </c>
      <c r="AI38" s="523">
        <f t="shared" si="28"/>
        <v>0</v>
      </c>
      <c r="AJ38" s="523">
        <f t="shared" si="17"/>
        <v>-69617.400000000023</v>
      </c>
      <c r="AK38" s="523"/>
      <c r="AL38" s="346">
        <f t="shared" si="46"/>
        <v>331193.40000000002</v>
      </c>
      <c r="AM38" s="427">
        <f t="shared" si="29"/>
        <v>0</v>
      </c>
      <c r="AN38" s="21">
        <f t="shared" si="19"/>
        <v>0</v>
      </c>
      <c r="AO38" s="21">
        <f t="shared" si="30"/>
        <v>168295.7</v>
      </c>
      <c r="AP38" s="21">
        <f t="shared" si="20"/>
        <v>0</v>
      </c>
      <c r="AQ38" s="21"/>
      <c r="AR38" s="23"/>
      <c r="AS38" s="21">
        <f t="shared" si="21"/>
        <v>0</v>
      </c>
      <c r="AT38" s="21">
        <f t="shared" si="31"/>
        <v>0</v>
      </c>
      <c r="AU38" s="346">
        <f t="shared" si="32"/>
        <v>692.59391673284642</v>
      </c>
      <c r="AV38" s="346">
        <f t="shared" si="33"/>
        <v>16154.160609871415</v>
      </c>
    </row>
    <row r="39" spans="1:48" x14ac:dyDescent="0.25">
      <c r="A39" s="51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6">
        <f t="shared" si="6"/>
        <v>0</v>
      </c>
      <c r="M39" s="426">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12">
        <f t="shared" si="27"/>
        <v>45129</v>
      </c>
      <c r="Y39" s="285">
        <f t="shared" si="43"/>
        <v>331193.40000000002</v>
      </c>
      <c r="Z39" s="50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22">
        <f t="shared" si="28"/>
        <v>0</v>
      </c>
      <c r="AJ39" s="522">
        <f t="shared" si="17"/>
        <v>-69617.400000000023</v>
      </c>
      <c r="AK39" s="522"/>
      <c r="AL39" s="285">
        <f t="shared" si="46"/>
        <v>331193.40000000002</v>
      </c>
      <c r="AM39" s="426">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1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6">
        <f t="shared" si="6"/>
        <v>0</v>
      </c>
      <c r="M40" s="426">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12">
        <f t="shared" si="27"/>
        <v>45159</v>
      </c>
      <c r="Y40" s="285">
        <f t="shared" si="43"/>
        <v>331193.40000000002</v>
      </c>
      <c r="Z40" s="50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22">
        <f t="shared" si="28"/>
        <v>0</v>
      </c>
      <c r="AJ40" s="522">
        <f t="shared" si="17"/>
        <v>-69617.400000000023</v>
      </c>
      <c r="AK40" s="522"/>
      <c r="AL40" s="285">
        <f t="shared" si="46"/>
        <v>331193.40000000002</v>
      </c>
      <c r="AM40" s="426">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1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6">
        <f t="shared" si="6"/>
        <v>0</v>
      </c>
      <c r="M41" s="426">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12">
        <f t="shared" si="27"/>
        <v>45189</v>
      </c>
      <c r="Y41" s="285">
        <f t="shared" si="43"/>
        <v>331193.40000000002</v>
      </c>
      <c r="Z41" s="50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22">
        <f t="shared" si="28"/>
        <v>0</v>
      </c>
      <c r="AJ41" s="522">
        <f t="shared" si="17"/>
        <v>-69617.400000000023</v>
      </c>
      <c r="AK41" s="522"/>
      <c r="AL41" s="285">
        <f t="shared" si="46"/>
        <v>331193.40000000002</v>
      </c>
      <c r="AM41" s="426">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1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6">
        <f t="shared" si="6"/>
        <v>0</v>
      </c>
      <c r="M42" s="426">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12">
        <f t="shared" si="27"/>
        <v>45219</v>
      </c>
      <c r="Y42" s="285">
        <f t="shared" si="43"/>
        <v>331193.40000000002</v>
      </c>
      <c r="Z42" s="50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22">
        <f t="shared" si="28"/>
        <v>0</v>
      </c>
      <c r="AJ42" s="522">
        <f t="shared" si="17"/>
        <v>-69617.400000000023</v>
      </c>
      <c r="AK42" s="522"/>
      <c r="AL42" s="285">
        <f t="shared" si="46"/>
        <v>331193.40000000002</v>
      </c>
      <c r="AM42" s="426">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1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6">
        <f t="shared" si="6"/>
        <v>0</v>
      </c>
      <c r="M43" s="426">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12">
        <f t="shared" si="27"/>
        <v>45249</v>
      </c>
      <c r="Y43" s="285">
        <f t="shared" si="43"/>
        <v>331193.40000000002</v>
      </c>
      <c r="Z43" s="50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22">
        <f t="shared" si="28"/>
        <v>0</v>
      </c>
      <c r="AJ43" s="522">
        <f t="shared" si="17"/>
        <v>-69617.400000000023</v>
      </c>
      <c r="AK43" s="522"/>
      <c r="AL43" s="285">
        <f t="shared" si="46"/>
        <v>331193.40000000002</v>
      </c>
      <c r="AM43" s="426">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1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6">
        <f t="shared" si="6"/>
        <v>0</v>
      </c>
      <c r="M44" s="426">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12">
        <f t="shared" si="27"/>
        <v>45279</v>
      </c>
      <c r="Y44" s="285">
        <f t="shared" si="43"/>
        <v>331193.40000000002</v>
      </c>
      <c r="Z44" s="50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22">
        <f t="shared" si="28"/>
        <v>0</v>
      </c>
      <c r="AJ44" s="522">
        <f t="shared" si="17"/>
        <v>-69617.400000000023</v>
      </c>
      <c r="AK44" s="522"/>
      <c r="AL44" s="285">
        <f t="shared" si="46"/>
        <v>331193.40000000002</v>
      </c>
      <c r="AM44" s="426">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1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6">
        <f t="shared" si="6"/>
        <v>0</v>
      </c>
      <c r="M45" s="426">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12">
        <f t="shared" si="27"/>
        <v>45309</v>
      </c>
      <c r="Y45" s="285">
        <f t="shared" si="43"/>
        <v>331193.40000000002</v>
      </c>
      <c r="Z45" s="50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22">
        <f t="shared" si="28"/>
        <v>0</v>
      </c>
      <c r="AJ45" s="522">
        <f t="shared" si="17"/>
        <v>-69617.400000000023</v>
      </c>
      <c r="AK45" s="522"/>
      <c r="AL45" s="285">
        <f t="shared" si="46"/>
        <v>331193.40000000002</v>
      </c>
      <c r="AM45" s="426">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1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6">
        <f t="shared" si="6"/>
        <v>0</v>
      </c>
      <c r="M46" s="426">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12">
        <f t="shared" si="27"/>
        <v>45339</v>
      </c>
      <c r="Y46" s="285">
        <f t="shared" si="43"/>
        <v>331193.40000000002</v>
      </c>
      <c r="Z46" s="50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22">
        <f t="shared" si="28"/>
        <v>0</v>
      </c>
      <c r="AJ46" s="522">
        <f t="shared" si="17"/>
        <v>-69617.400000000023</v>
      </c>
      <c r="AK46" s="522"/>
      <c r="AL46" s="285">
        <f t="shared" si="46"/>
        <v>331193.40000000002</v>
      </c>
      <c r="AM46" s="426">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1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6">
        <f t="shared" si="6"/>
        <v>0</v>
      </c>
      <c r="M47" s="426">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12">
        <f t="shared" si="27"/>
        <v>45369</v>
      </c>
      <c r="Y47" s="285">
        <f t="shared" si="43"/>
        <v>331193.40000000002</v>
      </c>
      <c r="Z47" s="50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22">
        <f t="shared" si="28"/>
        <v>0</v>
      </c>
      <c r="AJ47" s="522">
        <f t="shared" si="17"/>
        <v>-69617.400000000023</v>
      </c>
      <c r="AK47" s="522"/>
      <c r="AL47" s="285">
        <f t="shared" si="46"/>
        <v>331193.40000000002</v>
      </c>
      <c r="AM47" s="426">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1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6">
        <f t="shared" si="6"/>
        <v>0</v>
      </c>
      <c r="M48" s="426">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12">
        <f t="shared" si="27"/>
        <v>45399</v>
      </c>
      <c r="Y48" s="285">
        <f t="shared" si="43"/>
        <v>331193.40000000002</v>
      </c>
      <c r="Z48" s="50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22">
        <f t="shared" si="28"/>
        <v>0</v>
      </c>
      <c r="AJ48" s="522">
        <f t="shared" si="17"/>
        <v>-69617.400000000023</v>
      </c>
      <c r="AK48" s="522"/>
      <c r="AL48" s="285">
        <f t="shared" si="46"/>
        <v>331193.40000000002</v>
      </c>
      <c r="AM48" s="426">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1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6">
        <f t="shared" si="6"/>
        <v>0</v>
      </c>
      <c r="M49" s="426">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12">
        <f t="shared" si="27"/>
        <v>45429</v>
      </c>
      <c r="Y49" s="285">
        <f t="shared" si="43"/>
        <v>331193.40000000002</v>
      </c>
      <c r="Z49" s="50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22">
        <f t="shared" si="28"/>
        <v>0</v>
      </c>
      <c r="AJ49" s="522">
        <f t="shared" si="17"/>
        <v>-69617.400000000023</v>
      </c>
      <c r="AK49" s="522"/>
      <c r="AL49" s="285">
        <f t="shared" si="46"/>
        <v>331193.40000000002</v>
      </c>
      <c r="AM49" s="426">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15">
        <f t="shared" si="34"/>
        <v>45459</v>
      </c>
      <c r="B50" s="346">
        <f t="shared" si="22"/>
        <v>91820.64999999998</v>
      </c>
      <c r="C50" s="21">
        <f t="shared" si="4"/>
        <v>450.28</v>
      </c>
      <c r="D50" s="21">
        <f t="shared" si="35"/>
        <v>163.33999999999997</v>
      </c>
      <c r="E50" s="21">
        <f t="shared" si="5"/>
        <v>286.94</v>
      </c>
      <c r="F50" s="21"/>
      <c r="G50" s="21"/>
      <c r="H50" s="21"/>
      <c r="I50" s="346">
        <f t="shared" si="47"/>
        <v>5874.529999999997</v>
      </c>
      <c r="J50" s="346">
        <f t="shared" si="48"/>
        <v>10639.389999999996</v>
      </c>
      <c r="K50" s="346">
        <f t="shared" si="49"/>
        <v>91657.309999999983</v>
      </c>
      <c r="L50" s="427">
        <f t="shared" si="6"/>
        <v>0</v>
      </c>
      <c r="M50" s="427">
        <f t="shared" si="23"/>
        <v>0</v>
      </c>
      <c r="N50" s="346">
        <f t="shared" si="24"/>
        <v>261576</v>
      </c>
      <c r="O50" s="346">
        <f t="shared" si="25"/>
        <v>0</v>
      </c>
      <c r="P50" s="346">
        <f t="shared" si="39"/>
        <v>0</v>
      </c>
      <c r="Q50" s="346">
        <f t="shared" si="26"/>
        <v>0</v>
      </c>
      <c r="R50" s="346">
        <f t="shared" si="7"/>
        <v>0</v>
      </c>
      <c r="S50" s="346">
        <f t="shared" si="8"/>
        <v>0</v>
      </c>
      <c r="T50" s="346">
        <f t="shared" si="9"/>
        <v>0</v>
      </c>
      <c r="U50" s="346">
        <f t="shared" si="40"/>
        <v>0</v>
      </c>
      <c r="V50" s="346">
        <f t="shared" si="41"/>
        <v>0</v>
      </c>
      <c r="W50" s="346">
        <f t="shared" si="42"/>
        <v>261576</v>
      </c>
      <c r="X50" s="515">
        <f t="shared" si="27"/>
        <v>45459</v>
      </c>
      <c r="Y50" s="346">
        <f t="shared" si="43"/>
        <v>331193.40000000002</v>
      </c>
      <c r="Z50" s="505">
        <f t="shared" si="10"/>
        <v>3.7499999999999999E-2</v>
      </c>
      <c r="AA50" s="346">
        <f t="shared" si="11"/>
        <v>0</v>
      </c>
      <c r="AB50" s="346">
        <f t="shared" si="12"/>
        <v>0</v>
      </c>
      <c r="AC50" s="346">
        <f t="shared" si="13"/>
        <v>0</v>
      </c>
      <c r="AD50" s="346">
        <f t="shared" si="14"/>
        <v>0</v>
      </c>
      <c r="AE50" s="346">
        <f t="shared" si="15"/>
        <v>0</v>
      </c>
      <c r="AF50" s="346">
        <f t="shared" si="16"/>
        <v>0</v>
      </c>
      <c r="AG50" s="346">
        <f t="shared" si="44"/>
        <v>0</v>
      </c>
      <c r="AH50" s="346">
        <f t="shared" si="45"/>
        <v>0</v>
      </c>
      <c r="AI50" s="523">
        <f t="shared" si="28"/>
        <v>0</v>
      </c>
      <c r="AJ50" s="523">
        <f t="shared" si="17"/>
        <v>-69617.400000000023</v>
      </c>
      <c r="AK50" s="523"/>
      <c r="AL50" s="346">
        <f t="shared" si="46"/>
        <v>331193.40000000002</v>
      </c>
      <c r="AM50" s="427">
        <f t="shared" si="29"/>
        <v>0</v>
      </c>
      <c r="AN50" s="21">
        <f t="shared" si="19"/>
        <v>0</v>
      </c>
      <c r="AO50" s="21">
        <f t="shared" si="50"/>
        <v>239839.93000000002</v>
      </c>
      <c r="AP50" s="21">
        <f t="shared" si="20"/>
        <v>0</v>
      </c>
      <c r="AQ50" s="21"/>
      <c r="AR50" s="23"/>
      <c r="AS50" s="21">
        <f t="shared" si="21"/>
        <v>0</v>
      </c>
      <c r="AT50" s="21">
        <f t="shared" si="31"/>
        <v>0</v>
      </c>
      <c r="AU50" s="346">
        <f t="shared" si="32"/>
        <v>713.65982346274996</v>
      </c>
      <c r="AV50" s="346">
        <f t="shared" si="33"/>
        <v>24601.589208562735</v>
      </c>
    </row>
    <row r="51" spans="1:50" x14ac:dyDescent="0.25">
      <c r="A51" s="51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6">
        <f t="shared" si="6"/>
        <v>0</v>
      </c>
      <c r="M51" s="426">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12">
        <f t="shared" si="27"/>
        <v>45489</v>
      </c>
      <c r="Y51" s="285">
        <f t="shared" si="43"/>
        <v>331193.40000000002</v>
      </c>
      <c r="Z51" s="50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22">
        <f t="shared" si="28"/>
        <v>0</v>
      </c>
      <c r="AJ51" s="522">
        <f t="shared" si="17"/>
        <v>-69617.400000000023</v>
      </c>
      <c r="AK51" s="522"/>
      <c r="AL51" s="285">
        <f t="shared" si="46"/>
        <v>331193.40000000002</v>
      </c>
      <c r="AM51" s="426">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1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6">
        <f t="shared" si="6"/>
        <v>0</v>
      </c>
      <c r="M52" s="426">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12">
        <f t="shared" si="27"/>
        <v>45519</v>
      </c>
      <c r="Y52" s="285">
        <f t="shared" si="43"/>
        <v>331193.40000000002</v>
      </c>
      <c r="Z52" s="50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22">
        <f t="shared" si="28"/>
        <v>0</v>
      </c>
      <c r="AJ52" s="522">
        <f t="shared" si="17"/>
        <v>-69617.400000000023</v>
      </c>
      <c r="AK52" s="522"/>
      <c r="AL52" s="285">
        <f t="shared" si="46"/>
        <v>331193.40000000002</v>
      </c>
      <c r="AM52" s="426">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1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6">
        <f t="shared" si="6"/>
        <v>0</v>
      </c>
      <c r="M53" s="426">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12">
        <f t="shared" si="27"/>
        <v>45549</v>
      </c>
      <c r="Y53" s="285">
        <f t="shared" si="43"/>
        <v>331193.40000000002</v>
      </c>
      <c r="Z53" s="50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22">
        <f t="shared" si="28"/>
        <v>0</v>
      </c>
      <c r="AJ53" s="522">
        <f t="shared" si="17"/>
        <v>-69617.400000000023</v>
      </c>
      <c r="AK53" s="522"/>
      <c r="AL53" s="285">
        <f t="shared" si="46"/>
        <v>331193.40000000002</v>
      </c>
      <c r="AM53" s="426">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1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6">
        <f t="shared" si="6"/>
        <v>0</v>
      </c>
      <c r="M54" s="426">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12">
        <f t="shared" si="27"/>
        <v>45579</v>
      </c>
      <c r="Y54" s="285">
        <f t="shared" si="43"/>
        <v>331193.40000000002</v>
      </c>
      <c r="Z54" s="50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22">
        <f t="shared" si="28"/>
        <v>0</v>
      </c>
      <c r="AJ54" s="522">
        <f t="shared" si="17"/>
        <v>-69617.400000000023</v>
      </c>
      <c r="AK54" s="522"/>
      <c r="AL54" s="285">
        <f t="shared" si="46"/>
        <v>331193.40000000002</v>
      </c>
      <c r="AM54" s="426">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1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6">
        <f t="shared" si="6"/>
        <v>0</v>
      </c>
      <c r="M55" s="426">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12">
        <f t="shared" si="27"/>
        <v>45609</v>
      </c>
      <c r="Y55" s="285">
        <f t="shared" si="43"/>
        <v>331193.40000000002</v>
      </c>
      <c r="Z55" s="50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22">
        <f t="shared" si="28"/>
        <v>0</v>
      </c>
      <c r="AJ55" s="522">
        <f t="shared" si="17"/>
        <v>-69617.400000000023</v>
      </c>
      <c r="AK55" s="522"/>
      <c r="AL55" s="285">
        <f t="shared" si="46"/>
        <v>331193.40000000002</v>
      </c>
      <c r="AM55" s="426">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1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6">
        <f t="shared" si="6"/>
        <v>0</v>
      </c>
      <c r="M56" s="426">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12">
        <f t="shared" si="27"/>
        <v>45639</v>
      </c>
      <c r="Y56" s="285">
        <f t="shared" si="43"/>
        <v>331193.40000000002</v>
      </c>
      <c r="Z56" s="50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22">
        <f t="shared" si="28"/>
        <v>0</v>
      </c>
      <c r="AJ56" s="522">
        <f t="shared" si="17"/>
        <v>-69617.400000000023</v>
      </c>
      <c r="AK56" s="522"/>
      <c r="AL56" s="285">
        <f t="shared" si="46"/>
        <v>331193.40000000002</v>
      </c>
      <c r="AM56" s="426">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1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6">
        <f t="shared" si="6"/>
        <v>0</v>
      </c>
      <c r="M57" s="426">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12">
        <f t="shared" si="27"/>
        <v>45669</v>
      </c>
      <c r="Y57" s="285">
        <f t="shared" si="43"/>
        <v>331193.40000000002</v>
      </c>
      <c r="Z57" s="50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22">
        <f t="shared" si="28"/>
        <v>0</v>
      </c>
      <c r="AJ57" s="522">
        <f t="shared" si="17"/>
        <v>-69617.400000000023</v>
      </c>
      <c r="AK57" s="522"/>
      <c r="AL57" s="285">
        <f t="shared" si="46"/>
        <v>331193.40000000002</v>
      </c>
      <c r="AM57" s="426">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1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6">
        <f t="shared" si="6"/>
        <v>0</v>
      </c>
      <c r="M58" s="426">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12">
        <f t="shared" si="27"/>
        <v>45699</v>
      </c>
      <c r="Y58" s="285">
        <f t="shared" si="43"/>
        <v>331193.40000000002</v>
      </c>
      <c r="Z58" s="50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22">
        <f t="shared" si="28"/>
        <v>0</v>
      </c>
      <c r="AJ58" s="522">
        <f t="shared" si="17"/>
        <v>-69617.400000000023</v>
      </c>
      <c r="AK58" s="522"/>
      <c r="AL58" s="285">
        <f t="shared" si="46"/>
        <v>331193.40000000002</v>
      </c>
      <c r="AM58" s="426">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1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6">
        <f t="shared" si="6"/>
        <v>0</v>
      </c>
      <c r="M59" s="426">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12">
        <f t="shared" si="27"/>
        <v>45729</v>
      </c>
      <c r="Y59" s="285">
        <f>IF(+AL58&lt;0,0,+AL58)</f>
        <v>331193.40000000002</v>
      </c>
      <c r="Z59" s="50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22">
        <f>O59-AA59+AI58</f>
        <v>76.759999999999991</v>
      </c>
      <c r="AJ59" s="522">
        <f t="shared" si="17"/>
        <v>-69366.760000000009</v>
      </c>
      <c r="AK59" s="522">
        <f>SUM(AI59:AJ59)</f>
        <v>-69290.000000000015</v>
      </c>
      <c r="AL59" s="285">
        <f>+Y59-AB59</f>
        <v>330694.57</v>
      </c>
      <c r="AM59" s="426">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80"/>
    </row>
    <row r="60" spans="1:50" x14ac:dyDescent="0.25">
      <c r="A60" s="51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6">
        <f t="shared" si="6"/>
        <v>0</v>
      </c>
      <c r="M60" s="426">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12">
        <f t="shared" si="27"/>
        <v>45759</v>
      </c>
      <c r="Y60" s="285">
        <f>IF(+AL59&lt;0,0,+AL59)</f>
        <v>330694.57</v>
      </c>
      <c r="Z60" s="50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22">
        <f t="shared" ref="AI60:AI123" si="64">O60-AA60+AI59</f>
        <v>153.51999999999998</v>
      </c>
      <c r="AJ60" s="522">
        <f t="shared" si="17"/>
        <v>-69115.859999999986</v>
      </c>
      <c r="AK60" s="522">
        <f t="shared" ref="AK60:AK123" si="65">SUM(AI60:AJ60)</f>
        <v>-68962.339999999982</v>
      </c>
      <c r="AL60" s="285">
        <f>+Y60-AB60</f>
        <v>330194.18</v>
      </c>
      <c r="AM60" s="426">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1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6">
        <f t="shared" si="6"/>
        <v>0</v>
      </c>
      <c r="M61" s="426">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12">
        <f t="shared" si="27"/>
        <v>45789</v>
      </c>
      <c r="Y61" s="285">
        <f>IF(+AL60&lt;0,0,+AL60)</f>
        <v>330194.18</v>
      </c>
      <c r="Z61" s="50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22">
        <f t="shared" si="64"/>
        <v>230.27999999999997</v>
      </c>
      <c r="AJ61" s="522">
        <f t="shared" si="17"/>
        <v>-68864.699999999983</v>
      </c>
      <c r="AK61" s="522">
        <f t="shared" si="65"/>
        <v>-68634.419999999984</v>
      </c>
      <c r="AL61" s="285">
        <f>+Y61-AB61</f>
        <v>329692.23</v>
      </c>
      <c r="AM61" s="426">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15">
        <f t="shared" ref="A62:A125" si="69">IF(K62&lt;=0," ",+A61+30)</f>
        <v>45819</v>
      </c>
      <c r="B62" s="346">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6">
        <f t="shared" ref="I62:I125" si="70">$D62+$I61</f>
        <v>7874.8899999999967</v>
      </c>
      <c r="J62" s="346">
        <f t="shared" ref="J62:J125" si="71">$E62+$J61</f>
        <v>14042.389999999996</v>
      </c>
      <c r="K62" s="346">
        <f t="shared" ref="K62:K125" si="72">+B62-D62</f>
        <v>89656.949999999968</v>
      </c>
      <c r="L62" s="427">
        <f t="shared" si="6"/>
        <v>0</v>
      </c>
      <c r="M62" s="427">
        <f t="shared" si="23"/>
        <v>3</v>
      </c>
      <c r="N62" s="346">
        <f t="shared" si="24"/>
        <v>260827.53</v>
      </c>
      <c r="O62" s="346">
        <f t="shared" ref="O62:O125" si="73">IF($O$9&lt;=A62,IF(+$W61&lt;=0,0,$O$8),0)</f>
        <v>1610.57</v>
      </c>
      <c r="P62" s="346">
        <f t="shared" si="39"/>
        <v>252.08999999999992</v>
      </c>
      <c r="Q62" s="346">
        <f t="shared" ref="Q62:Q125" si="74">IF($O$9&lt;=A62,ROUND(N62*($O$6/12),2),0)</f>
        <v>1358.48</v>
      </c>
      <c r="R62" s="346">
        <f t="shared" si="7"/>
        <v>134.16999999999999</v>
      </c>
      <c r="S62" s="346">
        <f t="shared" ref="S62:S123" si="75">+S61</f>
        <v>188.55</v>
      </c>
      <c r="T62" s="346">
        <f t="shared" si="59"/>
        <v>1933.29</v>
      </c>
      <c r="U62" s="346">
        <f t="shared" si="40"/>
        <v>1000.5599999999997</v>
      </c>
      <c r="V62" s="346">
        <f t="shared" si="41"/>
        <v>5441.7199999999993</v>
      </c>
      <c r="W62" s="346">
        <f t="shared" ref="W62:W125" si="76">+N62-P62</f>
        <v>260575.44</v>
      </c>
      <c r="X62" s="515">
        <f t="shared" si="27"/>
        <v>45819</v>
      </c>
      <c r="Y62" s="346">
        <f t="shared" ref="Y62:Y125" si="77">IF(+AL61&lt;0,0,+AL61)</f>
        <v>329692.23</v>
      </c>
      <c r="Z62" s="505">
        <f t="shared" si="10"/>
        <v>3.7499999999999999E-2</v>
      </c>
      <c r="AA62" s="346">
        <f t="shared" si="11"/>
        <v>1533.81</v>
      </c>
      <c r="AB62" s="346">
        <f t="shared" ref="AB62:AB125" si="78">+AA62-AC62</f>
        <v>503.52</v>
      </c>
      <c r="AC62" s="346">
        <f t="shared" si="13"/>
        <v>1030.29</v>
      </c>
      <c r="AD62" s="346">
        <f t="shared" ref="AD62:AE62" si="79">+AD61</f>
        <v>134.16999999999999</v>
      </c>
      <c r="AE62" s="346">
        <f t="shared" si="79"/>
        <v>188.55</v>
      </c>
      <c r="AF62" s="346">
        <f t="shared" ref="AF62:AF125" si="80">SUM(AB62:AE62)</f>
        <v>1856.53</v>
      </c>
      <c r="AG62" s="346">
        <f t="shared" ref="AG62:AG125" si="81">+AB62+AG61</f>
        <v>2004.6899999999998</v>
      </c>
      <c r="AH62" s="346">
        <f t="shared" ref="AH62:AH125" si="82">+AH61+AC62</f>
        <v>4130.55</v>
      </c>
      <c r="AI62" s="523">
        <f t="shared" si="64"/>
        <v>307.03999999999996</v>
      </c>
      <c r="AJ62" s="523">
        <f t="shared" si="17"/>
        <v>-68613.26999999996</v>
      </c>
      <c r="AK62" s="523">
        <f t="shared" si="65"/>
        <v>-68306.229999999967</v>
      </c>
      <c r="AL62" s="346">
        <f t="shared" ref="AL62:AL125" si="83">+Y62-AB62</f>
        <v>329188.70999999996</v>
      </c>
      <c r="AM62" s="427">
        <f t="shared" si="29"/>
        <v>0</v>
      </c>
      <c r="AN62" s="21">
        <f t="shared" si="66"/>
        <v>1160.29</v>
      </c>
      <c r="AO62" s="21">
        <f t="shared" si="50"/>
        <v>240839.73</v>
      </c>
      <c r="AP62" s="21">
        <f t="shared" si="67"/>
        <v>1083.53</v>
      </c>
      <c r="AR62">
        <v>120.14</v>
      </c>
      <c r="AS62" s="21">
        <f t="shared" si="21"/>
        <v>1040.1499999999999</v>
      </c>
      <c r="AT62" s="21">
        <f t="shared" si="31"/>
        <v>4160.5999999999995</v>
      </c>
      <c r="AU62" s="346">
        <f t="shared" si="32"/>
        <v>735.36646990409417</v>
      </c>
      <c r="AV62" s="346">
        <f t="shared" si="33"/>
        <v>33305.954431541781</v>
      </c>
    </row>
    <row r="63" spans="1:50" x14ac:dyDescent="0.25">
      <c r="A63" s="51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6">
        <f t="shared" si="6"/>
        <v>0</v>
      </c>
      <c r="M63" s="426">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12">
        <f t="shared" si="27"/>
        <v>45849</v>
      </c>
      <c r="Y63" s="285">
        <f t="shared" si="77"/>
        <v>329188.70999999996</v>
      </c>
      <c r="Z63" s="50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22">
        <f t="shared" si="64"/>
        <v>383.79999999999995</v>
      </c>
      <c r="AJ63" s="522">
        <f t="shared" si="17"/>
        <v>-68361.579999999987</v>
      </c>
      <c r="AK63" s="522">
        <f t="shared" si="65"/>
        <v>-67977.779999999984</v>
      </c>
      <c r="AL63" s="285">
        <f t="shared" si="83"/>
        <v>328683.61</v>
      </c>
      <c r="AM63" s="426">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1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6">
        <f t="shared" si="6"/>
        <v>0</v>
      </c>
      <c r="M64" s="426">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12">
        <f t="shared" si="27"/>
        <v>45879</v>
      </c>
      <c r="Y64" s="285">
        <f t="shared" si="77"/>
        <v>328683.61</v>
      </c>
      <c r="Z64" s="50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22">
        <f t="shared" si="64"/>
        <v>460.55999999999995</v>
      </c>
      <c r="AJ64" s="522">
        <f t="shared" si="17"/>
        <v>-68109.640000000014</v>
      </c>
      <c r="AK64" s="522">
        <f t="shared" si="65"/>
        <v>-67649.080000000016</v>
      </c>
      <c r="AL64" s="285">
        <f t="shared" si="83"/>
        <v>328176.94</v>
      </c>
      <c r="AM64" s="426">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1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6">
        <f t="shared" si="6"/>
        <v>0</v>
      </c>
      <c r="M65" s="426">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12">
        <f t="shared" si="27"/>
        <v>45909</v>
      </c>
      <c r="Y65" s="285">
        <f t="shared" si="77"/>
        <v>328176.94</v>
      </c>
      <c r="Z65" s="50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22">
        <f t="shared" si="64"/>
        <v>537.31999999999994</v>
      </c>
      <c r="AJ65" s="522">
        <f t="shared" si="17"/>
        <v>-67857.429999999993</v>
      </c>
      <c r="AK65" s="522">
        <f t="shared" si="65"/>
        <v>-67320.109999999986</v>
      </c>
      <c r="AL65" s="285">
        <f t="shared" si="83"/>
        <v>327668.68</v>
      </c>
      <c r="AM65" s="426">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1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6">
        <f t="shared" si="6"/>
        <v>0</v>
      </c>
      <c r="M66" s="426">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12">
        <f t="shared" si="27"/>
        <v>45939</v>
      </c>
      <c r="Y66" s="285">
        <f t="shared" si="77"/>
        <v>327668.68</v>
      </c>
      <c r="Z66" s="50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22">
        <f t="shared" si="64"/>
        <v>614.07999999999993</v>
      </c>
      <c r="AJ66" s="522">
        <f t="shared" si="17"/>
        <v>-67604.97000000003</v>
      </c>
      <c r="AK66" s="522">
        <f t="shared" si="65"/>
        <v>-66990.890000000029</v>
      </c>
      <c r="AL66" s="285">
        <f t="shared" si="83"/>
        <v>327158.83</v>
      </c>
      <c r="AM66" s="426">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1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6">
        <f t="shared" si="6"/>
        <v>0</v>
      </c>
      <c r="M67" s="426">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12">
        <f t="shared" si="27"/>
        <v>45969</v>
      </c>
      <c r="Y67" s="285">
        <f t="shared" si="77"/>
        <v>327158.83</v>
      </c>
      <c r="Z67" s="50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22">
        <f t="shared" si="64"/>
        <v>690.83999999999992</v>
      </c>
      <c r="AJ67" s="522">
        <f t="shared" si="17"/>
        <v>-67352.260000000038</v>
      </c>
      <c r="AK67" s="522">
        <f t="shared" si="65"/>
        <v>-66661.420000000042</v>
      </c>
      <c r="AL67" s="285">
        <f t="shared" si="83"/>
        <v>326647.39</v>
      </c>
      <c r="AM67" s="426">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1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6">
        <f t="shared" si="6"/>
        <v>0</v>
      </c>
      <c r="M68" s="426">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12">
        <f t="shared" si="27"/>
        <v>45999</v>
      </c>
      <c r="Y68" s="285">
        <f t="shared" si="77"/>
        <v>326647.39</v>
      </c>
      <c r="Z68" s="50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22">
        <f t="shared" si="64"/>
        <v>767.59999999999991</v>
      </c>
      <c r="AJ68" s="522">
        <f t="shared" si="17"/>
        <v>-67099.290000000066</v>
      </c>
      <c r="AK68" s="522">
        <f t="shared" si="65"/>
        <v>-66331.690000000061</v>
      </c>
      <c r="AL68" s="285">
        <f t="shared" si="83"/>
        <v>326134.35000000003</v>
      </c>
      <c r="AM68" s="426">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1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6">
        <f t="shared" si="6"/>
        <v>0</v>
      </c>
      <c r="M69" s="426">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12">
        <f t="shared" si="27"/>
        <v>46029</v>
      </c>
      <c r="Y69" s="285">
        <f t="shared" si="77"/>
        <v>326134.35000000003</v>
      </c>
      <c r="Z69" s="50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22">
        <f t="shared" si="64"/>
        <v>844.3599999999999</v>
      </c>
      <c r="AJ69" s="522">
        <f t="shared" si="17"/>
        <v>-66846.080000000045</v>
      </c>
      <c r="AK69" s="522">
        <f t="shared" si="65"/>
        <v>-66001.720000000045</v>
      </c>
      <c r="AL69" s="285">
        <f t="shared" si="83"/>
        <v>325619.71000000002</v>
      </c>
      <c r="AM69" s="426">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1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6">
        <f t="shared" si="6"/>
        <v>0</v>
      </c>
      <c r="M70" s="426">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12">
        <f t="shared" si="27"/>
        <v>46059</v>
      </c>
      <c r="Y70" s="285">
        <f t="shared" si="77"/>
        <v>325619.71000000002</v>
      </c>
      <c r="Z70" s="50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22">
        <f t="shared" si="64"/>
        <v>921.11999999999989</v>
      </c>
      <c r="AJ70" s="522">
        <f t="shared" si="17"/>
        <v>-66592.620000000054</v>
      </c>
      <c r="AK70" s="522">
        <f t="shared" si="65"/>
        <v>-65671.500000000058</v>
      </c>
      <c r="AL70" s="285">
        <f t="shared" si="83"/>
        <v>325103.46000000002</v>
      </c>
      <c r="AM70" s="426">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1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6">
        <f t="shared" si="6"/>
        <v>1</v>
      </c>
      <c r="M71" s="426">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12">
        <f t="shared" si="27"/>
        <v>46089</v>
      </c>
      <c r="Y71" s="285">
        <f t="shared" si="77"/>
        <v>325103.46000000002</v>
      </c>
      <c r="Z71" s="50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22">
        <f t="shared" si="64"/>
        <v>997.87999999999988</v>
      </c>
      <c r="AJ71" s="522">
        <f t="shared" si="17"/>
        <v>-66338.920000000071</v>
      </c>
      <c r="AK71" s="522">
        <f t="shared" si="65"/>
        <v>-65341.040000000074</v>
      </c>
      <c r="AL71" s="285">
        <f t="shared" si="83"/>
        <v>324585.60000000003</v>
      </c>
      <c r="AM71" s="426">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80"/>
    </row>
    <row r="72" spans="1:50" x14ac:dyDescent="0.25">
      <c r="A72" s="51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6">
        <f t="shared" si="6"/>
        <v>1</v>
      </c>
      <c r="M72" s="426">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12">
        <f t="shared" si="27"/>
        <v>46119</v>
      </c>
      <c r="Y72" s="285">
        <f t="shared" si="77"/>
        <v>324585.60000000003</v>
      </c>
      <c r="Z72" s="50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22">
        <f t="shared" si="64"/>
        <v>1074.6399999999999</v>
      </c>
      <c r="AJ72" s="522">
        <f t="shared" si="17"/>
        <v>-66084.980000000098</v>
      </c>
      <c r="AK72" s="522">
        <f t="shared" si="65"/>
        <v>-65010.340000000098</v>
      </c>
      <c r="AL72" s="285">
        <f t="shared" si="83"/>
        <v>324066.12000000005</v>
      </c>
      <c r="AM72" s="426">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80"/>
    </row>
    <row r="73" spans="1:50" x14ac:dyDescent="0.25">
      <c r="A73" s="51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6">
        <f t="shared" si="6"/>
        <v>1</v>
      </c>
      <c r="M73" s="426">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12">
        <f t="shared" si="27"/>
        <v>46149</v>
      </c>
      <c r="Y73" s="285">
        <f t="shared" si="77"/>
        <v>324066.12000000005</v>
      </c>
      <c r="Z73" s="50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22">
        <f t="shared" si="64"/>
        <v>1151.3999999999999</v>
      </c>
      <c r="AJ73" s="522">
        <f t="shared" si="17"/>
        <v>-65830.800000000134</v>
      </c>
      <c r="AK73" s="522">
        <f t="shared" si="65"/>
        <v>-64679.400000000132</v>
      </c>
      <c r="AL73" s="285">
        <f t="shared" si="83"/>
        <v>323545.02000000008</v>
      </c>
      <c r="AM73" s="426">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15">
        <f t="shared" si="69"/>
        <v>46179</v>
      </c>
      <c r="B74" s="346">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6">
        <f t="shared" si="70"/>
        <v>9951.57</v>
      </c>
      <c r="J74" s="346">
        <f t="shared" si="71"/>
        <v>17369.07</v>
      </c>
      <c r="K74" s="346">
        <f t="shared" si="72"/>
        <v>87580.26999999996</v>
      </c>
      <c r="L74" s="427">
        <f t="shared" si="6"/>
        <v>1</v>
      </c>
      <c r="M74" s="427">
        <f t="shared" si="23"/>
        <v>15</v>
      </c>
      <c r="N74" s="346">
        <f t="shared" si="24"/>
        <v>257714.21999999994</v>
      </c>
      <c r="O74" s="346">
        <f t="shared" si="73"/>
        <v>1610.57</v>
      </c>
      <c r="P74" s="346">
        <f t="shared" si="39"/>
        <v>268.30999999999995</v>
      </c>
      <c r="Q74" s="346">
        <f t="shared" si="74"/>
        <v>1342.26</v>
      </c>
      <c r="R74" s="346">
        <f t="shared" si="84"/>
        <v>134.16999999999999</v>
      </c>
      <c r="S74" s="346">
        <f t="shared" si="75"/>
        <v>188.55</v>
      </c>
      <c r="T74" s="346">
        <f t="shared" si="59"/>
        <v>1933.29</v>
      </c>
      <c r="U74" s="346">
        <f t="shared" si="40"/>
        <v>4130.0899999999983</v>
      </c>
      <c r="V74" s="346">
        <f t="shared" si="41"/>
        <v>21639.03</v>
      </c>
      <c r="W74" s="346">
        <f t="shared" si="76"/>
        <v>257445.90999999995</v>
      </c>
      <c r="X74" s="515">
        <f t="shared" si="27"/>
        <v>46179</v>
      </c>
      <c r="Y74" s="346">
        <f t="shared" si="77"/>
        <v>323545.02000000008</v>
      </c>
      <c r="Z74" s="505">
        <f t="shared" si="10"/>
        <v>3.7499999999999999E-2</v>
      </c>
      <c r="AA74" s="346">
        <f t="shared" si="11"/>
        <v>1533.81</v>
      </c>
      <c r="AB74" s="346">
        <f t="shared" si="78"/>
        <v>522.7299999999999</v>
      </c>
      <c r="AC74" s="346">
        <f t="shared" si="13"/>
        <v>1011.08</v>
      </c>
      <c r="AD74" s="346">
        <f t="shared" ref="AD74:AE74" si="96">+AD73</f>
        <v>134.16999999999999</v>
      </c>
      <c r="AE74" s="346">
        <f t="shared" si="96"/>
        <v>188.55</v>
      </c>
      <c r="AF74" s="346">
        <f t="shared" si="80"/>
        <v>1856.53</v>
      </c>
      <c r="AG74" s="346">
        <f t="shared" si="81"/>
        <v>8171.1099999999988</v>
      </c>
      <c r="AH74" s="346">
        <f t="shared" si="82"/>
        <v>16369.85</v>
      </c>
      <c r="AI74" s="523">
        <f t="shared" si="64"/>
        <v>1228.1599999999999</v>
      </c>
      <c r="AJ74" s="523">
        <f t="shared" si="17"/>
        <v>-65576.38000000015</v>
      </c>
      <c r="AK74" s="523">
        <f t="shared" si="65"/>
        <v>-64348.220000000147</v>
      </c>
      <c r="AL74" s="346">
        <f t="shared" si="83"/>
        <v>323022.2900000001</v>
      </c>
      <c r="AM74" s="427">
        <f t="shared" si="29"/>
        <v>1</v>
      </c>
      <c r="AN74" s="21">
        <f t="shared" si="66"/>
        <v>1160.29</v>
      </c>
      <c r="AO74" s="21">
        <f t="shared" si="50"/>
        <v>239786.88000000003</v>
      </c>
      <c r="AP74" s="21">
        <f t="shared" si="67"/>
        <v>1083.53</v>
      </c>
      <c r="AQ74" s="21"/>
      <c r="AR74" s="23"/>
      <c r="AS74" s="21">
        <f t="shared" si="21"/>
        <v>1160.29</v>
      </c>
      <c r="AT74" s="21">
        <f t="shared" si="31"/>
        <v>18084.080000000005</v>
      </c>
      <c r="AU74" s="346">
        <f t="shared" si="32"/>
        <v>757.73334476833509</v>
      </c>
      <c r="AV74" s="346">
        <f t="shared" si="33"/>
        <v>42275.071252102403</v>
      </c>
    </row>
    <row r="75" spans="1:50" x14ac:dyDescent="0.25">
      <c r="A75" s="51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6">
        <f t="shared" si="6"/>
        <v>1</v>
      </c>
      <c r="M75" s="426">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12">
        <f t="shared" si="27"/>
        <v>46209</v>
      </c>
      <c r="Y75" s="285">
        <f t="shared" si="77"/>
        <v>323022.2900000001</v>
      </c>
      <c r="Z75" s="50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22">
        <f t="shared" si="64"/>
        <v>1304.9199999999998</v>
      </c>
      <c r="AJ75" s="522">
        <f t="shared" si="17"/>
        <v>-65321.720000000147</v>
      </c>
      <c r="AK75" s="522">
        <f t="shared" si="65"/>
        <v>-64016.800000000148</v>
      </c>
      <c r="AL75" s="285">
        <f t="shared" si="83"/>
        <v>322497.9200000001</v>
      </c>
      <c r="AM75" s="426">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1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6">
        <f t="shared" si="6"/>
        <v>1</v>
      </c>
      <c r="M76" s="426">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12">
        <f t="shared" si="27"/>
        <v>46239</v>
      </c>
      <c r="Y76" s="285">
        <f t="shared" si="77"/>
        <v>322497.9200000001</v>
      </c>
      <c r="Z76" s="50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22">
        <f t="shared" si="64"/>
        <v>1381.6799999999998</v>
      </c>
      <c r="AJ76" s="522">
        <f t="shared" si="17"/>
        <v>-65066.830000000133</v>
      </c>
      <c r="AK76" s="522">
        <f t="shared" si="65"/>
        <v>-63685.150000000132</v>
      </c>
      <c r="AL76" s="285">
        <f t="shared" si="83"/>
        <v>321971.9200000001</v>
      </c>
      <c r="AM76" s="426">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1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6">
        <f t="shared" si="6"/>
        <v>1</v>
      </c>
      <c r="M77" s="426">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12">
        <f t="shared" si="27"/>
        <v>46269</v>
      </c>
      <c r="Y77" s="285">
        <f t="shared" si="77"/>
        <v>321971.9200000001</v>
      </c>
      <c r="Z77" s="50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22">
        <f t="shared" si="64"/>
        <v>1458.4399999999998</v>
      </c>
      <c r="AJ77" s="522">
        <f t="shared" si="17"/>
        <v>-64811.700000000099</v>
      </c>
      <c r="AK77" s="522">
        <f t="shared" si="65"/>
        <v>-63353.260000000097</v>
      </c>
      <c r="AL77" s="285">
        <f t="shared" si="83"/>
        <v>321444.27000000008</v>
      </c>
      <c r="AM77" s="426">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1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6">
        <f t="shared" si="6"/>
        <v>1</v>
      </c>
      <c r="M78" s="426">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12">
        <f t="shared" si="27"/>
        <v>46299</v>
      </c>
      <c r="Y78" s="285">
        <f t="shared" si="77"/>
        <v>321444.27000000008</v>
      </c>
      <c r="Z78" s="50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22">
        <f t="shared" si="64"/>
        <v>1535.1999999999998</v>
      </c>
      <c r="AJ78" s="522">
        <f t="shared" si="17"/>
        <v>-64556.340000000113</v>
      </c>
      <c r="AK78" s="522">
        <f t="shared" si="65"/>
        <v>-63021.140000000116</v>
      </c>
      <c r="AL78" s="285">
        <f t="shared" si="83"/>
        <v>320914.97000000009</v>
      </c>
      <c r="AM78" s="426">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1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6">
        <f t="shared" ref="L79:L107" si="103">IF(MOD(M79,12)=0,M79/12,L78)</f>
        <v>1</v>
      </c>
      <c r="M79" s="426">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12">
        <f t="shared" si="27"/>
        <v>46329</v>
      </c>
      <c r="Y79" s="285">
        <f t="shared" si="77"/>
        <v>320914.97000000009</v>
      </c>
      <c r="Z79" s="50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22">
        <f t="shared" si="64"/>
        <v>1611.9599999999998</v>
      </c>
      <c r="AJ79" s="522">
        <f t="shared" ref="AJ79:AJ89" si="108">+W79-AL79</f>
        <v>-64300.760000000097</v>
      </c>
      <c r="AK79" s="522">
        <f t="shared" si="65"/>
        <v>-62688.800000000097</v>
      </c>
      <c r="AL79" s="285">
        <f t="shared" si="83"/>
        <v>320384.02000000008</v>
      </c>
      <c r="AM79" s="426">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1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6">
        <f t="shared" si="103"/>
        <v>1</v>
      </c>
      <c r="M80" s="426">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12">
        <f t="shared" ref="X80:X143" si="113">+A80</f>
        <v>46359</v>
      </c>
      <c r="Y80" s="285">
        <f t="shared" si="77"/>
        <v>320384.02000000008</v>
      </c>
      <c r="Z80" s="50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22">
        <f t="shared" si="64"/>
        <v>1688.7199999999998</v>
      </c>
      <c r="AJ80" s="522">
        <f t="shared" si="108"/>
        <v>-64044.950000000099</v>
      </c>
      <c r="AK80" s="522">
        <f t="shared" si="65"/>
        <v>-62356.230000000098</v>
      </c>
      <c r="AL80" s="285">
        <f t="shared" si="83"/>
        <v>319851.41000000009</v>
      </c>
      <c r="AM80" s="426">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1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6">
        <f t="shared" si="103"/>
        <v>1</v>
      </c>
      <c r="M81" s="426">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12">
        <f t="shared" si="113"/>
        <v>46389</v>
      </c>
      <c r="Y81" s="285">
        <f t="shared" si="77"/>
        <v>319851.41000000009</v>
      </c>
      <c r="Z81" s="50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22">
        <f t="shared" si="64"/>
        <v>1765.4799999999998</v>
      </c>
      <c r="AJ81" s="522">
        <f t="shared" si="108"/>
        <v>-63788.920000000071</v>
      </c>
      <c r="AK81" s="522">
        <f t="shared" si="65"/>
        <v>-62023.440000000068</v>
      </c>
      <c r="AL81" s="285">
        <f t="shared" si="83"/>
        <v>319317.14000000007</v>
      </c>
      <c r="AM81" s="426">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1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6">
        <f t="shared" si="103"/>
        <v>1</v>
      </c>
      <c r="M82" s="426">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12">
        <f t="shared" si="113"/>
        <v>46419</v>
      </c>
      <c r="Y82" s="285">
        <f t="shared" si="77"/>
        <v>319317.14000000007</v>
      </c>
      <c r="Z82" s="50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22">
        <f t="shared" si="64"/>
        <v>1842.2399999999998</v>
      </c>
      <c r="AJ82" s="522">
        <f t="shared" si="108"/>
        <v>-63532.670000000071</v>
      </c>
      <c r="AK82" s="522">
        <f t="shared" si="65"/>
        <v>-61690.430000000073</v>
      </c>
      <c r="AL82" s="285">
        <f t="shared" si="83"/>
        <v>318781.20000000007</v>
      </c>
      <c r="AM82" s="426">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1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6">
        <f t="shared" si="103"/>
        <v>2</v>
      </c>
      <c r="M83" s="426">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12">
        <f t="shared" si="113"/>
        <v>46449</v>
      </c>
      <c r="Y83" s="285">
        <f t="shared" si="77"/>
        <v>318781.20000000007</v>
      </c>
      <c r="Z83" s="50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22">
        <f t="shared" si="64"/>
        <v>1918.9999999999998</v>
      </c>
      <c r="AJ83" s="522">
        <f t="shared" si="108"/>
        <v>-63276.20000000007</v>
      </c>
      <c r="AK83" s="522">
        <f t="shared" si="65"/>
        <v>-61357.20000000007</v>
      </c>
      <c r="AL83" s="285">
        <f t="shared" si="83"/>
        <v>318243.58000000007</v>
      </c>
      <c r="AM83" s="426">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80"/>
    </row>
    <row r="84" spans="1:50" x14ac:dyDescent="0.25">
      <c r="A84" s="51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6">
        <f t="shared" si="103"/>
        <v>2</v>
      </c>
      <c r="M84" s="426">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12">
        <f t="shared" si="113"/>
        <v>46479</v>
      </c>
      <c r="Y84" s="285">
        <f t="shared" si="77"/>
        <v>318243.58000000007</v>
      </c>
      <c r="Z84" s="50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22">
        <f t="shared" si="64"/>
        <v>1995.7599999999998</v>
      </c>
      <c r="AJ84" s="522">
        <f t="shared" si="108"/>
        <v>-63019.510000000068</v>
      </c>
      <c r="AK84" s="522">
        <f t="shared" si="65"/>
        <v>-61023.750000000065</v>
      </c>
      <c r="AL84" s="285">
        <f t="shared" si="83"/>
        <v>317704.28000000009</v>
      </c>
      <c r="AM84" s="426">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80"/>
    </row>
    <row r="85" spans="1:50" x14ac:dyDescent="0.25">
      <c r="A85" s="51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6">
        <f t="shared" si="103"/>
        <v>2</v>
      </c>
      <c r="M85" s="426">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12">
        <f t="shared" si="113"/>
        <v>46509</v>
      </c>
      <c r="Y85" s="285">
        <f t="shared" si="77"/>
        <v>317704.28000000009</v>
      </c>
      <c r="Z85" s="50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22">
        <f t="shared" si="64"/>
        <v>2072.5199999999995</v>
      </c>
      <c r="AJ85" s="522">
        <f t="shared" si="108"/>
        <v>-62762.620000000083</v>
      </c>
      <c r="AK85" s="522">
        <f t="shared" si="65"/>
        <v>-60690.100000000086</v>
      </c>
      <c r="AL85" s="285">
        <f t="shared" si="83"/>
        <v>317163.3000000001</v>
      </c>
      <c r="AM85" s="426">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15">
        <f t="shared" si="69"/>
        <v>46539</v>
      </c>
      <c r="B86" s="346">
        <f t="shared" si="110"/>
        <v>85607.119999999981</v>
      </c>
      <c r="C86" s="21">
        <f t="shared" si="101"/>
        <v>450.28</v>
      </c>
      <c r="D86" s="21">
        <f t="shared" si="119"/>
        <v>182.76</v>
      </c>
      <c r="E86" s="21">
        <f t="shared" si="102"/>
        <v>267.52</v>
      </c>
      <c r="F86" s="21">
        <f t="shared" si="51"/>
        <v>134.16999999999999</v>
      </c>
      <c r="G86" s="21">
        <f t="shared" si="52"/>
        <v>188.55</v>
      </c>
      <c r="H86" s="21">
        <f t="shared" si="54"/>
        <v>773</v>
      </c>
      <c r="I86" s="346">
        <f t="shared" si="70"/>
        <v>12107.480000000001</v>
      </c>
      <c r="J86" s="346">
        <f t="shared" si="71"/>
        <v>20616.52</v>
      </c>
      <c r="K86" s="346">
        <f t="shared" si="72"/>
        <v>85424.359999999986</v>
      </c>
      <c r="L86" s="427">
        <f t="shared" si="103"/>
        <v>2</v>
      </c>
      <c r="M86" s="427">
        <f t="shared" si="111"/>
        <v>27</v>
      </c>
      <c r="N86" s="346">
        <f t="shared" si="112"/>
        <v>254400.68000000002</v>
      </c>
      <c r="O86" s="346">
        <f t="shared" si="73"/>
        <v>1610.57</v>
      </c>
      <c r="P86" s="346">
        <f t="shared" si="120"/>
        <v>285.56999999999994</v>
      </c>
      <c r="Q86" s="346">
        <f t="shared" si="74"/>
        <v>1325</v>
      </c>
      <c r="R86" s="346">
        <f t="shared" si="84"/>
        <v>134.16999999999999</v>
      </c>
      <c r="S86" s="346">
        <f t="shared" si="75"/>
        <v>188.55</v>
      </c>
      <c r="T86" s="346">
        <f t="shared" si="59"/>
        <v>1933.29</v>
      </c>
      <c r="U86" s="346">
        <f t="shared" si="121"/>
        <v>7460.8899999999967</v>
      </c>
      <c r="V86" s="346">
        <f t="shared" si="122"/>
        <v>37635.070000000007</v>
      </c>
      <c r="W86" s="346">
        <f t="shared" si="76"/>
        <v>254115.11000000002</v>
      </c>
      <c r="X86" s="515">
        <f t="shared" si="113"/>
        <v>46539</v>
      </c>
      <c r="Y86" s="346">
        <f t="shared" si="77"/>
        <v>317163.3000000001</v>
      </c>
      <c r="Z86" s="505">
        <f t="shared" si="104"/>
        <v>3.7499999999999999E-2</v>
      </c>
      <c r="AA86" s="346">
        <f t="shared" si="105"/>
        <v>1533.81</v>
      </c>
      <c r="AB86" s="346">
        <f t="shared" si="78"/>
        <v>542.66999999999996</v>
      </c>
      <c r="AC86" s="346">
        <f t="shared" si="106"/>
        <v>991.14</v>
      </c>
      <c r="AD86" s="346">
        <f t="shared" ref="AD86:AE86" si="128">+AD85</f>
        <v>134.16999999999999</v>
      </c>
      <c r="AE86" s="346">
        <f t="shared" si="128"/>
        <v>188.55</v>
      </c>
      <c r="AF86" s="346">
        <f t="shared" si="80"/>
        <v>1856.53</v>
      </c>
      <c r="AG86" s="346">
        <f t="shared" si="81"/>
        <v>14572.769999999999</v>
      </c>
      <c r="AH86" s="346">
        <f t="shared" si="82"/>
        <v>28373.91</v>
      </c>
      <c r="AI86" s="523">
        <f t="shared" si="64"/>
        <v>2149.2799999999997</v>
      </c>
      <c r="AJ86" s="523">
        <f t="shared" si="108"/>
        <v>-62505.520000000106</v>
      </c>
      <c r="AK86" s="523">
        <f t="shared" si="65"/>
        <v>-60356.240000000107</v>
      </c>
      <c r="AL86" s="346">
        <f t="shared" si="83"/>
        <v>316620.63000000012</v>
      </c>
      <c r="AM86" s="427">
        <f t="shared" si="115"/>
        <v>2</v>
      </c>
      <c r="AN86" s="21">
        <f t="shared" si="66"/>
        <v>1160.29</v>
      </c>
      <c r="AO86" s="21">
        <f t="shared" si="50"/>
        <v>238611.99000000005</v>
      </c>
      <c r="AP86" s="21">
        <f t="shared" si="67"/>
        <v>1083.53</v>
      </c>
      <c r="AQ86" s="21"/>
      <c r="AR86" s="23"/>
      <c r="AS86" s="21">
        <f t="shared" si="109"/>
        <v>1160.29</v>
      </c>
      <c r="AT86" s="21">
        <f t="shared" si="116"/>
        <v>32007.560000000016</v>
      </c>
      <c r="AU86" s="346">
        <f t="shared" si="117"/>
        <v>780.78052953473662</v>
      </c>
      <c r="AV86" s="346">
        <f t="shared" si="118"/>
        <v>51516.992343429396</v>
      </c>
    </row>
    <row r="87" spans="1:50" x14ac:dyDescent="0.25">
      <c r="A87" s="51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6">
        <f t="shared" si="103"/>
        <v>2</v>
      </c>
      <c r="M87" s="426">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12">
        <f t="shared" si="113"/>
        <v>46569</v>
      </c>
      <c r="Y87" s="285">
        <f t="shared" si="77"/>
        <v>316620.63000000012</v>
      </c>
      <c r="Z87" s="50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22">
        <f t="shared" si="64"/>
        <v>2226.04</v>
      </c>
      <c r="AJ87" s="522">
        <f t="shared" si="108"/>
        <v>-62248.200000000099</v>
      </c>
      <c r="AK87" s="522">
        <f t="shared" si="65"/>
        <v>-60022.160000000098</v>
      </c>
      <c r="AL87" s="285">
        <f t="shared" si="83"/>
        <v>316076.26000000013</v>
      </c>
      <c r="AM87" s="426">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1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6">
        <f t="shared" si="103"/>
        <v>2</v>
      </c>
      <c r="M88" s="426">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12">
        <f t="shared" si="113"/>
        <v>46599</v>
      </c>
      <c r="Y88" s="285">
        <f t="shared" si="77"/>
        <v>316076.26000000013</v>
      </c>
      <c r="Z88" s="50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22">
        <f t="shared" si="64"/>
        <v>2302.8000000000002</v>
      </c>
      <c r="AJ88" s="522">
        <f t="shared" si="108"/>
        <v>-61990.68000000008</v>
      </c>
      <c r="AK88" s="522">
        <f t="shared" si="65"/>
        <v>-59687.880000000077</v>
      </c>
      <c r="AL88" s="285">
        <f t="shared" si="83"/>
        <v>315530.19000000012</v>
      </c>
      <c r="AM88" s="426">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1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6">
        <f t="shared" si="103"/>
        <v>2</v>
      </c>
      <c r="M89" s="426">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12">
        <f t="shared" si="113"/>
        <v>46629</v>
      </c>
      <c r="Y89" s="285">
        <f t="shared" si="77"/>
        <v>315530.19000000012</v>
      </c>
      <c r="Z89" s="50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22">
        <f t="shared" si="64"/>
        <v>2379.5600000000004</v>
      </c>
      <c r="AJ89" s="522">
        <f t="shared" si="108"/>
        <v>-61732.950000000041</v>
      </c>
      <c r="AK89" s="522">
        <f t="shared" si="65"/>
        <v>-59353.390000000043</v>
      </c>
      <c r="AL89" s="285">
        <f t="shared" si="83"/>
        <v>314982.41000000009</v>
      </c>
      <c r="AM89" s="426">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1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6">
        <f t="shared" si="103"/>
        <v>2</v>
      </c>
      <c r="M90" s="426">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12">
        <f t="shared" si="113"/>
        <v>46659</v>
      </c>
      <c r="Y90" s="285">
        <f t="shared" si="77"/>
        <v>314982.41000000009</v>
      </c>
      <c r="Z90" s="50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22">
        <f t="shared" si="64"/>
        <v>2456.3200000000006</v>
      </c>
      <c r="AJ90" s="522">
        <f>+W90-AL90</f>
        <v>-61475.020000000048</v>
      </c>
      <c r="AK90" s="522">
        <f t="shared" si="65"/>
        <v>-59018.700000000048</v>
      </c>
      <c r="AL90" s="285">
        <f t="shared" si="83"/>
        <v>314432.9200000001</v>
      </c>
      <c r="AM90" s="426">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1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6">
        <f t="shared" si="103"/>
        <v>2</v>
      </c>
      <c r="M91" s="426">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12">
        <f t="shared" si="113"/>
        <v>46689</v>
      </c>
      <c r="Y91" s="285">
        <f t="shared" si="77"/>
        <v>314432.9200000001</v>
      </c>
      <c r="Z91" s="50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22">
        <f t="shared" si="64"/>
        <v>2533.0800000000008</v>
      </c>
      <c r="AJ91" s="522">
        <f t="shared" ref="AJ91:AJ154" si="134">+W91-AL91</f>
        <v>-61216.890000000014</v>
      </c>
      <c r="AK91" s="522">
        <f t="shared" si="65"/>
        <v>-58683.810000000012</v>
      </c>
      <c r="AL91" s="285">
        <f t="shared" si="83"/>
        <v>313881.71000000008</v>
      </c>
      <c r="AM91" s="426">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1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6">
        <f t="shared" si="103"/>
        <v>2</v>
      </c>
      <c r="M92" s="426">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12">
        <f t="shared" si="113"/>
        <v>46719</v>
      </c>
      <c r="Y92" s="285">
        <f t="shared" si="77"/>
        <v>313881.71000000008</v>
      </c>
      <c r="Z92" s="50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22">
        <f t="shared" si="64"/>
        <v>2609.8400000000011</v>
      </c>
      <c r="AJ92" s="522">
        <f t="shared" si="134"/>
        <v>-60958.570000000007</v>
      </c>
      <c r="AK92" s="522">
        <f t="shared" si="65"/>
        <v>-58348.73</v>
      </c>
      <c r="AL92" s="285">
        <f t="shared" si="83"/>
        <v>313328.78000000009</v>
      </c>
      <c r="AM92" s="426">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1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6">
        <f t="shared" si="103"/>
        <v>2</v>
      </c>
      <c r="M93" s="426">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12">
        <f t="shared" si="113"/>
        <v>46749</v>
      </c>
      <c r="Y93" s="285">
        <f t="shared" si="77"/>
        <v>313328.78000000009</v>
      </c>
      <c r="Z93" s="50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22">
        <f t="shared" si="64"/>
        <v>2686.6000000000013</v>
      </c>
      <c r="AJ93" s="522">
        <f t="shared" si="134"/>
        <v>-60700.050000000047</v>
      </c>
      <c r="AK93" s="522">
        <f t="shared" si="65"/>
        <v>-58013.450000000048</v>
      </c>
      <c r="AL93" s="285">
        <f t="shared" si="83"/>
        <v>312774.12000000011</v>
      </c>
      <c r="AM93" s="426">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1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6">
        <f t="shared" si="103"/>
        <v>2</v>
      </c>
      <c r="M94" s="426">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12">
        <f t="shared" si="113"/>
        <v>46779</v>
      </c>
      <c r="Y94" s="285">
        <f t="shared" si="77"/>
        <v>312774.12000000011</v>
      </c>
      <c r="Z94" s="50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22">
        <f t="shared" si="64"/>
        <v>2763.3600000000015</v>
      </c>
      <c r="AJ94" s="522">
        <f t="shared" si="134"/>
        <v>-60441.340000000026</v>
      </c>
      <c r="AK94" s="522">
        <f t="shared" si="65"/>
        <v>-57677.980000000025</v>
      </c>
      <c r="AL94" s="285">
        <f t="shared" si="83"/>
        <v>312217.7300000001</v>
      </c>
      <c r="AM94" s="426">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1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6">
        <f t="shared" si="103"/>
        <v>3</v>
      </c>
      <c r="M95" s="426">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12">
        <f t="shared" si="113"/>
        <v>46809</v>
      </c>
      <c r="Y95" s="285">
        <f t="shared" si="77"/>
        <v>312217.7300000001</v>
      </c>
      <c r="Z95" s="50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22">
        <f t="shared" si="64"/>
        <v>2840.1200000000017</v>
      </c>
      <c r="AJ95" s="522">
        <f t="shared" si="134"/>
        <v>-60182.440000000031</v>
      </c>
      <c r="AK95" s="522">
        <f t="shared" si="65"/>
        <v>-57342.320000000029</v>
      </c>
      <c r="AL95" s="285">
        <f t="shared" si="83"/>
        <v>311659.60000000009</v>
      </c>
      <c r="AM95" s="426">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80"/>
    </row>
    <row r="96" spans="1:50" x14ac:dyDescent="0.25">
      <c r="A96" s="51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6">
        <f t="shared" si="103"/>
        <v>3</v>
      </c>
      <c r="M96" s="426">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12">
        <f t="shared" si="113"/>
        <v>46839</v>
      </c>
      <c r="Y96" s="285">
        <f t="shared" si="77"/>
        <v>311659.60000000009</v>
      </c>
      <c r="Z96" s="50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22">
        <f t="shared" si="64"/>
        <v>2916.8800000000019</v>
      </c>
      <c r="AJ96" s="522">
        <f t="shared" si="134"/>
        <v>-59923.360000000044</v>
      </c>
      <c r="AK96" s="522">
        <f t="shared" si="65"/>
        <v>-57006.48000000004</v>
      </c>
      <c r="AL96" s="285">
        <f t="shared" si="83"/>
        <v>311099.7300000001</v>
      </c>
      <c r="AM96" s="426">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80"/>
    </row>
    <row r="97" spans="1:50" x14ac:dyDescent="0.25">
      <c r="A97" s="51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6">
        <f t="shared" si="103"/>
        <v>3</v>
      </c>
      <c r="M97" s="426">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12">
        <f t="shared" si="113"/>
        <v>46869</v>
      </c>
      <c r="Y97" s="285">
        <f t="shared" si="77"/>
        <v>311099.7300000001</v>
      </c>
      <c r="Z97" s="50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22">
        <f t="shared" si="64"/>
        <v>2993.6400000000021</v>
      </c>
      <c r="AJ97" s="522">
        <f t="shared" si="134"/>
        <v>-59664.100000000035</v>
      </c>
      <c r="AK97" s="522">
        <f t="shared" si="65"/>
        <v>-56670.460000000036</v>
      </c>
      <c r="AL97" s="285">
        <f t="shared" si="83"/>
        <v>310538.1100000001</v>
      </c>
      <c r="AM97" s="426">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15">
        <f t="shared" si="69"/>
        <v>46899</v>
      </c>
      <c r="B98" s="346">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6">
        <f t="shared" si="70"/>
        <v>14345.629999999996</v>
      </c>
      <c r="J98" s="346">
        <f t="shared" si="71"/>
        <v>23781.730000000003</v>
      </c>
      <c r="K98" s="346">
        <f t="shared" si="72"/>
        <v>83186.209999999977</v>
      </c>
      <c r="L98" s="427">
        <f t="shared" si="103"/>
        <v>3</v>
      </c>
      <c r="M98" s="427">
        <f t="shared" si="111"/>
        <v>39</v>
      </c>
      <c r="N98" s="346">
        <f t="shared" si="112"/>
        <v>250874.01000000007</v>
      </c>
      <c r="O98" s="346">
        <f t="shared" si="73"/>
        <v>1610.57</v>
      </c>
      <c r="P98" s="346">
        <f t="shared" si="120"/>
        <v>303.92999999999984</v>
      </c>
      <c r="Q98" s="346">
        <f t="shared" si="74"/>
        <v>1306.6400000000001</v>
      </c>
      <c r="R98" s="346">
        <f t="shared" si="84"/>
        <v>134.16999999999999</v>
      </c>
      <c r="S98" s="346">
        <f t="shared" si="75"/>
        <v>188.55</v>
      </c>
      <c r="T98" s="346">
        <f t="shared" si="59"/>
        <v>1933.29</v>
      </c>
      <c r="U98" s="346">
        <f t="shared" si="121"/>
        <v>11005.919999999998</v>
      </c>
      <c r="V98" s="346">
        <f t="shared" si="122"/>
        <v>53416.87999999999</v>
      </c>
      <c r="W98" s="346">
        <f t="shared" si="76"/>
        <v>250570.08000000007</v>
      </c>
      <c r="X98" s="515">
        <f t="shared" si="113"/>
        <v>46899</v>
      </c>
      <c r="Y98" s="346">
        <f t="shared" si="77"/>
        <v>310538.1100000001</v>
      </c>
      <c r="Z98" s="505">
        <f t="shared" si="104"/>
        <v>3.7499999999999999E-2</v>
      </c>
      <c r="AA98" s="346">
        <f t="shared" si="105"/>
        <v>1533.81</v>
      </c>
      <c r="AB98" s="346">
        <f t="shared" si="78"/>
        <v>563.38</v>
      </c>
      <c r="AC98" s="346">
        <f t="shared" si="106"/>
        <v>970.43</v>
      </c>
      <c r="AD98" s="346">
        <f t="shared" ref="AD98:AE98" si="141">+AD97</f>
        <v>134.16999999999999</v>
      </c>
      <c r="AE98" s="346">
        <f t="shared" si="141"/>
        <v>188.55</v>
      </c>
      <c r="AF98" s="346">
        <f t="shared" si="80"/>
        <v>1856.53</v>
      </c>
      <c r="AG98" s="346">
        <f t="shared" si="81"/>
        <v>21218.67</v>
      </c>
      <c r="AH98" s="346">
        <f t="shared" si="82"/>
        <v>40133.730000000003</v>
      </c>
      <c r="AI98" s="523">
        <f t="shared" si="64"/>
        <v>3070.4000000000024</v>
      </c>
      <c r="AJ98" s="523">
        <f t="shared" si="134"/>
        <v>-59404.650000000023</v>
      </c>
      <c r="AK98" s="523">
        <f t="shared" si="65"/>
        <v>-56334.250000000022</v>
      </c>
      <c r="AL98" s="346">
        <f t="shared" si="83"/>
        <v>309974.7300000001</v>
      </c>
      <c r="AM98" s="427">
        <f t="shared" si="115"/>
        <v>3</v>
      </c>
      <c r="AN98" s="21">
        <f t="shared" si="66"/>
        <v>1160.29</v>
      </c>
      <c r="AO98" s="21">
        <f t="shared" si="50"/>
        <v>237305.11000000004</v>
      </c>
      <c r="AP98" s="21">
        <f t="shared" si="67"/>
        <v>1083.53</v>
      </c>
      <c r="AQ98" s="21"/>
      <c r="AR98" s="23"/>
      <c r="AS98" s="21">
        <f t="shared" si="109"/>
        <v>1160.29</v>
      </c>
      <c r="AT98" s="21">
        <f t="shared" si="116"/>
        <v>45931.040000000023</v>
      </c>
      <c r="AU98" s="346">
        <f t="shared" si="117"/>
        <v>804.52871647997063</v>
      </c>
      <c r="AV98" s="346">
        <f t="shared" si="118"/>
        <v>61040.015308468224</v>
      </c>
    </row>
    <row r="99" spans="1:50" x14ac:dyDescent="0.25">
      <c r="A99" s="51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6">
        <f t="shared" si="103"/>
        <v>3</v>
      </c>
      <c r="M99" s="426">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12">
        <f t="shared" si="113"/>
        <v>46929</v>
      </c>
      <c r="Y99" s="285">
        <f t="shared" si="77"/>
        <v>309974.7300000001</v>
      </c>
      <c r="Z99" s="50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22">
        <f t="shared" si="64"/>
        <v>3147.1600000000026</v>
      </c>
      <c r="AJ99" s="522">
        <f t="shared" si="134"/>
        <v>-59145.03</v>
      </c>
      <c r="AK99" s="522">
        <f t="shared" si="65"/>
        <v>-55997.869999999995</v>
      </c>
      <c r="AL99" s="285">
        <f t="shared" si="83"/>
        <v>309409.59000000008</v>
      </c>
      <c r="AM99" s="426">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1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6">
        <f t="shared" si="103"/>
        <v>3</v>
      </c>
      <c r="M100" s="426">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12">
        <f t="shared" si="113"/>
        <v>46959</v>
      </c>
      <c r="Y100" s="285">
        <f t="shared" si="77"/>
        <v>309409.59000000008</v>
      </c>
      <c r="Z100" s="50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22">
        <f t="shared" si="64"/>
        <v>3223.9200000000028</v>
      </c>
      <c r="AJ100" s="522">
        <f t="shared" si="134"/>
        <v>-58885.23000000001</v>
      </c>
      <c r="AK100" s="522">
        <f t="shared" si="65"/>
        <v>-55661.310000000005</v>
      </c>
      <c r="AL100" s="285">
        <f t="shared" si="83"/>
        <v>308842.68000000011</v>
      </c>
      <c r="AM100" s="426">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1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6">
        <f t="shared" si="103"/>
        <v>3</v>
      </c>
      <c r="M101" s="426">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12">
        <f t="shared" si="113"/>
        <v>46989</v>
      </c>
      <c r="Y101" s="285">
        <f t="shared" si="77"/>
        <v>308842.68000000011</v>
      </c>
      <c r="Z101" s="50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22">
        <f t="shared" si="64"/>
        <v>3300.680000000003</v>
      </c>
      <c r="AJ101" s="522">
        <f t="shared" si="134"/>
        <v>-58625.260000000009</v>
      </c>
      <c r="AK101" s="522">
        <f t="shared" si="65"/>
        <v>-55324.580000000009</v>
      </c>
      <c r="AL101" s="285">
        <f t="shared" si="83"/>
        <v>308274.00000000012</v>
      </c>
      <c r="AM101" s="426">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1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6">
        <f t="shared" si="103"/>
        <v>3</v>
      </c>
      <c r="M102" s="426">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12">
        <f t="shared" si="113"/>
        <v>47019</v>
      </c>
      <c r="Y102" s="285">
        <f t="shared" si="77"/>
        <v>308274.00000000012</v>
      </c>
      <c r="Z102" s="50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22">
        <f t="shared" si="64"/>
        <v>3377.4400000000032</v>
      </c>
      <c r="AJ102" s="522">
        <f t="shared" si="134"/>
        <v>-58365.130000000005</v>
      </c>
      <c r="AK102" s="522">
        <f t="shared" si="65"/>
        <v>-54987.69</v>
      </c>
      <c r="AL102" s="285">
        <f t="shared" si="83"/>
        <v>307703.5500000001</v>
      </c>
      <c r="AM102" s="426">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1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6">
        <f t="shared" si="103"/>
        <v>3</v>
      </c>
      <c r="M103" s="426">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12">
        <f t="shared" si="113"/>
        <v>47049</v>
      </c>
      <c r="Y103" s="285">
        <f t="shared" si="77"/>
        <v>307703.5500000001</v>
      </c>
      <c r="Z103" s="50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22">
        <f t="shared" si="64"/>
        <v>3454.2000000000035</v>
      </c>
      <c r="AJ103" s="522">
        <f t="shared" si="134"/>
        <v>-58104.820000000007</v>
      </c>
      <c r="AK103" s="522">
        <f t="shared" si="65"/>
        <v>-54650.62</v>
      </c>
      <c r="AL103" s="285">
        <f t="shared" si="83"/>
        <v>307131.31000000011</v>
      </c>
      <c r="AM103" s="426">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1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6">
        <f t="shared" si="103"/>
        <v>3</v>
      </c>
      <c r="M104" s="426">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12">
        <f t="shared" si="113"/>
        <v>47079</v>
      </c>
      <c r="Y104" s="285">
        <f t="shared" si="77"/>
        <v>307131.31000000011</v>
      </c>
      <c r="Z104" s="50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22">
        <f t="shared" si="64"/>
        <v>3530.9600000000037</v>
      </c>
      <c r="AJ104" s="522">
        <f t="shared" si="134"/>
        <v>-57844.359999999986</v>
      </c>
      <c r="AK104" s="522">
        <f t="shared" si="65"/>
        <v>-54313.39999999998</v>
      </c>
      <c r="AL104" s="285">
        <f t="shared" si="83"/>
        <v>306557.2900000001</v>
      </c>
      <c r="AM104" s="426">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1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6">
        <f t="shared" si="103"/>
        <v>3</v>
      </c>
      <c r="M105" s="426">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12">
        <f t="shared" si="113"/>
        <v>47109</v>
      </c>
      <c r="Y105" s="285">
        <f t="shared" si="77"/>
        <v>306557.2900000001</v>
      </c>
      <c r="Z105" s="50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22">
        <f t="shared" si="64"/>
        <v>3607.7200000000039</v>
      </c>
      <c r="AJ105" s="522">
        <f t="shared" si="134"/>
        <v>-57583.729999999981</v>
      </c>
      <c r="AK105" s="522">
        <f t="shared" si="65"/>
        <v>-53976.00999999998</v>
      </c>
      <c r="AL105" s="285">
        <f t="shared" si="83"/>
        <v>305981.47000000009</v>
      </c>
      <c r="AM105" s="426">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1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6">
        <f t="shared" si="103"/>
        <v>3</v>
      </c>
      <c r="M106" s="426">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12">
        <f t="shared" si="113"/>
        <v>47139</v>
      </c>
      <c r="Y106" s="285">
        <f t="shared" si="77"/>
        <v>305981.47000000009</v>
      </c>
      <c r="Z106" s="50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22">
        <f t="shared" si="64"/>
        <v>3684.4800000000041</v>
      </c>
      <c r="AJ106" s="522">
        <f t="shared" si="134"/>
        <v>-57322.939999999973</v>
      </c>
      <c r="AK106" s="522">
        <f t="shared" si="65"/>
        <v>-53638.45999999997</v>
      </c>
      <c r="AL106" s="285">
        <f t="shared" si="83"/>
        <v>305403.85000000009</v>
      </c>
      <c r="AM106" s="426">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1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6">
        <f t="shared" si="103"/>
        <v>4</v>
      </c>
      <c r="M107" s="426">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12">
        <f t="shared" si="113"/>
        <v>47169</v>
      </c>
      <c r="Y107" s="285">
        <f t="shared" si="77"/>
        <v>305403.85000000009</v>
      </c>
      <c r="Z107" s="50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22">
        <f t="shared" si="64"/>
        <v>3761.2400000000043</v>
      </c>
      <c r="AJ107" s="522">
        <f t="shared" si="134"/>
        <v>-57062</v>
      </c>
      <c r="AK107" s="522">
        <f t="shared" si="65"/>
        <v>-53300.759999999995</v>
      </c>
      <c r="AL107" s="285">
        <f t="shared" si="83"/>
        <v>304824.43000000011</v>
      </c>
      <c r="AM107" s="426">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80"/>
    </row>
    <row r="108" spans="1:50" x14ac:dyDescent="0.25">
      <c r="A108" s="51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6">
        <f>IF(MOD(M108,12)=0,M108/12,L107)</f>
        <v>4</v>
      </c>
      <c r="M108" s="426">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12">
        <f t="shared" si="113"/>
        <v>47199</v>
      </c>
      <c r="Y108" s="285">
        <f t="shared" si="77"/>
        <v>304824.43000000011</v>
      </c>
      <c r="Z108" s="50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22">
        <f t="shared" si="64"/>
        <v>3838.0000000000045</v>
      </c>
      <c r="AJ108" s="522">
        <f t="shared" si="134"/>
        <v>-56800.910000000033</v>
      </c>
      <c r="AK108" s="522">
        <f t="shared" si="65"/>
        <v>-52962.910000000025</v>
      </c>
      <c r="AL108" s="285">
        <f t="shared" si="83"/>
        <v>304243.20000000013</v>
      </c>
      <c r="AM108" s="426">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80"/>
    </row>
    <row r="109" spans="1:50" x14ac:dyDescent="0.25">
      <c r="A109" s="51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6">
        <f>IF(MOD(M109,12)=0,M109/12,L108)</f>
        <v>4</v>
      </c>
      <c r="M109" s="426">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12">
        <f t="shared" si="113"/>
        <v>47229</v>
      </c>
      <c r="Y109" s="285">
        <f t="shared" si="77"/>
        <v>304243.20000000013</v>
      </c>
      <c r="Z109" s="50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22">
        <f t="shared" si="64"/>
        <v>3914.7600000000048</v>
      </c>
      <c r="AJ109" s="522">
        <f t="shared" si="134"/>
        <v>-56539.670000000042</v>
      </c>
      <c r="AK109" s="522">
        <f t="shared" si="65"/>
        <v>-52624.91000000004</v>
      </c>
      <c r="AL109" s="285">
        <f t="shared" si="83"/>
        <v>303660.15000000014</v>
      </c>
      <c r="AM109" s="426">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15">
        <f t="shared" si="69"/>
        <v>47259</v>
      </c>
      <c r="B110" s="346">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6">
        <f t="shared" si="70"/>
        <v>16669.159999999996</v>
      </c>
      <c r="J110" s="346">
        <f t="shared" si="71"/>
        <v>26861.560000000005</v>
      </c>
      <c r="K110" s="346">
        <f t="shared" si="72"/>
        <v>80862.679999999949</v>
      </c>
      <c r="L110" s="427">
        <f>IF(MOD(M110,12)=0,M110/12,L109)</f>
        <v>4</v>
      </c>
      <c r="M110" s="427">
        <f t="shared" si="111"/>
        <v>51</v>
      </c>
      <c r="N110" s="346">
        <f t="shared" si="112"/>
        <v>247120.4800000001</v>
      </c>
      <c r="O110" s="346">
        <f t="shared" si="73"/>
        <v>1610.57</v>
      </c>
      <c r="P110" s="346">
        <f t="shared" si="120"/>
        <v>323.48</v>
      </c>
      <c r="Q110" s="346">
        <f t="shared" si="74"/>
        <v>1287.0899999999999</v>
      </c>
      <c r="R110" s="346">
        <f t="shared" si="84"/>
        <v>134.16999999999999</v>
      </c>
      <c r="S110" s="346">
        <f t="shared" si="75"/>
        <v>188.55</v>
      </c>
      <c r="T110" s="346">
        <f t="shared" si="59"/>
        <v>1933.29</v>
      </c>
      <c r="U110" s="346">
        <f t="shared" si="121"/>
        <v>14778.999999999996</v>
      </c>
      <c r="V110" s="346">
        <f t="shared" si="122"/>
        <v>68970.63999999997</v>
      </c>
      <c r="W110" s="346">
        <f t="shared" si="76"/>
        <v>246797.00000000009</v>
      </c>
      <c r="X110" s="515">
        <f t="shared" si="113"/>
        <v>47259</v>
      </c>
      <c r="Y110" s="346">
        <f t="shared" si="77"/>
        <v>303660.15000000014</v>
      </c>
      <c r="Z110" s="505">
        <f t="shared" si="104"/>
        <v>3.7499999999999999E-2</v>
      </c>
      <c r="AA110" s="346">
        <f t="shared" si="105"/>
        <v>1533.81</v>
      </c>
      <c r="AB110" s="346">
        <f t="shared" si="78"/>
        <v>584.86999999999989</v>
      </c>
      <c r="AC110" s="346">
        <f t="shared" si="106"/>
        <v>948.94</v>
      </c>
      <c r="AD110" s="346">
        <f t="shared" ref="AD110:AE110" si="154">+AD109</f>
        <v>134.16999999999999</v>
      </c>
      <c r="AE110" s="346">
        <f t="shared" si="154"/>
        <v>188.55</v>
      </c>
      <c r="AF110" s="346">
        <f t="shared" si="80"/>
        <v>1856.53</v>
      </c>
      <c r="AG110" s="346">
        <f t="shared" si="81"/>
        <v>28118.119999999995</v>
      </c>
      <c r="AH110" s="346">
        <f t="shared" si="82"/>
        <v>51640.000000000007</v>
      </c>
      <c r="AI110" s="523">
        <f t="shared" si="64"/>
        <v>3991.520000000005</v>
      </c>
      <c r="AJ110" s="523">
        <f t="shared" si="134"/>
        <v>-56278.280000000057</v>
      </c>
      <c r="AK110" s="523">
        <f t="shared" si="65"/>
        <v>-52286.760000000053</v>
      </c>
      <c r="AL110" s="346">
        <f t="shared" si="83"/>
        <v>303075.28000000014</v>
      </c>
      <c r="AM110" s="427">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6">
        <f t="shared" si="117"/>
        <v>828.99922725610475</v>
      </c>
      <c r="AV110" s="346">
        <f t="shared" si="118"/>
        <v>70852.690129698021</v>
      </c>
      <c r="AX110" s="480"/>
    </row>
    <row r="111" spans="1:50" x14ac:dyDescent="0.25">
      <c r="A111" s="51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6">
        <f t="shared" ref="L111:L174" si="155">IF(MOD(M111,12)=0,M111/12,L110)</f>
        <v>4</v>
      </c>
      <c r="M111" s="426">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12">
        <f t="shared" si="113"/>
        <v>47289</v>
      </c>
      <c r="Y111" s="285">
        <f t="shared" si="77"/>
        <v>303075.28000000014</v>
      </c>
      <c r="Z111" s="50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22">
        <f t="shared" si="64"/>
        <v>4068.2800000000052</v>
      </c>
      <c r="AJ111" s="522">
        <f t="shared" si="134"/>
        <v>-56016.750000000058</v>
      </c>
      <c r="AK111" s="522">
        <f t="shared" si="65"/>
        <v>-51948.470000000052</v>
      </c>
      <c r="AL111" s="285">
        <f t="shared" si="83"/>
        <v>302488.58000000013</v>
      </c>
      <c r="AM111" s="426">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1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6">
        <f t="shared" si="155"/>
        <v>4</v>
      </c>
      <c r="M112" s="426">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12">
        <f t="shared" si="113"/>
        <v>47319</v>
      </c>
      <c r="Y112" s="285">
        <f t="shared" si="77"/>
        <v>302488.58000000013</v>
      </c>
      <c r="Z112" s="50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22">
        <f t="shared" si="64"/>
        <v>4145.0400000000054</v>
      </c>
      <c r="AJ112" s="522">
        <f t="shared" si="134"/>
        <v>-55755.080000000016</v>
      </c>
      <c r="AK112" s="522">
        <f t="shared" si="65"/>
        <v>-51610.040000000008</v>
      </c>
      <c r="AL112" s="285">
        <f t="shared" si="83"/>
        <v>301900.0500000001</v>
      </c>
      <c r="AM112" s="426">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1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6">
        <f t="shared" si="155"/>
        <v>4</v>
      </c>
      <c r="M113" s="426">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12">
        <f t="shared" si="113"/>
        <v>47349</v>
      </c>
      <c r="Y113" s="285">
        <f t="shared" si="77"/>
        <v>301900.0500000001</v>
      </c>
      <c r="Z113" s="50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22">
        <f t="shared" si="64"/>
        <v>4221.8000000000056</v>
      </c>
      <c r="AJ113" s="522">
        <f t="shared" si="134"/>
        <v>-55493.270000000019</v>
      </c>
      <c r="AK113" s="522">
        <f t="shared" si="65"/>
        <v>-51271.470000000016</v>
      </c>
      <c r="AL113" s="285">
        <f t="shared" si="83"/>
        <v>301309.68000000011</v>
      </c>
      <c r="AM113" s="426">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1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6">
        <f t="shared" si="155"/>
        <v>4</v>
      </c>
      <c r="M114" s="426">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12">
        <f t="shared" si="113"/>
        <v>47379</v>
      </c>
      <c r="Y114" s="285">
        <f t="shared" si="77"/>
        <v>301309.68000000011</v>
      </c>
      <c r="Z114" s="50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22">
        <f t="shared" si="64"/>
        <v>4298.5600000000059</v>
      </c>
      <c r="AJ114" s="522">
        <f t="shared" si="134"/>
        <v>-55231.330000000045</v>
      </c>
      <c r="AK114" s="522">
        <f t="shared" si="65"/>
        <v>-50932.77000000004</v>
      </c>
      <c r="AL114" s="285">
        <f t="shared" si="83"/>
        <v>300717.46000000014</v>
      </c>
      <c r="AM114" s="426">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1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6">
        <f t="shared" si="155"/>
        <v>4</v>
      </c>
      <c r="M115" s="426">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12">
        <f t="shared" si="113"/>
        <v>47409</v>
      </c>
      <c r="Y115" s="285">
        <f t="shared" si="77"/>
        <v>300717.46000000014</v>
      </c>
      <c r="Z115" s="50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22">
        <f t="shared" si="64"/>
        <v>4375.3200000000061</v>
      </c>
      <c r="AJ115" s="522">
        <f t="shared" si="134"/>
        <v>-54969.260000000038</v>
      </c>
      <c r="AK115" s="522">
        <f t="shared" si="65"/>
        <v>-50593.940000000031</v>
      </c>
      <c r="AL115" s="285">
        <f t="shared" si="83"/>
        <v>300123.39000000013</v>
      </c>
      <c r="AM115" s="426">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1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6">
        <f t="shared" si="155"/>
        <v>4</v>
      </c>
      <c r="M116" s="426">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12">
        <f t="shared" si="113"/>
        <v>47439</v>
      </c>
      <c r="Y116" s="285">
        <f t="shared" si="77"/>
        <v>300123.39000000013</v>
      </c>
      <c r="Z116" s="50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22">
        <f t="shared" si="64"/>
        <v>4452.0800000000063</v>
      </c>
      <c r="AJ116" s="522">
        <f t="shared" si="134"/>
        <v>-54707.070000000065</v>
      </c>
      <c r="AK116" s="522">
        <f t="shared" si="65"/>
        <v>-50254.990000000056</v>
      </c>
      <c r="AL116" s="285">
        <f t="shared" si="83"/>
        <v>299527.47000000015</v>
      </c>
      <c r="AM116" s="426">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1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6">
        <f t="shared" si="155"/>
        <v>4</v>
      </c>
      <c r="M117" s="426">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12">
        <f t="shared" si="113"/>
        <v>47469</v>
      </c>
      <c r="Y117" s="285">
        <f t="shared" si="77"/>
        <v>299527.47000000015</v>
      </c>
      <c r="Z117" s="50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22">
        <f t="shared" si="64"/>
        <v>4528.8400000000065</v>
      </c>
      <c r="AJ117" s="522">
        <f t="shared" si="134"/>
        <v>-54444.740000000078</v>
      </c>
      <c r="AK117" s="522">
        <f t="shared" si="65"/>
        <v>-49915.900000000074</v>
      </c>
      <c r="AL117" s="285">
        <f t="shared" si="83"/>
        <v>298929.68000000017</v>
      </c>
      <c r="AM117" s="426">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80"/>
    </row>
    <row r="118" spans="1:50" x14ac:dyDescent="0.25">
      <c r="A118" s="51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6">
        <f t="shared" si="155"/>
        <v>4</v>
      </c>
      <c r="M118" s="426">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12">
        <f t="shared" si="113"/>
        <v>47499</v>
      </c>
      <c r="Y118" s="285">
        <f t="shared" si="77"/>
        <v>298929.68000000017</v>
      </c>
      <c r="Z118" s="50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22">
        <f t="shared" si="64"/>
        <v>4605.6000000000067</v>
      </c>
      <c r="AJ118" s="522">
        <f t="shared" si="134"/>
        <v>-54182.300000000047</v>
      </c>
      <c r="AK118" s="522">
        <f t="shared" si="65"/>
        <v>-49576.700000000041</v>
      </c>
      <c r="AL118" s="285">
        <f t="shared" si="83"/>
        <v>298330.03000000014</v>
      </c>
      <c r="AM118" s="426">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80"/>
    </row>
    <row r="119" spans="1:50" x14ac:dyDescent="0.25">
      <c r="A119" s="51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6">
        <f t="shared" si="155"/>
        <v>5</v>
      </c>
      <c r="M119" s="426">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12">
        <f t="shared" si="113"/>
        <v>47529</v>
      </c>
      <c r="Y119" s="285">
        <f t="shared" si="77"/>
        <v>298330.03000000014</v>
      </c>
      <c r="Z119" s="50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22">
        <f t="shared" si="64"/>
        <v>4586.1300000000065</v>
      </c>
      <c r="AJ119" s="522">
        <f t="shared" si="134"/>
        <v>-54445.030000000057</v>
      </c>
      <c r="AK119" s="522">
        <f t="shared" si="65"/>
        <v>-49858.900000000052</v>
      </c>
      <c r="AL119" s="285">
        <f t="shared" si="83"/>
        <v>298253.79000000015</v>
      </c>
      <c r="AM119" s="426">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80"/>
    </row>
    <row r="120" spans="1:50" x14ac:dyDescent="0.25">
      <c r="A120" s="51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6">
        <f t="shared" si="155"/>
        <v>5</v>
      </c>
      <c r="M120" s="426">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12">
        <f t="shared" si="113"/>
        <v>47559</v>
      </c>
      <c r="Y120" s="285">
        <f t="shared" si="77"/>
        <v>298253.79000000015</v>
      </c>
      <c r="Z120" s="50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22">
        <f t="shared" si="64"/>
        <v>4566.6600000000062</v>
      </c>
      <c r="AJ120" s="522">
        <f t="shared" si="134"/>
        <v>-54709.130000000063</v>
      </c>
      <c r="AK120" s="522">
        <f t="shared" si="65"/>
        <v>-50142.470000000059</v>
      </c>
      <c r="AL120" s="285">
        <f t="shared" si="83"/>
        <v>298177.16000000015</v>
      </c>
      <c r="AM120" s="426">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1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6">
        <f t="shared" si="155"/>
        <v>5</v>
      </c>
      <c r="M121" s="426">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12">
        <f t="shared" si="113"/>
        <v>47589</v>
      </c>
      <c r="Y121" s="285">
        <f t="shared" si="77"/>
        <v>298177.16000000015</v>
      </c>
      <c r="Z121" s="50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22">
        <f t="shared" si="64"/>
        <v>4547.190000000006</v>
      </c>
      <c r="AJ121" s="522">
        <f t="shared" si="134"/>
        <v>-54974.610000000044</v>
      </c>
      <c r="AK121" s="522">
        <f t="shared" si="65"/>
        <v>-50427.420000000042</v>
      </c>
      <c r="AL121" s="285">
        <f t="shared" si="83"/>
        <v>298100.13000000012</v>
      </c>
      <c r="AM121" s="426">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15">
        <f t="shared" si="69"/>
        <v>47619</v>
      </c>
      <c r="B122" s="346">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6">
        <f t="shared" si="70"/>
        <v>19081.349999999995</v>
      </c>
      <c r="J122" s="346">
        <f t="shared" si="71"/>
        <v>29852.730000000007</v>
      </c>
      <c r="K122" s="346">
        <f t="shared" si="72"/>
        <v>78450.489999999918</v>
      </c>
      <c r="L122" s="427">
        <f t="shared" si="155"/>
        <v>5</v>
      </c>
      <c r="M122" s="427">
        <f t="shared" si="111"/>
        <v>63</v>
      </c>
      <c r="N122" s="346">
        <f t="shared" si="112"/>
        <v>243125.52000000008</v>
      </c>
      <c r="O122" s="346">
        <f t="shared" si="73"/>
        <v>1610.57</v>
      </c>
      <c r="P122" s="346">
        <f t="shared" si="120"/>
        <v>344.28999999999996</v>
      </c>
      <c r="Q122" s="346">
        <f t="shared" si="74"/>
        <v>1266.28</v>
      </c>
      <c r="R122" s="346">
        <f t="shared" si="84"/>
        <v>134.16999999999999</v>
      </c>
      <c r="S122" s="346">
        <f t="shared" si="75"/>
        <v>188.55</v>
      </c>
      <c r="T122" s="346">
        <f t="shared" si="59"/>
        <v>1933.29</v>
      </c>
      <c r="U122" s="346">
        <f t="shared" si="121"/>
        <v>18794.769999999993</v>
      </c>
      <c r="V122" s="346">
        <f t="shared" si="122"/>
        <v>84281.709999999963</v>
      </c>
      <c r="W122" s="346">
        <f t="shared" si="76"/>
        <v>242781.23000000007</v>
      </c>
      <c r="X122" s="515">
        <f t="shared" si="113"/>
        <v>47619</v>
      </c>
      <c r="Y122" s="346">
        <f t="shared" si="77"/>
        <v>298100.13000000012</v>
      </c>
      <c r="Z122" s="505">
        <f t="shared" si="104"/>
        <v>6.25E-2</v>
      </c>
      <c r="AA122" s="346">
        <f t="shared" si="105"/>
        <v>1630.04</v>
      </c>
      <c r="AB122" s="346">
        <f t="shared" si="78"/>
        <v>77.440000000000055</v>
      </c>
      <c r="AC122" s="346">
        <f t="shared" si="106"/>
        <v>1552.6</v>
      </c>
      <c r="AD122" s="346">
        <f t="shared" ref="AD122:AE122" si="169">+AD121</f>
        <v>134.16999999999999</v>
      </c>
      <c r="AE122" s="346">
        <f t="shared" si="169"/>
        <v>188.55</v>
      </c>
      <c r="AF122" s="346">
        <f t="shared" si="80"/>
        <v>1952.76</v>
      </c>
      <c r="AG122" s="346">
        <f t="shared" si="81"/>
        <v>33170.709999999992</v>
      </c>
      <c r="AH122" s="346">
        <f t="shared" si="82"/>
        <v>65378.05000000001</v>
      </c>
      <c r="AI122" s="523">
        <f t="shared" si="64"/>
        <v>4527.7200000000057</v>
      </c>
      <c r="AJ122" s="523">
        <f t="shared" si="134"/>
        <v>-55241.46000000005</v>
      </c>
      <c r="AK122" s="523">
        <f t="shared" si="65"/>
        <v>-50713.740000000042</v>
      </c>
      <c r="AL122" s="346">
        <f t="shared" si="83"/>
        <v>298022.69000000012</v>
      </c>
      <c r="AM122" s="427">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6">
        <f t="shared" si="117"/>
        <v>854.21403203365742</v>
      </c>
      <c r="AV122" s="346">
        <f t="shared" si="118"/>
        <v>80963.826845496602</v>
      </c>
    </row>
    <row r="123" spans="1:50" x14ac:dyDescent="0.25">
      <c r="A123" s="51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6">
        <f t="shared" si="155"/>
        <v>5</v>
      </c>
      <c r="M123" s="426">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12">
        <f t="shared" si="113"/>
        <v>47649</v>
      </c>
      <c r="Y123" s="285">
        <f t="shared" si="77"/>
        <v>298022.69000000012</v>
      </c>
      <c r="Z123" s="50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22">
        <f t="shared" si="64"/>
        <v>4508.2500000000055</v>
      </c>
      <c r="AJ123" s="522">
        <f t="shared" si="134"/>
        <v>-55509.700000000012</v>
      </c>
      <c r="AK123" s="522">
        <f t="shared" si="65"/>
        <v>-51001.450000000004</v>
      </c>
      <c r="AL123" s="285">
        <f t="shared" si="83"/>
        <v>297944.85000000009</v>
      </c>
      <c r="AM123" s="426">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1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6">
        <f t="shared" si="155"/>
        <v>5</v>
      </c>
      <c r="M124" s="426">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12">
        <f t="shared" si="113"/>
        <v>47679</v>
      </c>
      <c r="Y124" s="285">
        <f t="shared" si="77"/>
        <v>297944.85000000009</v>
      </c>
      <c r="Z124" s="50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22">
        <f t="shared" ref="AI124:AI187" si="176">O124-AA124+AI123</f>
        <v>4488.7800000000052</v>
      </c>
      <c r="AJ124" s="522">
        <f t="shared" si="134"/>
        <v>-55779.350000000035</v>
      </c>
      <c r="AK124" s="522">
        <f t="shared" ref="AK124:AK187" si="177">SUM(AI124:AJ124)</f>
        <v>-51290.570000000029</v>
      </c>
      <c r="AL124" s="285">
        <f t="shared" si="83"/>
        <v>297866.6100000001</v>
      </c>
      <c r="AM124" s="426">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1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6">
        <f t="shared" si="155"/>
        <v>5</v>
      </c>
      <c r="M125" s="426">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12">
        <f t="shared" si="113"/>
        <v>47709</v>
      </c>
      <c r="Y125" s="285">
        <f t="shared" si="77"/>
        <v>297866.6100000001</v>
      </c>
      <c r="Z125" s="50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22">
        <f t="shared" si="176"/>
        <v>4469.3100000000049</v>
      </c>
      <c r="AJ125" s="522">
        <f t="shared" si="134"/>
        <v>-56050.400000000023</v>
      </c>
      <c r="AK125" s="522">
        <f t="shared" si="177"/>
        <v>-51581.090000000018</v>
      </c>
      <c r="AL125" s="285">
        <f t="shared" si="83"/>
        <v>297787.96000000008</v>
      </c>
      <c r="AM125" s="426">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1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6">
        <f t="shared" si="155"/>
        <v>5</v>
      </c>
      <c r="M126" s="426">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12">
        <f t="shared" si="113"/>
        <v>47739</v>
      </c>
      <c r="Y126" s="285">
        <f t="shared" ref="Y126:Y189" si="188">IF(+AL125&lt;0,0,+AL125)</f>
        <v>297787.96000000008</v>
      </c>
      <c r="Z126" s="50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22">
        <f t="shared" si="176"/>
        <v>4449.8400000000047</v>
      </c>
      <c r="AJ126" s="522">
        <f t="shared" si="134"/>
        <v>-56322.860000000015</v>
      </c>
      <c r="AK126" s="522">
        <f t="shared" si="177"/>
        <v>-51873.020000000011</v>
      </c>
      <c r="AL126" s="285">
        <f t="shared" ref="AL126:AL189" si="194">+Y126-AB126</f>
        <v>297708.90000000008</v>
      </c>
      <c r="AM126" s="426">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1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6">
        <f t="shared" si="155"/>
        <v>5</v>
      </c>
      <c r="M127" s="426">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12">
        <f t="shared" si="113"/>
        <v>47769</v>
      </c>
      <c r="Y127" s="285">
        <f t="shared" si="188"/>
        <v>297708.90000000008</v>
      </c>
      <c r="Z127" s="50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22">
        <f t="shared" si="176"/>
        <v>4430.3700000000044</v>
      </c>
      <c r="AJ127" s="522">
        <f t="shared" si="134"/>
        <v>-56596.740000000049</v>
      </c>
      <c r="AK127" s="522">
        <f t="shared" si="177"/>
        <v>-52166.370000000046</v>
      </c>
      <c r="AL127" s="285">
        <f t="shared" si="194"/>
        <v>297629.43000000011</v>
      </c>
      <c r="AM127" s="426">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1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6">
        <f t="shared" si="155"/>
        <v>5</v>
      </c>
      <c r="M128" s="426">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12">
        <f t="shared" si="113"/>
        <v>47799</v>
      </c>
      <c r="Y128" s="285">
        <f t="shared" si="188"/>
        <v>297629.43000000011</v>
      </c>
      <c r="Z128" s="50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22">
        <f t="shared" si="176"/>
        <v>4410.9000000000042</v>
      </c>
      <c r="AJ128" s="522">
        <f t="shared" si="134"/>
        <v>-56872.040000000037</v>
      </c>
      <c r="AK128" s="522">
        <f t="shared" si="177"/>
        <v>-52461.140000000036</v>
      </c>
      <c r="AL128" s="285">
        <f t="shared" si="194"/>
        <v>297549.5400000001</v>
      </c>
      <c r="AM128" s="426">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1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6">
        <f t="shared" si="155"/>
        <v>5</v>
      </c>
      <c r="M129" s="426">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12">
        <f t="shared" si="113"/>
        <v>47829</v>
      </c>
      <c r="Y129" s="285">
        <f t="shared" si="188"/>
        <v>297549.5400000001</v>
      </c>
      <c r="Z129" s="50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22">
        <f t="shared" si="176"/>
        <v>4391.4300000000039</v>
      </c>
      <c r="AJ129" s="522">
        <f t="shared" si="134"/>
        <v>-57148.780000000057</v>
      </c>
      <c r="AK129" s="522">
        <f t="shared" si="177"/>
        <v>-52757.350000000049</v>
      </c>
      <c r="AL129" s="285">
        <f t="shared" si="194"/>
        <v>297469.24000000011</v>
      </c>
      <c r="AM129" s="426">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1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6">
        <f t="shared" si="155"/>
        <v>5</v>
      </c>
      <c r="M130" s="426">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12">
        <f t="shared" si="113"/>
        <v>47859</v>
      </c>
      <c r="Y130" s="285">
        <f t="shared" si="188"/>
        <v>297469.24000000011</v>
      </c>
      <c r="Z130" s="50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22">
        <f t="shared" si="176"/>
        <v>4371.9600000000037</v>
      </c>
      <c r="AJ130" s="522">
        <f t="shared" si="134"/>
        <v>-57426.960000000079</v>
      </c>
      <c r="AK130" s="522">
        <f t="shared" si="177"/>
        <v>-53055.000000000073</v>
      </c>
      <c r="AL130" s="285">
        <f t="shared" si="194"/>
        <v>297388.52000000014</v>
      </c>
      <c r="AM130" s="426">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1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6">
        <f t="shared" si="155"/>
        <v>6</v>
      </c>
      <c r="M131" s="426">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12">
        <f t="shared" si="113"/>
        <v>47889</v>
      </c>
      <c r="Y131" s="285">
        <f t="shared" si="188"/>
        <v>297388.52000000014</v>
      </c>
      <c r="Z131" s="50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22">
        <f t="shared" si="176"/>
        <v>4352.4900000000034</v>
      </c>
      <c r="AJ131" s="522">
        <f t="shared" si="134"/>
        <v>-57706.590000000055</v>
      </c>
      <c r="AK131" s="522">
        <f t="shared" si="177"/>
        <v>-53354.100000000049</v>
      </c>
      <c r="AL131" s="285">
        <f t="shared" si="194"/>
        <v>297307.38000000012</v>
      </c>
      <c r="AM131" s="426">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1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6">
        <f t="shared" si="155"/>
        <v>6</v>
      </c>
      <c r="M132" s="426">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12">
        <f t="shared" si="113"/>
        <v>47919</v>
      </c>
      <c r="Y132" s="285">
        <f t="shared" si="188"/>
        <v>297307.38000000012</v>
      </c>
      <c r="Z132" s="50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22">
        <f t="shared" si="176"/>
        <v>4333.0200000000032</v>
      </c>
      <c r="AJ132" s="522">
        <f t="shared" si="134"/>
        <v>-57987.680000000051</v>
      </c>
      <c r="AK132" s="522">
        <f t="shared" si="177"/>
        <v>-53654.660000000047</v>
      </c>
      <c r="AL132" s="285">
        <f t="shared" si="194"/>
        <v>297225.82000000012</v>
      </c>
      <c r="AM132" s="426">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1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6">
        <f t="shared" si="155"/>
        <v>6</v>
      </c>
      <c r="M133" s="426">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12">
        <f t="shared" si="113"/>
        <v>47949</v>
      </c>
      <c r="Y133" s="285">
        <f t="shared" si="188"/>
        <v>297225.82000000012</v>
      </c>
      <c r="Z133" s="50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22">
        <f t="shared" si="176"/>
        <v>4313.5500000000029</v>
      </c>
      <c r="AJ133" s="522">
        <f t="shared" si="134"/>
        <v>-58270.230000000069</v>
      </c>
      <c r="AK133" s="522">
        <f t="shared" si="177"/>
        <v>-53956.680000000066</v>
      </c>
      <c r="AL133" s="285">
        <f t="shared" si="194"/>
        <v>297143.83000000013</v>
      </c>
      <c r="AM133" s="426">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15">
        <f t="shared" si="181"/>
        <v>47979</v>
      </c>
      <c r="B134" s="346">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6">
        <f t="shared" si="182"/>
        <v>21585.55999999999</v>
      </c>
      <c r="J134" s="346">
        <f t="shared" si="183"/>
        <v>32751.880000000008</v>
      </c>
      <c r="K134" s="346">
        <f t="shared" si="184"/>
        <v>75946.279999999926</v>
      </c>
      <c r="L134" s="427">
        <f t="shared" si="155"/>
        <v>6</v>
      </c>
      <c r="M134" s="427">
        <f t="shared" si="111"/>
        <v>75</v>
      </c>
      <c r="N134" s="346">
        <f t="shared" si="112"/>
        <v>238873.60000000006</v>
      </c>
      <c r="O134" s="346">
        <f t="shared" si="185"/>
        <v>1610.57</v>
      </c>
      <c r="P134" s="346">
        <f t="shared" si="120"/>
        <v>366.43999999999983</v>
      </c>
      <c r="Q134" s="346">
        <f t="shared" si="186"/>
        <v>1244.1300000000001</v>
      </c>
      <c r="R134" s="346">
        <f t="shared" si="173"/>
        <v>134.16999999999999</v>
      </c>
      <c r="S134" s="346">
        <f t="shared" si="174"/>
        <v>188.55</v>
      </c>
      <c r="T134" s="346">
        <f t="shared" si="171"/>
        <v>1933.29</v>
      </c>
      <c r="U134" s="346">
        <f t="shared" si="121"/>
        <v>23068.839999999993</v>
      </c>
      <c r="V134" s="346">
        <f t="shared" si="122"/>
        <v>99334.479999999967</v>
      </c>
      <c r="W134" s="346">
        <f t="shared" si="187"/>
        <v>238507.16000000006</v>
      </c>
      <c r="X134" s="515">
        <f t="shared" si="113"/>
        <v>47979</v>
      </c>
      <c r="Y134" s="346">
        <f t="shared" si="188"/>
        <v>297143.83000000013</v>
      </c>
      <c r="Z134" s="505">
        <f t="shared" si="104"/>
        <v>6.25E-2</v>
      </c>
      <c r="AA134" s="346">
        <f t="shared" si="105"/>
        <v>1630.04</v>
      </c>
      <c r="AB134" s="346">
        <f t="shared" si="189"/>
        <v>82.420000000000073</v>
      </c>
      <c r="AC134" s="346">
        <f t="shared" si="106"/>
        <v>1547.62</v>
      </c>
      <c r="AD134" s="346">
        <f t="shared" ref="AD134:AE134" si="202">+AD133</f>
        <v>134.16999999999999</v>
      </c>
      <c r="AE134" s="346">
        <f t="shared" si="202"/>
        <v>188.55</v>
      </c>
      <c r="AF134" s="346">
        <f t="shared" si="191"/>
        <v>1952.76</v>
      </c>
      <c r="AG134" s="346">
        <f t="shared" si="192"/>
        <v>34131.989999999983</v>
      </c>
      <c r="AH134" s="346">
        <f t="shared" si="193"/>
        <v>83977.250000000015</v>
      </c>
      <c r="AI134" s="523">
        <f t="shared" si="176"/>
        <v>4294.0800000000027</v>
      </c>
      <c r="AJ134" s="523">
        <f t="shared" si="134"/>
        <v>-58554.250000000087</v>
      </c>
      <c r="AK134" s="523">
        <f t="shared" si="177"/>
        <v>-54260.170000000086</v>
      </c>
      <c r="AL134" s="346">
        <f t="shared" si="194"/>
        <v>297061.41000000015</v>
      </c>
      <c r="AM134" s="427">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6">
        <f t="shared" si="117"/>
        <v>880.19576922690646</v>
      </c>
      <c r="AV134" s="346">
        <f t="shared" si="118"/>
        <v>91382.503459989501</v>
      </c>
    </row>
    <row r="135" spans="1:48" x14ac:dyDescent="0.25">
      <c r="A135" s="51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6">
        <f t="shared" si="155"/>
        <v>6</v>
      </c>
      <c r="M135" s="426">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12">
        <f t="shared" si="113"/>
        <v>48009</v>
      </c>
      <c r="Y135" s="285">
        <f t="shared" si="188"/>
        <v>297061.41000000015</v>
      </c>
      <c r="Z135" s="50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22">
        <f t="shared" si="176"/>
        <v>4274.6100000000024</v>
      </c>
      <c r="AJ135" s="522">
        <f t="shared" si="134"/>
        <v>-58839.750000000116</v>
      </c>
      <c r="AK135" s="522">
        <f t="shared" si="177"/>
        <v>-54565.140000000116</v>
      </c>
      <c r="AL135" s="285">
        <f t="shared" si="194"/>
        <v>296978.56000000017</v>
      </c>
      <c r="AM135" s="426">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1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6">
        <f t="shared" si="155"/>
        <v>6</v>
      </c>
      <c r="M136" s="426">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12">
        <f t="shared" si="113"/>
        <v>48039</v>
      </c>
      <c r="Y136" s="285">
        <f t="shared" si="188"/>
        <v>296978.56000000017</v>
      </c>
      <c r="Z136" s="50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22">
        <f t="shared" si="176"/>
        <v>4255.1400000000021</v>
      </c>
      <c r="AJ136" s="522">
        <f t="shared" si="134"/>
        <v>-59126.730000000098</v>
      </c>
      <c r="AK136" s="522">
        <f t="shared" si="177"/>
        <v>-54871.590000000098</v>
      </c>
      <c r="AL136" s="285">
        <f t="shared" si="194"/>
        <v>296895.28000000014</v>
      </c>
      <c r="AM136" s="426">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1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6">
        <f t="shared" si="155"/>
        <v>6</v>
      </c>
      <c r="M137" s="426">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12">
        <f t="shared" si="113"/>
        <v>48069</v>
      </c>
      <c r="Y137" s="285">
        <f t="shared" si="188"/>
        <v>296895.28000000014</v>
      </c>
      <c r="Z137" s="50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22">
        <f t="shared" si="176"/>
        <v>4235.6700000000019</v>
      </c>
      <c r="AJ137" s="522">
        <f t="shared" si="134"/>
        <v>-59415.210000000079</v>
      </c>
      <c r="AK137" s="522">
        <f t="shared" si="177"/>
        <v>-55179.540000000081</v>
      </c>
      <c r="AL137" s="285">
        <f t="shared" si="194"/>
        <v>296811.57000000012</v>
      </c>
      <c r="AM137" s="426">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1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6">
        <f t="shared" si="155"/>
        <v>6</v>
      </c>
      <c r="M138" s="426">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12">
        <f t="shared" si="113"/>
        <v>48099</v>
      </c>
      <c r="Y138" s="285">
        <f t="shared" si="188"/>
        <v>296811.57000000012</v>
      </c>
      <c r="Z138" s="50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22">
        <f t="shared" si="176"/>
        <v>4216.2000000000016</v>
      </c>
      <c r="AJ138" s="522">
        <f t="shared" si="134"/>
        <v>-59705.190000000061</v>
      </c>
      <c r="AK138" s="522">
        <f t="shared" si="177"/>
        <v>-55488.990000000056</v>
      </c>
      <c r="AL138" s="285">
        <f t="shared" si="194"/>
        <v>296727.4200000001</v>
      </c>
      <c r="AM138" s="426">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1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6">
        <f t="shared" si="155"/>
        <v>6</v>
      </c>
      <c r="M139" s="426">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12">
        <f t="shared" si="113"/>
        <v>48129</v>
      </c>
      <c r="Y139" s="285">
        <f t="shared" si="188"/>
        <v>296727.4200000001</v>
      </c>
      <c r="Z139" s="50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22">
        <f t="shared" si="176"/>
        <v>4196.7300000000014</v>
      </c>
      <c r="AJ139" s="522">
        <f t="shared" si="134"/>
        <v>-59996.690000000031</v>
      </c>
      <c r="AK139" s="522">
        <f t="shared" si="177"/>
        <v>-55799.960000000028</v>
      </c>
      <c r="AL139" s="285">
        <f t="shared" si="194"/>
        <v>296642.84000000008</v>
      </c>
      <c r="AM139" s="426">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1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6">
        <f t="shared" si="155"/>
        <v>6</v>
      </c>
      <c r="M140" s="426">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12">
        <f t="shared" si="113"/>
        <v>48159</v>
      </c>
      <c r="Y140" s="285">
        <f t="shared" si="188"/>
        <v>296642.84000000008</v>
      </c>
      <c r="Z140" s="50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22">
        <f t="shared" si="176"/>
        <v>4177.2600000000011</v>
      </c>
      <c r="AJ140" s="522">
        <f t="shared" si="134"/>
        <v>-60289.700000000012</v>
      </c>
      <c r="AK140" s="522">
        <f t="shared" si="177"/>
        <v>-56112.44000000001</v>
      </c>
      <c r="AL140" s="285">
        <f t="shared" si="194"/>
        <v>296557.81000000006</v>
      </c>
      <c r="AM140" s="426">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1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6">
        <f t="shared" si="155"/>
        <v>6</v>
      </c>
      <c r="M141" s="426">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12">
        <f t="shared" si="113"/>
        <v>48189</v>
      </c>
      <c r="Y141" s="285">
        <f t="shared" si="188"/>
        <v>296557.81000000006</v>
      </c>
      <c r="Z141" s="50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22">
        <f t="shared" si="176"/>
        <v>4157.7900000000009</v>
      </c>
      <c r="AJ141" s="522">
        <f t="shared" si="134"/>
        <v>-60584.240000000049</v>
      </c>
      <c r="AK141" s="522">
        <f t="shared" si="177"/>
        <v>-56426.450000000048</v>
      </c>
      <c r="AL141" s="285">
        <f t="shared" si="194"/>
        <v>296472.34000000008</v>
      </c>
      <c r="AM141" s="426">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1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6">
        <f t="shared" si="155"/>
        <v>6</v>
      </c>
      <c r="M142" s="426">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12">
        <f t="shared" si="113"/>
        <v>48219</v>
      </c>
      <c r="Y142" s="285">
        <f t="shared" si="188"/>
        <v>296472.34000000008</v>
      </c>
      <c r="Z142" s="50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22">
        <f t="shared" si="176"/>
        <v>4138.3200000000006</v>
      </c>
      <c r="AJ142" s="522">
        <f t="shared" si="134"/>
        <v>-60880.320000000065</v>
      </c>
      <c r="AK142" s="522">
        <f t="shared" si="177"/>
        <v>-56742.000000000065</v>
      </c>
      <c r="AL142" s="285">
        <f t="shared" si="194"/>
        <v>296386.43000000011</v>
      </c>
      <c r="AM142" s="426">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1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6">
        <f t="shared" si="155"/>
        <v>7</v>
      </c>
      <c r="M143" s="426">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12">
        <f t="shared" si="113"/>
        <v>48249</v>
      </c>
      <c r="Y143" s="285">
        <f t="shared" si="188"/>
        <v>296386.43000000011</v>
      </c>
      <c r="Z143" s="50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22">
        <f t="shared" si="176"/>
        <v>4118.8500000000004</v>
      </c>
      <c r="AJ143" s="522">
        <f t="shared" si="134"/>
        <v>-61177.94000000009</v>
      </c>
      <c r="AK143" s="522">
        <f t="shared" si="177"/>
        <v>-57059.090000000091</v>
      </c>
      <c r="AL143" s="285">
        <f t="shared" si="194"/>
        <v>296300.07000000012</v>
      </c>
      <c r="AM143" s="426">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1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6">
        <f t="shared" si="155"/>
        <v>7</v>
      </c>
      <c r="M144" s="426">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12">
        <f t="shared" ref="X144:X207" si="221">+A144</f>
        <v>48279</v>
      </c>
      <c r="Y144" s="285">
        <f t="shared" si="188"/>
        <v>296300.07000000012</v>
      </c>
      <c r="Z144" s="50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22">
        <f t="shared" si="176"/>
        <v>4099.38</v>
      </c>
      <c r="AJ144" s="522">
        <f t="shared" si="134"/>
        <v>-61477.110000000102</v>
      </c>
      <c r="AK144" s="522">
        <f t="shared" si="177"/>
        <v>-57377.730000000105</v>
      </c>
      <c r="AL144" s="285">
        <f t="shared" si="194"/>
        <v>296213.26000000013</v>
      </c>
      <c r="AM144" s="426">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1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6">
        <f t="shared" si="155"/>
        <v>7</v>
      </c>
      <c r="M145" s="426">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12">
        <f t="shared" si="221"/>
        <v>48309</v>
      </c>
      <c r="Y145" s="285">
        <f t="shared" si="188"/>
        <v>296213.26000000013</v>
      </c>
      <c r="Z145" s="50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22">
        <f t="shared" si="176"/>
        <v>4079.91</v>
      </c>
      <c r="AJ145" s="522">
        <f t="shared" si="134"/>
        <v>-61777.840000000084</v>
      </c>
      <c r="AK145" s="522">
        <f t="shared" si="177"/>
        <v>-57697.93000000008</v>
      </c>
      <c r="AL145" s="285">
        <f t="shared" si="194"/>
        <v>296126.00000000012</v>
      </c>
      <c r="AM145" s="426">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15">
        <f t="shared" si="181"/>
        <v>48339</v>
      </c>
      <c r="B146" s="346">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6">
        <f t="shared" si="182"/>
        <v>24185.309999999994</v>
      </c>
      <c r="J146" s="346">
        <f t="shared" si="183"/>
        <v>35555.490000000005</v>
      </c>
      <c r="K146" s="346">
        <f t="shared" si="184"/>
        <v>73346.529999999941</v>
      </c>
      <c r="L146" s="427">
        <f t="shared" si="155"/>
        <v>7</v>
      </c>
      <c r="M146" s="427">
        <f t="shared" si="219"/>
        <v>87</v>
      </c>
      <c r="N146" s="346">
        <f t="shared" si="220"/>
        <v>234348.16000000003</v>
      </c>
      <c r="O146" s="346">
        <f t="shared" si="185"/>
        <v>1610.57</v>
      </c>
      <c r="P146" s="346">
        <f t="shared" si="228"/>
        <v>390.01</v>
      </c>
      <c r="Q146" s="346">
        <f t="shared" si="186"/>
        <v>1220.56</v>
      </c>
      <c r="R146" s="346">
        <f t="shared" si="173"/>
        <v>134.16999999999999</v>
      </c>
      <c r="S146" s="346">
        <f t="shared" si="174"/>
        <v>188.55</v>
      </c>
      <c r="T146" s="346">
        <f t="shared" si="171"/>
        <v>1933.29</v>
      </c>
      <c r="U146" s="346">
        <f t="shared" si="229"/>
        <v>27617.849999999991</v>
      </c>
      <c r="V146" s="346">
        <f t="shared" si="230"/>
        <v>114112.30999999997</v>
      </c>
      <c r="W146" s="346">
        <f t="shared" si="187"/>
        <v>233958.15000000002</v>
      </c>
      <c r="X146" s="515">
        <f t="shared" si="221"/>
        <v>48339</v>
      </c>
      <c r="Y146" s="346">
        <f t="shared" si="188"/>
        <v>296126.00000000012</v>
      </c>
      <c r="Z146" s="505">
        <f t="shared" si="213"/>
        <v>6.25E-2</v>
      </c>
      <c r="AA146" s="346">
        <f t="shared" si="214"/>
        <v>1630.04</v>
      </c>
      <c r="AB146" s="346">
        <f t="shared" si="189"/>
        <v>87.720000000000027</v>
      </c>
      <c r="AC146" s="346">
        <f t="shared" si="215"/>
        <v>1542.32</v>
      </c>
      <c r="AD146" s="346">
        <f t="shared" ref="AD146:AE146" si="232">+AD145</f>
        <v>134.16999999999999</v>
      </c>
      <c r="AE146" s="346">
        <f t="shared" si="232"/>
        <v>188.55</v>
      </c>
      <c r="AF146" s="346">
        <f t="shared" si="191"/>
        <v>1952.76</v>
      </c>
      <c r="AG146" s="346">
        <f t="shared" si="192"/>
        <v>35155.119999999988</v>
      </c>
      <c r="AH146" s="346">
        <f t="shared" si="193"/>
        <v>102514.60000000002</v>
      </c>
      <c r="AI146" s="523">
        <f t="shared" si="176"/>
        <v>4060.4399999999996</v>
      </c>
      <c r="AJ146" s="523">
        <f t="shared" si="134"/>
        <v>-62080.130000000121</v>
      </c>
      <c r="AK146" s="523">
        <f t="shared" si="177"/>
        <v>-58019.690000000119</v>
      </c>
      <c r="AL146" s="346">
        <f t="shared" si="194"/>
        <v>296038.28000000014</v>
      </c>
      <c r="AM146" s="427">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6">
        <f t="shared" si="225"/>
        <v>906.96776581916345</v>
      </c>
      <c r="AV146" s="346">
        <f t="shared" si="226"/>
        <v>102118.07409348457</v>
      </c>
    </row>
    <row r="147" spans="1:48" x14ac:dyDescent="0.25">
      <c r="A147" s="51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6">
        <f t="shared" si="155"/>
        <v>7</v>
      </c>
      <c r="M147" s="426">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12">
        <f t="shared" si="221"/>
        <v>48369</v>
      </c>
      <c r="Y147" s="285">
        <f t="shared" si="188"/>
        <v>296038.28000000014</v>
      </c>
      <c r="Z147" s="50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22">
        <f t="shared" si="176"/>
        <v>4040.9699999999993</v>
      </c>
      <c r="AJ147" s="522">
        <f t="shared" si="134"/>
        <v>-62384.000000000146</v>
      </c>
      <c r="AK147" s="522">
        <f t="shared" si="177"/>
        <v>-58343.030000000144</v>
      </c>
      <c r="AL147" s="285">
        <f t="shared" si="194"/>
        <v>295950.11000000016</v>
      </c>
      <c r="AM147" s="426">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1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6">
        <f t="shared" si="155"/>
        <v>7</v>
      </c>
      <c r="M148" s="426">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12">
        <f t="shared" si="221"/>
        <v>48399</v>
      </c>
      <c r="Y148" s="285">
        <f t="shared" si="188"/>
        <v>295950.11000000016</v>
      </c>
      <c r="Z148" s="50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22">
        <f t="shared" si="176"/>
        <v>4021.4999999999991</v>
      </c>
      <c r="AJ148" s="522">
        <f t="shared" si="134"/>
        <v>-62689.450000000128</v>
      </c>
      <c r="AK148" s="522">
        <f t="shared" si="177"/>
        <v>-58667.950000000128</v>
      </c>
      <c r="AL148" s="285">
        <f t="shared" si="194"/>
        <v>295861.48000000016</v>
      </c>
      <c r="AM148" s="426">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1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6">
        <f t="shared" si="155"/>
        <v>7</v>
      </c>
      <c r="M149" s="426">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12">
        <f t="shared" si="221"/>
        <v>48429</v>
      </c>
      <c r="Y149" s="285">
        <f t="shared" si="188"/>
        <v>295861.48000000016</v>
      </c>
      <c r="Z149" s="50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22">
        <f t="shared" si="176"/>
        <v>4002.0299999999988</v>
      </c>
      <c r="AJ149" s="522">
        <f t="shared" si="134"/>
        <v>-62996.490000000107</v>
      </c>
      <c r="AK149" s="522">
        <f t="shared" si="177"/>
        <v>-58994.460000000108</v>
      </c>
      <c r="AL149" s="285">
        <f t="shared" si="194"/>
        <v>295772.39000000013</v>
      </c>
      <c r="AM149" s="426">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1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6">
        <f t="shared" si="155"/>
        <v>7</v>
      </c>
      <c r="M150" s="426">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12">
        <f t="shared" si="221"/>
        <v>48459</v>
      </c>
      <c r="Y150" s="285">
        <f t="shared" si="188"/>
        <v>295772.39000000013</v>
      </c>
      <c r="Z150" s="50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22">
        <f t="shared" si="176"/>
        <v>3982.5599999999986</v>
      </c>
      <c r="AJ150" s="522">
        <f t="shared" si="134"/>
        <v>-63305.130000000121</v>
      </c>
      <c r="AK150" s="522">
        <f t="shared" si="177"/>
        <v>-59322.570000000123</v>
      </c>
      <c r="AL150" s="285">
        <f t="shared" si="194"/>
        <v>295682.83000000013</v>
      </c>
      <c r="AM150" s="426">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1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6">
        <f t="shared" si="155"/>
        <v>7</v>
      </c>
      <c r="M151" s="426">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12">
        <f t="shared" si="221"/>
        <v>48489</v>
      </c>
      <c r="Y151" s="285">
        <f t="shared" si="188"/>
        <v>295682.83000000013</v>
      </c>
      <c r="Z151" s="50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22">
        <f t="shared" si="176"/>
        <v>3963.0899999999983</v>
      </c>
      <c r="AJ151" s="522">
        <f t="shared" si="134"/>
        <v>-63615.370000000083</v>
      </c>
      <c r="AK151" s="522">
        <f t="shared" si="177"/>
        <v>-59652.280000000086</v>
      </c>
      <c r="AL151" s="285">
        <f t="shared" si="194"/>
        <v>295592.8000000001</v>
      </c>
      <c r="AM151" s="426">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1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6">
        <f t="shared" si="155"/>
        <v>7</v>
      </c>
      <c r="M152" s="426">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12">
        <f t="shared" si="221"/>
        <v>48519</v>
      </c>
      <c r="Y152" s="285">
        <f t="shared" si="188"/>
        <v>295592.8000000001</v>
      </c>
      <c r="Z152" s="50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22">
        <f t="shared" si="176"/>
        <v>3943.6199999999981</v>
      </c>
      <c r="AJ152" s="522">
        <f t="shared" si="134"/>
        <v>-63927.230000000098</v>
      </c>
      <c r="AK152" s="522">
        <f t="shared" si="177"/>
        <v>-59983.610000000102</v>
      </c>
      <c r="AL152" s="285">
        <f t="shared" si="194"/>
        <v>295502.31000000011</v>
      </c>
      <c r="AM152" s="426">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1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6">
        <f t="shared" si="155"/>
        <v>7</v>
      </c>
      <c r="M153" s="426">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12">
        <f t="shared" si="221"/>
        <v>48549</v>
      </c>
      <c r="Y153" s="285">
        <f t="shared" si="188"/>
        <v>295502.31000000011</v>
      </c>
      <c r="Z153" s="50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22">
        <f t="shared" si="176"/>
        <v>3924.1499999999978</v>
      </c>
      <c r="AJ153" s="522">
        <f t="shared" si="134"/>
        <v>-64240.710000000137</v>
      </c>
      <c r="AK153" s="522">
        <f t="shared" si="177"/>
        <v>-60316.560000000143</v>
      </c>
      <c r="AL153" s="285">
        <f t="shared" si="194"/>
        <v>295411.34000000014</v>
      </c>
      <c r="AM153" s="426">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1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6">
        <f t="shared" si="155"/>
        <v>7</v>
      </c>
      <c r="M154" s="426">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12">
        <f t="shared" si="221"/>
        <v>48579</v>
      </c>
      <c r="Y154" s="285">
        <f t="shared" si="188"/>
        <v>295411.34000000014</v>
      </c>
      <c r="Z154" s="50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22">
        <f t="shared" si="176"/>
        <v>3904.6799999999976</v>
      </c>
      <c r="AJ154" s="522">
        <f t="shared" si="134"/>
        <v>-64555.830000000133</v>
      </c>
      <c r="AK154" s="522">
        <f t="shared" si="177"/>
        <v>-60651.150000000132</v>
      </c>
      <c r="AL154" s="285">
        <f t="shared" si="194"/>
        <v>295319.90000000014</v>
      </c>
      <c r="AM154" s="426">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1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6">
        <f t="shared" si="155"/>
        <v>8</v>
      </c>
      <c r="M155" s="426">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12">
        <f t="shared" si="221"/>
        <v>48609</v>
      </c>
      <c r="Y155" s="285">
        <f t="shared" si="188"/>
        <v>295319.90000000014</v>
      </c>
      <c r="Z155" s="50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22">
        <f t="shared" si="176"/>
        <v>3885.2099999999973</v>
      </c>
      <c r="AJ155" s="522">
        <f t="shared" ref="AJ155:AJ218" si="242">+W155-AL155</f>
        <v>-64872.580000000162</v>
      </c>
      <c r="AK155" s="522">
        <f t="shared" si="177"/>
        <v>-60987.370000000163</v>
      </c>
      <c r="AL155" s="285">
        <f t="shared" si="194"/>
        <v>295227.98000000016</v>
      </c>
      <c r="AM155" s="426">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1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6">
        <f t="shared" si="155"/>
        <v>8</v>
      </c>
      <c r="M156" s="426">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12">
        <f t="shared" si="221"/>
        <v>48639</v>
      </c>
      <c r="Y156" s="285">
        <f t="shared" si="188"/>
        <v>295227.98000000016</v>
      </c>
      <c r="Z156" s="50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22">
        <f t="shared" si="176"/>
        <v>3865.7399999999971</v>
      </c>
      <c r="AJ156" s="522">
        <f t="shared" si="242"/>
        <v>-65190.990000000136</v>
      </c>
      <c r="AK156" s="522">
        <f t="shared" si="177"/>
        <v>-61325.250000000138</v>
      </c>
      <c r="AL156" s="285">
        <f t="shared" si="194"/>
        <v>295135.59000000014</v>
      </c>
      <c r="AM156" s="426">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1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6">
        <f t="shared" si="155"/>
        <v>8</v>
      </c>
      <c r="M157" s="426">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12">
        <f t="shared" si="221"/>
        <v>48669</v>
      </c>
      <c r="Y157" s="285">
        <f t="shared" si="188"/>
        <v>295135.59000000014</v>
      </c>
      <c r="Z157" s="50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22">
        <f t="shared" si="176"/>
        <v>3846.2699999999968</v>
      </c>
      <c r="AJ157" s="522">
        <f t="shared" si="242"/>
        <v>-65511.050000000134</v>
      </c>
      <c r="AK157" s="522">
        <f t="shared" si="177"/>
        <v>-61664.780000000137</v>
      </c>
      <c r="AL157" s="285">
        <f t="shared" si="194"/>
        <v>295042.71000000014</v>
      </c>
      <c r="AM157" s="426">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15">
        <f t="shared" si="181"/>
        <v>48699</v>
      </c>
      <c r="B158" s="346">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6">
        <f t="shared" si="182"/>
        <v>26884.249999999993</v>
      </c>
      <c r="J158" s="346">
        <f t="shared" si="183"/>
        <v>38259.910000000003</v>
      </c>
      <c r="K158" s="346">
        <f t="shared" si="184"/>
        <v>70647.589999999938</v>
      </c>
      <c r="L158" s="427">
        <f t="shared" si="155"/>
        <v>8</v>
      </c>
      <c r="M158" s="427">
        <f t="shared" si="219"/>
        <v>99</v>
      </c>
      <c r="N158" s="346">
        <f t="shared" si="220"/>
        <v>229531.66</v>
      </c>
      <c r="O158" s="346">
        <f t="shared" si="185"/>
        <v>1610.57</v>
      </c>
      <c r="P158" s="346">
        <f t="shared" si="228"/>
        <v>415.08999999999992</v>
      </c>
      <c r="Q158" s="346">
        <f t="shared" si="186"/>
        <v>1195.48</v>
      </c>
      <c r="R158" s="346">
        <f t="shared" si="173"/>
        <v>134.16999999999999</v>
      </c>
      <c r="S158" s="346">
        <f t="shared" si="174"/>
        <v>188.55</v>
      </c>
      <c r="T158" s="346">
        <f t="shared" si="171"/>
        <v>1933.29</v>
      </c>
      <c r="U158" s="346">
        <f t="shared" si="229"/>
        <v>32459.429999999993</v>
      </c>
      <c r="V158" s="346">
        <f t="shared" si="230"/>
        <v>128597.56999999996</v>
      </c>
      <c r="W158" s="346">
        <f t="shared" si="187"/>
        <v>229116.57</v>
      </c>
      <c r="X158" s="515">
        <f t="shared" si="221"/>
        <v>48699</v>
      </c>
      <c r="Y158" s="346">
        <f t="shared" si="188"/>
        <v>295042.71000000014</v>
      </c>
      <c r="Z158" s="505">
        <f t="shared" si="213"/>
        <v>6.25E-2</v>
      </c>
      <c r="AA158" s="346">
        <f t="shared" si="214"/>
        <v>1630.04</v>
      </c>
      <c r="AB158" s="346">
        <f t="shared" si="189"/>
        <v>93.3599999999999</v>
      </c>
      <c r="AC158" s="346">
        <f t="shared" si="215"/>
        <v>1536.68</v>
      </c>
      <c r="AD158" s="346">
        <f t="shared" ref="AD158:AE158" si="245">+AD157</f>
        <v>134.16999999999999</v>
      </c>
      <c r="AE158" s="346">
        <f t="shared" si="245"/>
        <v>188.55</v>
      </c>
      <c r="AF158" s="346">
        <f t="shared" si="191"/>
        <v>1952.76</v>
      </c>
      <c r="AG158" s="346">
        <f t="shared" si="192"/>
        <v>36244.049999999974</v>
      </c>
      <c r="AH158" s="346">
        <f t="shared" si="193"/>
        <v>120986.15000000001</v>
      </c>
      <c r="AI158" s="523">
        <f t="shared" si="176"/>
        <v>3826.7999999999965</v>
      </c>
      <c r="AJ158" s="523">
        <f t="shared" si="242"/>
        <v>-65832.780000000144</v>
      </c>
      <c r="AK158" s="523">
        <f t="shared" si="177"/>
        <v>-62005.980000000149</v>
      </c>
      <c r="AL158" s="346">
        <f t="shared" si="194"/>
        <v>294949.35000000015</v>
      </c>
      <c r="AM158" s="427">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6">
        <f t="shared" si="225"/>
        <v>934.55405830625921</v>
      </c>
      <c r="AV158" s="346">
        <f t="shared" si="226"/>
        <v>113180.17738080994</v>
      </c>
    </row>
    <row r="159" spans="1:48" x14ac:dyDescent="0.25">
      <c r="A159" s="51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6">
        <f t="shared" si="155"/>
        <v>8</v>
      </c>
      <c r="M159" s="426">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12">
        <f t="shared" si="221"/>
        <v>48729</v>
      </c>
      <c r="Y159" s="285">
        <f t="shared" si="188"/>
        <v>294949.35000000015</v>
      </c>
      <c r="Z159" s="50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22">
        <f t="shared" si="176"/>
        <v>3807.3299999999963</v>
      </c>
      <c r="AJ159" s="522">
        <f t="shared" si="242"/>
        <v>-66156.180000000168</v>
      </c>
      <c r="AK159" s="522">
        <f t="shared" si="177"/>
        <v>-62348.850000000173</v>
      </c>
      <c r="AL159" s="285">
        <f t="shared" si="194"/>
        <v>294855.50000000017</v>
      </c>
      <c r="AM159" s="426">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1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6">
        <f t="shared" si="155"/>
        <v>8</v>
      </c>
      <c r="M160" s="426">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12">
        <f t="shared" si="221"/>
        <v>48759</v>
      </c>
      <c r="Y160" s="285">
        <f t="shared" si="188"/>
        <v>294855.50000000017</v>
      </c>
      <c r="Z160" s="50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22">
        <f t="shared" si="176"/>
        <v>3787.859999999996</v>
      </c>
      <c r="AJ160" s="522">
        <f t="shared" si="242"/>
        <v>-66481.280000000144</v>
      </c>
      <c r="AK160" s="522">
        <f t="shared" si="177"/>
        <v>-62693.420000000151</v>
      </c>
      <c r="AL160" s="285">
        <f t="shared" si="194"/>
        <v>294761.17000000016</v>
      </c>
      <c r="AM160" s="426">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1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6">
        <f t="shared" si="155"/>
        <v>8</v>
      </c>
      <c r="M161" s="426">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12">
        <f t="shared" si="221"/>
        <v>48789</v>
      </c>
      <c r="Y161" s="285">
        <f t="shared" si="188"/>
        <v>294761.17000000016</v>
      </c>
      <c r="Z161" s="50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22">
        <f t="shared" si="176"/>
        <v>3768.3899999999958</v>
      </c>
      <c r="AJ161" s="522">
        <f t="shared" si="242"/>
        <v>-66808.060000000114</v>
      </c>
      <c r="AK161" s="522">
        <f t="shared" si="177"/>
        <v>-63039.670000000115</v>
      </c>
      <c r="AL161" s="285">
        <f t="shared" si="194"/>
        <v>294666.34000000014</v>
      </c>
      <c r="AM161" s="426">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1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6">
        <f t="shared" si="155"/>
        <v>8</v>
      </c>
      <c r="M162" s="426">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12">
        <f t="shared" si="221"/>
        <v>48819</v>
      </c>
      <c r="Y162" s="285">
        <f t="shared" si="188"/>
        <v>294666.34000000014</v>
      </c>
      <c r="Z162" s="50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22">
        <f t="shared" si="176"/>
        <v>3748.9199999999955</v>
      </c>
      <c r="AJ162" s="522">
        <f t="shared" si="242"/>
        <v>-67136.550000000105</v>
      </c>
      <c r="AK162" s="522">
        <f t="shared" si="177"/>
        <v>-63387.630000000107</v>
      </c>
      <c r="AL162" s="285">
        <f t="shared" si="194"/>
        <v>294571.02000000014</v>
      </c>
      <c r="AM162" s="426">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1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6">
        <f t="shared" si="155"/>
        <v>8</v>
      </c>
      <c r="M163" s="426">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12">
        <f t="shared" si="221"/>
        <v>48849</v>
      </c>
      <c r="Y163" s="285">
        <f t="shared" si="188"/>
        <v>294571.02000000014</v>
      </c>
      <c r="Z163" s="50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22">
        <f t="shared" si="176"/>
        <v>3729.4499999999953</v>
      </c>
      <c r="AJ163" s="522">
        <f t="shared" si="242"/>
        <v>-67466.750000000087</v>
      </c>
      <c r="AK163" s="522">
        <f t="shared" si="177"/>
        <v>-63737.30000000009</v>
      </c>
      <c r="AL163" s="285">
        <f t="shared" si="194"/>
        <v>294475.20000000013</v>
      </c>
      <c r="AM163" s="426">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1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6">
        <f t="shared" si="155"/>
        <v>8</v>
      </c>
      <c r="M164" s="426">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12">
        <f t="shared" si="221"/>
        <v>48879</v>
      </c>
      <c r="Y164" s="285">
        <f t="shared" si="188"/>
        <v>294475.20000000013</v>
      </c>
      <c r="Z164" s="50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22">
        <f t="shared" si="176"/>
        <v>3709.979999999995</v>
      </c>
      <c r="AJ164" s="522">
        <f t="shared" si="242"/>
        <v>-67798.6700000001</v>
      </c>
      <c r="AK164" s="522">
        <f t="shared" si="177"/>
        <v>-64088.690000000104</v>
      </c>
      <c r="AL164" s="285">
        <f t="shared" si="194"/>
        <v>294378.89000000013</v>
      </c>
      <c r="AM164" s="426">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1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6">
        <f t="shared" si="155"/>
        <v>8</v>
      </c>
      <c r="M165" s="426">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12">
        <f t="shared" si="221"/>
        <v>48909</v>
      </c>
      <c r="Y165" s="285">
        <f t="shared" si="188"/>
        <v>294378.89000000013</v>
      </c>
      <c r="Z165" s="50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22">
        <f t="shared" si="176"/>
        <v>3690.5099999999948</v>
      </c>
      <c r="AJ165" s="522">
        <f t="shared" si="242"/>
        <v>-68132.310000000085</v>
      </c>
      <c r="AK165" s="522">
        <f t="shared" si="177"/>
        <v>-64441.80000000009</v>
      </c>
      <c r="AL165" s="285">
        <f t="shared" si="194"/>
        <v>294282.07000000012</v>
      </c>
      <c r="AM165" s="426">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1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6">
        <f t="shared" si="155"/>
        <v>8</v>
      </c>
      <c r="M166" s="426">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12">
        <f t="shared" si="221"/>
        <v>48939</v>
      </c>
      <c r="Y166" s="285">
        <f t="shared" si="188"/>
        <v>294282.07000000012</v>
      </c>
      <c r="Z166" s="50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22">
        <f t="shared" si="176"/>
        <v>3671.0399999999945</v>
      </c>
      <c r="AJ166" s="522">
        <f t="shared" si="242"/>
        <v>-68467.70000000007</v>
      </c>
      <c r="AK166" s="522">
        <f t="shared" si="177"/>
        <v>-64796.660000000076</v>
      </c>
      <c r="AL166" s="285">
        <f t="shared" si="194"/>
        <v>294184.75000000012</v>
      </c>
      <c r="AM166" s="426">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1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6">
        <f t="shared" si="155"/>
        <v>9</v>
      </c>
      <c r="M167" s="426">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12">
        <f t="shared" si="221"/>
        <v>48969</v>
      </c>
      <c r="Y167" s="285">
        <f t="shared" si="188"/>
        <v>294184.75000000012</v>
      </c>
      <c r="Z167" s="50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22">
        <f t="shared" si="176"/>
        <v>3651.5699999999943</v>
      </c>
      <c r="AJ167" s="522">
        <f t="shared" si="242"/>
        <v>-68804.830000000045</v>
      </c>
      <c r="AK167" s="522">
        <f t="shared" si="177"/>
        <v>-65153.260000000053</v>
      </c>
      <c r="AL167" s="285">
        <f t="shared" si="194"/>
        <v>294086.9200000001</v>
      </c>
      <c r="AM167" s="426">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1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6">
        <f t="shared" si="155"/>
        <v>9</v>
      </c>
      <c r="M168" s="426">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12">
        <f t="shared" si="221"/>
        <v>48999</v>
      </c>
      <c r="Y168" s="285">
        <f t="shared" si="188"/>
        <v>294086.9200000001</v>
      </c>
      <c r="Z168" s="50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22">
        <f t="shared" si="176"/>
        <v>3632.099999999994</v>
      </c>
      <c r="AJ168" s="522">
        <f t="shared" si="242"/>
        <v>-69143.72000000003</v>
      </c>
      <c r="AK168" s="522">
        <f t="shared" si="177"/>
        <v>-65511.620000000039</v>
      </c>
      <c r="AL168" s="285">
        <f t="shared" si="194"/>
        <v>293988.58000000007</v>
      </c>
      <c r="AM168" s="426">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1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6">
        <f t="shared" si="155"/>
        <v>9</v>
      </c>
      <c r="M169" s="426">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12">
        <f t="shared" si="221"/>
        <v>49029</v>
      </c>
      <c r="Y169" s="285">
        <f t="shared" si="188"/>
        <v>293988.58000000007</v>
      </c>
      <c r="Z169" s="50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22">
        <f t="shared" si="176"/>
        <v>3612.6299999999937</v>
      </c>
      <c r="AJ169" s="522">
        <f t="shared" si="242"/>
        <v>-69484.370000000054</v>
      </c>
      <c r="AK169" s="522">
        <f t="shared" si="177"/>
        <v>-65871.740000000063</v>
      </c>
      <c r="AL169" s="285">
        <f t="shared" si="194"/>
        <v>293889.7300000001</v>
      </c>
      <c r="AM169" s="426">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15">
        <f t="shared" si="181"/>
        <v>49059</v>
      </c>
      <c r="B170" s="346">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6">
        <f t="shared" si="182"/>
        <v>29686.139999999992</v>
      </c>
      <c r="J170" s="346">
        <f t="shared" si="183"/>
        <v>40861.379999999997</v>
      </c>
      <c r="K170" s="346">
        <f t="shared" si="184"/>
        <v>67845.699999999939</v>
      </c>
      <c r="L170" s="427">
        <f t="shared" si="155"/>
        <v>9</v>
      </c>
      <c r="M170" s="427">
        <f t="shared" si="219"/>
        <v>111</v>
      </c>
      <c r="N170" s="346">
        <f t="shared" si="220"/>
        <v>224405.36000000004</v>
      </c>
      <c r="O170" s="346">
        <f t="shared" si="185"/>
        <v>1610.57</v>
      </c>
      <c r="P170" s="346">
        <f t="shared" si="228"/>
        <v>441.78999999999996</v>
      </c>
      <c r="Q170" s="346">
        <f t="shared" si="186"/>
        <v>1168.78</v>
      </c>
      <c r="R170" s="346">
        <f t="shared" si="173"/>
        <v>134.16999999999999</v>
      </c>
      <c r="S170" s="346">
        <f t="shared" si="174"/>
        <v>188.55</v>
      </c>
      <c r="T170" s="346">
        <f t="shared" si="171"/>
        <v>1933.29</v>
      </c>
      <c r="U170" s="346">
        <f t="shared" si="229"/>
        <v>37612.429999999993</v>
      </c>
      <c r="V170" s="346">
        <f t="shared" si="230"/>
        <v>142771.40999999992</v>
      </c>
      <c r="W170" s="346">
        <f t="shared" si="187"/>
        <v>223963.57000000004</v>
      </c>
      <c r="X170" s="515">
        <f t="shared" si="221"/>
        <v>49059</v>
      </c>
      <c r="Y170" s="346">
        <f t="shared" si="188"/>
        <v>293889.7300000001</v>
      </c>
      <c r="Z170" s="505">
        <f t="shared" si="213"/>
        <v>6.25E-2</v>
      </c>
      <c r="AA170" s="346">
        <f t="shared" si="214"/>
        <v>1630.04</v>
      </c>
      <c r="AB170" s="346">
        <f t="shared" si="189"/>
        <v>99.3599999999999</v>
      </c>
      <c r="AC170" s="346">
        <f t="shared" si="215"/>
        <v>1530.68</v>
      </c>
      <c r="AD170" s="346">
        <f t="shared" ref="AD170:AE170" si="257">+AD169</f>
        <v>134.16999999999999</v>
      </c>
      <c r="AE170" s="346">
        <f t="shared" si="257"/>
        <v>188.55</v>
      </c>
      <c r="AF170" s="346">
        <f t="shared" si="191"/>
        <v>1952.76</v>
      </c>
      <c r="AG170" s="346">
        <f t="shared" si="192"/>
        <v>37403.02999999997</v>
      </c>
      <c r="AH170" s="346">
        <f t="shared" si="193"/>
        <v>139387.65000000002</v>
      </c>
      <c r="AI170" s="523">
        <f t="shared" si="176"/>
        <v>3593.1599999999935</v>
      </c>
      <c r="AJ170" s="523">
        <f t="shared" si="242"/>
        <v>-69826.800000000076</v>
      </c>
      <c r="AK170" s="522">
        <f t="shared" si="177"/>
        <v>-66233.640000000087</v>
      </c>
      <c r="AL170" s="346">
        <f t="shared" si="194"/>
        <v>293790.37000000011</v>
      </c>
      <c r="AM170" s="427">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6">
        <f t="shared" si="225"/>
        <v>962.97941427704575</v>
      </c>
      <c r="AV170" s="346">
        <f t="shared" si="226"/>
        <v>124578.74512509537</v>
      </c>
    </row>
    <row r="171" spans="1:48" x14ac:dyDescent="0.25">
      <c r="A171" s="51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6">
        <f t="shared" si="155"/>
        <v>9</v>
      </c>
      <c r="M171" s="426">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12">
        <f t="shared" si="221"/>
        <v>49089</v>
      </c>
      <c r="Y171" s="285">
        <f t="shared" si="188"/>
        <v>293790.37000000011</v>
      </c>
      <c r="Z171" s="50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22">
        <f t="shared" si="176"/>
        <v>3573.6899999999932</v>
      </c>
      <c r="AJ171" s="522">
        <f t="shared" si="242"/>
        <v>-70171.010000000068</v>
      </c>
      <c r="AK171" s="522">
        <f t="shared" si="177"/>
        <v>-66597.32000000008</v>
      </c>
      <c r="AL171" s="285">
        <f t="shared" si="194"/>
        <v>293690.49000000011</v>
      </c>
      <c r="AM171" s="426">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1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6">
        <f t="shared" si="155"/>
        <v>9</v>
      </c>
      <c r="M172" s="426">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12">
        <f t="shared" si="221"/>
        <v>49119</v>
      </c>
      <c r="Y172" s="285">
        <f t="shared" si="188"/>
        <v>293690.49000000011</v>
      </c>
      <c r="Z172" s="50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22">
        <f t="shared" si="176"/>
        <v>3554.219999999993</v>
      </c>
      <c r="AJ172" s="522">
        <f t="shared" si="242"/>
        <v>-70517.020000000048</v>
      </c>
      <c r="AK172" s="522">
        <f t="shared" si="177"/>
        <v>-66962.800000000061</v>
      </c>
      <c r="AL172" s="285">
        <f t="shared" si="194"/>
        <v>293590.09000000008</v>
      </c>
      <c r="AM172" s="426">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1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6">
        <f t="shared" si="155"/>
        <v>9</v>
      </c>
      <c r="M173" s="426">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12">
        <f t="shared" si="221"/>
        <v>49149</v>
      </c>
      <c r="Y173" s="285">
        <f t="shared" si="188"/>
        <v>293590.09000000008</v>
      </c>
      <c r="Z173" s="50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22">
        <f t="shared" si="176"/>
        <v>3534.7499999999927</v>
      </c>
      <c r="AJ173" s="522">
        <f t="shared" si="242"/>
        <v>-70864.830000000075</v>
      </c>
      <c r="AK173" s="522">
        <f t="shared" si="177"/>
        <v>-67330.080000000075</v>
      </c>
      <c r="AL173" s="285">
        <f t="shared" si="194"/>
        <v>293489.1700000001</v>
      </c>
      <c r="AM173" s="426">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1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6">
        <f t="shared" si="155"/>
        <v>9</v>
      </c>
      <c r="M174" s="426">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12">
        <f t="shared" si="221"/>
        <v>49179</v>
      </c>
      <c r="Y174" s="285">
        <f t="shared" si="188"/>
        <v>293489.1700000001</v>
      </c>
      <c r="Z174" s="50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22">
        <f t="shared" si="176"/>
        <v>3515.2799999999925</v>
      </c>
      <c r="AJ174" s="522">
        <f t="shared" si="242"/>
        <v>-71214.45000000007</v>
      </c>
      <c r="AK174" s="522">
        <f t="shared" si="177"/>
        <v>-67699.170000000071</v>
      </c>
      <c r="AL174" s="285">
        <f t="shared" si="194"/>
        <v>293387.72000000009</v>
      </c>
      <c r="AM174" s="426">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1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6">
        <f t="shared" ref="L175:L238" si="263">IF(MOD(M175,12)=0,M175/12,L174)</f>
        <v>9</v>
      </c>
      <c r="M175" s="426">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12">
        <f t="shared" si="221"/>
        <v>49209</v>
      </c>
      <c r="Y175" s="285">
        <f t="shared" si="188"/>
        <v>293387.72000000009</v>
      </c>
      <c r="Z175" s="50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22">
        <f t="shared" si="176"/>
        <v>3495.8099999999922</v>
      </c>
      <c r="AJ175" s="522">
        <f t="shared" si="242"/>
        <v>-71565.890000000101</v>
      </c>
      <c r="AK175" s="522">
        <f t="shared" si="177"/>
        <v>-68070.080000000104</v>
      </c>
      <c r="AL175" s="285">
        <f t="shared" si="194"/>
        <v>293285.74000000011</v>
      </c>
      <c r="AM175" s="426">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1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6">
        <f t="shared" si="263"/>
        <v>9</v>
      </c>
      <c r="M176" s="426">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12">
        <f t="shared" si="221"/>
        <v>49239</v>
      </c>
      <c r="Y176" s="285">
        <f t="shared" si="188"/>
        <v>293285.74000000011</v>
      </c>
      <c r="Z176" s="50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22">
        <f t="shared" si="176"/>
        <v>3476.339999999992</v>
      </c>
      <c r="AJ176" s="522">
        <f t="shared" si="242"/>
        <v>-71919.160000000091</v>
      </c>
      <c r="AK176" s="522">
        <f t="shared" si="177"/>
        <v>-68442.820000000094</v>
      </c>
      <c r="AL176" s="285">
        <f t="shared" si="194"/>
        <v>293183.2300000001</v>
      </c>
      <c r="AM176" s="426">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1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6">
        <f t="shared" si="263"/>
        <v>9</v>
      </c>
      <c r="M177" s="426">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12">
        <f t="shared" si="221"/>
        <v>49269</v>
      </c>
      <c r="Y177" s="285">
        <f t="shared" si="188"/>
        <v>293183.2300000001</v>
      </c>
      <c r="Z177" s="50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22">
        <f t="shared" si="176"/>
        <v>3456.8699999999917</v>
      </c>
      <c r="AJ177" s="522">
        <f t="shared" si="242"/>
        <v>-72274.270000000106</v>
      </c>
      <c r="AK177" s="522">
        <f t="shared" si="177"/>
        <v>-68817.400000000111</v>
      </c>
      <c r="AL177" s="285">
        <f t="shared" si="194"/>
        <v>293080.19000000012</v>
      </c>
      <c r="AM177" s="426">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1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6">
        <f t="shared" si="263"/>
        <v>9</v>
      </c>
      <c r="M178" s="426">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12">
        <f t="shared" si="221"/>
        <v>49299</v>
      </c>
      <c r="Y178" s="285">
        <f t="shared" si="188"/>
        <v>293080.19000000012</v>
      </c>
      <c r="Z178" s="50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22">
        <f t="shared" si="176"/>
        <v>3437.3999999999915</v>
      </c>
      <c r="AJ178" s="522">
        <f t="shared" si="242"/>
        <v>-72631.230000000098</v>
      </c>
      <c r="AK178" s="522">
        <f t="shared" si="177"/>
        <v>-69193.830000000104</v>
      </c>
      <c r="AL178" s="285">
        <f t="shared" si="194"/>
        <v>292976.6100000001</v>
      </c>
      <c r="AM178" s="426">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1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6">
        <f t="shared" si="263"/>
        <v>10</v>
      </c>
      <c r="M179" s="426">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12">
        <f t="shared" si="221"/>
        <v>49329</v>
      </c>
      <c r="Y179" s="285">
        <f t="shared" si="188"/>
        <v>292976.6100000001</v>
      </c>
      <c r="Z179" s="50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22">
        <f t="shared" si="176"/>
        <v>3417.9299999999912</v>
      </c>
      <c r="AJ179" s="522">
        <f t="shared" si="242"/>
        <v>-72990.050000000105</v>
      </c>
      <c r="AK179" s="522">
        <f t="shared" si="177"/>
        <v>-69572.120000000112</v>
      </c>
      <c r="AL179" s="285">
        <f t="shared" si="194"/>
        <v>292872.49000000011</v>
      </c>
      <c r="AM179" s="426">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1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6">
        <f t="shared" si="263"/>
        <v>10</v>
      </c>
      <c r="M180" s="426">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12">
        <f t="shared" si="221"/>
        <v>49359</v>
      </c>
      <c r="Y180" s="285">
        <f t="shared" si="188"/>
        <v>292872.49000000011</v>
      </c>
      <c r="Z180" s="50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22">
        <f t="shared" si="176"/>
        <v>3398.4599999999909</v>
      </c>
      <c r="AJ180" s="522">
        <f t="shared" si="242"/>
        <v>-73350.740000000136</v>
      </c>
      <c r="AK180" s="522">
        <f t="shared" si="177"/>
        <v>-69952.280000000144</v>
      </c>
      <c r="AL180" s="285">
        <f t="shared" si="194"/>
        <v>292767.83000000013</v>
      </c>
      <c r="AM180" s="426">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1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6">
        <f t="shared" si="263"/>
        <v>10</v>
      </c>
      <c r="M181" s="426">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12">
        <f t="shared" si="221"/>
        <v>49389</v>
      </c>
      <c r="Y181" s="285">
        <f t="shared" si="188"/>
        <v>292767.83000000013</v>
      </c>
      <c r="Z181" s="50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22">
        <f t="shared" si="176"/>
        <v>3378.9899999999907</v>
      </c>
      <c r="AJ181" s="522">
        <f t="shared" si="242"/>
        <v>-73713.300000000105</v>
      </c>
      <c r="AK181" s="522">
        <f t="shared" si="177"/>
        <v>-70334.310000000114</v>
      </c>
      <c r="AL181" s="285">
        <f t="shared" si="194"/>
        <v>292662.62000000011</v>
      </c>
      <c r="AM181" s="426">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15">
        <f t="shared" si="181"/>
        <v>49419</v>
      </c>
      <c r="B182" s="346">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6">
        <f t="shared" si="182"/>
        <v>32594.919999999987</v>
      </c>
      <c r="J182" s="346">
        <f t="shared" si="183"/>
        <v>43355.959999999985</v>
      </c>
      <c r="K182" s="346">
        <f t="shared" si="184"/>
        <v>64936.919999999955</v>
      </c>
      <c r="L182" s="427">
        <f t="shared" si="263"/>
        <v>10</v>
      </c>
      <c r="M182" s="427">
        <f t="shared" si="219"/>
        <v>123</v>
      </c>
      <c r="N182" s="346">
        <f t="shared" si="220"/>
        <v>218949.32</v>
      </c>
      <c r="O182" s="346">
        <f t="shared" si="185"/>
        <v>1610.57</v>
      </c>
      <c r="P182" s="346">
        <f t="shared" si="228"/>
        <v>470.21000000000004</v>
      </c>
      <c r="Q182" s="346">
        <f t="shared" si="186"/>
        <v>1140.3599999999999</v>
      </c>
      <c r="R182" s="346">
        <f t="shared" si="173"/>
        <v>134.16999999999999</v>
      </c>
      <c r="S182" s="346">
        <f t="shared" si="174"/>
        <v>188.55</v>
      </c>
      <c r="T182" s="346">
        <f t="shared" si="171"/>
        <v>1933.29</v>
      </c>
      <c r="U182" s="346">
        <f t="shared" si="229"/>
        <v>43096.889999999992</v>
      </c>
      <c r="V182" s="346">
        <f t="shared" si="230"/>
        <v>156613.78999999992</v>
      </c>
      <c r="W182" s="346">
        <f t="shared" si="187"/>
        <v>218479.11000000002</v>
      </c>
      <c r="X182" s="515">
        <f t="shared" si="221"/>
        <v>49419</v>
      </c>
      <c r="Y182" s="346">
        <f t="shared" si="188"/>
        <v>292662.62000000011</v>
      </c>
      <c r="Z182" s="505">
        <f t="shared" si="213"/>
        <v>6.25E-2</v>
      </c>
      <c r="AA182" s="346">
        <f t="shared" si="214"/>
        <v>1630.04</v>
      </c>
      <c r="AB182" s="346">
        <f t="shared" si="189"/>
        <v>105.75999999999999</v>
      </c>
      <c r="AC182" s="346">
        <f t="shared" si="215"/>
        <v>1524.28</v>
      </c>
      <c r="AD182" s="346">
        <f t="shared" ref="AD182:AE182" si="271">+AD181</f>
        <v>134.16999999999999</v>
      </c>
      <c r="AE182" s="346">
        <f t="shared" si="271"/>
        <v>188.55</v>
      </c>
      <c r="AF182" s="346">
        <f t="shared" si="191"/>
        <v>1952.76</v>
      </c>
      <c r="AG182" s="346">
        <f t="shared" si="192"/>
        <v>38636.539999999979</v>
      </c>
      <c r="AH182" s="346">
        <f t="shared" si="193"/>
        <v>157714.62000000002</v>
      </c>
      <c r="AI182" s="523">
        <f t="shared" si="176"/>
        <v>3359.5199999999904</v>
      </c>
      <c r="AJ182" s="523">
        <f t="shared" si="242"/>
        <v>-74077.750000000087</v>
      </c>
      <c r="AK182" s="522">
        <f t="shared" si="177"/>
        <v>-70718.230000000098</v>
      </c>
      <c r="AL182" s="346">
        <f t="shared" si="194"/>
        <v>292556.8600000001</v>
      </c>
      <c r="AM182" s="427">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6">
        <f t="shared" si="225"/>
        <v>992.26935465029089</v>
      </c>
      <c r="AV182" s="346">
        <f t="shared" si="226"/>
        <v>136324.01121476668</v>
      </c>
    </row>
    <row r="183" spans="1:48" x14ac:dyDescent="0.25">
      <c r="A183" s="51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6">
        <f t="shared" si="263"/>
        <v>10</v>
      </c>
      <c r="M183" s="426">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12">
        <f t="shared" si="221"/>
        <v>49449</v>
      </c>
      <c r="Y183" s="285">
        <f t="shared" si="188"/>
        <v>292556.8600000001</v>
      </c>
      <c r="Z183" s="50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22">
        <f t="shared" si="176"/>
        <v>3340.0499999999902</v>
      </c>
      <c r="AJ183" s="522">
        <f t="shared" si="242"/>
        <v>-74444.100000000093</v>
      </c>
      <c r="AK183" s="522">
        <f t="shared" si="177"/>
        <v>-71104.050000000105</v>
      </c>
      <c r="AL183" s="285">
        <f t="shared" si="194"/>
        <v>292450.5500000001</v>
      </c>
      <c r="AM183" s="426">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1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6">
        <f t="shared" si="263"/>
        <v>10</v>
      </c>
      <c r="M184" s="426">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12">
        <f t="shared" si="221"/>
        <v>49479</v>
      </c>
      <c r="Y184" s="285">
        <f t="shared" si="188"/>
        <v>292450.5500000001</v>
      </c>
      <c r="Z184" s="50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22">
        <f t="shared" si="176"/>
        <v>3320.5799999999899</v>
      </c>
      <c r="AJ184" s="522">
        <f t="shared" si="242"/>
        <v>-74812.360000000102</v>
      </c>
      <c r="AK184" s="522">
        <f t="shared" si="177"/>
        <v>-71491.780000000115</v>
      </c>
      <c r="AL184" s="285">
        <f t="shared" si="194"/>
        <v>292343.69000000012</v>
      </c>
      <c r="AM184" s="426">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1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6">
        <f t="shared" si="263"/>
        <v>10</v>
      </c>
      <c r="M185" s="426">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12">
        <f t="shared" si="221"/>
        <v>49509</v>
      </c>
      <c r="Y185" s="285">
        <f t="shared" si="188"/>
        <v>292343.69000000012</v>
      </c>
      <c r="Z185" s="50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22">
        <f t="shared" si="176"/>
        <v>3301.1099999999897</v>
      </c>
      <c r="AJ185" s="522">
        <f t="shared" si="242"/>
        <v>-75182.530000000115</v>
      </c>
      <c r="AK185" s="522">
        <f t="shared" si="177"/>
        <v>-71881.420000000129</v>
      </c>
      <c r="AL185" s="285">
        <f t="shared" si="194"/>
        <v>292236.27000000014</v>
      </c>
      <c r="AM185" s="426">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1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6">
        <f t="shared" si="263"/>
        <v>10</v>
      </c>
      <c r="M186" s="426">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12">
        <f t="shared" si="221"/>
        <v>49539</v>
      </c>
      <c r="Y186" s="285">
        <f t="shared" si="188"/>
        <v>292236.27000000014</v>
      </c>
      <c r="Z186" s="50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22">
        <f t="shared" si="176"/>
        <v>3281.6399999999894</v>
      </c>
      <c r="AJ186" s="522">
        <f t="shared" si="242"/>
        <v>-75554.630000000121</v>
      </c>
      <c r="AK186" s="522">
        <f t="shared" si="177"/>
        <v>-72272.990000000136</v>
      </c>
      <c r="AL186" s="285">
        <f t="shared" si="194"/>
        <v>292128.29000000015</v>
      </c>
      <c r="AM186" s="426">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1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6">
        <f t="shared" si="263"/>
        <v>10</v>
      </c>
      <c r="M187" s="426">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12">
        <f t="shared" si="221"/>
        <v>49569</v>
      </c>
      <c r="Y187" s="285">
        <f t="shared" si="188"/>
        <v>292128.29000000015</v>
      </c>
      <c r="Z187" s="50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22">
        <f t="shared" si="176"/>
        <v>3262.1699999999892</v>
      </c>
      <c r="AJ187" s="522">
        <f t="shared" si="242"/>
        <v>-75928.670000000129</v>
      </c>
      <c r="AK187" s="522">
        <f t="shared" si="177"/>
        <v>-72666.500000000146</v>
      </c>
      <c r="AL187" s="285">
        <f t="shared" si="194"/>
        <v>292019.75000000017</v>
      </c>
      <c r="AM187" s="426">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1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6">
        <f t="shared" si="263"/>
        <v>10</v>
      </c>
      <c r="M188" s="426">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12">
        <f t="shared" si="221"/>
        <v>49599</v>
      </c>
      <c r="Y188" s="285">
        <f t="shared" si="188"/>
        <v>292019.75000000017</v>
      </c>
      <c r="Z188" s="50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22">
        <f t="shared" ref="AI188:AI251" si="284">O188-AA188+AI187</f>
        <v>3242.6999999999889</v>
      </c>
      <c r="AJ188" s="522">
        <f t="shared" si="242"/>
        <v>-76304.670000000158</v>
      </c>
      <c r="AK188" s="522">
        <f t="shared" ref="AK188:AK251" si="285">SUM(AI188:AJ188)</f>
        <v>-73061.970000000176</v>
      </c>
      <c r="AL188" s="285">
        <f t="shared" si="194"/>
        <v>291910.6500000002</v>
      </c>
      <c r="AM188" s="426">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1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6">
        <f t="shared" si="263"/>
        <v>10</v>
      </c>
      <c r="M189" s="426">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12">
        <f t="shared" si="221"/>
        <v>49629</v>
      </c>
      <c r="Y189" s="285">
        <f t="shared" si="188"/>
        <v>291910.6500000002</v>
      </c>
      <c r="Z189" s="50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22">
        <f t="shared" si="284"/>
        <v>3223.2299999999886</v>
      </c>
      <c r="AJ189" s="522">
        <f t="shared" si="242"/>
        <v>-76682.62000000017</v>
      </c>
      <c r="AK189" s="522">
        <f t="shared" si="285"/>
        <v>-73459.390000000189</v>
      </c>
      <c r="AL189" s="285">
        <f t="shared" si="194"/>
        <v>291800.98000000021</v>
      </c>
      <c r="AM189" s="426">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1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6">
        <f t="shared" si="263"/>
        <v>10</v>
      </c>
      <c r="M190" s="426">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12">
        <f t="shared" si="221"/>
        <v>49659</v>
      </c>
      <c r="Y190" s="285">
        <f t="shared" ref="Y190:Y253" si="296">IF(+AL189&lt;0,0,+AL189)</f>
        <v>291800.98000000021</v>
      </c>
      <c r="Z190" s="50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22">
        <f t="shared" si="284"/>
        <v>3203.7599999999884</v>
      </c>
      <c r="AJ190" s="522">
        <f t="shared" si="242"/>
        <v>-77062.540000000183</v>
      </c>
      <c r="AK190" s="522">
        <f t="shared" si="285"/>
        <v>-73858.780000000188</v>
      </c>
      <c r="AL190" s="285">
        <f t="shared" ref="AL190:AL253" si="302">+Y190-AB190</f>
        <v>291690.74000000022</v>
      </c>
      <c r="AM190" s="426">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1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6">
        <f t="shared" si="263"/>
        <v>11</v>
      </c>
      <c r="M191" s="426">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12">
        <f t="shared" si="221"/>
        <v>49689</v>
      </c>
      <c r="Y191" s="285">
        <f t="shared" si="296"/>
        <v>291690.74000000022</v>
      </c>
      <c r="Z191" s="50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22">
        <f t="shared" si="284"/>
        <v>3184.2899999999881</v>
      </c>
      <c r="AJ191" s="522">
        <f t="shared" si="242"/>
        <v>-77444.430000000168</v>
      </c>
      <c r="AK191" s="522">
        <f t="shared" si="285"/>
        <v>-74260.140000000174</v>
      </c>
      <c r="AL191" s="285">
        <f t="shared" si="302"/>
        <v>291579.92000000022</v>
      </c>
      <c r="AM191" s="426">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1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6">
        <f t="shared" si="263"/>
        <v>11</v>
      </c>
      <c r="M192" s="426">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12">
        <f t="shared" si="221"/>
        <v>49719</v>
      </c>
      <c r="Y192" s="285">
        <f t="shared" si="296"/>
        <v>291579.92000000022</v>
      </c>
      <c r="Z192" s="50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22">
        <f t="shared" si="284"/>
        <v>3164.8199999999879</v>
      </c>
      <c r="AJ192" s="522">
        <f t="shared" si="242"/>
        <v>-77828.320000000153</v>
      </c>
      <c r="AK192" s="522">
        <f t="shared" si="285"/>
        <v>-74663.50000000016</v>
      </c>
      <c r="AL192" s="285">
        <f t="shared" si="302"/>
        <v>291468.5300000002</v>
      </c>
      <c r="AM192" s="426">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1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6">
        <f t="shared" si="263"/>
        <v>11</v>
      </c>
      <c r="M193" s="426">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12">
        <f t="shared" si="221"/>
        <v>49749</v>
      </c>
      <c r="Y193" s="285">
        <f t="shared" si="296"/>
        <v>291468.5300000002</v>
      </c>
      <c r="Z193" s="50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22">
        <f t="shared" si="284"/>
        <v>3145.3499999999876</v>
      </c>
      <c r="AJ193" s="522">
        <f t="shared" si="242"/>
        <v>-78214.210000000166</v>
      </c>
      <c r="AK193" s="522">
        <f t="shared" si="285"/>
        <v>-75068.860000000175</v>
      </c>
      <c r="AL193" s="285">
        <f t="shared" si="302"/>
        <v>291356.56000000023</v>
      </c>
      <c r="AM193" s="426">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15">
        <f t="shared" si="289"/>
        <v>49779</v>
      </c>
      <c r="B194" s="346">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6">
        <f t="shared" si="290"/>
        <v>35614.699999999983</v>
      </c>
      <c r="J194" s="346">
        <f t="shared" si="291"/>
        <v>45739.539999999979</v>
      </c>
      <c r="K194" s="346">
        <f t="shared" si="292"/>
        <v>61917.139999999963</v>
      </c>
      <c r="L194" s="427">
        <f t="shared" si="263"/>
        <v>11</v>
      </c>
      <c r="M194" s="427">
        <f t="shared" si="219"/>
        <v>135</v>
      </c>
      <c r="N194" s="346">
        <f t="shared" si="220"/>
        <v>213142.35000000006</v>
      </c>
      <c r="O194" s="346">
        <f t="shared" si="293"/>
        <v>1610.57</v>
      </c>
      <c r="P194" s="346">
        <f t="shared" si="228"/>
        <v>500.45000000000005</v>
      </c>
      <c r="Q194" s="346">
        <f t="shared" si="294"/>
        <v>1110.1199999999999</v>
      </c>
      <c r="R194" s="346">
        <f t="shared" si="281"/>
        <v>134.16999999999999</v>
      </c>
      <c r="S194" s="346">
        <f t="shared" si="282"/>
        <v>188.55</v>
      </c>
      <c r="T194" s="346">
        <f t="shared" si="279"/>
        <v>1933.29</v>
      </c>
      <c r="U194" s="346">
        <f t="shared" si="229"/>
        <v>48934.099999999984</v>
      </c>
      <c r="V194" s="346">
        <f t="shared" si="230"/>
        <v>170103.41999999993</v>
      </c>
      <c r="W194" s="346">
        <f t="shared" si="295"/>
        <v>212641.90000000005</v>
      </c>
      <c r="X194" s="515">
        <f t="shared" si="221"/>
        <v>49779</v>
      </c>
      <c r="Y194" s="346">
        <f t="shared" si="296"/>
        <v>291356.56000000023</v>
      </c>
      <c r="Z194" s="505">
        <f t="shared" si="213"/>
        <v>6.25E-2</v>
      </c>
      <c r="AA194" s="346">
        <f t="shared" si="214"/>
        <v>1630.04</v>
      </c>
      <c r="AB194" s="346">
        <f t="shared" si="297"/>
        <v>112.55999999999995</v>
      </c>
      <c r="AC194" s="346">
        <f t="shared" si="215"/>
        <v>1517.48</v>
      </c>
      <c r="AD194" s="346">
        <f t="shared" ref="AD194:AE194" si="306">+AD193</f>
        <v>134.16999999999999</v>
      </c>
      <c r="AE194" s="346">
        <f t="shared" si="306"/>
        <v>188.55</v>
      </c>
      <c r="AF194" s="346">
        <f t="shared" si="299"/>
        <v>1952.76</v>
      </c>
      <c r="AG194" s="346">
        <f t="shared" si="300"/>
        <v>39949.399999999972</v>
      </c>
      <c r="AH194" s="346">
        <f t="shared" si="301"/>
        <v>175962.24000000002</v>
      </c>
      <c r="AI194" s="523">
        <f t="shared" si="284"/>
        <v>3125.8799999999874</v>
      </c>
      <c r="AJ194" s="523">
        <f t="shared" si="242"/>
        <v>-78602.10000000018</v>
      </c>
      <c r="AK194" s="522">
        <f t="shared" si="285"/>
        <v>-75476.22000000019</v>
      </c>
      <c r="AL194" s="346">
        <f t="shared" si="302"/>
        <v>291244.00000000023</v>
      </c>
      <c r="AM194" s="427">
        <f t="shared" si="223"/>
        <v>11</v>
      </c>
      <c r="AN194" s="21">
        <f t="shared" si="286"/>
        <v>1160.29</v>
      </c>
      <c r="AO194" s="21">
        <f t="shared" si="261"/>
        <v>220646</v>
      </c>
      <c r="AP194" s="21">
        <f t="shared" si="287"/>
        <v>1179.76</v>
      </c>
      <c r="AQ194" s="21"/>
      <c r="AR194" s="23"/>
      <c r="AS194" s="21">
        <f t="shared" si="217"/>
        <v>1160.29</v>
      </c>
      <c r="AT194" s="21">
        <f t="shared" si="224"/>
        <v>157318.87999999986</v>
      </c>
      <c r="AU194" s="346">
        <f t="shared" si="225"/>
        <v>1022.4501765879278</v>
      </c>
      <c r="AV194" s="346">
        <f t="shared" si="226"/>
        <v>148426.52081175911</v>
      </c>
    </row>
    <row r="195" spans="1:48" x14ac:dyDescent="0.25">
      <c r="A195" s="51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6">
        <f t="shared" si="263"/>
        <v>11</v>
      </c>
      <c r="M195" s="426">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12">
        <f t="shared" si="221"/>
        <v>49809</v>
      </c>
      <c r="Y195" s="285">
        <f t="shared" si="296"/>
        <v>291244.00000000023</v>
      </c>
      <c r="Z195" s="50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22">
        <f t="shared" si="284"/>
        <v>3106.4099999999871</v>
      </c>
      <c r="AJ195" s="522">
        <f t="shared" si="242"/>
        <v>-78992.020000000164</v>
      </c>
      <c r="AK195" s="522">
        <f t="shared" si="285"/>
        <v>-75885.610000000175</v>
      </c>
      <c r="AL195" s="285">
        <f t="shared" si="302"/>
        <v>291130.86000000022</v>
      </c>
      <c r="AM195" s="426">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1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6">
        <f t="shared" si="263"/>
        <v>11</v>
      </c>
      <c r="M196" s="426">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12">
        <f t="shared" si="221"/>
        <v>49839</v>
      </c>
      <c r="Y196" s="285">
        <f t="shared" si="296"/>
        <v>291130.86000000022</v>
      </c>
      <c r="Z196" s="50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22">
        <f t="shared" si="284"/>
        <v>3086.9399999999869</v>
      </c>
      <c r="AJ196" s="522">
        <f t="shared" si="242"/>
        <v>-79383.970000000176</v>
      </c>
      <c r="AK196" s="522">
        <f t="shared" si="285"/>
        <v>-76297.030000000188</v>
      </c>
      <c r="AL196" s="285">
        <f t="shared" si="302"/>
        <v>291017.13000000024</v>
      </c>
      <c r="AM196" s="426">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1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6">
        <f t="shared" si="263"/>
        <v>11</v>
      </c>
      <c r="M197" s="426">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12">
        <f t="shared" si="221"/>
        <v>49869</v>
      </c>
      <c r="Y197" s="285">
        <f t="shared" si="296"/>
        <v>291017.13000000024</v>
      </c>
      <c r="Z197" s="50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22">
        <f t="shared" si="284"/>
        <v>3067.4699999999866</v>
      </c>
      <c r="AJ197" s="522">
        <f t="shared" si="242"/>
        <v>-79777.950000000157</v>
      </c>
      <c r="AK197" s="522">
        <f t="shared" si="285"/>
        <v>-76710.480000000171</v>
      </c>
      <c r="AL197" s="285">
        <f t="shared" si="302"/>
        <v>290902.80000000022</v>
      </c>
      <c r="AM197" s="426">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1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6">
        <f t="shared" si="263"/>
        <v>11</v>
      </c>
      <c r="M198" s="426">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12">
        <f t="shared" si="221"/>
        <v>49899</v>
      </c>
      <c r="Y198" s="285">
        <f t="shared" si="296"/>
        <v>290902.80000000022</v>
      </c>
      <c r="Z198" s="50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22">
        <f t="shared" si="284"/>
        <v>3047.9999999999864</v>
      </c>
      <c r="AJ198" s="522">
        <f t="shared" si="242"/>
        <v>-80173.990000000165</v>
      </c>
      <c r="AK198" s="522">
        <f t="shared" si="285"/>
        <v>-77125.99000000018</v>
      </c>
      <c r="AL198" s="285">
        <f t="shared" si="302"/>
        <v>290787.88000000024</v>
      </c>
      <c r="AM198" s="426">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1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6">
        <f t="shared" si="263"/>
        <v>11</v>
      </c>
      <c r="M199" s="426">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12">
        <f t="shared" si="221"/>
        <v>49929</v>
      </c>
      <c r="Y199" s="285">
        <f t="shared" si="296"/>
        <v>290787.88000000024</v>
      </c>
      <c r="Z199" s="50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22">
        <f t="shared" si="284"/>
        <v>3028.5299999999861</v>
      </c>
      <c r="AJ199" s="522">
        <f t="shared" si="242"/>
        <v>-80572.090000000142</v>
      </c>
      <c r="AK199" s="522">
        <f t="shared" si="285"/>
        <v>-77543.560000000158</v>
      </c>
      <c r="AL199" s="285">
        <f t="shared" si="302"/>
        <v>290672.36000000022</v>
      </c>
      <c r="AM199" s="426">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1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6">
        <f t="shared" si="263"/>
        <v>11</v>
      </c>
      <c r="M200" s="426">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12">
        <f t="shared" si="221"/>
        <v>49959</v>
      </c>
      <c r="Y200" s="285">
        <f t="shared" si="296"/>
        <v>290672.36000000022</v>
      </c>
      <c r="Z200" s="50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22">
        <f t="shared" si="284"/>
        <v>3009.0599999999858</v>
      </c>
      <c r="AJ200" s="522">
        <f t="shared" si="242"/>
        <v>-80972.270000000135</v>
      </c>
      <c r="AK200" s="522">
        <f t="shared" si="285"/>
        <v>-77963.210000000152</v>
      </c>
      <c r="AL200" s="285">
        <f t="shared" si="302"/>
        <v>290556.24000000022</v>
      </c>
      <c r="AM200" s="426">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1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6">
        <f t="shared" si="263"/>
        <v>11</v>
      </c>
      <c r="M201" s="426">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12">
        <f t="shared" si="221"/>
        <v>49989</v>
      </c>
      <c r="Y201" s="285">
        <f t="shared" si="296"/>
        <v>290556.24000000022</v>
      </c>
      <c r="Z201" s="50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22">
        <f t="shared" si="284"/>
        <v>2989.5899999999856</v>
      </c>
      <c r="AJ201" s="522">
        <f t="shared" si="242"/>
        <v>-81374.530000000144</v>
      </c>
      <c r="AK201" s="522">
        <f t="shared" si="285"/>
        <v>-78384.940000000162</v>
      </c>
      <c r="AL201" s="285">
        <f t="shared" si="302"/>
        <v>290439.51000000024</v>
      </c>
      <c r="AM201" s="426">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1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6">
        <f t="shared" si="263"/>
        <v>11</v>
      </c>
      <c r="M202" s="426">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12">
        <f t="shared" si="221"/>
        <v>50019</v>
      </c>
      <c r="Y202" s="285">
        <f t="shared" si="296"/>
        <v>290439.51000000024</v>
      </c>
      <c r="Z202" s="50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22">
        <f t="shared" si="284"/>
        <v>2970.1199999999853</v>
      </c>
      <c r="AJ202" s="522">
        <f t="shared" si="242"/>
        <v>-81778.89000000013</v>
      </c>
      <c r="AK202" s="522">
        <f t="shared" si="285"/>
        <v>-78808.77000000015</v>
      </c>
      <c r="AL202" s="285">
        <f t="shared" si="302"/>
        <v>290322.18000000023</v>
      </c>
      <c r="AM202" s="426">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1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6">
        <f t="shared" si="263"/>
        <v>12</v>
      </c>
      <c r="M203" s="426">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12">
        <f t="shared" si="221"/>
        <v>50049</v>
      </c>
      <c r="Y203" s="285">
        <f t="shared" si="296"/>
        <v>290322.18000000023</v>
      </c>
      <c r="Z203" s="50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22">
        <f t="shared" si="284"/>
        <v>2950.6499999999851</v>
      </c>
      <c r="AJ203" s="522">
        <f t="shared" si="242"/>
        <v>-82185.350000000122</v>
      </c>
      <c r="AK203" s="522">
        <f t="shared" si="285"/>
        <v>-79234.700000000143</v>
      </c>
      <c r="AL203" s="285">
        <f t="shared" si="302"/>
        <v>290204.23000000021</v>
      </c>
      <c r="AM203" s="426">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1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6">
        <f t="shared" si="263"/>
        <v>12</v>
      </c>
      <c r="M204" s="426">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12">
        <f t="shared" si="221"/>
        <v>50079</v>
      </c>
      <c r="Y204" s="285">
        <f t="shared" si="296"/>
        <v>290204.23000000021</v>
      </c>
      <c r="Z204" s="50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22">
        <f t="shared" si="284"/>
        <v>2931.1799999999848</v>
      </c>
      <c r="AJ204" s="522">
        <f t="shared" si="242"/>
        <v>-82593.930000000139</v>
      </c>
      <c r="AK204" s="522">
        <f t="shared" si="285"/>
        <v>-79662.75000000016</v>
      </c>
      <c r="AL204" s="285">
        <f t="shared" si="302"/>
        <v>290085.67000000022</v>
      </c>
      <c r="AM204" s="426">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1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6">
        <f t="shared" si="263"/>
        <v>12</v>
      </c>
      <c r="M205" s="426">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12">
        <f t="shared" si="221"/>
        <v>50109</v>
      </c>
      <c r="Y205" s="285">
        <f t="shared" si="296"/>
        <v>290085.67000000022</v>
      </c>
      <c r="Z205" s="50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22">
        <f t="shared" si="284"/>
        <v>2911.7099999999846</v>
      </c>
      <c r="AJ205" s="522">
        <f t="shared" si="242"/>
        <v>-83004.63000000015</v>
      </c>
      <c r="AK205" s="522">
        <f t="shared" si="285"/>
        <v>-80092.920000000158</v>
      </c>
      <c r="AL205" s="285">
        <f t="shared" si="302"/>
        <v>289966.49000000022</v>
      </c>
      <c r="AM205" s="426">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15">
        <f t="shared" si="289"/>
        <v>50139</v>
      </c>
      <c r="B206" s="346">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6">
        <f t="shared" si="290"/>
        <v>38749.689999999981</v>
      </c>
      <c r="J206" s="346">
        <f t="shared" si="291"/>
        <v>48007.909999999967</v>
      </c>
      <c r="K206" s="346">
        <f t="shared" si="292"/>
        <v>58782.149999999965</v>
      </c>
      <c r="L206" s="427">
        <f t="shared" si="263"/>
        <v>12</v>
      </c>
      <c r="M206" s="427">
        <f t="shared" si="219"/>
        <v>147</v>
      </c>
      <c r="N206" s="346">
        <f t="shared" si="220"/>
        <v>206961.86000000007</v>
      </c>
      <c r="O206" s="346">
        <f t="shared" si="293"/>
        <v>1610.57</v>
      </c>
      <c r="P206" s="346">
        <f t="shared" si="228"/>
        <v>532.63999999999987</v>
      </c>
      <c r="Q206" s="346">
        <f t="shared" si="294"/>
        <v>1077.93</v>
      </c>
      <c r="R206" s="346">
        <f t="shared" si="281"/>
        <v>134.16999999999999</v>
      </c>
      <c r="S206" s="346">
        <f t="shared" si="282"/>
        <v>188.55</v>
      </c>
      <c r="T206" s="346">
        <f t="shared" si="279"/>
        <v>1933.29</v>
      </c>
      <c r="U206" s="346">
        <f t="shared" si="229"/>
        <v>55146.779999999977</v>
      </c>
      <c r="V206" s="346">
        <f t="shared" si="230"/>
        <v>183217.57999999993</v>
      </c>
      <c r="W206" s="346">
        <f t="shared" si="295"/>
        <v>206429.22000000006</v>
      </c>
      <c r="X206" s="515">
        <f t="shared" si="221"/>
        <v>50139</v>
      </c>
      <c r="Y206" s="346">
        <f t="shared" si="296"/>
        <v>289966.49000000022</v>
      </c>
      <c r="Z206" s="505">
        <f t="shared" si="213"/>
        <v>6.25E-2</v>
      </c>
      <c r="AA206" s="346">
        <f t="shared" si="214"/>
        <v>1630.04</v>
      </c>
      <c r="AB206" s="346">
        <f t="shared" si="297"/>
        <v>119.79999999999995</v>
      </c>
      <c r="AC206" s="346">
        <f t="shared" si="215"/>
        <v>1510.24</v>
      </c>
      <c r="AD206" s="346">
        <f t="shared" ref="AD206:AE206" si="318">+AD205</f>
        <v>134.16999999999999</v>
      </c>
      <c r="AE206" s="346">
        <f t="shared" si="318"/>
        <v>188.55</v>
      </c>
      <c r="AF206" s="346">
        <f t="shared" si="299"/>
        <v>1952.76</v>
      </c>
      <c r="AG206" s="346">
        <f t="shared" si="300"/>
        <v>41346.709999999977</v>
      </c>
      <c r="AH206" s="346">
        <f t="shared" si="301"/>
        <v>194125.40999999997</v>
      </c>
      <c r="AI206" s="523">
        <f t="shared" si="284"/>
        <v>2892.2399999999843</v>
      </c>
      <c r="AJ206" s="523">
        <f t="shared" si="242"/>
        <v>-83417.470000000176</v>
      </c>
      <c r="AK206" s="522">
        <f t="shared" si="285"/>
        <v>-80525.230000000185</v>
      </c>
      <c r="AL206" s="346">
        <f t="shared" si="302"/>
        <v>289846.69000000024</v>
      </c>
      <c r="AM206" s="427">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6">
        <f t="shared" si="225"/>
        <v>1053.5489771052344</v>
      </c>
      <c r="AV206" s="346">
        <f t="shared" si="226"/>
        <v>160897.13981919899</v>
      </c>
    </row>
    <row r="207" spans="1:48" x14ac:dyDescent="0.25">
      <c r="A207" s="51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6">
        <f t="shared" si="263"/>
        <v>12</v>
      </c>
      <c r="M207" s="426">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12">
        <f t="shared" si="221"/>
        <v>50169</v>
      </c>
      <c r="Y207" s="285">
        <f t="shared" si="296"/>
        <v>289846.69000000024</v>
      </c>
      <c r="Z207" s="50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22">
        <f t="shared" si="284"/>
        <v>2872.7699999999841</v>
      </c>
      <c r="AJ207" s="522">
        <f t="shared" si="242"/>
        <v>-83832.470000000205</v>
      </c>
      <c r="AK207" s="522">
        <f t="shared" si="285"/>
        <v>-80959.700000000215</v>
      </c>
      <c r="AL207" s="285">
        <f t="shared" si="302"/>
        <v>289726.27000000025</v>
      </c>
      <c r="AM207" s="426">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1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6">
        <f t="shared" si="263"/>
        <v>12</v>
      </c>
      <c r="M208" s="426">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12">
        <f t="shared" ref="X208:X271" si="329">+A208</f>
        <v>50199</v>
      </c>
      <c r="Y208" s="285">
        <f t="shared" si="296"/>
        <v>289726.27000000025</v>
      </c>
      <c r="Z208" s="50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22">
        <f t="shared" si="284"/>
        <v>2853.2999999999838</v>
      </c>
      <c r="AJ208" s="522">
        <f t="shared" si="242"/>
        <v>-84249.630000000208</v>
      </c>
      <c r="AK208" s="522">
        <f t="shared" si="285"/>
        <v>-81396.33000000022</v>
      </c>
      <c r="AL208" s="285">
        <f t="shared" si="302"/>
        <v>289605.22000000026</v>
      </c>
      <c r="AM208" s="426">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1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6">
        <f t="shared" si="263"/>
        <v>12</v>
      </c>
      <c r="M209" s="426">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12">
        <f t="shared" si="329"/>
        <v>50229</v>
      </c>
      <c r="Y209" s="285">
        <f t="shared" si="296"/>
        <v>289605.22000000026</v>
      </c>
      <c r="Z209" s="50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22">
        <f t="shared" si="284"/>
        <v>2833.8299999999836</v>
      </c>
      <c r="AJ209" s="522">
        <f t="shared" si="242"/>
        <v>-84668.960000000225</v>
      </c>
      <c r="AK209" s="522">
        <f t="shared" si="285"/>
        <v>-81835.130000000237</v>
      </c>
      <c r="AL209" s="285">
        <f t="shared" si="302"/>
        <v>289483.54000000027</v>
      </c>
      <c r="AM209" s="426">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1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6">
        <f t="shared" si="263"/>
        <v>12</v>
      </c>
      <c r="M210" s="426">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12">
        <f t="shared" si="329"/>
        <v>50259</v>
      </c>
      <c r="Y210" s="285">
        <f t="shared" si="296"/>
        <v>289483.54000000027</v>
      </c>
      <c r="Z210" s="50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22">
        <f t="shared" si="284"/>
        <v>2814.3599999999833</v>
      </c>
      <c r="AJ210" s="522">
        <f t="shared" si="242"/>
        <v>-85090.480000000214</v>
      </c>
      <c r="AK210" s="522">
        <f t="shared" si="285"/>
        <v>-82276.120000000228</v>
      </c>
      <c r="AL210" s="285">
        <f t="shared" si="302"/>
        <v>289361.23000000027</v>
      </c>
      <c r="AM210" s="426">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1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6">
        <f t="shared" si="263"/>
        <v>12</v>
      </c>
      <c r="M211" s="426">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12">
        <f t="shared" si="329"/>
        <v>50289</v>
      </c>
      <c r="Y211" s="285">
        <f t="shared" si="296"/>
        <v>289361.23000000027</v>
      </c>
      <c r="Z211" s="50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22">
        <f t="shared" si="284"/>
        <v>2794.889999999983</v>
      </c>
      <c r="AJ211" s="522">
        <f t="shared" si="242"/>
        <v>-85514.190000000206</v>
      </c>
      <c r="AK211" s="522">
        <f t="shared" si="285"/>
        <v>-82719.300000000221</v>
      </c>
      <c r="AL211" s="285">
        <f t="shared" si="302"/>
        <v>289238.28000000026</v>
      </c>
      <c r="AM211" s="426">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1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6">
        <f t="shared" si="263"/>
        <v>12</v>
      </c>
      <c r="M212" s="426">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12">
        <f t="shared" si="329"/>
        <v>50319</v>
      </c>
      <c r="Y212" s="285">
        <f t="shared" si="296"/>
        <v>289238.28000000026</v>
      </c>
      <c r="Z212" s="50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22">
        <f t="shared" si="284"/>
        <v>2775.4199999999828</v>
      </c>
      <c r="AJ212" s="522">
        <f t="shared" si="242"/>
        <v>-85940.11000000019</v>
      </c>
      <c r="AK212" s="522">
        <f t="shared" si="285"/>
        <v>-83164.690000000206</v>
      </c>
      <c r="AL212" s="285">
        <f t="shared" si="302"/>
        <v>289114.69000000024</v>
      </c>
      <c r="AM212" s="426">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1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6">
        <f t="shared" si="263"/>
        <v>12</v>
      </c>
      <c r="M213" s="426">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12">
        <f t="shared" si="329"/>
        <v>50349</v>
      </c>
      <c r="Y213" s="285">
        <f t="shared" si="296"/>
        <v>289114.69000000024</v>
      </c>
      <c r="Z213" s="50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22">
        <f t="shared" si="284"/>
        <v>2755.9499999999825</v>
      </c>
      <c r="AJ213" s="522">
        <f t="shared" si="242"/>
        <v>-86368.250000000204</v>
      </c>
      <c r="AK213" s="522">
        <f t="shared" si="285"/>
        <v>-83612.300000000221</v>
      </c>
      <c r="AL213" s="285">
        <f t="shared" si="302"/>
        <v>288990.46000000025</v>
      </c>
      <c r="AM213" s="426">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1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6">
        <f t="shared" si="263"/>
        <v>12</v>
      </c>
      <c r="M214" s="426">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12">
        <f t="shared" si="329"/>
        <v>50379</v>
      </c>
      <c r="Y214" s="285">
        <f t="shared" si="296"/>
        <v>288990.46000000025</v>
      </c>
      <c r="Z214" s="50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22">
        <f t="shared" si="284"/>
        <v>2736.4799999999823</v>
      </c>
      <c r="AJ214" s="522">
        <f t="shared" si="242"/>
        <v>-86798.620000000199</v>
      </c>
      <c r="AK214" s="522">
        <f t="shared" si="285"/>
        <v>-84062.140000000218</v>
      </c>
      <c r="AL214" s="285">
        <f t="shared" si="302"/>
        <v>288865.58000000025</v>
      </c>
      <c r="AM214" s="426">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1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6">
        <f t="shared" si="263"/>
        <v>13</v>
      </c>
      <c r="M215" s="426">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12">
        <f t="shared" si="329"/>
        <v>50409</v>
      </c>
      <c r="Y215" s="285">
        <f t="shared" si="296"/>
        <v>288865.58000000025</v>
      </c>
      <c r="Z215" s="50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22">
        <f t="shared" si="284"/>
        <v>2717.009999999982</v>
      </c>
      <c r="AJ215" s="522">
        <f t="shared" si="242"/>
        <v>-87231.230000000185</v>
      </c>
      <c r="AK215" s="522">
        <f t="shared" si="285"/>
        <v>-84514.220000000205</v>
      </c>
      <c r="AL215" s="285">
        <f t="shared" si="302"/>
        <v>288740.05000000022</v>
      </c>
      <c r="AM215" s="426">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1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6">
        <f t="shared" si="263"/>
        <v>13</v>
      </c>
      <c r="M216" s="426">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12">
        <f t="shared" si="329"/>
        <v>50439</v>
      </c>
      <c r="Y216" s="285">
        <f t="shared" si="296"/>
        <v>288740.05000000022</v>
      </c>
      <c r="Z216" s="50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22">
        <f t="shared" si="284"/>
        <v>2697.5399999999818</v>
      </c>
      <c r="AJ216" s="522">
        <f t="shared" si="242"/>
        <v>-87666.080000000191</v>
      </c>
      <c r="AK216" s="522">
        <f t="shared" si="285"/>
        <v>-84968.540000000212</v>
      </c>
      <c r="AL216" s="285">
        <f t="shared" si="302"/>
        <v>288613.86000000022</v>
      </c>
      <c r="AM216" s="426">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1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6">
        <f t="shared" si="263"/>
        <v>13</v>
      </c>
      <c r="M217" s="426">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12">
        <f t="shared" si="329"/>
        <v>50469</v>
      </c>
      <c r="Y217" s="285">
        <f t="shared" si="296"/>
        <v>288613.86000000022</v>
      </c>
      <c r="Z217" s="50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22">
        <f t="shared" si="284"/>
        <v>2678.0699999999815</v>
      </c>
      <c r="AJ217" s="522">
        <f t="shared" si="242"/>
        <v>-88103.210000000166</v>
      </c>
      <c r="AK217" s="522">
        <f t="shared" si="285"/>
        <v>-85425.140000000189</v>
      </c>
      <c r="AL217" s="285">
        <f t="shared" si="302"/>
        <v>288487.02000000019</v>
      </c>
      <c r="AM217" s="426">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15">
        <f t="shared" si="289"/>
        <v>50499</v>
      </c>
      <c r="B218" s="346">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6">
        <f t="shared" si="290"/>
        <v>42004.259999999973</v>
      </c>
      <c r="J218" s="346">
        <f t="shared" si="291"/>
        <v>50156.699999999968</v>
      </c>
      <c r="K218" s="346">
        <f t="shared" si="292"/>
        <v>55527.579999999973</v>
      </c>
      <c r="L218" s="427">
        <f t="shared" si="263"/>
        <v>13</v>
      </c>
      <c r="M218" s="427">
        <f t="shared" si="327"/>
        <v>159</v>
      </c>
      <c r="N218" s="346">
        <f t="shared" si="328"/>
        <v>200383.81000000003</v>
      </c>
      <c r="O218" s="346">
        <f t="shared" si="293"/>
        <v>1610.57</v>
      </c>
      <c r="P218" s="346">
        <f t="shared" si="336"/>
        <v>566.89999999999986</v>
      </c>
      <c r="Q218" s="346">
        <f t="shared" si="294"/>
        <v>1043.67</v>
      </c>
      <c r="R218" s="346">
        <f t="shared" si="281"/>
        <v>134.16999999999999</v>
      </c>
      <c r="S218" s="346">
        <f t="shared" si="282"/>
        <v>188.55</v>
      </c>
      <c r="T218" s="346">
        <f t="shared" si="279"/>
        <v>1933.29</v>
      </c>
      <c r="U218" s="346">
        <f t="shared" si="337"/>
        <v>61759.089999999982</v>
      </c>
      <c r="V218" s="346">
        <f t="shared" si="338"/>
        <v>195932.10999999993</v>
      </c>
      <c r="W218" s="346">
        <f t="shared" si="295"/>
        <v>199816.91000000003</v>
      </c>
      <c r="X218" s="515">
        <f t="shared" si="329"/>
        <v>50499</v>
      </c>
      <c r="Y218" s="346">
        <f t="shared" si="296"/>
        <v>288487.02000000019</v>
      </c>
      <c r="Z218" s="505">
        <f t="shared" si="321"/>
        <v>6.25E-2</v>
      </c>
      <c r="AA218" s="346">
        <f t="shared" si="322"/>
        <v>1630.04</v>
      </c>
      <c r="AB218" s="346">
        <f t="shared" si="297"/>
        <v>127.5</v>
      </c>
      <c r="AC218" s="346">
        <f t="shared" si="323"/>
        <v>1502.54</v>
      </c>
      <c r="AD218" s="346">
        <f t="shared" ref="AD218:AE218" si="348">+AD217</f>
        <v>134.16999999999999</v>
      </c>
      <c r="AE218" s="346">
        <f t="shared" si="348"/>
        <v>188.55</v>
      </c>
      <c r="AF218" s="346">
        <f t="shared" si="299"/>
        <v>1952.76</v>
      </c>
      <c r="AG218" s="346">
        <f t="shared" si="300"/>
        <v>42833.879999999968</v>
      </c>
      <c r="AH218" s="346">
        <f t="shared" si="301"/>
        <v>212198.72</v>
      </c>
      <c r="AI218" s="523">
        <f t="shared" si="284"/>
        <v>2658.5999999999813</v>
      </c>
      <c r="AJ218" s="523">
        <f t="shared" si="242"/>
        <v>-88542.610000000161</v>
      </c>
      <c r="AK218" s="522">
        <f t="shared" si="285"/>
        <v>-85884.010000000184</v>
      </c>
      <c r="AL218" s="346">
        <f t="shared" si="302"/>
        <v>288359.52000000019</v>
      </c>
      <c r="AM218" s="427">
        <f t="shared" si="331"/>
        <v>13</v>
      </c>
      <c r="AN218" s="21">
        <f t="shared" si="286"/>
        <v>1160.29</v>
      </c>
      <c r="AO218" s="21">
        <f t="shared" si="261"/>
        <v>214210.57</v>
      </c>
      <c r="AP218" s="21">
        <f t="shared" si="287"/>
        <v>1179.76</v>
      </c>
      <c r="AQ218" s="21"/>
      <c r="AR218" s="23"/>
      <c r="AS218" s="21">
        <f t="shared" si="325"/>
        <v>1160.29</v>
      </c>
      <c r="AT218" s="21">
        <f t="shared" si="332"/>
        <v>185165.84000000005</v>
      </c>
      <c r="AU218" s="346">
        <f t="shared" si="333"/>
        <v>1085.5936773991368</v>
      </c>
      <c r="AV218" s="346">
        <f t="shared" si="334"/>
        <v>173747.0646370539</v>
      </c>
    </row>
    <row r="219" spans="1:48" x14ac:dyDescent="0.25">
      <c r="A219" s="51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6">
        <f t="shared" si="263"/>
        <v>13</v>
      </c>
      <c r="M219" s="426">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12">
        <f t="shared" si="329"/>
        <v>50529</v>
      </c>
      <c r="Y219" s="285">
        <f t="shared" si="296"/>
        <v>288359.52000000019</v>
      </c>
      <c r="Z219" s="50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22">
        <f t="shared" si="284"/>
        <v>2639.129999999981</v>
      </c>
      <c r="AJ219" s="522">
        <f t="shared" ref="AJ219:AJ282" si="350">+W219-AL219</f>
        <v>-88984.300000000163</v>
      </c>
      <c r="AK219" s="522">
        <f t="shared" si="285"/>
        <v>-86345.170000000187</v>
      </c>
      <c r="AL219" s="285">
        <f t="shared" si="302"/>
        <v>288231.35000000021</v>
      </c>
      <c r="AM219" s="426">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1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6">
        <f t="shared" si="263"/>
        <v>13</v>
      </c>
      <c r="M220" s="426">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12">
        <f t="shared" si="329"/>
        <v>50559</v>
      </c>
      <c r="Y220" s="285">
        <f t="shared" si="296"/>
        <v>288231.35000000021</v>
      </c>
      <c r="Z220" s="50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22">
        <f t="shared" si="284"/>
        <v>2619.6599999999808</v>
      </c>
      <c r="AJ220" s="522">
        <f t="shared" si="350"/>
        <v>-89428.280000000144</v>
      </c>
      <c r="AK220" s="522">
        <f t="shared" si="285"/>
        <v>-86808.62000000017</v>
      </c>
      <c r="AL220" s="285">
        <f t="shared" si="302"/>
        <v>288102.51000000018</v>
      </c>
      <c r="AM220" s="426">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1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6">
        <f t="shared" si="263"/>
        <v>13</v>
      </c>
      <c r="M221" s="426">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12">
        <f t="shared" si="329"/>
        <v>50589</v>
      </c>
      <c r="Y221" s="285">
        <f t="shared" si="296"/>
        <v>288102.51000000018</v>
      </c>
      <c r="Z221" s="50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22">
        <f t="shared" si="284"/>
        <v>2600.1899999999805</v>
      </c>
      <c r="AJ221" s="522">
        <f t="shared" si="350"/>
        <v>-89874.580000000133</v>
      </c>
      <c r="AK221" s="522">
        <f t="shared" si="285"/>
        <v>-87274.390000000159</v>
      </c>
      <c r="AL221" s="285">
        <f t="shared" si="302"/>
        <v>287973.00000000017</v>
      </c>
      <c r="AM221" s="426">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1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6">
        <f t="shared" si="263"/>
        <v>13</v>
      </c>
      <c r="M222" s="426">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12">
        <f t="shared" si="329"/>
        <v>50619</v>
      </c>
      <c r="Y222" s="285">
        <f t="shared" si="296"/>
        <v>287973.00000000017</v>
      </c>
      <c r="Z222" s="50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22">
        <f t="shared" si="284"/>
        <v>2580.7199999999802</v>
      </c>
      <c r="AJ222" s="522">
        <f t="shared" si="350"/>
        <v>-90323.210000000137</v>
      </c>
      <c r="AK222" s="522">
        <f t="shared" si="285"/>
        <v>-87742.490000000151</v>
      </c>
      <c r="AL222" s="285">
        <f t="shared" si="302"/>
        <v>287842.82000000018</v>
      </c>
      <c r="AM222" s="426">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1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6">
        <f t="shared" si="263"/>
        <v>13</v>
      </c>
      <c r="M223" s="426">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12">
        <f t="shared" si="329"/>
        <v>50649</v>
      </c>
      <c r="Y223" s="285">
        <f t="shared" si="296"/>
        <v>287842.82000000018</v>
      </c>
      <c r="Z223" s="50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22">
        <f t="shared" si="284"/>
        <v>2561.24999999998</v>
      </c>
      <c r="AJ223" s="522">
        <f t="shared" si="350"/>
        <v>-90774.170000000158</v>
      </c>
      <c r="AK223" s="522">
        <f t="shared" si="285"/>
        <v>-88212.920000000173</v>
      </c>
      <c r="AL223" s="285">
        <f t="shared" si="302"/>
        <v>287711.9600000002</v>
      </c>
      <c r="AM223" s="426">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1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6">
        <f t="shared" si="263"/>
        <v>13</v>
      </c>
      <c r="M224" s="426">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12">
        <f t="shared" si="329"/>
        <v>50679</v>
      </c>
      <c r="Y224" s="285">
        <f t="shared" si="296"/>
        <v>287711.9600000002</v>
      </c>
      <c r="Z224" s="50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22">
        <f t="shared" si="284"/>
        <v>2541.7799999999797</v>
      </c>
      <c r="AJ224" s="522">
        <f t="shared" si="350"/>
        <v>-91227.480000000185</v>
      </c>
      <c r="AK224" s="522">
        <f t="shared" si="285"/>
        <v>-88685.700000000201</v>
      </c>
      <c r="AL224" s="285">
        <f t="shared" si="302"/>
        <v>287580.42000000022</v>
      </c>
      <c r="AM224" s="426">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1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6">
        <f t="shared" si="263"/>
        <v>13</v>
      </c>
      <c r="M225" s="426">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12">
        <f t="shared" si="329"/>
        <v>50709</v>
      </c>
      <c r="Y225" s="285">
        <f t="shared" si="296"/>
        <v>287580.42000000022</v>
      </c>
      <c r="Z225" s="50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22">
        <f t="shared" si="284"/>
        <v>2522.3099999999795</v>
      </c>
      <c r="AJ225" s="522">
        <f t="shared" si="350"/>
        <v>-91683.150000000198</v>
      </c>
      <c r="AK225" s="522">
        <f t="shared" si="285"/>
        <v>-89160.840000000215</v>
      </c>
      <c r="AL225" s="285">
        <f t="shared" si="302"/>
        <v>287448.19000000024</v>
      </c>
      <c r="AM225" s="426">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1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6">
        <f t="shared" si="263"/>
        <v>13</v>
      </c>
      <c r="M226" s="426">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12">
        <f t="shared" si="329"/>
        <v>50739</v>
      </c>
      <c r="Y226" s="285">
        <f t="shared" si="296"/>
        <v>287448.19000000024</v>
      </c>
      <c r="Z226" s="50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22">
        <f t="shared" si="284"/>
        <v>2502.8399999999792</v>
      </c>
      <c r="AJ226" s="522">
        <f t="shared" si="350"/>
        <v>-92141.200000000215</v>
      </c>
      <c r="AK226" s="522">
        <f t="shared" si="285"/>
        <v>-89638.360000000233</v>
      </c>
      <c r="AL226" s="285">
        <f t="shared" si="302"/>
        <v>287315.28000000026</v>
      </c>
      <c r="AM226" s="426">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1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6">
        <f t="shared" si="263"/>
        <v>14</v>
      </c>
      <c r="M227" s="426">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12">
        <f t="shared" si="329"/>
        <v>50769</v>
      </c>
      <c r="Y227" s="285">
        <f t="shared" si="296"/>
        <v>287315.28000000026</v>
      </c>
      <c r="Z227" s="50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22">
        <f t="shared" si="284"/>
        <v>2483.369999999979</v>
      </c>
      <c r="AJ227" s="522">
        <f t="shared" si="350"/>
        <v>-92601.630000000237</v>
      </c>
      <c r="AK227" s="522">
        <f t="shared" si="285"/>
        <v>-90118.260000000257</v>
      </c>
      <c r="AL227" s="285">
        <f t="shared" si="302"/>
        <v>287181.67000000027</v>
      </c>
      <c r="AM227" s="426">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1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6">
        <f t="shared" si="263"/>
        <v>14</v>
      </c>
      <c r="M228" s="426">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12">
        <f t="shared" si="329"/>
        <v>50799</v>
      </c>
      <c r="Y228" s="285">
        <f t="shared" si="296"/>
        <v>287181.67000000027</v>
      </c>
      <c r="Z228" s="50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22">
        <f t="shared" si="284"/>
        <v>2463.8999999999787</v>
      </c>
      <c r="AJ228" s="522">
        <f t="shared" si="350"/>
        <v>-93064.460000000254</v>
      </c>
      <c r="AK228" s="522">
        <f t="shared" si="285"/>
        <v>-90600.560000000274</v>
      </c>
      <c r="AL228" s="285">
        <f t="shared" si="302"/>
        <v>287047.37000000029</v>
      </c>
      <c r="AM228" s="426">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1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6">
        <f t="shared" si="263"/>
        <v>14</v>
      </c>
      <c r="M229" s="426">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12">
        <f t="shared" si="329"/>
        <v>50829</v>
      </c>
      <c r="Y229" s="285">
        <f t="shared" si="296"/>
        <v>287047.37000000029</v>
      </c>
      <c r="Z229" s="50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22">
        <f t="shared" si="284"/>
        <v>2444.4299999999785</v>
      </c>
      <c r="AJ229" s="522">
        <f t="shared" si="350"/>
        <v>-93529.700000000244</v>
      </c>
      <c r="AK229" s="522">
        <f t="shared" si="285"/>
        <v>-91085.270000000266</v>
      </c>
      <c r="AL229" s="285">
        <f t="shared" si="302"/>
        <v>286912.37000000029</v>
      </c>
      <c r="AM229" s="426">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15">
        <f t="shared" si="289"/>
        <v>50859</v>
      </c>
      <c r="B230" s="346">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6">
        <f t="shared" si="290"/>
        <v>45383.029999999977</v>
      </c>
      <c r="J230" s="346">
        <f t="shared" si="291"/>
        <v>52181.289999999972</v>
      </c>
      <c r="K230" s="346">
        <f t="shared" si="292"/>
        <v>52148.809999999969</v>
      </c>
      <c r="L230" s="427">
        <f t="shared" si="263"/>
        <v>14</v>
      </c>
      <c r="M230" s="427">
        <f t="shared" si="327"/>
        <v>171</v>
      </c>
      <c r="N230" s="346">
        <f t="shared" si="328"/>
        <v>193382.67000000004</v>
      </c>
      <c r="O230" s="346">
        <f t="shared" si="293"/>
        <v>1610.57</v>
      </c>
      <c r="P230" s="346">
        <f t="shared" si="336"/>
        <v>603.36999999999989</v>
      </c>
      <c r="Q230" s="346">
        <f t="shared" si="294"/>
        <v>1007.2</v>
      </c>
      <c r="R230" s="346">
        <f t="shared" si="281"/>
        <v>134.16999999999999</v>
      </c>
      <c r="S230" s="346">
        <f t="shared" si="282"/>
        <v>188.55</v>
      </c>
      <c r="T230" s="346">
        <f t="shared" si="279"/>
        <v>1933.29</v>
      </c>
      <c r="U230" s="346">
        <f t="shared" si="337"/>
        <v>68796.699999999983</v>
      </c>
      <c r="V230" s="346">
        <f t="shared" si="338"/>
        <v>208221.33999999994</v>
      </c>
      <c r="W230" s="346">
        <f t="shared" si="295"/>
        <v>192779.30000000005</v>
      </c>
      <c r="X230" s="515">
        <f t="shared" si="329"/>
        <v>50859</v>
      </c>
      <c r="Y230" s="346">
        <f t="shared" si="296"/>
        <v>286912.37000000029</v>
      </c>
      <c r="Z230" s="505">
        <f t="shared" si="321"/>
        <v>6.25E-2</v>
      </c>
      <c r="AA230" s="346">
        <f t="shared" si="322"/>
        <v>1630.04</v>
      </c>
      <c r="AB230" s="346">
        <f t="shared" si="297"/>
        <v>135.70000000000005</v>
      </c>
      <c r="AC230" s="346">
        <f t="shared" si="323"/>
        <v>1494.34</v>
      </c>
      <c r="AD230" s="346">
        <f t="shared" ref="AD230:AE230" si="361">+AD229</f>
        <v>134.16999999999999</v>
      </c>
      <c r="AE230" s="346">
        <f t="shared" si="361"/>
        <v>188.55</v>
      </c>
      <c r="AF230" s="346">
        <f t="shared" si="299"/>
        <v>1952.76</v>
      </c>
      <c r="AG230" s="346">
        <f t="shared" si="300"/>
        <v>44416.729999999967</v>
      </c>
      <c r="AH230" s="346">
        <f t="shared" si="301"/>
        <v>230176.34999999998</v>
      </c>
      <c r="AI230" s="523">
        <f t="shared" si="284"/>
        <v>2424.9599999999782</v>
      </c>
      <c r="AJ230" s="523">
        <f t="shared" si="350"/>
        <v>-93997.370000000228</v>
      </c>
      <c r="AK230" s="522">
        <f t="shared" si="285"/>
        <v>-91572.410000000251</v>
      </c>
      <c r="AL230" s="346">
        <f t="shared" si="302"/>
        <v>286776.67000000027</v>
      </c>
      <c r="AM230" s="427">
        <f t="shared" si="331"/>
        <v>14</v>
      </c>
      <c r="AN230" s="21">
        <f t="shared" si="286"/>
        <v>1160.29</v>
      </c>
      <c r="AO230" s="21">
        <f t="shared" si="261"/>
        <v>210551.73</v>
      </c>
      <c r="AP230" s="21">
        <f t="shared" si="287"/>
        <v>1179.76</v>
      </c>
      <c r="AQ230" s="21"/>
      <c r="AR230" s="23"/>
      <c r="AS230" s="21">
        <f t="shared" si="325"/>
        <v>1160.29</v>
      </c>
      <c r="AT230" s="21">
        <f t="shared" si="332"/>
        <v>199089.32000000015</v>
      </c>
      <c r="AU230" s="346">
        <f t="shared" si="333"/>
        <v>1118.6130479164851</v>
      </c>
      <c r="AV230" s="346">
        <f t="shared" si="334"/>
        <v>186987.8322145105</v>
      </c>
    </row>
    <row r="231" spans="1:48" x14ac:dyDescent="0.25">
      <c r="A231" s="51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6">
        <f t="shared" si="263"/>
        <v>14</v>
      </c>
      <c r="M231" s="426">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12">
        <f t="shared" si="329"/>
        <v>50889</v>
      </c>
      <c r="Y231" s="285">
        <f t="shared" si="296"/>
        <v>286776.67000000027</v>
      </c>
      <c r="Z231" s="50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22">
        <f t="shared" si="284"/>
        <v>2405.489999999978</v>
      </c>
      <c r="AJ231" s="522">
        <f t="shared" si="350"/>
        <v>-94467.470000000263</v>
      </c>
      <c r="AK231" s="522">
        <f t="shared" si="285"/>
        <v>-92061.980000000287</v>
      </c>
      <c r="AL231" s="285">
        <f t="shared" si="302"/>
        <v>286640.2600000003</v>
      </c>
      <c r="AM231" s="426">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1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6">
        <f t="shared" si="263"/>
        <v>14</v>
      </c>
      <c r="M232" s="426">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12">
        <f t="shared" si="329"/>
        <v>50919</v>
      </c>
      <c r="Y232" s="285">
        <f t="shared" si="296"/>
        <v>286640.2600000003</v>
      </c>
      <c r="Z232" s="50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22">
        <f t="shared" si="284"/>
        <v>2386.0199999999777</v>
      </c>
      <c r="AJ232" s="522">
        <f t="shared" si="350"/>
        <v>-94940.020000000281</v>
      </c>
      <c r="AK232" s="522">
        <f t="shared" si="285"/>
        <v>-92554.000000000306</v>
      </c>
      <c r="AL232" s="285">
        <f t="shared" si="302"/>
        <v>286503.14000000031</v>
      </c>
      <c r="AM232" s="426">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1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6">
        <f t="shared" si="263"/>
        <v>14</v>
      </c>
      <c r="M233" s="426">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12">
        <f t="shared" si="329"/>
        <v>50949</v>
      </c>
      <c r="Y233" s="285">
        <f t="shared" si="296"/>
        <v>286503.14000000031</v>
      </c>
      <c r="Z233" s="50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22">
        <f t="shared" si="284"/>
        <v>2366.5499999999774</v>
      </c>
      <c r="AJ233" s="522">
        <f t="shared" si="350"/>
        <v>-95415.030000000261</v>
      </c>
      <c r="AK233" s="522">
        <f t="shared" si="285"/>
        <v>-93048.480000000287</v>
      </c>
      <c r="AL233" s="285">
        <f t="shared" si="302"/>
        <v>286365.30000000028</v>
      </c>
      <c r="AM233" s="426">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1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6">
        <f t="shared" si="263"/>
        <v>14</v>
      </c>
      <c r="M234" s="426">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12">
        <f t="shared" si="329"/>
        <v>50979</v>
      </c>
      <c r="Y234" s="285">
        <f t="shared" si="296"/>
        <v>286365.30000000028</v>
      </c>
      <c r="Z234" s="50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22">
        <f t="shared" si="284"/>
        <v>2347.0799999999772</v>
      </c>
      <c r="AJ234" s="522">
        <f t="shared" si="350"/>
        <v>-95892.520000000281</v>
      </c>
      <c r="AK234" s="522">
        <f t="shared" si="285"/>
        <v>-93545.440000000308</v>
      </c>
      <c r="AL234" s="285">
        <f t="shared" si="302"/>
        <v>286226.75000000029</v>
      </c>
      <c r="AM234" s="426">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1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6">
        <f t="shared" si="263"/>
        <v>14</v>
      </c>
      <c r="M235" s="426">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12">
        <f t="shared" si="329"/>
        <v>51009</v>
      </c>
      <c r="Y235" s="285">
        <f t="shared" si="296"/>
        <v>286226.75000000029</v>
      </c>
      <c r="Z235" s="50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22">
        <f t="shared" si="284"/>
        <v>2327.6099999999769</v>
      </c>
      <c r="AJ235" s="522">
        <f t="shared" si="350"/>
        <v>-96372.490000000253</v>
      </c>
      <c r="AK235" s="522">
        <f t="shared" si="285"/>
        <v>-94044.880000000281</v>
      </c>
      <c r="AL235" s="285">
        <f t="shared" si="302"/>
        <v>286087.47000000026</v>
      </c>
      <c r="AM235" s="426">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1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6">
        <f t="shared" si="263"/>
        <v>14</v>
      </c>
      <c r="M236" s="426">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12">
        <f t="shared" si="329"/>
        <v>51039</v>
      </c>
      <c r="Y236" s="285">
        <f t="shared" si="296"/>
        <v>286087.47000000026</v>
      </c>
      <c r="Z236" s="50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22">
        <f t="shared" si="284"/>
        <v>2308.1399999999767</v>
      </c>
      <c r="AJ236" s="522">
        <f t="shared" si="350"/>
        <v>-96854.960000000254</v>
      </c>
      <c r="AK236" s="522">
        <f t="shared" si="285"/>
        <v>-94546.820000000283</v>
      </c>
      <c r="AL236" s="285">
        <f t="shared" si="302"/>
        <v>285947.47000000026</v>
      </c>
      <c r="AM236" s="426">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1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6">
        <f t="shared" si="263"/>
        <v>14</v>
      </c>
      <c r="M237" s="426">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12">
        <f t="shared" si="329"/>
        <v>51069</v>
      </c>
      <c r="Y237" s="285">
        <f t="shared" si="296"/>
        <v>285947.47000000026</v>
      </c>
      <c r="Z237" s="50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22">
        <f t="shared" si="284"/>
        <v>2288.6699999999764</v>
      </c>
      <c r="AJ237" s="522">
        <f t="shared" si="350"/>
        <v>-97339.940000000264</v>
      </c>
      <c r="AK237" s="522">
        <f t="shared" si="285"/>
        <v>-95051.270000000281</v>
      </c>
      <c r="AL237" s="285">
        <f t="shared" si="302"/>
        <v>285806.74000000028</v>
      </c>
      <c r="AM237" s="426">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1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6">
        <f t="shared" si="263"/>
        <v>14</v>
      </c>
      <c r="M238" s="426">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12">
        <f t="shared" si="329"/>
        <v>51099</v>
      </c>
      <c r="Y238" s="285">
        <f t="shared" si="296"/>
        <v>285806.74000000028</v>
      </c>
      <c r="Z238" s="50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22">
        <f t="shared" si="284"/>
        <v>2269.1999999999762</v>
      </c>
      <c r="AJ238" s="522">
        <f t="shared" si="350"/>
        <v>-97827.450000000244</v>
      </c>
      <c r="AK238" s="522">
        <f t="shared" si="285"/>
        <v>-95558.250000000262</v>
      </c>
      <c r="AL238" s="285">
        <f t="shared" si="302"/>
        <v>285665.28000000026</v>
      </c>
      <c r="AM238" s="426">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1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6">
        <f t="shared" ref="L239:L302" si="371">IF(MOD(M239,12)=0,M239/12,L238)</f>
        <v>15</v>
      </c>
      <c r="M239" s="426">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12">
        <f t="shared" si="329"/>
        <v>51129</v>
      </c>
      <c r="Y239" s="285">
        <f t="shared" si="296"/>
        <v>285665.28000000026</v>
      </c>
      <c r="Z239" s="50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22">
        <f t="shared" si="284"/>
        <v>2249.7299999999759</v>
      </c>
      <c r="AJ239" s="522">
        <f t="shared" si="350"/>
        <v>-98317.500000000233</v>
      </c>
      <c r="AK239" s="522">
        <f t="shared" si="285"/>
        <v>-96067.770000000251</v>
      </c>
      <c r="AL239" s="285">
        <f t="shared" si="302"/>
        <v>285523.08000000025</v>
      </c>
      <c r="AM239" s="426">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1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6">
        <f t="shared" si="371"/>
        <v>15</v>
      </c>
      <c r="M240" s="426">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12">
        <f t="shared" si="329"/>
        <v>51159</v>
      </c>
      <c r="Y240" s="285">
        <f t="shared" si="296"/>
        <v>285523.08000000025</v>
      </c>
      <c r="Z240" s="50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22">
        <f t="shared" si="284"/>
        <v>2230.2599999999757</v>
      </c>
      <c r="AJ240" s="522">
        <f t="shared" si="350"/>
        <v>-98810.100000000239</v>
      </c>
      <c r="AK240" s="522">
        <f t="shared" si="285"/>
        <v>-96579.840000000258</v>
      </c>
      <c r="AL240" s="285">
        <f t="shared" si="302"/>
        <v>285380.14000000025</v>
      </c>
      <c r="AM240" s="426">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1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6">
        <f t="shared" si="371"/>
        <v>15</v>
      </c>
      <c r="M241" s="426">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12">
        <f t="shared" si="329"/>
        <v>51189</v>
      </c>
      <c r="Y241" s="285">
        <f t="shared" si="296"/>
        <v>285380.14000000025</v>
      </c>
      <c r="Z241" s="50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22">
        <f t="shared" si="284"/>
        <v>2210.7899999999754</v>
      </c>
      <c r="AJ241" s="522">
        <f t="shared" si="350"/>
        <v>-99305.260000000242</v>
      </c>
      <c r="AK241" s="522">
        <f t="shared" si="285"/>
        <v>-97094.470000000263</v>
      </c>
      <c r="AL241" s="285">
        <f t="shared" si="302"/>
        <v>285236.45000000024</v>
      </c>
      <c r="AM241" s="426">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15">
        <f t="shared" si="289"/>
        <v>51219</v>
      </c>
      <c r="B242" s="346">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6">
        <f t="shared" si="290"/>
        <v>48890.679999999971</v>
      </c>
      <c r="J242" s="346">
        <f t="shared" si="291"/>
        <v>54076.999999999971</v>
      </c>
      <c r="K242" s="346">
        <f t="shared" si="292"/>
        <v>48641.159999999974</v>
      </c>
      <c r="L242" s="427">
        <f t="shared" si="371"/>
        <v>15</v>
      </c>
      <c r="M242" s="427">
        <f t="shared" si="327"/>
        <v>183</v>
      </c>
      <c r="N242" s="346">
        <f t="shared" si="328"/>
        <v>185931.19</v>
      </c>
      <c r="O242" s="346">
        <f t="shared" si="293"/>
        <v>1610.57</v>
      </c>
      <c r="P242" s="346">
        <f t="shared" si="336"/>
        <v>642.17999999999995</v>
      </c>
      <c r="Q242" s="346">
        <f t="shared" si="294"/>
        <v>968.39</v>
      </c>
      <c r="R242" s="346">
        <f t="shared" si="281"/>
        <v>134.16999999999999</v>
      </c>
      <c r="S242" s="346">
        <f t="shared" si="282"/>
        <v>188.55</v>
      </c>
      <c r="T242" s="346">
        <f t="shared" si="279"/>
        <v>1933.29</v>
      </c>
      <c r="U242" s="346">
        <f t="shared" si="337"/>
        <v>76286.989999999976</v>
      </c>
      <c r="V242" s="346">
        <f t="shared" si="338"/>
        <v>220057.88999999996</v>
      </c>
      <c r="W242" s="346">
        <f t="shared" si="295"/>
        <v>185289.01</v>
      </c>
      <c r="X242" s="515">
        <f t="shared" si="329"/>
        <v>51219</v>
      </c>
      <c r="Y242" s="346">
        <f t="shared" si="296"/>
        <v>285236.45000000024</v>
      </c>
      <c r="Z242" s="505">
        <f t="shared" si="321"/>
        <v>6.25E-2</v>
      </c>
      <c r="AA242" s="346">
        <f t="shared" si="322"/>
        <v>1630.04</v>
      </c>
      <c r="AB242" s="346">
        <f t="shared" si="297"/>
        <v>144.43000000000006</v>
      </c>
      <c r="AC242" s="346">
        <f t="shared" si="323"/>
        <v>1485.61</v>
      </c>
      <c r="AD242" s="346">
        <f t="shared" ref="AD242:AE242" si="375">+AD241</f>
        <v>134.16999999999999</v>
      </c>
      <c r="AE242" s="346">
        <f t="shared" si="375"/>
        <v>188.55</v>
      </c>
      <c r="AF242" s="346">
        <f t="shared" si="299"/>
        <v>1952.76</v>
      </c>
      <c r="AG242" s="346">
        <f t="shared" si="300"/>
        <v>46101.379999999976</v>
      </c>
      <c r="AH242" s="346">
        <f t="shared" si="301"/>
        <v>248052.18</v>
      </c>
      <c r="AI242" s="523">
        <f t="shared" si="284"/>
        <v>2191.3199999999752</v>
      </c>
      <c r="AJ242" s="523">
        <f t="shared" si="350"/>
        <v>-99803.010000000242</v>
      </c>
      <c r="AK242" s="522">
        <f t="shared" si="285"/>
        <v>-97611.690000000264</v>
      </c>
      <c r="AL242" s="346">
        <f t="shared" si="302"/>
        <v>285092.02000000025</v>
      </c>
      <c r="AM242" s="427">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6">
        <f t="shared" si="333"/>
        <v>1152.6367341847999</v>
      </c>
      <c r="AV242" s="346">
        <f t="shared" si="334"/>
        <v>200631.33040810484</v>
      </c>
    </row>
    <row r="243" spans="1:48" x14ac:dyDescent="0.25">
      <c r="A243" s="51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6">
        <f t="shared" si="371"/>
        <v>15</v>
      </c>
      <c r="M243" s="426">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12">
        <f t="shared" si="329"/>
        <v>51249</v>
      </c>
      <c r="Y243" s="285">
        <f t="shared" si="296"/>
        <v>285092.02000000025</v>
      </c>
      <c r="Z243" s="50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22">
        <f t="shared" si="284"/>
        <v>2171.8499999999749</v>
      </c>
      <c r="AJ243" s="522">
        <f t="shared" si="350"/>
        <v>-100303.34000000023</v>
      </c>
      <c r="AK243" s="522">
        <f t="shared" si="285"/>
        <v>-98131.490000000253</v>
      </c>
      <c r="AL243" s="285">
        <f t="shared" si="302"/>
        <v>284946.83000000025</v>
      </c>
      <c r="AM243" s="426">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1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6">
        <f t="shared" si="371"/>
        <v>15</v>
      </c>
      <c r="M244" s="426">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12">
        <f t="shared" si="329"/>
        <v>51279</v>
      </c>
      <c r="Y244" s="285">
        <f t="shared" si="296"/>
        <v>284946.83000000025</v>
      </c>
      <c r="Z244" s="50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22">
        <f t="shared" si="284"/>
        <v>2152.3799999999746</v>
      </c>
      <c r="AJ244" s="522">
        <f t="shared" si="350"/>
        <v>-100806.29000000024</v>
      </c>
      <c r="AK244" s="522">
        <f t="shared" si="285"/>
        <v>-98653.910000000265</v>
      </c>
      <c r="AL244" s="285">
        <f t="shared" si="302"/>
        <v>284800.89000000025</v>
      </c>
      <c r="AM244" s="426">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1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6">
        <f t="shared" si="371"/>
        <v>15</v>
      </c>
      <c r="M245" s="426">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12">
        <f t="shared" si="329"/>
        <v>51309</v>
      </c>
      <c r="Y245" s="285">
        <f t="shared" si="296"/>
        <v>284800.89000000025</v>
      </c>
      <c r="Z245" s="50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22">
        <f t="shared" si="284"/>
        <v>2132.9099999999744</v>
      </c>
      <c r="AJ245" s="522">
        <f t="shared" si="350"/>
        <v>-101311.85000000024</v>
      </c>
      <c r="AK245" s="522">
        <f t="shared" si="285"/>
        <v>-99178.940000000264</v>
      </c>
      <c r="AL245" s="285">
        <f t="shared" si="302"/>
        <v>284654.19000000024</v>
      </c>
      <c r="AM245" s="426">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1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6">
        <f t="shared" si="371"/>
        <v>15</v>
      </c>
      <c r="M246" s="426">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12">
        <f t="shared" si="329"/>
        <v>51339</v>
      </c>
      <c r="Y246" s="285">
        <f t="shared" si="296"/>
        <v>284654.19000000024</v>
      </c>
      <c r="Z246" s="50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22">
        <f t="shared" si="284"/>
        <v>2113.4399999999741</v>
      </c>
      <c r="AJ246" s="522">
        <f t="shared" si="350"/>
        <v>-101820.04000000027</v>
      </c>
      <c r="AK246" s="522">
        <f t="shared" si="285"/>
        <v>-99706.600000000297</v>
      </c>
      <c r="AL246" s="285">
        <f t="shared" si="302"/>
        <v>284506.72000000026</v>
      </c>
      <c r="AM246" s="426">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1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6">
        <f t="shared" si="371"/>
        <v>15</v>
      </c>
      <c r="M247" s="426">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12">
        <f t="shared" si="329"/>
        <v>51369</v>
      </c>
      <c r="Y247" s="285">
        <f t="shared" si="296"/>
        <v>284506.72000000026</v>
      </c>
      <c r="Z247" s="50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22">
        <f t="shared" si="284"/>
        <v>2093.9699999999739</v>
      </c>
      <c r="AJ247" s="522">
        <f t="shared" si="350"/>
        <v>-102330.89000000028</v>
      </c>
      <c r="AK247" s="522">
        <f t="shared" si="285"/>
        <v>-100236.9200000003</v>
      </c>
      <c r="AL247" s="285">
        <f t="shared" si="302"/>
        <v>284358.49000000028</v>
      </c>
      <c r="AM247" s="426">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1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6">
        <f t="shared" si="371"/>
        <v>15</v>
      </c>
      <c r="M248" s="426">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12">
        <f t="shared" si="329"/>
        <v>51399</v>
      </c>
      <c r="Y248" s="285">
        <f t="shared" si="296"/>
        <v>284358.49000000028</v>
      </c>
      <c r="Z248" s="50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22">
        <f t="shared" si="284"/>
        <v>2074.4999999999736</v>
      </c>
      <c r="AJ248" s="522">
        <f t="shared" si="350"/>
        <v>-102844.39000000028</v>
      </c>
      <c r="AK248" s="522">
        <f t="shared" si="285"/>
        <v>-100769.89000000031</v>
      </c>
      <c r="AL248" s="285">
        <f t="shared" si="302"/>
        <v>284209.48000000027</v>
      </c>
      <c r="AM248" s="426">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1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6">
        <f t="shared" si="371"/>
        <v>15</v>
      </c>
      <c r="M249" s="426">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12">
        <f t="shared" si="329"/>
        <v>51429</v>
      </c>
      <c r="Y249" s="285">
        <f t="shared" si="296"/>
        <v>284209.48000000027</v>
      </c>
      <c r="Z249" s="50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22">
        <f t="shared" si="284"/>
        <v>2055.0299999999734</v>
      </c>
      <c r="AJ249" s="522">
        <f t="shared" si="350"/>
        <v>-103360.57000000024</v>
      </c>
      <c r="AK249" s="522">
        <f t="shared" si="285"/>
        <v>-101305.54000000027</v>
      </c>
      <c r="AL249" s="285">
        <f t="shared" si="302"/>
        <v>284059.70000000024</v>
      </c>
      <c r="AM249" s="426">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1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6">
        <f t="shared" si="371"/>
        <v>15</v>
      </c>
      <c r="M250" s="426">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12">
        <f t="shared" si="329"/>
        <v>51459</v>
      </c>
      <c r="Y250" s="285">
        <f t="shared" si="296"/>
        <v>284059.70000000024</v>
      </c>
      <c r="Z250" s="50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22">
        <f t="shared" si="284"/>
        <v>2035.5599999999733</v>
      </c>
      <c r="AJ250" s="522">
        <f t="shared" si="350"/>
        <v>-103879.44000000024</v>
      </c>
      <c r="AK250" s="522">
        <f t="shared" si="285"/>
        <v>-101843.88000000027</v>
      </c>
      <c r="AL250" s="285">
        <f t="shared" si="302"/>
        <v>283909.14000000025</v>
      </c>
      <c r="AM250" s="426">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1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6">
        <f t="shared" si="371"/>
        <v>16</v>
      </c>
      <c r="M251" s="426">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12">
        <f t="shared" si="329"/>
        <v>51489</v>
      </c>
      <c r="Y251" s="285">
        <f t="shared" si="296"/>
        <v>283909.14000000025</v>
      </c>
      <c r="Z251" s="50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22">
        <f t="shared" si="284"/>
        <v>2016.0899999999733</v>
      </c>
      <c r="AJ251" s="522">
        <f t="shared" si="350"/>
        <v>-104401.01000000027</v>
      </c>
      <c r="AK251" s="522">
        <f t="shared" si="285"/>
        <v>-102384.9200000003</v>
      </c>
      <c r="AL251" s="285">
        <f t="shared" si="302"/>
        <v>283757.79000000027</v>
      </c>
      <c r="AM251" s="426">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1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6">
        <f t="shared" si="371"/>
        <v>16</v>
      </c>
      <c r="M252" s="426">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12">
        <f t="shared" si="329"/>
        <v>51519</v>
      </c>
      <c r="Y252" s="285">
        <f t="shared" si="296"/>
        <v>283757.79000000027</v>
      </c>
      <c r="Z252" s="50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22">
        <f t="shared" ref="AI252:AI315" si="392">O252-AA252+AI251</f>
        <v>1996.6199999999733</v>
      </c>
      <c r="AJ252" s="522">
        <f t="shared" si="350"/>
        <v>-104925.30000000028</v>
      </c>
      <c r="AK252" s="522">
        <f t="shared" ref="AK252:AK315" si="393">SUM(AI252:AJ252)</f>
        <v>-102928.68000000031</v>
      </c>
      <c r="AL252" s="285">
        <f t="shared" si="302"/>
        <v>283605.66000000027</v>
      </c>
      <c r="AM252" s="426">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1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6">
        <f t="shared" si="371"/>
        <v>16</v>
      </c>
      <c r="M253" s="426">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12">
        <f t="shared" si="329"/>
        <v>51549</v>
      </c>
      <c r="Y253" s="285">
        <f t="shared" si="296"/>
        <v>283605.66000000027</v>
      </c>
      <c r="Z253" s="50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22">
        <f t="shared" si="392"/>
        <v>1977.1499999999733</v>
      </c>
      <c r="AJ253" s="522">
        <f t="shared" si="350"/>
        <v>-105452.31000000029</v>
      </c>
      <c r="AK253" s="522">
        <f t="shared" si="393"/>
        <v>-103475.16000000031</v>
      </c>
      <c r="AL253" s="285">
        <f t="shared" si="302"/>
        <v>283452.73000000027</v>
      </c>
      <c r="AM253" s="426">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15">
        <f t="shared" ref="A254:A314" si="397">IF(K254&lt;=0," ",+A253+30)</f>
        <v>51579</v>
      </c>
      <c r="B254" s="346">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6">
        <f t="shared" ref="I254:I314" si="398">$D254+$I253</f>
        <v>52532.159999999974</v>
      </c>
      <c r="J254" s="346">
        <f t="shared" ref="J254:J314" si="399">$E254+$J253</f>
        <v>55838.879999999968</v>
      </c>
      <c r="K254" s="346">
        <f t="shared" ref="K254:K314" si="400">+B254-D254</f>
        <v>44999.679999999971</v>
      </c>
      <c r="L254" s="427">
        <f t="shared" si="371"/>
        <v>16</v>
      </c>
      <c r="M254" s="427">
        <f t="shared" si="327"/>
        <v>195</v>
      </c>
      <c r="N254" s="346">
        <f t="shared" si="328"/>
        <v>178000.41999999998</v>
      </c>
      <c r="O254" s="346">
        <f t="shared" ref="O254:O317" si="401">IF($O$9&lt;=A254,IF(+$W253&lt;=0,0,$O$8),0)</f>
        <v>1610.57</v>
      </c>
      <c r="P254" s="346">
        <f t="shared" si="336"/>
        <v>683.4799999999999</v>
      </c>
      <c r="Q254" s="346">
        <f t="shared" ref="Q254:Q317" si="402">IF($O$9&lt;=A254,ROUND(N254*($O$6/12),2),0)</f>
        <v>927.09</v>
      </c>
      <c r="R254" s="346">
        <f t="shared" si="389"/>
        <v>134.16999999999999</v>
      </c>
      <c r="S254" s="346">
        <f t="shared" si="390"/>
        <v>188.55</v>
      </c>
      <c r="T254" s="346">
        <f t="shared" si="387"/>
        <v>1933.29</v>
      </c>
      <c r="U254" s="346">
        <f t="shared" si="337"/>
        <v>84259.059999999969</v>
      </c>
      <c r="V254" s="346">
        <f t="shared" si="338"/>
        <v>231412.65999999992</v>
      </c>
      <c r="W254" s="346">
        <f t="shared" ref="W254:W314" si="403">+N254-P254</f>
        <v>177316.93999999997</v>
      </c>
      <c r="X254" s="515">
        <f t="shared" si="329"/>
        <v>51579</v>
      </c>
      <c r="Y254" s="346">
        <f t="shared" ref="Y254:Y317" si="404">IF(+AL253&lt;0,0,+AL253)</f>
        <v>283452.73000000027</v>
      </c>
      <c r="Z254" s="505">
        <f t="shared" si="321"/>
        <v>6.25E-2</v>
      </c>
      <c r="AA254" s="346">
        <f t="shared" si="322"/>
        <v>1630.04</v>
      </c>
      <c r="AB254" s="346">
        <f t="shared" ref="AB254:AB317" si="405">+AA254-AC254</f>
        <v>153.72000000000003</v>
      </c>
      <c r="AC254" s="346">
        <f t="shared" si="323"/>
        <v>1476.32</v>
      </c>
      <c r="AD254" s="346">
        <f t="shared" ref="AD254:AE254" si="406">+AD253</f>
        <v>134.16999999999999</v>
      </c>
      <c r="AE254" s="346">
        <f t="shared" si="406"/>
        <v>188.55</v>
      </c>
      <c r="AF254" s="346">
        <f t="shared" ref="AF254:AF317" si="407">SUM(AB254:AE254)</f>
        <v>1952.76</v>
      </c>
      <c r="AG254" s="346">
        <f t="shared" ref="AG254:AG317" si="408">+AB254+AG253</f>
        <v>47894.389999999978</v>
      </c>
      <c r="AH254" s="346">
        <f t="shared" ref="AH254:AH317" si="409">+AH253+AC254</f>
        <v>265819.65000000002</v>
      </c>
      <c r="AI254" s="523">
        <f t="shared" si="392"/>
        <v>1957.6799999999732</v>
      </c>
      <c r="AJ254" s="523">
        <f t="shared" si="350"/>
        <v>-105982.07000000033</v>
      </c>
      <c r="AK254" s="522">
        <f t="shared" si="393"/>
        <v>-104024.39000000035</v>
      </c>
      <c r="AL254" s="346">
        <f t="shared" ref="AL254:AL317" si="410">+Y254-AB254</f>
        <v>283299.0100000003</v>
      </c>
      <c r="AM254" s="427">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6">
        <f t="shared" si="333"/>
        <v>1187.6952834286906</v>
      </c>
      <c r="AV254" s="346">
        <f t="shared" si="334"/>
        <v>214689.80865490498</v>
      </c>
    </row>
    <row r="255" spans="1:48" x14ac:dyDescent="0.25">
      <c r="A255" s="51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6">
        <f t="shared" si="371"/>
        <v>16</v>
      </c>
      <c r="M255" s="426">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12">
        <f t="shared" si="329"/>
        <v>51609</v>
      </c>
      <c r="Y255" s="285">
        <f t="shared" si="404"/>
        <v>283299.0100000003</v>
      </c>
      <c r="Z255" s="50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22">
        <f t="shared" si="392"/>
        <v>1938.2099999999732</v>
      </c>
      <c r="AJ255" s="522">
        <f t="shared" si="350"/>
        <v>-106514.59000000032</v>
      </c>
      <c r="AK255" s="522">
        <f t="shared" si="393"/>
        <v>-104576.38000000034</v>
      </c>
      <c r="AL255" s="285">
        <f t="shared" si="410"/>
        <v>283144.49000000028</v>
      </c>
      <c r="AM255" s="426">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1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6">
        <f t="shared" si="371"/>
        <v>16</v>
      </c>
      <c r="M256" s="426">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12">
        <f t="shared" si="329"/>
        <v>51639</v>
      </c>
      <c r="Y256" s="285">
        <f t="shared" si="404"/>
        <v>283144.49000000028</v>
      </c>
      <c r="Z256" s="50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22">
        <f t="shared" si="392"/>
        <v>1918.7399999999732</v>
      </c>
      <c r="AJ256" s="522">
        <f t="shared" si="350"/>
        <v>-107049.8800000003</v>
      </c>
      <c r="AK256" s="522">
        <f t="shared" si="393"/>
        <v>-105131.14000000032</v>
      </c>
      <c r="AL256" s="285">
        <f t="shared" si="410"/>
        <v>282989.16000000027</v>
      </c>
      <c r="AM256" s="426">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1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6">
        <f t="shared" si="371"/>
        <v>16</v>
      </c>
      <c r="M257" s="426">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12">
        <f t="shared" si="329"/>
        <v>51669</v>
      </c>
      <c r="Y257" s="285">
        <f t="shared" si="404"/>
        <v>282989.16000000027</v>
      </c>
      <c r="Z257" s="50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22">
        <f t="shared" si="392"/>
        <v>1899.2699999999732</v>
      </c>
      <c r="AJ257" s="522">
        <f t="shared" si="350"/>
        <v>-107587.96000000028</v>
      </c>
      <c r="AK257" s="522">
        <f t="shared" si="393"/>
        <v>-105688.69000000031</v>
      </c>
      <c r="AL257" s="285">
        <f t="shared" si="410"/>
        <v>282833.02000000025</v>
      </c>
      <c r="AM257" s="426">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1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6">
        <f t="shared" si="371"/>
        <v>16</v>
      </c>
      <c r="M258" s="426">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12">
        <f t="shared" si="329"/>
        <v>51699</v>
      </c>
      <c r="Y258" s="285">
        <f t="shared" si="404"/>
        <v>282833.02000000025</v>
      </c>
      <c r="Z258" s="50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22">
        <f t="shared" si="392"/>
        <v>1879.7999999999731</v>
      </c>
      <c r="AJ258" s="522">
        <f t="shared" si="350"/>
        <v>-108128.85000000027</v>
      </c>
      <c r="AK258" s="522">
        <f t="shared" si="393"/>
        <v>-106249.05000000029</v>
      </c>
      <c r="AL258" s="285">
        <f t="shared" si="410"/>
        <v>282676.07000000024</v>
      </c>
      <c r="AM258" s="426">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1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6">
        <f t="shared" si="371"/>
        <v>16</v>
      </c>
      <c r="M259" s="426">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12">
        <f t="shared" si="329"/>
        <v>51729</v>
      </c>
      <c r="Y259" s="285">
        <f t="shared" si="404"/>
        <v>282676.07000000024</v>
      </c>
      <c r="Z259" s="50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22">
        <f t="shared" si="392"/>
        <v>1860.3299999999731</v>
      </c>
      <c r="AJ259" s="522">
        <f t="shared" si="350"/>
        <v>-108672.55000000025</v>
      </c>
      <c r="AK259" s="522">
        <f t="shared" si="393"/>
        <v>-106812.22000000028</v>
      </c>
      <c r="AL259" s="285">
        <f t="shared" si="410"/>
        <v>282518.30000000022</v>
      </c>
      <c r="AM259" s="426">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1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6">
        <f t="shared" si="371"/>
        <v>16</v>
      </c>
      <c r="M260" s="426">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12">
        <f t="shared" si="329"/>
        <v>51759</v>
      </c>
      <c r="Y260" s="285">
        <f t="shared" si="404"/>
        <v>282518.30000000022</v>
      </c>
      <c r="Z260" s="50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22">
        <f t="shared" si="392"/>
        <v>1840.8599999999731</v>
      </c>
      <c r="AJ260" s="522">
        <f t="shared" si="350"/>
        <v>-109219.08000000022</v>
      </c>
      <c r="AK260" s="522">
        <f t="shared" si="393"/>
        <v>-107378.22000000025</v>
      </c>
      <c r="AL260" s="285">
        <f t="shared" si="410"/>
        <v>282359.7100000002</v>
      </c>
      <c r="AM260" s="426">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1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6">
        <f t="shared" si="371"/>
        <v>16</v>
      </c>
      <c r="M261" s="426">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12">
        <f t="shared" si="329"/>
        <v>51789</v>
      </c>
      <c r="Y261" s="285">
        <f t="shared" si="404"/>
        <v>282359.7100000002</v>
      </c>
      <c r="Z261" s="50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22">
        <f t="shared" si="392"/>
        <v>1821.389999999973</v>
      </c>
      <c r="AJ261" s="522">
        <f t="shared" si="350"/>
        <v>-109768.46000000022</v>
      </c>
      <c r="AK261" s="522">
        <f t="shared" si="393"/>
        <v>-107947.07000000025</v>
      </c>
      <c r="AL261" s="285">
        <f t="shared" si="410"/>
        <v>282200.29000000021</v>
      </c>
      <c r="AM261" s="426">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1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6">
        <f t="shared" si="371"/>
        <v>16</v>
      </c>
      <c r="M262" s="426">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12">
        <f t="shared" si="329"/>
        <v>51819</v>
      </c>
      <c r="Y262" s="285">
        <f t="shared" si="404"/>
        <v>282200.29000000021</v>
      </c>
      <c r="Z262" s="50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22">
        <f t="shared" si="392"/>
        <v>1801.919999999973</v>
      </c>
      <c r="AJ262" s="522">
        <f t="shared" si="350"/>
        <v>-110320.70000000022</v>
      </c>
      <c r="AK262" s="522">
        <f t="shared" si="393"/>
        <v>-108518.78000000025</v>
      </c>
      <c r="AL262" s="285">
        <f t="shared" si="410"/>
        <v>282040.04000000021</v>
      </c>
      <c r="AM262" s="426">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1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6">
        <f t="shared" si="371"/>
        <v>17</v>
      </c>
      <c r="M263" s="426">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12">
        <f t="shared" si="329"/>
        <v>51849</v>
      </c>
      <c r="Y263" s="285">
        <f t="shared" si="404"/>
        <v>282040.04000000021</v>
      </c>
      <c r="Z263" s="50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22">
        <f t="shared" si="392"/>
        <v>1782.449999999973</v>
      </c>
      <c r="AJ263" s="522">
        <f t="shared" si="350"/>
        <v>-110875.82000000021</v>
      </c>
      <c r="AK263" s="522">
        <f t="shared" si="393"/>
        <v>-109093.37000000024</v>
      </c>
      <c r="AL263" s="285">
        <f t="shared" si="410"/>
        <v>281878.9600000002</v>
      </c>
      <c r="AM263" s="426">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1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6">
        <f t="shared" si="371"/>
        <v>17</v>
      </c>
      <c r="M264" s="426">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12">
        <f t="shared" si="329"/>
        <v>51879</v>
      </c>
      <c r="Y264" s="285">
        <f t="shared" si="404"/>
        <v>281878.9600000002</v>
      </c>
      <c r="Z264" s="50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22">
        <f t="shared" si="392"/>
        <v>1762.979999999973</v>
      </c>
      <c r="AJ264" s="522">
        <f t="shared" si="350"/>
        <v>-111433.83000000022</v>
      </c>
      <c r="AK264" s="522">
        <f t="shared" si="393"/>
        <v>-109670.85000000025</v>
      </c>
      <c r="AL264" s="285">
        <f t="shared" si="410"/>
        <v>281717.04000000021</v>
      </c>
      <c r="AM264" s="426">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1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6">
        <f t="shared" si="371"/>
        <v>17</v>
      </c>
      <c r="M265" s="426">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12">
        <f t="shared" si="329"/>
        <v>51909</v>
      </c>
      <c r="Y265" s="285">
        <f t="shared" si="404"/>
        <v>281717.04000000021</v>
      </c>
      <c r="Z265" s="50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22">
        <f t="shared" si="392"/>
        <v>1743.5099999999729</v>
      </c>
      <c r="AJ265" s="522">
        <f t="shared" si="350"/>
        <v>-111994.7500000002</v>
      </c>
      <c r="AK265" s="522">
        <f t="shared" si="393"/>
        <v>-110251.24000000022</v>
      </c>
      <c r="AL265" s="285">
        <f t="shared" si="410"/>
        <v>281554.2800000002</v>
      </c>
      <c r="AM265" s="426">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15">
        <f t="shared" si="397"/>
        <v>51939</v>
      </c>
      <c r="B266" s="346">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6">
        <f t="shared" si="398"/>
        <v>56312.549999999981</v>
      </c>
      <c r="J266" s="346">
        <f t="shared" si="399"/>
        <v>57461.849999999969</v>
      </c>
      <c r="K266" s="346">
        <f t="shared" si="400"/>
        <v>41219.289999999964</v>
      </c>
      <c r="L266" s="427">
        <f t="shared" si="371"/>
        <v>17</v>
      </c>
      <c r="M266" s="427">
        <f t="shared" si="327"/>
        <v>207</v>
      </c>
      <c r="N266" s="346">
        <f t="shared" si="328"/>
        <v>169559.53</v>
      </c>
      <c r="O266" s="346">
        <f t="shared" si="401"/>
        <v>1610.57</v>
      </c>
      <c r="P266" s="346">
        <f t="shared" si="336"/>
        <v>727.44999999999993</v>
      </c>
      <c r="Q266" s="346">
        <f t="shared" si="402"/>
        <v>883.12</v>
      </c>
      <c r="R266" s="346">
        <f t="shared" si="389"/>
        <v>134.16999999999999</v>
      </c>
      <c r="S266" s="346">
        <f t="shared" si="390"/>
        <v>188.55</v>
      </c>
      <c r="T266" s="346">
        <f t="shared" si="387"/>
        <v>1933.29</v>
      </c>
      <c r="U266" s="346">
        <f t="shared" si="337"/>
        <v>92743.91999999994</v>
      </c>
      <c r="V266" s="346">
        <f t="shared" si="338"/>
        <v>242254.63999999996</v>
      </c>
      <c r="W266" s="346">
        <f t="shared" si="403"/>
        <v>168832.08</v>
      </c>
      <c r="X266" s="515">
        <f t="shared" si="329"/>
        <v>51939</v>
      </c>
      <c r="Y266" s="346">
        <f t="shared" si="404"/>
        <v>281554.2800000002</v>
      </c>
      <c r="Z266" s="505">
        <f t="shared" si="321"/>
        <v>6.25E-2</v>
      </c>
      <c r="AA266" s="346">
        <f t="shared" si="322"/>
        <v>1630.04</v>
      </c>
      <c r="AB266" s="346">
        <f t="shared" si="405"/>
        <v>163.6099999999999</v>
      </c>
      <c r="AC266" s="346">
        <f t="shared" si="323"/>
        <v>1466.43</v>
      </c>
      <c r="AD266" s="346">
        <f t="shared" ref="AD266:AE266" si="422">+AD265</f>
        <v>134.16999999999999</v>
      </c>
      <c r="AE266" s="346">
        <f t="shared" si="422"/>
        <v>188.55</v>
      </c>
      <c r="AF266" s="346">
        <f t="shared" si="407"/>
        <v>1952.76</v>
      </c>
      <c r="AG266" s="346">
        <f t="shared" si="408"/>
        <v>49802.729999999967</v>
      </c>
      <c r="AH266" s="346">
        <f t="shared" si="409"/>
        <v>283471.79000000015</v>
      </c>
      <c r="AI266" s="523">
        <f t="shared" si="392"/>
        <v>1724.0399999999729</v>
      </c>
      <c r="AJ266" s="523">
        <f t="shared" si="350"/>
        <v>-112558.59000000023</v>
      </c>
      <c r="AK266" s="522">
        <f t="shared" si="393"/>
        <v>-110834.55000000025</v>
      </c>
      <c r="AL266" s="346">
        <f t="shared" si="410"/>
        <v>281390.67000000022</v>
      </c>
      <c r="AM266" s="427">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6">
        <f t="shared" si="333"/>
        <v>1223.8201719958336</v>
      </c>
      <c r="AV266" s="346">
        <f t="shared" si="334"/>
        <v>229175.88897032931</v>
      </c>
    </row>
    <row r="267" spans="1:48" x14ac:dyDescent="0.25">
      <c r="A267" s="51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6">
        <f t="shared" si="371"/>
        <v>17</v>
      </c>
      <c r="M267" s="426">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12">
        <f t="shared" si="329"/>
        <v>51969</v>
      </c>
      <c r="Y267" s="285">
        <f t="shared" si="404"/>
        <v>281390.67000000022</v>
      </c>
      <c r="Z267" s="50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22">
        <f t="shared" si="392"/>
        <v>1704.5699999999729</v>
      </c>
      <c r="AJ267" s="522">
        <f t="shared" si="350"/>
        <v>-113125.3700000002</v>
      </c>
      <c r="AK267" s="522">
        <f t="shared" si="393"/>
        <v>-111420.80000000022</v>
      </c>
      <c r="AL267" s="285">
        <f t="shared" si="410"/>
        <v>281226.2100000002</v>
      </c>
      <c r="AM267" s="426">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1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6">
        <f t="shared" si="371"/>
        <v>17</v>
      </c>
      <c r="M268" s="426">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12">
        <f t="shared" si="329"/>
        <v>51999</v>
      </c>
      <c r="Y268" s="285">
        <f t="shared" si="404"/>
        <v>281226.2100000002</v>
      </c>
      <c r="Z268" s="50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22">
        <f t="shared" si="392"/>
        <v>1685.0999999999729</v>
      </c>
      <c r="AJ268" s="522">
        <f t="shared" si="350"/>
        <v>-113695.0900000002</v>
      </c>
      <c r="AK268" s="522">
        <f t="shared" si="393"/>
        <v>-112009.99000000022</v>
      </c>
      <c r="AL268" s="285">
        <f t="shared" si="410"/>
        <v>281060.89000000019</v>
      </c>
      <c r="AM268" s="426">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1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6">
        <f t="shared" si="371"/>
        <v>17</v>
      </c>
      <c r="M269" s="426">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12">
        <f t="shared" si="329"/>
        <v>52029</v>
      </c>
      <c r="Y269" s="285">
        <f t="shared" si="404"/>
        <v>281060.89000000019</v>
      </c>
      <c r="Z269" s="50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22">
        <f t="shared" si="392"/>
        <v>1665.6299999999728</v>
      </c>
      <c r="AJ269" s="522">
        <f t="shared" si="350"/>
        <v>-114267.7800000002</v>
      </c>
      <c r="AK269" s="522">
        <f t="shared" si="393"/>
        <v>-112602.15000000023</v>
      </c>
      <c r="AL269" s="285">
        <f t="shared" si="410"/>
        <v>280894.7100000002</v>
      </c>
      <c r="AM269" s="426">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1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6">
        <f t="shared" si="371"/>
        <v>17</v>
      </c>
      <c r="M270" s="426">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12">
        <f t="shared" si="329"/>
        <v>52059</v>
      </c>
      <c r="Y270" s="285">
        <f t="shared" si="404"/>
        <v>280894.7100000002</v>
      </c>
      <c r="Z270" s="50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22">
        <f t="shared" si="392"/>
        <v>1646.1599999999728</v>
      </c>
      <c r="AJ270" s="522">
        <f t="shared" si="350"/>
        <v>-114843.45000000022</v>
      </c>
      <c r="AK270" s="522">
        <f t="shared" si="393"/>
        <v>-113197.29000000024</v>
      </c>
      <c r="AL270" s="285">
        <f t="shared" si="410"/>
        <v>280727.66000000021</v>
      </c>
      <c r="AM270" s="426">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1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6">
        <f t="shared" si="371"/>
        <v>17</v>
      </c>
      <c r="M271" s="426">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12">
        <f t="shared" si="329"/>
        <v>52089</v>
      </c>
      <c r="Y271" s="285">
        <f t="shared" si="404"/>
        <v>280727.66000000021</v>
      </c>
      <c r="Z271" s="50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22">
        <f t="shared" si="392"/>
        <v>1626.6899999999728</v>
      </c>
      <c r="AJ271" s="522">
        <f t="shared" si="350"/>
        <v>-115422.12000000023</v>
      </c>
      <c r="AK271" s="522">
        <f t="shared" si="393"/>
        <v>-113795.43000000025</v>
      </c>
      <c r="AL271" s="285">
        <f t="shared" si="410"/>
        <v>280559.74000000022</v>
      </c>
      <c r="AM271" s="426">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1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6">
        <f t="shared" si="371"/>
        <v>17</v>
      </c>
      <c r="M272" s="426">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12">
        <f t="shared" ref="X272:X335" si="437">+A272</f>
        <v>52119</v>
      </c>
      <c r="Y272" s="285">
        <f t="shared" si="404"/>
        <v>280559.74000000022</v>
      </c>
      <c r="Z272" s="50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22">
        <f t="shared" si="392"/>
        <v>1607.2199999999727</v>
      </c>
      <c r="AJ272" s="522">
        <f t="shared" si="350"/>
        <v>-116003.81000000026</v>
      </c>
      <c r="AK272" s="522">
        <f t="shared" si="393"/>
        <v>-114396.59000000029</v>
      </c>
      <c r="AL272" s="285">
        <f t="shared" si="410"/>
        <v>280390.95000000024</v>
      </c>
      <c r="AM272" s="426">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1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6">
        <f t="shared" si="371"/>
        <v>17</v>
      </c>
      <c r="M273" s="426">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12">
        <f t="shared" si="437"/>
        <v>52149</v>
      </c>
      <c r="Y273" s="285">
        <f t="shared" si="404"/>
        <v>280390.95000000024</v>
      </c>
      <c r="Z273" s="50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22">
        <f t="shared" si="392"/>
        <v>1587.7499999999727</v>
      </c>
      <c r="AJ273" s="522">
        <f t="shared" si="350"/>
        <v>-116588.53000000029</v>
      </c>
      <c r="AK273" s="522">
        <f t="shared" si="393"/>
        <v>-115000.78000000032</v>
      </c>
      <c r="AL273" s="285">
        <f t="shared" si="410"/>
        <v>280221.28000000026</v>
      </c>
      <c r="AM273" s="426">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1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6">
        <f t="shared" si="371"/>
        <v>17</v>
      </c>
      <c r="M274" s="426">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12">
        <f t="shared" si="437"/>
        <v>52179</v>
      </c>
      <c r="Y274" s="285">
        <f t="shared" si="404"/>
        <v>280221.28000000026</v>
      </c>
      <c r="Z274" s="50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22">
        <f t="shared" si="392"/>
        <v>1568.2799999999727</v>
      </c>
      <c r="AJ274" s="522">
        <f t="shared" si="350"/>
        <v>-117176.30000000031</v>
      </c>
      <c r="AK274" s="522">
        <f t="shared" si="393"/>
        <v>-115608.02000000034</v>
      </c>
      <c r="AL274" s="285">
        <f t="shared" si="410"/>
        <v>280050.73000000027</v>
      </c>
      <c r="AM274" s="426">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1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6">
        <f t="shared" si="371"/>
        <v>18</v>
      </c>
      <c r="M275" s="426">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12">
        <f t="shared" si="437"/>
        <v>52209</v>
      </c>
      <c r="Y275" s="285">
        <f t="shared" si="404"/>
        <v>280050.73000000027</v>
      </c>
      <c r="Z275" s="50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22">
        <f t="shared" si="392"/>
        <v>1548.8099999999727</v>
      </c>
      <c r="AJ275" s="522">
        <f t="shared" si="350"/>
        <v>-117767.1300000003</v>
      </c>
      <c r="AK275" s="522">
        <f t="shared" si="393"/>
        <v>-116218.32000000033</v>
      </c>
      <c r="AL275" s="285">
        <f t="shared" si="410"/>
        <v>279879.29000000027</v>
      </c>
      <c r="AM275" s="426">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1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6">
        <f t="shared" si="371"/>
        <v>18</v>
      </c>
      <c r="M276" s="426">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12">
        <f t="shared" si="437"/>
        <v>52239</v>
      </c>
      <c r="Y276" s="285">
        <f t="shared" si="404"/>
        <v>279879.29000000027</v>
      </c>
      <c r="Z276" s="50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22">
        <f t="shared" si="392"/>
        <v>1529.3399999999726</v>
      </c>
      <c r="AJ276" s="522">
        <f t="shared" si="350"/>
        <v>-118361.03000000026</v>
      </c>
      <c r="AK276" s="522">
        <f t="shared" si="393"/>
        <v>-116831.69000000029</v>
      </c>
      <c r="AL276" s="285">
        <f t="shared" si="410"/>
        <v>279706.95000000024</v>
      </c>
      <c r="AM276" s="426">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1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6">
        <f t="shared" si="371"/>
        <v>18</v>
      </c>
      <c r="M277" s="426">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12">
        <f t="shared" si="437"/>
        <v>52269</v>
      </c>
      <c r="Y277" s="285">
        <f t="shared" si="404"/>
        <v>279706.95000000024</v>
      </c>
      <c r="Z277" s="50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22">
        <f t="shared" si="392"/>
        <v>1509.8699999999726</v>
      </c>
      <c r="AJ277" s="522">
        <f t="shared" si="350"/>
        <v>-118958.03000000029</v>
      </c>
      <c r="AK277" s="522">
        <f t="shared" si="393"/>
        <v>-117448.16000000032</v>
      </c>
      <c r="AL277" s="285">
        <f t="shared" si="410"/>
        <v>279533.72000000026</v>
      </c>
      <c r="AM277" s="426">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15">
        <f t="shared" si="397"/>
        <v>52299</v>
      </c>
      <c r="B278" s="346">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6">
        <f t="shared" si="398"/>
        <v>60237.159999999989</v>
      </c>
      <c r="J278" s="346">
        <f t="shared" si="399"/>
        <v>58940.599999999969</v>
      </c>
      <c r="K278" s="346">
        <f t="shared" si="400"/>
        <v>37294.679999999957</v>
      </c>
      <c r="L278" s="427">
        <f t="shared" si="371"/>
        <v>18</v>
      </c>
      <c r="M278" s="427">
        <f t="shared" si="435"/>
        <v>219</v>
      </c>
      <c r="N278" s="346">
        <f t="shared" si="436"/>
        <v>160575.68999999997</v>
      </c>
      <c r="O278" s="346">
        <f t="shared" si="401"/>
        <v>1610.57</v>
      </c>
      <c r="P278" s="346">
        <f t="shared" si="444"/>
        <v>774.2399999999999</v>
      </c>
      <c r="Q278" s="346">
        <f t="shared" si="402"/>
        <v>836.33</v>
      </c>
      <c r="R278" s="346">
        <f t="shared" si="389"/>
        <v>134.16999999999999</v>
      </c>
      <c r="S278" s="346">
        <f t="shared" si="390"/>
        <v>188.55</v>
      </c>
      <c r="T278" s="346">
        <f t="shared" si="387"/>
        <v>1933.29</v>
      </c>
      <c r="U278" s="346">
        <f t="shared" si="445"/>
        <v>101774.54999999994</v>
      </c>
      <c r="V278" s="346">
        <f t="shared" si="446"/>
        <v>252550.84999999992</v>
      </c>
      <c r="W278" s="346">
        <f t="shared" si="403"/>
        <v>159801.44999999998</v>
      </c>
      <c r="X278" s="515">
        <f t="shared" si="437"/>
        <v>52299</v>
      </c>
      <c r="Y278" s="346">
        <f t="shared" si="404"/>
        <v>279533.72000000026</v>
      </c>
      <c r="Z278" s="505">
        <f t="shared" si="429"/>
        <v>6.25E-2</v>
      </c>
      <c r="AA278" s="346">
        <f t="shared" si="430"/>
        <v>1630.04</v>
      </c>
      <c r="AB278" s="346">
        <f t="shared" si="405"/>
        <v>174.13999999999987</v>
      </c>
      <c r="AC278" s="346">
        <f t="shared" si="431"/>
        <v>1455.9</v>
      </c>
      <c r="AD278" s="346">
        <f t="shared" ref="AD278:AE278" si="452">+AD277</f>
        <v>134.16999999999999</v>
      </c>
      <c r="AE278" s="346">
        <f t="shared" si="452"/>
        <v>188.55</v>
      </c>
      <c r="AF278" s="346">
        <f t="shared" si="407"/>
        <v>1952.76</v>
      </c>
      <c r="AG278" s="346">
        <f t="shared" si="408"/>
        <v>51833.819999999971</v>
      </c>
      <c r="AH278" s="346">
        <f t="shared" si="409"/>
        <v>301001.18000000011</v>
      </c>
      <c r="AI278" s="523">
        <f t="shared" si="392"/>
        <v>1490.3999999999726</v>
      </c>
      <c r="AJ278" s="523">
        <f t="shared" si="350"/>
        <v>-119558.13000000027</v>
      </c>
      <c r="AK278" s="522">
        <f t="shared" si="393"/>
        <v>-118067.73000000029</v>
      </c>
      <c r="AL278" s="346">
        <f t="shared" si="410"/>
        <v>279359.58000000025</v>
      </c>
      <c r="AM278" s="427">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6">
        <f t="shared" si="441"/>
        <v>1261.0438336171401</v>
      </c>
      <c r="AV278" s="346">
        <f t="shared" si="442"/>
        <v>244102.5772804732</v>
      </c>
    </row>
    <row r="279" spans="1:48" x14ac:dyDescent="0.25">
      <c r="A279" s="51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6">
        <f t="shared" si="371"/>
        <v>18</v>
      </c>
      <c r="M279" s="426">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12">
        <f t="shared" si="437"/>
        <v>52329</v>
      </c>
      <c r="Y279" s="285">
        <f t="shared" si="404"/>
        <v>279359.58000000025</v>
      </c>
      <c r="Z279" s="50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22">
        <f t="shared" si="392"/>
        <v>1470.9299999999726</v>
      </c>
      <c r="AJ279" s="522">
        <f t="shared" si="350"/>
        <v>-120161.36000000028</v>
      </c>
      <c r="AK279" s="522">
        <f t="shared" si="393"/>
        <v>-118690.4300000003</v>
      </c>
      <c r="AL279" s="285">
        <f t="shared" si="410"/>
        <v>279184.54000000027</v>
      </c>
      <c r="AM279" s="426">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1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6">
        <f t="shared" si="371"/>
        <v>18</v>
      </c>
      <c r="M280" s="426">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12">
        <f t="shared" si="437"/>
        <v>52359</v>
      </c>
      <c r="Y280" s="285">
        <f t="shared" si="404"/>
        <v>279184.54000000027</v>
      </c>
      <c r="Z280" s="50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22">
        <f t="shared" si="392"/>
        <v>1451.4599999999725</v>
      </c>
      <c r="AJ280" s="522">
        <f t="shared" si="350"/>
        <v>-120767.73000000027</v>
      </c>
      <c r="AK280" s="522">
        <f t="shared" si="393"/>
        <v>-119316.2700000003</v>
      </c>
      <c r="AL280" s="285">
        <f t="shared" si="410"/>
        <v>279008.59000000026</v>
      </c>
      <c r="AM280" s="426">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1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6">
        <f t="shared" si="371"/>
        <v>18</v>
      </c>
      <c r="M281" s="426">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12">
        <f t="shared" si="437"/>
        <v>52389</v>
      </c>
      <c r="Y281" s="285">
        <f t="shared" si="404"/>
        <v>279008.59000000026</v>
      </c>
      <c r="Z281" s="50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22">
        <f t="shared" si="392"/>
        <v>1431.9899999999725</v>
      </c>
      <c r="AJ281" s="522">
        <f t="shared" si="350"/>
        <v>-121377.26000000027</v>
      </c>
      <c r="AK281" s="522">
        <f t="shared" si="393"/>
        <v>-119945.2700000003</v>
      </c>
      <c r="AL281" s="285">
        <f t="shared" si="410"/>
        <v>278831.72000000026</v>
      </c>
      <c r="AM281" s="426">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1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6">
        <f t="shared" si="371"/>
        <v>18</v>
      </c>
      <c r="M282" s="426">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12">
        <f t="shared" si="437"/>
        <v>52419</v>
      </c>
      <c r="Y282" s="285">
        <f t="shared" si="404"/>
        <v>278831.72000000026</v>
      </c>
      <c r="Z282" s="50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22">
        <f t="shared" si="392"/>
        <v>1412.5199999999725</v>
      </c>
      <c r="AJ282" s="522">
        <f t="shared" si="350"/>
        <v>-121989.96000000028</v>
      </c>
      <c r="AK282" s="522">
        <f t="shared" si="393"/>
        <v>-120577.44000000031</v>
      </c>
      <c r="AL282" s="285">
        <f t="shared" si="410"/>
        <v>278653.93000000028</v>
      </c>
      <c r="AM282" s="426">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1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6">
        <f t="shared" si="371"/>
        <v>18</v>
      </c>
      <c r="M283" s="426">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12">
        <f t="shared" si="437"/>
        <v>52449</v>
      </c>
      <c r="Y283" s="285">
        <f t="shared" si="404"/>
        <v>278653.93000000028</v>
      </c>
      <c r="Z283" s="50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22">
        <f t="shared" si="392"/>
        <v>1393.0499999999724</v>
      </c>
      <c r="AJ283" s="522">
        <f t="shared" ref="AJ283:AJ346" si="458">+W283-AL283</f>
        <v>-122605.8500000003</v>
      </c>
      <c r="AK283" s="522">
        <f t="shared" si="393"/>
        <v>-121212.80000000032</v>
      </c>
      <c r="AL283" s="285">
        <f t="shared" si="410"/>
        <v>278475.21000000031</v>
      </c>
      <c r="AM283" s="426">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1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6">
        <f t="shared" si="371"/>
        <v>18</v>
      </c>
      <c r="M284" s="426">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12">
        <f t="shared" si="437"/>
        <v>52479</v>
      </c>
      <c r="Y284" s="285">
        <f t="shared" si="404"/>
        <v>278475.21000000031</v>
      </c>
      <c r="Z284" s="50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22">
        <f t="shared" si="392"/>
        <v>1373.5799999999724</v>
      </c>
      <c r="AJ284" s="522">
        <f t="shared" si="458"/>
        <v>-123224.95000000027</v>
      </c>
      <c r="AK284" s="522">
        <f t="shared" si="393"/>
        <v>-121851.3700000003</v>
      </c>
      <c r="AL284" s="285">
        <f t="shared" si="410"/>
        <v>278295.56000000029</v>
      </c>
      <c r="AM284" s="426">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1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6">
        <f t="shared" si="371"/>
        <v>18</v>
      </c>
      <c r="M285" s="426">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12">
        <f t="shared" si="437"/>
        <v>52509</v>
      </c>
      <c r="Y285" s="285">
        <f t="shared" si="404"/>
        <v>278295.56000000029</v>
      </c>
      <c r="Z285" s="50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22">
        <f t="shared" si="392"/>
        <v>1354.1099999999724</v>
      </c>
      <c r="AJ285" s="522">
        <f t="shared" si="458"/>
        <v>-123847.28000000026</v>
      </c>
      <c r="AK285" s="522">
        <f t="shared" si="393"/>
        <v>-122493.17000000029</v>
      </c>
      <c r="AL285" s="285">
        <f t="shared" si="410"/>
        <v>278114.98000000027</v>
      </c>
      <c r="AM285" s="426">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1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6">
        <f t="shared" si="371"/>
        <v>18</v>
      </c>
      <c r="M286" s="426">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12">
        <f t="shared" si="437"/>
        <v>52539</v>
      </c>
      <c r="Y286" s="285">
        <f t="shared" si="404"/>
        <v>278114.98000000027</v>
      </c>
      <c r="Z286" s="50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22">
        <f t="shared" si="392"/>
        <v>1334.6399999999724</v>
      </c>
      <c r="AJ286" s="522">
        <f t="shared" si="458"/>
        <v>-124472.85000000024</v>
      </c>
      <c r="AK286" s="522">
        <f t="shared" si="393"/>
        <v>-123138.21000000027</v>
      </c>
      <c r="AL286" s="285">
        <f t="shared" si="410"/>
        <v>277933.46000000025</v>
      </c>
      <c r="AM286" s="426">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1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6">
        <f t="shared" si="371"/>
        <v>19</v>
      </c>
      <c r="M287" s="426">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12">
        <f t="shared" si="437"/>
        <v>52569</v>
      </c>
      <c r="Y287" s="285">
        <f t="shared" si="404"/>
        <v>277933.46000000025</v>
      </c>
      <c r="Z287" s="50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22">
        <f t="shared" si="392"/>
        <v>1315.1699999999723</v>
      </c>
      <c r="AJ287" s="522">
        <f t="shared" si="458"/>
        <v>-125101.68000000025</v>
      </c>
      <c r="AK287" s="522">
        <f t="shared" si="393"/>
        <v>-123786.51000000029</v>
      </c>
      <c r="AL287" s="285">
        <f t="shared" si="410"/>
        <v>277750.99000000028</v>
      </c>
      <c r="AM287" s="426">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1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6">
        <f t="shared" si="371"/>
        <v>19</v>
      </c>
      <c r="M288" s="426">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12">
        <f t="shared" si="437"/>
        <v>52599</v>
      </c>
      <c r="Y288" s="285">
        <f t="shared" si="404"/>
        <v>277750.99000000028</v>
      </c>
      <c r="Z288" s="50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22">
        <f t="shared" si="392"/>
        <v>1295.6999999999723</v>
      </c>
      <c r="AJ288" s="522">
        <f t="shared" si="458"/>
        <v>-125733.78000000026</v>
      </c>
      <c r="AK288" s="522">
        <f t="shared" si="393"/>
        <v>-124438.08000000029</v>
      </c>
      <c r="AL288" s="285">
        <f t="shared" si="410"/>
        <v>277567.5700000003</v>
      </c>
      <c r="AM288" s="426">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1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6">
        <f t="shared" si="371"/>
        <v>19</v>
      </c>
      <c r="M289" s="426">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12">
        <f t="shared" si="437"/>
        <v>52629</v>
      </c>
      <c r="Y289" s="285">
        <f t="shared" si="404"/>
        <v>277567.5700000003</v>
      </c>
      <c r="Z289" s="50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22">
        <f t="shared" si="392"/>
        <v>1276.2299999999723</v>
      </c>
      <c r="AJ289" s="522">
        <f t="shared" si="458"/>
        <v>-126369.17000000025</v>
      </c>
      <c r="AK289" s="522">
        <f t="shared" si="393"/>
        <v>-125092.94000000028</v>
      </c>
      <c r="AL289" s="285">
        <f t="shared" si="410"/>
        <v>277383.19000000029</v>
      </c>
      <c r="AM289" s="426">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15">
        <f t="shared" si="397"/>
        <v>52659</v>
      </c>
      <c r="B290" s="346">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6">
        <f t="shared" si="398"/>
        <v>64311.51999999999</v>
      </c>
      <c r="J290" s="346">
        <f t="shared" si="399"/>
        <v>60269.599999999977</v>
      </c>
      <c r="K290" s="346">
        <f t="shared" si="400"/>
        <v>33220.319999999956</v>
      </c>
      <c r="L290" s="427">
        <f t="shared" si="371"/>
        <v>19</v>
      </c>
      <c r="M290" s="427">
        <f t="shared" si="435"/>
        <v>231</v>
      </c>
      <c r="N290" s="346">
        <f t="shared" si="436"/>
        <v>151014.02000000005</v>
      </c>
      <c r="O290" s="346">
        <f t="shared" si="401"/>
        <v>1610.57</v>
      </c>
      <c r="P290" s="346">
        <f t="shared" si="444"/>
        <v>824.04</v>
      </c>
      <c r="Q290" s="346">
        <f t="shared" si="402"/>
        <v>786.53</v>
      </c>
      <c r="R290" s="346">
        <f t="shared" si="389"/>
        <v>134.16999999999999</v>
      </c>
      <c r="S290" s="346">
        <f t="shared" si="390"/>
        <v>188.55</v>
      </c>
      <c r="T290" s="346">
        <f t="shared" si="387"/>
        <v>1933.29</v>
      </c>
      <c r="U290" s="346">
        <f t="shared" si="445"/>
        <v>111386.01999999996</v>
      </c>
      <c r="V290" s="346">
        <f t="shared" si="446"/>
        <v>262266.21999999991</v>
      </c>
      <c r="W290" s="346">
        <f t="shared" si="403"/>
        <v>150189.98000000004</v>
      </c>
      <c r="X290" s="515">
        <f t="shared" si="437"/>
        <v>52659</v>
      </c>
      <c r="Y290" s="346">
        <f t="shared" si="404"/>
        <v>277383.19000000029</v>
      </c>
      <c r="Z290" s="505">
        <f t="shared" si="429"/>
        <v>6.25E-2</v>
      </c>
      <c r="AA290" s="346">
        <f t="shared" si="430"/>
        <v>1630.04</v>
      </c>
      <c r="AB290" s="346">
        <f t="shared" si="405"/>
        <v>185.33999999999992</v>
      </c>
      <c r="AC290" s="346">
        <f t="shared" si="431"/>
        <v>1444.7</v>
      </c>
      <c r="AD290" s="346">
        <f t="shared" ref="AD290:AE290" si="465">+AD289</f>
        <v>134.16999999999999</v>
      </c>
      <c r="AE290" s="346">
        <f t="shared" si="465"/>
        <v>188.55</v>
      </c>
      <c r="AF290" s="346">
        <f t="shared" si="407"/>
        <v>1952.76</v>
      </c>
      <c r="AG290" s="346">
        <f t="shared" si="408"/>
        <v>53995.549999999967</v>
      </c>
      <c r="AH290" s="346">
        <f t="shared" si="409"/>
        <v>318399.93000000017</v>
      </c>
      <c r="AI290" s="523">
        <f t="shared" si="392"/>
        <v>1256.7599999999723</v>
      </c>
      <c r="AJ290" s="523">
        <f t="shared" si="458"/>
        <v>-127007.87000000023</v>
      </c>
      <c r="AK290" s="522">
        <f t="shared" si="393"/>
        <v>-125751.11000000026</v>
      </c>
      <c r="AL290" s="346">
        <f t="shared" si="410"/>
        <v>277197.85000000027</v>
      </c>
      <c r="AM290" s="427">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6">
        <f t="shared" si="441"/>
        <v>1299.399688526483</v>
      </c>
      <c r="AV290" s="346">
        <f t="shared" si="442"/>
        <v>259483.27509911978</v>
      </c>
    </row>
    <row r="291" spans="1:48" x14ac:dyDescent="0.25">
      <c r="A291" s="51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6">
        <f t="shared" si="371"/>
        <v>19</v>
      </c>
      <c r="M291" s="426">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12">
        <f t="shared" si="437"/>
        <v>52689</v>
      </c>
      <c r="Y291" s="285">
        <f t="shared" si="404"/>
        <v>277197.85000000027</v>
      </c>
      <c r="Z291" s="50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22">
        <f t="shared" si="392"/>
        <v>1237.2899999999722</v>
      </c>
      <c r="AJ291" s="522">
        <f t="shared" si="458"/>
        <v>-127649.90000000023</v>
      </c>
      <c r="AK291" s="522">
        <f t="shared" si="393"/>
        <v>-126412.61000000025</v>
      </c>
      <c r="AL291" s="285">
        <f t="shared" si="410"/>
        <v>277011.55000000028</v>
      </c>
      <c r="AM291" s="426">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1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6">
        <f t="shared" si="371"/>
        <v>19</v>
      </c>
      <c r="M292" s="426">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12">
        <f t="shared" si="437"/>
        <v>52719</v>
      </c>
      <c r="Y292" s="285">
        <f t="shared" si="404"/>
        <v>277011.55000000028</v>
      </c>
      <c r="Z292" s="50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22">
        <f t="shared" si="392"/>
        <v>1217.8199999999722</v>
      </c>
      <c r="AJ292" s="522">
        <f t="shared" si="458"/>
        <v>-128295.27000000022</v>
      </c>
      <c r="AK292" s="522">
        <f t="shared" si="393"/>
        <v>-127077.45000000024</v>
      </c>
      <c r="AL292" s="285">
        <f t="shared" si="410"/>
        <v>276824.28000000026</v>
      </c>
      <c r="AM292" s="426">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1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6">
        <f t="shared" si="371"/>
        <v>19</v>
      </c>
      <c r="M293" s="426">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12">
        <f t="shared" si="437"/>
        <v>52749</v>
      </c>
      <c r="Y293" s="285">
        <f t="shared" si="404"/>
        <v>276824.28000000026</v>
      </c>
      <c r="Z293" s="50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22">
        <f t="shared" si="392"/>
        <v>1198.3499999999722</v>
      </c>
      <c r="AJ293" s="522">
        <f t="shared" si="458"/>
        <v>-128944.00000000023</v>
      </c>
      <c r="AK293" s="522">
        <f t="shared" si="393"/>
        <v>-127745.65000000026</v>
      </c>
      <c r="AL293" s="285">
        <f t="shared" si="410"/>
        <v>276636.03000000026</v>
      </c>
      <c r="AM293" s="426">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1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6">
        <f t="shared" si="371"/>
        <v>19</v>
      </c>
      <c r="M294" s="426">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12">
        <f t="shared" si="437"/>
        <v>52779</v>
      </c>
      <c r="Y294" s="285">
        <f t="shared" si="404"/>
        <v>276636.03000000026</v>
      </c>
      <c r="Z294" s="50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22">
        <f t="shared" si="392"/>
        <v>1178.8799999999721</v>
      </c>
      <c r="AJ294" s="522">
        <f t="shared" si="458"/>
        <v>-129596.11000000025</v>
      </c>
      <c r="AK294" s="522">
        <f t="shared" si="393"/>
        <v>-128417.23000000027</v>
      </c>
      <c r="AL294" s="285">
        <f t="shared" si="410"/>
        <v>276446.80000000028</v>
      </c>
      <c r="AM294" s="426">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1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6">
        <f t="shared" si="371"/>
        <v>19</v>
      </c>
      <c r="M295" s="426">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12">
        <f t="shared" si="437"/>
        <v>52809</v>
      </c>
      <c r="Y295" s="285">
        <f t="shared" si="404"/>
        <v>276446.80000000028</v>
      </c>
      <c r="Z295" s="50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22">
        <f t="shared" si="392"/>
        <v>1159.4099999999721</v>
      </c>
      <c r="AJ295" s="522">
        <f t="shared" si="458"/>
        <v>-130251.62000000023</v>
      </c>
      <c r="AK295" s="522">
        <f t="shared" si="393"/>
        <v>-129092.21000000025</v>
      </c>
      <c r="AL295" s="285">
        <f t="shared" si="410"/>
        <v>276256.59000000026</v>
      </c>
      <c r="AM295" s="426">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1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6">
        <f t="shared" si="371"/>
        <v>19</v>
      </c>
      <c r="M296" s="426">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12">
        <f t="shared" si="437"/>
        <v>52839</v>
      </c>
      <c r="Y296" s="285">
        <f t="shared" si="404"/>
        <v>276256.59000000026</v>
      </c>
      <c r="Z296" s="50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22">
        <f t="shared" si="392"/>
        <v>1139.9399999999721</v>
      </c>
      <c r="AJ296" s="522">
        <f t="shared" si="458"/>
        <v>-130910.55000000022</v>
      </c>
      <c r="AK296" s="522">
        <f t="shared" si="393"/>
        <v>-129770.61000000025</v>
      </c>
      <c r="AL296" s="285">
        <f t="shared" si="410"/>
        <v>276065.39000000025</v>
      </c>
      <c r="AM296" s="426">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1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6">
        <f t="shared" si="371"/>
        <v>19</v>
      </c>
      <c r="M297" s="426">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12">
        <f t="shared" si="437"/>
        <v>52869</v>
      </c>
      <c r="Y297" s="285">
        <f t="shared" si="404"/>
        <v>276065.39000000025</v>
      </c>
      <c r="Z297" s="50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22">
        <f t="shared" si="392"/>
        <v>1120.4699999999721</v>
      </c>
      <c r="AJ297" s="522">
        <f t="shared" si="458"/>
        <v>-131572.91000000021</v>
      </c>
      <c r="AK297" s="522">
        <f t="shared" si="393"/>
        <v>-130452.44000000024</v>
      </c>
      <c r="AL297" s="285">
        <f t="shared" si="410"/>
        <v>275873.19000000024</v>
      </c>
      <c r="AM297" s="426">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1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6">
        <f t="shared" si="371"/>
        <v>19</v>
      </c>
      <c r="M298" s="426">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12">
        <f t="shared" si="437"/>
        <v>52899</v>
      </c>
      <c r="Y298" s="285">
        <f t="shared" si="404"/>
        <v>275873.19000000024</v>
      </c>
      <c r="Z298" s="50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22">
        <f t="shared" si="392"/>
        <v>1100.999999999972</v>
      </c>
      <c r="AJ298" s="522">
        <f t="shared" si="458"/>
        <v>-132238.7200000002</v>
      </c>
      <c r="AK298" s="522">
        <f t="shared" si="393"/>
        <v>-131137.72000000023</v>
      </c>
      <c r="AL298" s="285">
        <f t="shared" si="410"/>
        <v>275679.99000000022</v>
      </c>
      <c r="AM298" s="426">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1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6">
        <f t="shared" si="371"/>
        <v>20</v>
      </c>
      <c r="M299" s="426">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12">
        <f t="shared" si="437"/>
        <v>52929</v>
      </c>
      <c r="Y299" s="285">
        <f t="shared" si="404"/>
        <v>275679.99000000022</v>
      </c>
      <c r="Z299" s="50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22">
        <f t="shared" si="392"/>
        <v>1081.529999999972</v>
      </c>
      <c r="AJ299" s="522">
        <f t="shared" si="458"/>
        <v>-132907.99000000019</v>
      </c>
      <c r="AK299" s="522">
        <f t="shared" si="393"/>
        <v>-131826.46000000022</v>
      </c>
      <c r="AL299" s="285">
        <f t="shared" si="410"/>
        <v>275485.7800000002</v>
      </c>
      <c r="AM299" s="426">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1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6">
        <f t="shared" si="371"/>
        <v>20</v>
      </c>
      <c r="M300" s="426">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12">
        <f t="shared" si="437"/>
        <v>52959</v>
      </c>
      <c r="Y300" s="285">
        <f t="shared" si="404"/>
        <v>275485.7800000002</v>
      </c>
      <c r="Z300" s="50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22">
        <f t="shared" si="392"/>
        <v>1062.059999999972</v>
      </c>
      <c r="AJ300" s="522">
        <f t="shared" si="458"/>
        <v>-133580.75000000023</v>
      </c>
      <c r="AK300" s="522">
        <f t="shared" si="393"/>
        <v>-132518.69000000026</v>
      </c>
      <c r="AL300" s="285">
        <f t="shared" si="410"/>
        <v>275290.56000000023</v>
      </c>
      <c r="AM300" s="426">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1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6">
        <f t="shared" si="371"/>
        <v>20</v>
      </c>
      <c r="M301" s="426">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12">
        <f t="shared" si="437"/>
        <v>52989</v>
      </c>
      <c r="Y301" s="285">
        <f t="shared" si="404"/>
        <v>275290.56000000023</v>
      </c>
      <c r="Z301" s="50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22">
        <f t="shared" si="392"/>
        <v>1042.589999999972</v>
      </c>
      <c r="AJ301" s="522">
        <f t="shared" si="458"/>
        <v>-134257.02000000025</v>
      </c>
      <c r="AK301" s="522">
        <f t="shared" si="393"/>
        <v>-133214.43000000028</v>
      </c>
      <c r="AL301" s="285">
        <f t="shared" si="410"/>
        <v>275094.33000000025</v>
      </c>
      <c r="AM301" s="426">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15">
        <f t="shared" si="397"/>
        <v>53019</v>
      </c>
      <c r="B302" s="346">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6">
        <f t="shared" si="398"/>
        <v>68541.319999999992</v>
      </c>
      <c r="J302" s="346">
        <f t="shared" si="399"/>
        <v>61443.159999999974</v>
      </c>
      <c r="K302" s="346">
        <f t="shared" si="400"/>
        <v>28990.519999999953</v>
      </c>
      <c r="L302" s="427">
        <f t="shared" si="371"/>
        <v>20</v>
      </c>
      <c r="M302" s="427">
        <f t="shared" si="435"/>
        <v>243</v>
      </c>
      <c r="N302" s="346">
        <f t="shared" si="436"/>
        <v>140837.31</v>
      </c>
      <c r="O302" s="346">
        <f t="shared" si="401"/>
        <v>1610.57</v>
      </c>
      <c r="P302" s="346">
        <f t="shared" si="444"/>
        <v>877.04</v>
      </c>
      <c r="Q302" s="346">
        <f t="shared" si="402"/>
        <v>733.53</v>
      </c>
      <c r="R302" s="346">
        <f t="shared" si="389"/>
        <v>134.16999999999999</v>
      </c>
      <c r="S302" s="346">
        <f t="shared" si="390"/>
        <v>188.55</v>
      </c>
      <c r="T302" s="346">
        <f t="shared" si="387"/>
        <v>1933.29</v>
      </c>
      <c r="U302" s="346">
        <f t="shared" si="445"/>
        <v>121615.72999999994</v>
      </c>
      <c r="V302" s="346">
        <f t="shared" si="446"/>
        <v>271363.34999999998</v>
      </c>
      <c r="W302" s="346">
        <f t="shared" si="403"/>
        <v>139960.26999999999</v>
      </c>
      <c r="X302" s="515">
        <f t="shared" si="437"/>
        <v>53019</v>
      </c>
      <c r="Y302" s="346">
        <f t="shared" si="404"/>
        <v>275094.33000000025</v>
      </c>
      <c r="Z302" s="505">
        <f t="shared" si="429"/>
        <v>6.25E-2</v>
      </c>
      <c r="AA302" s="346">
        <f t="shared" si="430"/>
        <v>1630.04</v>
      </c>
      <c r="AB302" s="346">
        <f t="shared" si="405"/>
        <v>197.26</v>
      </c>
      <c r="AC302" s="346">
        <f t="shared" si="431"/>
        <v>1432.78</v>
      </c>
      <c r="AD302" s="346">
        <f t="shared" ref="AD302:AE302" si="478">+AD301</f>
        <v>134.16999999999999</v>
      </c>
      <c r="AE302" s="346">
        <f t="shared" si="478"/>
        <v>188.55</v>
      </c>
      <c r="AF302" s="346">
        <f t="shared" si="407"/>
        <v>1952.76</v>
      </c>
      <c r="AG302" s="346">
        <f t="shared" si="408"/>
        <v>56296.329999999965</v>
      </c>
      <c r="AH302" s="346">
        <f t="shared" si="409"/>
        <v>335659.6300000003</v>
      </c>
      <c r="AI302" s="523">
        <f t="shared" si="392"/>
        <v>1023.1199999999719</v>
      </c>
      <c r="AJ302" s="523">
        <f t="shared" si="458"/>
        <v>-134936.80000000025</v>
      </c>
      <c r="AK302" s="522">
        <f t="shared" si="393"/>
        <v>-133913.68000000028</v>
      </c>
      <c r="AL302" s="346">
        <f t="shared" si="410"/>
        <v>274897.07000000024</v>
      </c>
      <c r="AM302" s="427">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6">
        <f t="shared" si="441"/>
        <v>1338.9221734661294</v>
      </c>
      <c r="AV302" s="346">
        <f t="shared" si="442"/>
        <v>275331.79155991785</v>
      </c>
    </row>
    <row r="303" spans="1:48" x14ac:dyDescent="0.25">
      <c r="A303" s="51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6">
        <f t="shared" ref="L303:L366" si="479">IF(MOD(M303,12)=0,M303/12,L302)</f>
        <v>20</v>
      </c>
      <c r="M303" s="426">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12">
        <f t="shared" si="437"/>
        <v>53049</v>
      </c>
      <c r="Y303" s="285">
        <f t="shared" si="404"/>
        <v>274897.07000000024</v>
      </c>
      <c r="Z303" s="50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22">
        <f t="shared" si="392"/>
        <v>1003.6499999999719</v>
      </c>
      <c r="AJ303" s="522">
        <f t="shared" si="458"/>
        <v>-135620.13000000021</v>
      </c>
      <c r="AK303" s="522">
        <f t="shared" si="393"/>
        <v>-134616.48000000024</v>
      </c>
      <c r="AL303" s="285">
        <f t="shared" si="410"/>
        <v>274698.79000000021</v>
      </c>
      <c r="AM303" s="426">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1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6">
        <f t="shared" si="479"/>
        <v>20</v>
      </c>
      <c r="M304" s="426">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12">
        <f t="shared" si="437"/>
        <v>53079</v>
      </c>
      <c r="Y304" s="285">
        <f t="shared" si="404"/>
        <v>274698.79000000021</v>
      </c>
      <c r="Z304" s="50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22">
        <f t="shared" si="392"/>
        <v>984.17999999997187</v>
      </c>
      <c r="AJ304" s="522">
        <f t="shared" si="458"/>
        <v>-136307.01000000021</v>
      </c>
      <c r="AK304" s="522">
        <f t="shared" si="393"/>
        <v>-135322.83000000025</v>
      </c>
      <c r="AL304" s="285">
        <f t="shared" si="410"/>
        <v>274499.4700000002</v>
      </c>
      <c r="AM304" s="426">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1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6">
        <f t="shared" si="479"/>
        <v>20</v>
      </c>
      <c r="M305" s="426">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12">
        <f t="shared" si="437"/>
        <v>53109</v>
      </c>
      <c r="Y305" s="285">
        <f t="shared" si="404"/>
        <v>274499.4700000002</v>
      </c>
      <c r="Z305" s="50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22">
        <f t="shared" si="392"/>
        <v>964.70999999997184</v>
      </c>
      <c r="AJ305" s="522">
        <f t="shared" si="458"/>
        <v>-136997.47000000023</v>
      </c>
      <c r="AK305" s="522">
        <f t="shared" si="393"/>
        <v>-136032.76000000027</v>
      </c>
      <c r="AL305" s="285">
        <f t="shared" si="410"/>
        <v>274299.11000000022</v>
      </c>
      <c r="AM305" s="426">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1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6">
        <f t="shared" si="479"/>
        <v>20</v>
      </c>
      <c r="M306" s="426">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12">
        <f t="shared" si="437"/>
        <v>53139</v>
      </c>
      <c r="Y306" s="285">
        <f t="shared" si="404"/>
        <v>274299.11000000022</v>
      </c>
      <c r="Z306" s="50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22">
        <f t="shared" si="392"/>
        <v>945.23999999997181</v>
      </c>
      <c r="AJ306" s="522">
        <f t="shared" si="458"/>
        <v>-137691.5300000002</v>
      </c>
      <c r="AK306" s="522">
        <f t="shared" si="393"/>
        <v>-136746.29000000024</v>
      </c>
      <c r="AL306" s="285">
        <f t="shared" si="410"/>
        <v>274097.7100000002</v>
      </c>
      <c r="AM306" s="426">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1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6">
        <f t="shared" si="479"/>
        <v>20</v>
      </c>
      <c r="M307" s="426">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12">
        <f t="shared" si="437"/>
        <v>53169</v>
      </c>
      <c r="Y307" s="285">
        <f t="shared" si="404"/>
        <v>274097.7100000002</v>
      </c>
      <c r="Z307" s="50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22">
        <f t="shared" si="392"/>
        <v>925.76999999997179</v>
      </c>
      <c r="AJ307" s="522">
        <f t="shared" si="458"/>
        <v>-138389.20000000019</v>
      </c>
      <c r="AK307" s="522">
        <f t="shared" si="393"/>
        <v>-137463.43000000023</v>
      </c>
      <c r="AL307" s="285">
        <f t="shared" si="410"/>
        <v>273895.26000000018</v>
      </c>
      <c r="AM307" s="426">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1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6">
        <f t="shared" si="479"/>
        <v>20</v>
      </c>
      <c r="M308" s="426">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12">
        <f t="shared" si="437"/>
        <v>53199</v>
      </c>
      <c r="Y308" s="285">
        <f t="shared" si="404"/>
        <v>273895.26000000018</v>
      </c>
      <c r="Z308" s="50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22">
        <f t="shared" si="392"/>
        <v>906.29999999997176</v>
      </c>
      <c r="AJ308" s="522">
        <f t="shared" si="458"/>
        <v>-139090.51000000018</v>
      </c>
      <c r="AK308" s="522">
        <f t="shared" si="393"/>
        <v>-138184.21000000022</v>
      </c>
      <c r="AL308" s="285">
        <f t="shared" si="410"/>
        <v>273691.76000000018</v>
      </c>
      <c r="AM308" s="426">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1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6">
        <f t="shared" si="479"/>
        <v>20</v>
      </c>
      <c r="M309" s="426">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12">
        <f t="shared" si="437"/>
        <v>53229</v>
      </c>
      <c r="Y309" s="285">
        <f t="shared" si="404"/>
        <v>273691.76000000018</v>
      </c>
      <c r="Z309" s="50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22">
        <f t="shared" si="392"/>
        <v>886.82999999997173</v>
      </c>
      <c r="AJ309" s="522">
        <f t="shared" si="458"/>
        <v>-139795.47000000018</v>
      </c>
      <c r="AK309" s="522">
        <f t="shared" si="393"/>
        <v>-138908.64000000022</v>
      </c>
      <c r="AL309" s="285">
        <f t="shared" si="410"/>
        <v>273487.20000000019</v>
      </c>
      <c r="AM309" s="426">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1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6">
        <f t="shared" si="479"/>
        <v>20</v>
      </c>
      <c r="M310" s="426">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12">
        <f t="shared" si="437"/>
        <v>53259</v>
      </c>
      <c r="Y310" s="285">
        <f t="shared" si="404"/>
        <v>273487.20000000019</v>
      </c>
      <c r="Z310" s="50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22">
        <f t="shared" si="392"/>
        <v>867.35999999997171</v>
      </c>
      <c r="AJ310" s="522">
        <f t="shared" si="458"/>
        <v>-140504.10000000018</v>
      </c>
      <c r="AK310" s="522">
        <f t="shared" si="393"/>
        <v>-139636.74000000019</v>
      </c>
      <c r="AL310" s="285">
        <f t="shared" si="410"/>
        <v>273281.57000000018</v>
      </c>
      <c r="AM310" s="426">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1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6">
        <f t="shared" si="479"/>
        <v>21</v>
      </c>
      <c r="M311" s="426">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12">
        <f t="shared" si="437"/>
        <v>53289</v>
      </c>
      <c r="Y311" s="285">
        <f t="shared" si="404"/>
        <v>273281.57000000018</v>
      </c>
      <c r="Z311" s="50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22">
        <f t="shared" si="392"/>
        <v>847.88999999997168</v>
      </c>
      <c r="AJ311" s="522">
        <f t="shared" si="458"/>
        <v>-141216.42000000016</v>
      </c>
      <c r="AK311" s="522">
        <f t="shared" si="393"/>
        <v>-140368.53000000017</v>
      </c>
      <c r="AL311" s="285">
        <f t="shared" si="410"/>
        <v>273074.87000000017</v>
      </c>
      <c r="AM311" s="426">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1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6">
        <f t="shared" si="479"/>
        <v>21</v>
      </c>
      <c r="M312" s="426">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12">
        <f t="shared" si="437"/>
        <v>53319</v>
      </c>
      <c r="Y312" s="285">
        <f t="shared" si="404"/>
        <v>273074.87000000017</v>
      </c>
      <c r="Z312" s="50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22">
        <f t="shared" si="392"/>
        <v>828.41999999997165</v>
      </c>
      <c r="AJ312" s="522">
        <f t="shared" si="458"/>
        <v>-141932.45000000013</v>
      </c>
      <c r="AK312" s="522">
        <f t="shared" si="393"/>
        <v>-141104.03000000014</v>
      </c>
      <c r="AL312" s="285">
        <f t="shared" si="410"/>
        <v>272867.09000000014</v>
      </c>
      <c r="AM312" s="426">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1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6">
        <f t="shared" si="479"/>
        <v>21</v>
      </c>
      <c r="M313" s="426">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12">
        <f t="shared" si="437"/>
        <v>53349</v>
      </c>
      <c r="Y313" s="285">
        <f t="shared" si="404"/>
        <v>272867.09000000014</v>
      </c>
      <c r="Z313" s="50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22">
        <f t="shared" si="392"/>
        <v>808.94999999997162</v>
      </c>
      <c r="AJ313" s="522">
        <f t="shared" si="458"/>
        <v>-142652.21000000014</v>
      </c>
      <c r="AK313" s="522">
        <f t="shared" si="393"/>
        <v>-141843.26000000015</v>
      </c>
      <c r="AL313" s="285">
        <f t="shared" si="410"/>
        <v>272658.23000000016</v>
      </c>
      <c r="AM313" s="426">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15">
        <f t="shared" si="397"/>
        <v>53379</v>
      </c>
      <c r="B314" s="346">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6">
        <f t="shared" si="398"/>
        <v>72932.499999999985</v>
      </c>
      <c r="J314" s="346">
        <f t="shared" si="399"/>
        <v>62455.339999999975</v>
      </c>
      <c r="K314" s="346">
        <f t="shared" si="400"/>
        <v>24599.339999999949</v>
      </c>
      <c r="L314" s="427">
        <f t="shared" si="479"/>
        <v>21</v>
      </c>
      <c r="M314" s="427">
        <f t="shared" si="435"/>
        <v>255</v>
      </c>
      <c r="N314" s="346">
        <f t="shared" si="436"/>
        <v>130006.02000000002</v>
      </c>
      <c r="O314" s="346">
        <f t="shared" si="401"/>
        <v>1610.57</v>
      </c>
      <c r="P314" s="346">
        <f t="shared" si="444"/>
        <v>933.45999999999992</v>
      </c>
      <c r="Q314" s="346">
        <f t="shared" si="402"/>
        <v>677.11</v>
      </c>
      <c r="R314" s="346">
        <f t="shared" si="389"/>
        <v>134.16999999999999</v>
      </c>
      <c r="S314" s="346">
        <f t="shared" si="390"/>
        <v>188.55</v>
      </c>
      <c r="T314" s="346">
        <f t="shared" si="387"/>
        <v>1933.29</v>
      </c>
      <c r="U314" s="346">
        <f t="shared" si="445"/>
        <v>132503.43999999994</v>
      </c>
      <c r="V314" s="346">
        <f t="shared" si="446"/>
        <v>279802.48</v>
      </c>
      <c r="W314" s="346">
        <f t="shared" si="403"/>
        <v>129072.56000000001</v>
      </c>
      <c r="X314" s="515">
        <f t="shared" si="437"/>
        <v>53379</v>
      </c>
      <c r="Y314" s="346">
        <f t="shared" si="404"/>
        <v>272658.23000000016</v>
      </c>
      <c r="Z314" s="505">
        <f t="shared" si="429"/>
        <v>6.25E-2</v>
      </c>
      <c r="AA314" s="346">
        <f t="shared" si="430"/>
        <v>1630.04</v>
      </c>
      <c r="AB314" s="346">
        <f t="shared" si="405"/>
        <v>209.95000000000005</v>
      </c>
      <c r="AC314" s="346">
        <f t="shared" si="431"/>
        <v>1420.09</v>
      </c>
      <c r="AD314" s="346">
        <f t="shared" ref="AD314:AE314" si="493">+AD313</f>
        <v>134.16999999999999</v>
      </c>
      <c r="AE314" s="346">
        <f t="shared" si="493"/>
        <v>188.55</v>
      </c>
      <c r="AF314" s="346">
        <f t="shared" si="407"/>
        <v>1952.76</v>
      </c>
      <c r="AG314" s="346">
        <f t="shared" si="408"/>
        <v>58745.119999999952</v>
      </c>
      <c r="AH314" s="346">
        <f t="shared" si="409"/>
        <v>352771.3200000003</v>
      </c>
      <c r="AI314" s="523">
        <f t="shared" si="392"/>
        <v>789.4799999999716</v>
      </c>
      <c r="AJ314" s="523">
        <f t="shared" si="458"/>
        <v>-143375.72000000015</v>
      </c>
      <c r="AK314" s="522">
        <f t="shared" si="393"/>
        <v>-142586.24000000017</v>
      </c>
      <c r="AL314" s="346">
        <f t="shared" si="410"/>
        <v>272448.28000000014</v>
      </c>
      <c r="AM314" s="427">
        <f t="shared" si="439"/>
        <v>21</v>
      </c>
      <c r="AN314" s="21">
        <f t="shared" si="394"/>
        <v>1160.29</v>
      </c>
      <c r="AO314" s="21">
        <f t="shared" si="477"/>
        <v>174394.46000000008</v>
      </c>
      <c r="AP314" s="21">
        <f t="shared" si="395"/>
        <v>1179.76</v>
      </c>
      <c r="AQ314" s="21"/>
      <c r="AR314" s="23"/>
      <c r="AS314" s="21">
        <f t="shared" si="433"/>
        <v>1160.29</v>
      </c>
      <c r="AT314" s="21">
        <f t="shared" si="440"/>
        <v>296553.68</v>
      </c>
      <c r="AU314" s="346">
        <f t="shared" si="441"/>
        <v>1379.6467726048147</v>
      </c>
      <c r="AV314" s="346">
        <f t="shared" si="442"/>
        <v>291662.35581453063</v>
      </c>
    </row>
    <row r="315" spans="1:48" x14ac:dyDescent="0.25">
      <c r="A315" s="51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6">
        <f t="shared" si="479"/>
        <v>21</v>
      </c>
      <c r="M315" s="426">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12">
        <f t="shared" si="437"/>
        <v>53409</v>
      </c>
      <c r="Y315" s="285">
        <f t="shared" si="404"/>
        <v>272448.28000000014</v>
      </c>
      <c r="Z315" s="50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22">
        <f t="shared" si="392"/>
        <v>770.00999999997157</v>
      </c>
      <c r="AJ315" s="522">
        <f t="shared" si="458"/>
        <v>-144103.00000000017</v>
      </c>
      <c r="AK315" s="522">
        <f t="shared" si="393"/>
        <v>-143332.99000000019</v>
      </c>
      <c r="AL315" s="285">
        <f t="shared" si="410"/>
        <v>272237.24000000017</v>
      </c>
      <c r="AM315" s="426">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1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6">
        <f t="shared" si="479"/>
        <v>21</v>
      </c>
      <c r="M316" s="426">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12">
        <f t="shared" si="437"/>
        <v>53439</v>
      </c>
      <c r="Y316" s="285">
        <f t="shared" si="404"/>
        <v>272237.24000000017</v>
      </c>
      <c r="Z316" s="50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22">
        <f t="shared" ref="AI316:AI379" si="505">O316-AA316+AI315</f>
        <v>750.53999999997154</v>
      </c>
      <c r="AJ316" s="522">
        <f t="shared" si="458"/>
        <v>-144834.06000000014</v>
      </c>
      <c r="AK316" s="522">
        <f t="shared" ref="AK316:AK379" si="506">SUM(AI316:AJ316)</f>
        <v>-144083.52000000016</v>
      </c>
      <c r="AL316" s="285">
        <f t="shared" si="410"/>
        <v>272025.10000000015</v>
      </c>
      <c r="AM316" s="426">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1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6">
        <f t="shared" si="479"/>
        <v>21</v>
      </c>
      <c r="M317" s="426">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12">
        <f t="shared" si="437"/>
        <v>53469</v>
      </c>
      <c r="Y317" s="285">
        <f t="shared" si="404"/>
        <v>272025.10000000015</v>
      </c>
      <c r="Z317" s="50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22">
        <f t="shared" si="505"/>
        <v>731.06999999997151</v>
      </c>
      <c r="AJ317" s="522">
        <f t="shared" si="458"/>
        <v>-145568.94000000015</v>
      </c>
      <c r="AK317" s="522">
        <f t="shared" si="506"/>
        <v>-144837.87000000017</v>
      </c>
      <c r="AL317" s="285">
        <f t="shared" si="410"/>
        <v>271811.86000000016</v>
      </c>
      <c r="AM317" s="426">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1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6">
        <f t="shared" si="479"/>
        <v>21</v>
      </c>
      <c r="M318" s="426">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12">
        <f t="shared" si="437"/>
        <v>53499</v>
      </c>
      <c r="Y318" s="285">
        <f t="shared" ref="Y318:Y381" si="512">IF(+AL317&lt;0,0,+AL317)</f>
        <v>271811.86000000016</v>
      </c>
      <c r="Z318" s="50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22">
        <f t="shared" si="505"/>
        <v>711.59999999997149</v>
      </c>
      <c r="AJ318" s="522">
        <f t="shared" si="458"/>
        <v>-146307.64000000019</v>
      </c>
      <c r="AK318" s="522">
        <f t="shared" si="506"/>
        <v>-145596.04000000021</v>
      </c>
      <c r="AL318" s="285">
        <f t="shared" ref="AL318:AL381" si="518">+Y318-AB318</f>
        <v>271597.51000000018</v>
      </c>
      <c r="AM318" s="426">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1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6">
        <f t="shared" si="479"/>
        <v>21</v>
      </c>
      <c r="M319" s="426">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12">
        <f t="shared" si="437"/>
        <v>53529</v>
      </c>
      <c r="Y319" s="285">
        <f t="shared" si="512"/>
        <v>271597.51000000018</v>
      </c>
      <c r="Z319" s="50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22">
        <f t="shared" si="505"/>
        <v>692.12999999997146</v>
      </c>
      <c r="AJ319" s="522">
        <f t="shared" si="458"/>
        <v>-147050.19000000021</v>
      </c>
      <c r="AK319" s="522">
        <f t="shared" si="506"/>
        <v>-146358.06000000023</v>
      </c>
      <c r="AL319" s="285">
        <f t="shared" si="518"/>
        <v>271382.04000000021</v>
      </c>
      <c r="AM319" s="426">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1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6">
        <f t="shared" si="479"/>
        <v>21</v>
      </c>
      <c r="M320" s="426">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12">
        <f t="shared" si="437"/>
        <v>53559</v>
      </c>
      <c r="Y320" s="285">
        <f t="shared" si="512"/>
        <v>271382.04000000021</v>
      </c>
      <c r="Z320" s="50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22">
        <f t="shared" si="505"/>
        <v>672.65999999997143</v>
      </c>
      <c r="AJ320" s="522">
        <f t="shared" si="458"/>
        <v>-147796.61000000016</v>
      </c>
      <c r="AK320" s="522">
        <f t="shared" si="506"/>
        <v>-147123.95000000019</v>
      </c>
      <c r="AL320" s="285">
        <f t="shared" si="518"/>
        <v>271165.45000000019</v>
      </c>
      <c r="AM320" s="426">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1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6">
        <f t="shared" si="479"/>
        <v>21</v>
      </c>
      <c r="M321" s="426">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12">
        <f t="shared" si="437"/>
        <v>53589</v>
      </c>
      <c r="Y321" s="285">
        <f t="shared" si="512"/>
        <v>271165.45000000019</v>
      </c>
      <c r="Z321" s="50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22">
        <f t="shared" si="505"/>
        <v>653.18999999997141</v>
      </c>
      <c r="AJ321" s="522">
        <f t="shared" si="458"/>
        <v>-148546.91000000021</v>
      </c>
      <c r="AK321" s="522">
        <f t="shared" si="506"/>
        <v>-147893.72000000023</v>
      </c>
      <c r="AL321" s="285">
        <f t="shared" si="518"/>
        <v>270947.73000000021</v>
      </c>
      <c r="AM321" s="426">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1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6">
        <f t="shared" si="479"/>
        <v>21</v>
      </c>
      <c r="M322" s="426">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12">
        <f t="shared" si="437"/>
        <v>53619</v>
      </c>
      <c r="Y322" s="285">
        <f t="shared" si="512"/>
        <v>270947.73000000021</v>
      </c>
      <c r="Z322" s="50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22">
        <f t="shared" si="505"/>
        <v>633.71999999997138</v>
      </c>
      <c r="AJ322" s="522">
        <f t="shared" si="458"/>
        <v>-149301.13000000024</v>
      </c>
      <c r="AK322" s="522">
        <f t="shared" si="506"/>
        <v>-148667.41000000027</v>
      </c>
      <c r="AL322" s="285">
        <f t="shared" si="518"/>
        <v>270728.88000000024</v>
      </c>
      <c r="AM322" s="426">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1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6">
        <f t="shared" si="479"/>
        <v>22</v>
      </c>
      <c r="M323" s="426">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12">
        <f t="shared" si="437"/>
        <v>53649</v>
      </c>
      <c r="Y323" s="285">
        <f t="shared" si="512"/>
        <v>270728.88000000024</v>
      </c>
      <c r="Z323" s="50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22">
        <f t="shared" si="505"/>
        <v>614.24999999997135</v>
      </c>
      <c r="AJ323" s="522">
        <f t="shared" si="458"/>
        <v>-150059.27000000025</v>
      </c>
      <c r="AK323" s="522">
        <f t="shared" si="506"/>
        <v>-149445.02000000028</v>
      </c>
      <c r="AL323" s="285">
        <f t="shared" si="518"/>
        <v>270508.89000000025</v>
      </c>
      <c r="AM323" s="426">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1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6">
        <f t="shared" si="479"/>
        <v>22</v>
      </c>
      <c r="M324" s="426">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12">
        <f t="shared" si="437"/>
        <v>53679</v>
      </c>
      <c r="Y324" s="285">
        <f t="shared" si="512"/>
        <v>270508.89000000025</v>
      </c>
      <c r="Z324" s="50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22">
        <f t="shared" si="505"/>
        <v>594.77999999997132</v>
      </c>
      <c r="AJ324" s="522">
        <f t="shared" si="458"/>
        <v>-150821.36000000022</v>
      </c>
      <c r="AK324" s="522">
        <f t="shared" si="506"/>
        <v>-150226.58000000025</v>
      </c>
      <c r="AL324" s="285">
        <f t="shared" si="518"/>
        <v>270287.75000000023</v>
      </c>
      <c r="AM324" s="426">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1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6">
        <f t="shared" si="479"/>
        <v>22</v>
      </c>
      <c r="M325" s="426">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12">
        <f t="shared" si="437"/>
        <v>53709</v>
      </c>
      <c r="Y325" s="285">
        <f t="shared" si="512"/>
        <v>270287.75000000023</v>
      </c>
      <c r="Z325" s="50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22">
        <f t="shared" si="505"/>
        <v>575.3099999999713</v>
      </c>
      <c r="AJ325" s="522">
        <f t="shared" si="458"/>
        <v>-151587.42000000027</v>
      </c>
      <c r="AK325" s="522">
        <f t="shared" si="506"/>
        <v>-151012.11000000031</v>
      </c>
      <c r="AL325" s="285">
        <f t="shared" si="518"/>
        <v>270065.46000000025</v>
      </c>
      <c r="AM325" s="426">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15">
        <f t="shared" si="494"/>
        <v>53739</v>
      </c>
      <c r="B326" s="346">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6">
        <f t="shared" si="496"/>
        <v>77491.199999999997</v>
      </c>
      <c r="J326" s="346">
        <f t="shared" si="497"/>
        <v>63299.999999999978</v>
      </c>
      <c r="K326" s="346">
        <f t="shared" si="498"/>
        <v>20040.639999999948</v>
      </c>
      <c r="L326" s="427">
        <f t="shared" si="479"/>
        <v>22</v>
      </c>
      <c r="M326" s="427">
        <f t="shared" si="435"/>
        <v>267</v>
      </c>
      <c r="N326" s="346">
        <f t="shared" si="436"/>
        <v>118478.04</v>
      </c>
      <c r="O326" s="346">
        <f t="shared" si="510"/>
        <v>1610.57</v>
      </c>
      <c r="P326" s="346">
        <f t="shared" si="444"/>
        <v>993.49999999999989</v>
      </c>
      <c r="Q326" s="346">
        <f t="shared" si="511"/>
        <v>617.07000000000005</v>
      </c>
      <c r="R326" s="346">
        <f t="shared" si="502"/>
        <v>134.16999999999999</v>
      </c>
      <c r="S326" s="346">
        <f t="shared" si="503"/>
        <v>188.55</v>
      </c>
      <c r="T326" s="346">
        <f t="shared" si="499"/>
        <v>1933.29</v>
      </c>
      <c r="U326" s="346">
        <f t="shared" si="445"/>
        <v>144091.45999999996</v>
      </c>
      <c r="V326" s="346">
        <f t="shared" si="446"/>
        <v>287541.3</v>
      </c>
      <c r="W326" s="346">
        <f t="shared" si="500"/>
        <v>117484.54</v>
      </c>
      <c r="X326" s="515">
        <f t="shared" si="437"/>
        <v>53739</v>
      </c>
      <c r="Y326" s="346">
        <f t="shared" si="512"/>
        <v>270065.46000000025</v>
      </c>
      <c r="Z326" s="505">
        <f t="shared" si="429"/>
        <v>6.25E-2</v>
      </c>
      <c r="AA326" s="346">
        <f t="shared" si="430"/>
        <v>1630.04</v>
      </c>
      <c r="AB326" s="346">
        <f t="shared" si="513"/>
        <v>223.45000000000005</v>
      </c>
      <c r="AC326" s="346">
        <f t="shared" si="431"/>
        <v>1406.59</v>
      </c>
      <c r="AD326" s="346">
        <f t="shared" ref="AD326:AE326" si="526">+AD325</f>
        <v>134.16999999999999</v>
      </c>
      <c r="AE326" s="346">
        <f t="shared" si="526"/>
        <v>188.55</v>
      </c>
      <c r="AF326" s="346">
        <f t="shared" si="515"/>
        <v>1952.76</v>
      </c>
      <c r="AG326" s="346">
        <f t="shared" si="516"/>
        <v>61351.389999999941</v>
      </c>
      <c r="AH326" s="346">
        <f t="shared" si="517"/>
        <v>369725.53000000038</v>
      </c>
      <c r="AI326" s="523">
        <f t="shared" si="505"/>
        <v>555.83999999997127</v>
      </c>
      <c r="AJ326" s="523">
        <f t="shared" si="458"/>
        <v>-152357.47000000026</v>
      </c>
      <c r="AK326" s="522">
        <f t="shared" si="506"/>
        <v>-151801.6300000003</v>
      </c>
      <c r="AL326" s="346">
        <f t="shared" si="518"/>
        <v>269842.01000000024</v>
      </c>
      <c r="AM326" s="427">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6">
        <f t="shared" si="441"/>
        <v>1421.6100493962219</v>
      </c>
      <c r="AV326" s="346">
        <f t="shared" si="442"/>
        <v>308489.62980788504</v>
      </c>
    </row>
    <row r="327" spans="1:48" x14ac:dyDescent="0.25">
      <c r="A327" s="51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6">
        <f t="shared" si="479"/>
        <v>22</v>
      </c>
      <c r="M327" s="426">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12">
        <f t="shared" si="437"/>
        <v>53769</v>
      </c>
      <c r="Y327" s="285">
        <f t="shared" si="512"/>
        <v>269842.01000000024</v>
      </c>
      <c r="Z327" s="50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22">
        <f t="shared" si="505"/>
        <v>536.36999999997124</v>
      </c>
      <c r="AJ327" s="522">
        <f t="shared" si="458"/>
        <v>-153131.53000000026</v>
      </c>
      <c r="AK327" s="522">
        <f t="shared" si="506"/>
        <v>-152595.16000000029</v>
      </c>
      <c r="AL327" s="285">
        <f t="shared" si="518"/>
        <v>269617.40000000026</v>
      </c>
      <c r="AM327" s="426">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1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6">
        <f t="shared" si="479"/>
        <v>22</v>
      </c>
      <c r="M328" s="426">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12">
        <f t="shared" si="437"/>
        <v>53799</v>
      </c>
      <c r="Y328" s="285">
        <f t="shared" si="512"/>
        <v>269617.40000000026</v>
      </c>
      <c r="Z328" s="50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22">
        <f t="shared" si="505"/>
        <v>516.89999999997121</v>
      </c>
      <c r="AJ328" s="522">
        <f t="shared" si="458"/>
        <v>-153909.62000000023</v>
      </c>
      <c r="AK328" s="522">
        <f t="shared" si="506"/>
        <v>-153392.72000000026</v>
      </c>
      <c r="AL328" s="285">
        <f t="shared" si="518"/>
        <v>269391.62000000023</v>
      </c>
      <c r="AM328" s="426">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1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6">
        <f t="shared" si="479"/>
        <v>22</v>
      </c>
      <c r="M329" s="426">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12">
        <f t="shared" si="437"/>
        <v>53829</v>
      </c>
      <c r="Y329" s="285">
        <f t="shared" si="512"/>
        <v>269391.62000000023</v>
      </c>
      <c r="Z329" s="50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22">
        <f t="shared" si="505"/>
        <v>497.42999999997119</v>
      </c>
      <c r="AJ329" s="522">
        <f t="shared" si="458"/>
        <v>-154691.76000000021</v>
      </c>
      <c r="AK329" s="522">
        <f t="shared" si="506"/>
        <v>-154194.33000000025</v>
      </c>
      <c r="AL329" s="285">
        <f t="shared" si="518"/>
        <v>269164.66000000021</v>
      </c>
      <c r="AM329" s="426">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1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6">
        <f t="shared" si="479"/>
        <v>22</v>
      </c>
      <c r="M330" s="426">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12">
        <f t="shared" si="437"/>
        <v>53859</v>
      </c>
      <c r="Y330" s="285">
        <f t="shared" si="512"/>
        <v>269164.66000000021</v>
      </c>
      <c r="Z330" s="50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22">
        <f t="shared" si="505"/>
        <v>477.95999999997116</v>
      </c>
      <c r="AJ330" s="522">
        <f t="shared" si="458"/>
        <v>-155477.98000000021</v>
      </c>
      <c r="AK330" s="522">
        <f t="shared" si="506"/>
        <v>-155000.02000000025</v>
      </c>
      <c r="AL330" s="285">
        <f t="shared" si="518"/>
        <v>268936.52000000019</v>
      </c>
      <c r="AM330" s="426">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1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6">
        <f t="shared" si="479"/>
        <v>22</v>
      </c>
      <c r="M331" s="426">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12">
        <f t="shared" si="437"/>
        <v>53889</v>
      </c>
      <c r="Y331" s="285">
        <f t="shared" si="512"/>
        <v>268936.52000000019</v>
      </c>
      <c r="Z331" s="50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22">
        <f t="shared" si="505"/>
        <v>458.48999999997113</v>
      </c>
      <c r="AJ331" s="522">
        <f t="shared" si="458"/>
        <v>-156268.29000000018</v>
      </c>
      <c r="AK331" s="522">
        <f t="shared" si="506"/>
        <v>-155809.80000000022</v>
      </c>
      <c r="AL331" s="285">
        <f t="shared" si="518"/>
        <v>268707.19000000018</v>
      </c>
      <c r="AM331" s="426">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1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6">
        <f t="shared" si="479"/>
        <v>22</v>
      </c>
      <c r="M332" s="426">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12">
        <f t="shared" si="437"/>
        <v>53919</v>
      </c>
      <c r="Y332" s="285">
        <f t="shared" si="512"/>
        <v>268707.19000000018</v>
      </c>
      <c r="Z332" s="50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22">
        <f t="shared" si="505"/>
        <v>439.01999999997111</v>
      </c>
      <c r="AJ332" s="522">
        <f t="shared" si="458"/>
        <v>-157062.72000000015</v>
      </c>
      <c r="AK332" s="522">
        <f t="shared" si="506"/>
        <v>-156623.70000000019</v>
      </c>
      <c r="AL332" s="285">
        <f t="shared" si="518"/>
        <v>268476.67000000016</v>
      </c>
      <c r="AM332" s="426">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1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6">
        <f t="shared" si="479"/>
        <v>22</v>
      </c>
      <c r="M333" s="426">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12">
        <f t="shared" si="437"/>
        <v>53949</v>
      </c>
      <c r="Y333" s="285">
        <f t="shared" si="512"/>
        <v>268476.67000000016</v>
      </c>
      <c r="Z333" s="50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22">
        <f t="shared" si="505"/>
        <v>419.54999999997108</v>
      </c>
      <c r="AJ333" s="522">
        <f t="shared" si="458"/>
        <v>-157861.29000000018</v>
      </c>
      <c r="AK333" s="522">
        <f t="shared" si="506"/>
        <v>-157441.74000000022</v>
      </c>
      <c r="AL333" s="285">
        <f t="shared" si="518"/>
        <v>268244.95000000019</v>
      </c>
      <c r="AM333" s="426">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1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6">
        <f t="shared" si="479"/>
        <v>22</v>
      </c>
      <c r="M334" s="426">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12">
        <f t="shared" si="437"/>
        <v>53979</v>
      </c>
      <c r="Y334" s="285">
        <f t="shared" si="512"/>
        <v>268244.95000000019</v>
      </c>
      <c r="Z334" s="50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22">
        <f t="shared" si="505"/>
        <v>400.07999999997105</v>
      </c>
      <c r="AJ334" s="522">
        <f t="shared" si="458"/>
        <v>-158664.02000000019</v>
      </c>
      <c r="AK334" s="522">
        <f t="shared" si="506"/>
        <v>-158263.94000000024</v>
      </c>
      <c r="AL334" s="285">
        <f t="shared" si="518"/>
        <v>268012.02000000019</v>
      </c>
      <c r="AM334" s="426">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1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6">
        <f t="shared" si="479"/>
        <v>23</v>
      </c>
      <c r="M335" s="426">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12">
        <f t="shared" si="437"/>
        <v>54009</v>
      </c>
      <c r="Y335" s="285">
        <f t="shared" si="512"/>
        <v>268012.02000000019</v>
      </c>
      <c r="Z335" s="50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22">
        <f t="shared" si="505"/>
        <v>380.60999999997102</v>
      </c>
      <c r="AJ335" s="522">
        <f t="shared" si="458"/>
        <v>-159470.93000000017</v>
      </c>
      <c r="AK335" s="522">
        <f t="shared" si="506"/>
        <v>-159090.32000000021</v>
      </c>
      <c r="AL335" s="285">
        <f t="shared" si="518"/>
        <v>267777.88000000018</v>
      </c>
      <c r="AM335" s="426">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1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6">
        <f t="shared" si="479"/>
        <v>23</v>
      </c>
      <c r="M336" s="426">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12">
        <f t="shared" ref="X336:X399" si="545">+A336</f>
        <v>54039</v>
      </c>
      <c r="Y336" s="285">
        <f t="shared" si="512"/>
        <v>267777.88000000018</v>
      </c>
      <c r="Z336" s="50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22">
        <f t="shared" si="505"/>
        <v>361.139999999971</v>
      </c>
      <c r="AJ336" s="522">
        <f t="shared" si="458"/>
        <v>-160282.04000000021</v>
      </c>
      <c r="AK336" s="522">
        <f t="shared" si="506"/>
        <v>-159920.90000000023</v>
      </c>
      <c r="AL336" s="285">
        <f t="shared" si="518"/>
        <v>267542.52000000019</v>
      </c>
      <c r="AM336" s="426">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1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6">
        <f t="shared" si="479"/>
        <v>23</v>
      </c>
      <c r="M337" s="426">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12">
        <f t="shared" si="545"/>
        <v>54069</v>
      </c>
      <c r="Y337" s="285">
        <f t="shared" si="512"/>
        <v>267542.52000000019</v>
      </c>
      <c r="Z337" s="50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22">
        <f t="shared" si="505"/>
        <v>341.66999999997097</v>
      </c>
      <c r="AJ337" s="522">
        <f t="shared" si="458"/>
        <v>-161097.37000000017</v>
      </c>
      <c r="AK337" s="522">
        <f t="shared" si="506"/>
        <v>-160755.70000000019</v>
      </c>
      <c r="AL337" s="285">
        <f t="shared" si="518"/>
        <v>267305.93000000017</v>
      </c>
      <c r="AM337" s="426">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15">
        <f t="shared" si="494"/>
        <v>54099</v>
      </c>
      <c r="B338" s="346">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6">
        <f t="shared" si="496"/>
        <v>82223.820000000007</v>
      </c>
      <c r="J338" s="346">
        <f t="shared" si="497"/>
        <v>63970.739999999969</v>
      </c>
      <c r="K338" s="346">
        <f t="shared" si="498"/>
        <v>15308.019999999944</v>
      </c>
      <c r="L338" s="427">
        <f t="shared" si="479"/>
        <v>23</v>
      </c>
      <c r="M338" s="427">
        <f t="shared" si="543"/>
        <v>279</v>
      </c>
      <c r="N338" s="346">
        <f t="shared" si="544"/>
        <v>106208.56</v>
      </c>
      <c r="O338" s="346">
        <f t="shared" si="510"/>
        <v>1610.57</v>
      </c>
      <c r="P338" s="346">
        <f t="shared" si="552"/>
        <v>1057.4000000000001</v>
      </c>
      <c r="Q338" s="346">
        <f t="shared" si="511"/>
        <v>553.16999999999996</v>
      </c>
      <c r="R338" s="346">
        <f t="shared" si="502"/>
        <v>134.16999999999999</v>
      </c>
      <c r="S338" s="346">
        <f t="shared" si="503"/>
        <v>188.55</v>
      </c>
      <c r="T338" s="346">
        <f t="shared" si="499"/>
        <v>1933.2900000000002</v>
      </c>
      <c r="U338" s="346">
        <f t="shared" si="553"/>
        <v>156424.84</v>
      </c>
      <c r="V338" s="346">
        <f t="shared" si="554"/>
        <v>294534.76</v>
      </c>
      <c r="W338" s="346">
        <f t="shared" si="500"/>
        <v>105151.16</v>
      </c>
      <c r="X338" s="515">
        <f t="shared" si="545"/>
        <v>54099</v>
      </c>
      <c r="Y338" s="346">
        <f t="shared" si="512"/>
        <v>267305.93000000017</v>
      </c>
      <c r="Z338" s="505">
        <f t="shared" si="537"/>
        <v>6.25E-2</v>
      </c>
      <c r="AA338" s="346">
        <f t="shared" si="538"/>
        <v>1630.04</v>
      </c>
      <c r="AB338" s="346">
        <f t="shared" si="513"/>
        <v>237.81999999999994</v>
      </c>
      <c r="AC338" s="346">
        <f t="shared" si="539"/>
        <v>1392.22</v>
      </c>
      <c r="AD338" s="346">
        <f t="shared" ref="AD338:AE338" si="556">+AD337</f>
        <v>134.16999999999999</v>
      </c>
      <c r="AE338" s="346">
        <f t="shared" si="556"/>
        <v>188.55</v>
      </c>
      <c r="AF338" s="346">
        <f t="shared" si="515"/>
        <v>1952.76</v>
      </c>
      <c r="AG338" s="346">
        <f t="shared" si="516"/>
        <v>64125.289999999935</v>
      </c>
      <c r="AH338" s="346">
        <f t="shared" si="517"/>
        <v>386512.11000000045</v>
      </c>
      <c r="AI338" s="523">
        <f t="shared" si="505"/>
        <v>322.19999999997094</v>
      </c>
      <c r="AJ338" s="523">
        <f t="shared" si="458"/>
        <v>-161916.95000000016</v>
      </c>
      <c r="AK338" s="522">
        <f t="shared" si="506"/>
        <v>-161594.75000000017</v>
      </c>
      <c r="AL338" s="346">
        <f t="shared" si="518"/>
        <v>267068.11000000016</v>
      </c>
      <c r="AM338" s="427">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6">
        <f t="shared" si="549"/>
        <v>1464.8496794064661</v>
      </c>
      <c r="AV338" s="346">
        <f t="shared" si="550"/>
        <v>325828.72144199297</v>
      </c>
    </row>
    <row r="339" spans="1:48" x14ac:dyDescent="0.25">
      <c r="A339" s="51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6">
        <f t="shared" si="479"/>
        <v>23</v>
      </c>
      <c r="M339" s="426">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12">
        <f t="shared" si="545"/>
        <v>54129</v>
      </c>
      <c r="Y339" s="285">
        <f t="shared" si="512"/>
        <v>267068.11000000016</v>
      </c>
      <c r="Z339" s="50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22">
        <f t="shared" si="505"/>
        <v>302.72999999997091</v>
      </c>
      <c r="AJ339" s="522">
        <f t="shared" si="458"/>
        <v>-162740.80000000016</v>
      </c>
      <c r="AK339" s="522">
        <f t="shared" si="506"/>
        <v>-162438.07000000018</v>
      </c>
      <c r="AL339" s="285">
        <f t="shared" si="518"/>
        <v>266829.05000000016</v>
      </c>
      <c r="AM339" s="426">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1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6">
        <f t="shared" si="479"/>
        <v>23</v>
      </c>
      <c r="M340" s="426">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12">
        <f t="shared" si="545"/>
        <v>54159</v>
      </c>
      <c r="Y340" s="285">
        <f t="shared" si="512"/>
        <v>266829.05000000016</v>
      </c>
      <c r="Z340" s="50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22">
        <f t="shared" si="505"/>
        <v>283.25999999997089</v>
      </c>
      <c r="AJ340" s="522">
        <f t="shared" si="458"/>
        <v>-163568.93000000017</v>
      </c>
      <c r="AK340" s="522">
        <f t="shared" si="506"/>
        <v>-163285.67000000019</v>
      </c>
      <c r="AL340" s="285">
        <f t="shared" si="518"/>
        <v>266588.74000000017</v>
      </c>
      <c r="AM340" s="426">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1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6">
        <f t="shared" si="479"/>
        <v>23</v>
      </c>
      <c r="M341" s="426">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12">
        <f t="shared" si="545"/>
        <v>54189</v>
      </c>
      <c r="Y341" s="285">
        <f t="shared" si="512"/>
        <v>266588.74000000017</v>
      </c>
      <c r="Z341" s="50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22">
        <f t="shared" si="505"/>
        <v>263.78999999997086</v>
      </c>
      <c r="AJ341" s="522">
        <f t="shared" si="458"/>
        <v>-164401.38000000018</v>
      </c>
      <c r="AK341" s="522">
        <f t="shared" si="506"/>
        <v>-164137.5900000002</v>
      </c>
      <c r="AL341" s="285">
        <f t="shared" si="518"/>
        <v>266347.18000000017</v>
      </c>
      <c r="AM341" s="426">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1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6">
        <f t="shared" si="479"/>
        <v>23</v>
      </c>
      <c r="M342" s="426">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12">
        <f t="shared" si="545"/>
        <v>54219</v>
      </c>
      <c r="Y342" s="285">
        <f t="shared" si="512"/>
        <v>266347.18000000017</v>
      </c>
      <c r="Z342" s="50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22">
        <f t="shared" si="505"/>
        <v>244.31999999997083</v>
      </c>
      <c r="AJ342" s="522">
        <f t="shared" si="458"/>
        <v>-165238.16000000015</v>
      </c>
      <c r="AK342" s="522">
        <f t="shared" si="506"/>
        <v>-164993.84000000017</v>
      </c>
      <c r="AL342" s="285">
        <f t="shared" si="518"/>
        <v>266104.36000000016</v>
      </c>
      <c r="AM342" s="426">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1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6">
        <f t="shared" si="479"/>
        <v>23</v>
      </c>
      <c r="M343" s="426">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12">
        <f t="shared" si="545"/>
        <v>54249</v>
      </c>
      <c r="Y343" s="285">
        <f t="shared" si="512"/>
        <v>266104.36000000016</v>
      </c>
      <c r="Z343" s="50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22">
        <f t="shared" si="505"/>
        <v>224.84999999997081</v>
      </c>
      <c r="AJ343" s="522">
        <f t="shared" si="458"/>
        <v>-166079.31000000014</v>
      </c>
      <c r="AK343" s="522">
        <f t="shared" si="506"/>
        <v>-165854.46000000017</v>
      </c>
      <c r="AL343" s="285">
        <f t="shared" si="518"/>
        <v>265860.28000000014</v>
      </c>
      <c r="AM343" s="426">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1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6">
        <f t="shared" si="479"/>
        <v>23</v>
      </c>
      <c r="M344" s="426">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12">
        <f t="shared" si="545"/>
        <v>54279</v>
      </c>
      <c r="Y344" s="285">
        <f t="shared" si="512"/>
        <v>265860.28000000014</v>
      </c>
      <c r="Z344" s="50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22">
        <f t="shared" si="505"/>
        <v>205.37999999997078</v>
      </c>
      <c r="AJ344" s="522">
        <f t="shared" si="458"/>
        <v>-166924.84000000017</v>
      </c>
      <c r="AK344" s="522">
        <f t="shared" si="506"/>
        <v>-166719.4600000002</v>
      </c>
      <c r="AL344" s="285">
        <f t="shared" si="518"/>
        <v>265614.93000000017</v>
      </c>
      <c r="AM344" s="426">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1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6">
        <f t="shared" si="479"/>
        <v>23</v>
      </c>
      <c r="M345" s="426">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12">
        <f t="shared" si="545"/>
        <v>54309</v>
      </c>
      <c r="Y345" s="285">
        <f t="shared" si="512"/>
        <v>265614.93000000017</v>
      </c>
      <c r="Z345" s="50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22">
        <f t="shared" si="505"/>
        <v>185.90999999997075</v>
      </c>
      <c r="AJ345" s="522">
        <f t="shared" si="458"/>
        <v>-167774.77000000016</v>
      </c>
      <c r="AK345" s="522">
        <f t="shared" si="506"/>
        <v>-167588.86000000019</v>
      </c>
      <c r="AL345" s="285">
        <f t="shared" si="518"/>
        <v>265368.30000000016</v>
      </c>
      <c r="AM345" s="426">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1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6">
        <f t="shared" si="479"/>
        <v>23</v>
      </c>
      <c r="M346" s="426">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12">
        <f t="shared" si="545"/>
        <v>54339</v>
      </c>
      <c r="Y346" s="285">
        <f t="shared" si="512"/>
        <v>265368.30000000016</v>
      </c>
      <c r="Z346" s="50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22">
        <f t="shared" si="505"/>
        <v>166.43999999997072</v>
      </c>
      <c r="AJ346" s="522">
        <f t="shared" si="458"/>
        <v>-168629.13000000018</v>
      </c>
      <c r="AK346" s="522">
        <f t="shared" si="506"/>
        <v>-168462.69000000021</v>
      </c>
      <c r="AL346" s="285">
        <f t="shared" si="518"/>
        <v>265120.39000000019</v>
      </c>
      <c r="AM346" s="426">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1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6">
        <f t="shared" si="479"/>
        <v>24</v>
      </c>
      <c r="M347" s="426">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12">
        <f t="shared" si="545"/>
        <v>54369</v>
      </c>
      <c r="Y347" s="285">
        <f t="shared" si="512"/>
        <v>265120.39000000019</v>
      </c>
      <c r="Z347" s="50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22">
        <f t="shared" si="505"/>
        <v>146.9699999999707</v>
      </c>
      <c r="AJ347" s="522">
        <f t="shared" ref="AJ347:AJ410" si="566">+W347-AL347</f>
        <v>-169487.94000000018</v>
      </c>
      <c r="AK347" s="522">
        <f t="shared" si="506"/>
        <v>-169340.9700000002</v>
      </c>
      <c r="AL347" s="285">
        <f t="shared" si="518"/>
        <v>264871.19000000018</v>
      </c>
      <c r="AM347" s="426">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1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6">
        <f t="shared" si="479"/>
        <v>24</v>
      </c>
      <c r="M348" s="426">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12">
        <f t="shared" si="545"/>
        <v>54399</v>
      </c>
      <c r="Y348" s="285">
        <f t="shared" si="512"/>
        <v>264871.19000000018</v>
      </c>
      <c r="Z348" s="50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22">
        <f t="shared" si="505"/>
        <v>127.49999999997067</v>
      </c>
      <c r="AJ348" s="522">
        <f t="shared" si="566"/>
        <v>-170351.22000000018</v>
      </c>
      <c r="AK348" s="522">
        <f t="shared" si="506"/>
        <v>-170223.7200000002</v>
      </c>
      <c r="AL348" s="285">
        <f t="shared" si="518"/>
        <v>264620.69000000018</v>
      </c>
      <c r="AM348" s="426">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1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6">
        <f t="shared" si="479"/>
        <v>24</v>
      </c>
      <c r="M349" s="426">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12">
        <f t="shared" si="545"/>
        <v>54429</v>
      </c>
      <c r="Y349" s="285">
        <f t="shared" si="512"/>
        <v>264620.69000000018</v>
      </c>
      <c r="Z349" s="50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22">
        <f t="shared" si="505"/>
        <v>108.02999999997064</v>
      </c>
      <c r="AJ349" s="522">
        <f t="shared" si="566"/>
        <v>-171218.99000000017</v>
      </c>
      <c r="AK349" s="522">
        <f t="shared" si="506"/>
        <v>-171110.9600000002</v>
      </c>
      <c r="AL349" s="285">
        <f t="shared" si="518"/>
        <v>264368.88000000018</v>
      </c>
      <c r="AM349" s="426">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15">
        <f t="shared" si="494"/>
        <v>54459</v>
      </c>
      <c r="B350" s="346">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6">
        <f t="shared" si="496"/>
        <v>87137.000000000015</v>
      </c>
      <c r="J350" s="346">
        <f t="shared" si="497"/>
        <v>64460.919999999969</v>
      </c>
      <c r="K350" s="346">
        <f t="shared" si="498"/>
        <v>10394.839999999944</v>
      </c>
      <c r="L350" s="427">
        <f t="shared" si="479"/>
        <v>24</v>
      </c>
      <c r="M350" s="427">
        <f t="shared" si="543"/>
        <v>291</v>
      </c>
      <c r="N350" s="346">
        <f t="shared" si="544"/>
        <v>93149.89</v>
      </c>
      <c r="O350" s="346">
        <f t="shared" si="510"/>
        <v>1610.57</v>
      </c>
      <c r="P350" s="346">
        <f t="shared" si="552"/>
        <v>1125.4099999999999</v>
      </c>
      <c r="Q350" s="346">
        <f t="shared" si="511"/>
        <v>485.16</v>
      </c>
      <c r="R350" s="346">
        <f t="shared" si="502"/>
        <v>134.16999999999999</v>
      </c>
      <c r="S350" s="346">
        <f t="shared" si="503"/>
        <v>188.55</v>
      </c>
      <c r="T350" s="346">
        <f t="shared" si="499"/>
        <v>1933.29</v>
      </c>
      <c r="U350" s="346">
        <f t="shared" si="553"/>
        <v>169551.52000000002</v>
      </c>
      <c r="V350" s="346">
        <f t="shared" si="554"/>
        <v>300734.91999999993</v>
      </c>
      <c r="W350" s="346">
        <f t="shared" si="500"/>
        <v>92024.48</v>
      </c>
      <c r="X350" s="515">
        <f t="shared" si="545"/>
        <v>54459</v>
      </c>
      <c r="Y350" s="346">
        <f t="shared" si="512"/>
        <v>264368.88000000018</v>
      </c>
      <c r="Z350" s="505">
        <f t="shared" si="537"/>
        <v>6.25E-2</v>
      </c>
      <c r="AA350" s="346">
        <f t="shared" si="538"/>
        <v>1630.04</v>
      </c>
      <c r="AB350" s="346">
        <f t="shared" si="513"/>
        <v>253.11999999999989</v>
      </c>
      <c r="AC350" s="346">
        <f t="shared" si="539"/>
        <v>1376.92</v>
      </c>
      <c r="AD350" s="346">
        <f t="shared" ref="AD350:AE350" si="569">+AD349</f>
        <v>134.16999999999999</v>
      </c>
      <c r="AE350" s="346">
        <f t="shared" si="569"/>
        <v>188.55</v>
      </c>
      <c r="AF350" s="346">
        <f t="shared" si="515"/>
        <v>1952.76</v>
      </c>
      <c r="AG350" s="346">
        <f t="shared" si="516"/>
        <v>67077.639999999927</v>
      </c>
      <c r="AH350" s="346">
        <f t="shared" si="517"/>
        <v>403120.24000000034</v>
      </c>
      <c r="AI350" s="523">
        <f t="shared" si="505"/>
        <v>88.559999999970614</v>
      </c>
      <c r="AJ350" s="523">
        <f t="shared" si="566"/>
        <v>-172091.2800000002</v>
      </c>
      <c r="AK350" s="522">
        <f t="shared" si="506"/>
        <v>-172002.72000000023</v>
      </c>
      <c r="AL350" s="346">
        <f t="shared" si="518"/>
        <v>264115.76000000018</v>
      </c>
      <c r="AM350" s="427">
        <f t="shared" si="547"/>
        <v>24</v>
      </c>
      <c r="AN350" s="21">
        <f t="shared" si="507"/>
        <v>1160.29</v>
      </c>
      <c r="AO350" s="21">
        <f t="shared" si="477"/>
        <v>151550.88</v>
      </c>
      <c r="AP350" s="21">
        <f t="shared" si="508"/>
        <v>1179.76</v>
      </c>
      <c r="AQ350" s="21"/>
      <c r="AR350" s="23"/>
      <c r="AS350" s="21">
        <f t="shared" si="541"/>
        <v>1160.29</v>
      </c>
      <c r="AT350" s="21">
        <f t="shared" si="548"/>
        <v>338324.11999999924</v>
      </c>
      <c r="AU350" s="346">
        <f t="shared" si="549"/>
        <v>1509.404484140058</v>
      </c>
      <c r="AV350" s="346">
        <f t="shared" si="550"/>
        <v>343695.19814016332</v>
      </c>
    </row>
    <row r="351" spans="1:48" x14ac:dyDescent="0.25">
      <c r="A351" s="51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6">
        <f t="shared" si="479"/>
        <v>24</v>
      </c>
      <c r="M351" s="426">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12">
        <f t="shared" si="545"/>
        <v>54489</v>
      </c>
      <c r="Y351" s="285">
        <f t="shared" si="512"/>
        <v>264115.76000000018</v>
      </c>
      <c r="Z351" s="50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22">
        <f t="shared" si="505"/>
        <v>69.089999999970587</v>
      </c>
      <c r="AJ351" s="522">
        <f t="shared" si="566"/>
        <v>-172968.12000000017</v>
      </c>
      <c r="AK351" s="522">
        <f t="shared" si="506"/>
        <v>-172899.0300000002</v>
      </c>
      <c r="AL351" s="285">
        <f t="shared" si="518"/>
        <v>263861.32000000018</v>
      </c>
      <c r="AM351" s="426">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1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6">
        <f t="shared" si="479"/>
        <v>24</v>
      </c>
      <c r="M352" s="426">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12">
        <f t="shared" si="545"/>
        <v>54519</v>
      </c>
      <c r="Y352" s="285">
        <f t="shared" si="512"/>
        <v>263861.32000000018</v>
      </c>
      <c r="Z352" s="50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22">
        <f t="shared" si="505"/>
        <v>49.61999999997056</v>
      </c>
      <c r="AJ352" s="522">
        <f t="shared" si="566"/>
        <v>-173849.53000000017</v>
      </c>
      <c r="AK352" s="522">
        <f t="shared" si="506"/>
        <v>-173799.91000000021</v>
      </c>
      <c r="AL352" s="285">
        <f t="shared" si="518"/>
        <v>263605.56000000017</v>
      </c>
      <c r="AM352" s="426">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1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6">
        <f t="shared" si="479"/>
        <v>24</v>
      </c>
      <c r="M353" s="426">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12">
        <f t="shared" si="545"/>
        <v>54549</v>
      </c>
      <c r="Y353" s="285">
        <f t="shared" si="512"/>
        <v>263605.56000000017</v>
      </c>
      <c r="Z353" s="50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22">
        <f t="shared" si="505"/>
        <v>30.149999999970532</v>
      </c>
      <c r="AJ353" s="522">
        <f t="shared" si="566"/>
        <v>-174735.53000000014</v>
      </c>
      <c r="AK353" s="522">
        <f t="shared" si="506"/>
        <v>-174705.38000000018</v>
      </c>
      <c r="AL353" s="285">
        <f t="shared" si="518"/>
        <v>263348.47000000015</v>
      </c>
      <c r="AM353" s="426">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1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6">
        <f t="shared" si="479"/>
        <v>24</v>
      </c>
      <c r="M354" s="426">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12">
        <f t="shared" si="545"/>
        <v>54579</v>
      </c>
      <c r="Y354" s="285">
        <f t="shared" si="512"/>
        <v>263348.47000000015</v>
      </c>
      <c r="Z354" s="50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22">
        <f t="shared" si="505"/>
        <v>10.679999999970505</v>
      </c>
      <c r="AJ354" s="522">
        <f t="shared" si="566"/>
        <v>-175626.14000000013</v>
      </c>
      <c r="AK354" s="522">
        <f t="shared" si="506"/>
        <v>-175615.46000000017</v>
      </c>
      <c r="AL354" s="285">
        <f t="shared" si="518"/>
        <v>263090.04000000015</v>
      </c>
      <c r="AM354" s="426">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1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6">
        <f t="shared" si="479"/>
        <v>24</v>
      </c>
      <c r="M355" s="426">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12">
        <f t="shared" si="545"/>
        <v>54609</v>
      </c>
      <c r="Y355" s="285">
        <f t="shared" si="512"/>
        <v>263090.04000000015</v>
      </c>
      <c r="Z355" s="50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22">
        <f t="shared" si="505"/>
        <v>-8.7900000000295222</v>
      </c>
      <c r="AJ355" s="522">
        <f t="shared" si="566"/>
        <v>-176521.39000000013</v>
      </c>
      <c r="AK355" s="522">
        <f t="shared" si="506"/>
        <v>-176530.18000000017</v>
      </c>
      <c r="AL355" s="285">
        <f t="shared" si="518"/>
        <v>262830.26000000013</v>
      </c>
      <c r="AM355" s="426">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1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6">
        <f t="shared" si="479"/>
        <v>24</v>
      </c>
      <c r="M356" s="426">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12">
        <f t="shared" si="545"/>
        <v>54639</v>
      </c>
      <c r="Y356" s="285">
        <f t="shared" si="512"/>
        <v>262830.26000000013</v>
      </c>
      <c r="Z356" s="50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22">
        <f t="shared" si="505"/>
        <v>-28.260000000029549</v>
      </c>
      <c r="AJ356" s="522">
        <f t="shared" si="566"/>
        <v>-177421.3000000001</v>
      </c>
      <c r="AK356" s="522">
        <f t="shared" si="506"/>
        <v>-177449.56000000014</v>
      </c>
      <c r="AL356" s="285">
        <f t="shared" si="518"/>
        <v>262569.13000000012</v>
      </c>
      <c r="AM356" s="426">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1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6">
        <f t="shared" si="479"/>
        <v>24</v>
      </c>
      <c r="M357" s="426">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12">
        <f t="shared" si="545"/>
        <v>54669</v>
      </c>
      <c r="Y357" s="285">
        <f t="shared" si="512"/>
        <v>262569.13000000012</v>
      </c>
      <c r="Z357" s="50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22">
        <f t="shared" si="505"/>
        <v>-47.730000000029577</v>
      </c>
      <c r="AJ357" s="522">
        <f t="shared" si="566"/>
        <v>-178325.90000000011</v>
      </c>
      <c r="AK357" s="522">
        <f t="shared" si="506"/>
        <v>-178373.63000000015</v>
      </c>
      <c r="AL357" s="285">
        <f t="shared" si="518"/>
        <v>262306.64000000013</v>
      </c>
      <c r="AM357" s="426">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1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6">
        <f t="shared" si="479"/>
        <v>24</v>
      </c>
      <c r="M358" s="426">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12">
        <f t="shared" si="545"/>
        <v>54699</v>
      </c>
      <c r="Y358" s="285">
        <f t="shared" si="512"/>
        <v>262306.64000000013</v>
      </c>
      <c r="Z358" s="50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22">
        <f t="shared" si="505"/>
        <v>-67.200000000029604</v>
      </c>
      <c r="AJ358" s="522">
        <f t="shared" si="566"/>
        <v>-179235.21000000014</v>
      </c>
      <c r="AK358" s="522">
        <f t="shared" si="506"/>
        <v>-179302.41000000018</v>
      </c>
      <c r="AL358" s="285">
        <f t="shared" si="518"/>
        <v>262042.78000000014</v>
      </c>
      <c r="AM358" s="426">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1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6">
        <f t="shared" si="479"/>
        <v>25</v>
      </c>
      <c r="M359" s="426">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12">
        <f t="shared" si="545"/>
        <v>54729</v>
      </c>
      <c r="Y359" s="285">
        <f t="shared" si="512"/>
        <v>262042.78000000014</v>
      </c>
      <c r="Z359" s="50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22">
        <f t="shared" si="505"/>
        <v>-86.670000000029631</v>
      </c>
      <c r="AJ359" s="522">
        <f t="shared" si="566"/>
        <v>-180149.26000000013</v>
      </c>
      <c r="AK359" s="522">
        <f t="shared" si="506"/>
        <v>-180235.93000000017</v>
      </c>
      <c r="AL359" s="285">
        <f t="shared" si="518"/>
        <v>261777.55000000013</v>
      </c>
      <c r="AM359" s="426">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1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6">
        <f t="shared" si="479"/>
        <v>25</v>
      </c>
      <c r="M360" s="426">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12">
        <f t="shared" si="545"/>
        <v>54759</v>
      </c>
      <c r="Y360" s="285">
        <f t="shared" si="512"/>
        <v>261777.55000000013</v>
      </c>
      <c r="Z360" s="50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22">
        <f t="shared" si="505"/>
        <v>-106.14000000002966</v>
      </c>
      <c r="AJ360" s="522">
        <f t="shared" si="566"/>
        <v>-181068.06000000011</v>
      </c>
      <c r="AK360" s="522">
        <f t="shared" si="506"/>
        <v>-181174.20000000016</v>
      </c>
      <c r="AL360" s="285">
        <f t="shared" si="518"/>
        <v>261510.93000000014</v>
      </c>
      <c r="AM360" s="426">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1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6">
        <f t="shared" si="479"/>
        <v>25</v>
      </c>
      <c r="M361" s="426">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12">
        <f t="shared" si="545"/>
        <v>54789</v>
      </c>
      <c r="Y361" s="285">
        <f t="shared" si="512"/>
        <v>261510.93000000014</v>
      </c>
      <c r="Z361" s="50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22">
        <f t="shared" si="505"/>
        <v>-125.61000000002969</v>
      </c>
      <c r="AJ361" s="522">
        <f t="shared" si="566"/>
        <v>-181991.66000000012</v>
      </c>
      <c r="AK361" s="522">
        <f t="shared" si="506"/>
        <v>-182117.27000000014</v>
      </c>
      <c r="AL361" s="285">
        <f t="shared" si="518"/>
        <v>261242.93000000014</v>
      </c>
      <c r="AM361" s="426">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15">
        <f t="shared" si="494"/>
        <v>54819</v>
      </c>
      <c r="B362" s="346">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6">
        <f t="shared" si="496"/>
        <v>92237.630000000019</v>
      </c>
      <c r="J362" s="346">
        <f t="shared" si="497"/>
        <v>64763.649999999972</v>
      </c>
      <c r="K362" s="346">
        <f t="shared" si="498"/>
        <v>5294.2099999999446</v>
      </c>
      <c r="L362" s="427">
        <f t="shared" si="479"/>
        <v>25</v>
      </c>
      <c r="M362" s="427">
        <f t="shared" si="543"/>
        <v>303</v>
      </c>
      <c r="N362" s="346">
        <f t="shared" si="544"/>
        <v>79251.270000000019</v>
      </c>
      <c r="O362" s="346">
        <f t="shared" si="510"/>
        <v>1610.57</v>
      </c>
      <c r="P362" s="346">
        <f t="shared" si="552"/>
        <v>1197.8</v>
      </c>
      <c r="Q362" s="346">
        <f t="shared" si="511"/>
        <v>412.77</v>
      </c>
      <c r="R362" s="346">
        <f t="shared" si="502"/>
        <v>134.16999999999999</v>
      </c>
      <c r="S362" s="346">
        <f t="shared" si="503"/>
        <v>188.55</v>
      </c>
      <c r="T362" s="346">
        <f t="shared" si="499"/>
        <v>1933.29</v>
      </c>
      <c r="U362" s="346">
        <f t="shared" si="553"/>
        <v>183522.53000000006</v>
      </c>
      <c r="V362" s="346">
        <f t="shared" si="554"/>
        <v>306090.74999999994</v>
      </c>
      <c r="W362" s="346">
        <f t="shared" si="500"/>
        <v>78053.470000000016</v>
      </c>
      <c r="X362" s="515">
        <f t="shared" si="545"/>
        <v>54819</v>
      </c>
      <c r="Y362" s="346">
        <f t="shared" si="512"/>
        <v>261242.93000000014</v>
      </c>
      <c r="Z362" s="505">
        <f t="shared" si="537"/>
        <v>6.25E-2</v>
      </c>
      <c r="AA362" s="346">
        <f t="shared" si="538"/>
        <v>1630.04</v>
      </c>
      <c r="AB362" s="346">
        <f t="shared" si="513"/>
        <v>269.39999999999986</v>
      </c>
      <c r="AC362" s="346">
        <f t="shared" si="539"/>
        <v>1360.64</v>
      </c>
      <c r="AD362" s="346">
        <f t="shared" ref="AD362:AE362" si="581">+AD361</f>
        <v>134.16999999999999</v>
      </c>
      <c r="AE362" s="346">
        <f t="shared" si="581"/>
        <v>188.55</v>
      </c>
      <c r="AF362" s="346">
        <f t="shared" si="515"/>
        <v>1952.76</v>
      </c>
      <c r="AG362" s="346">
        <f t="shared" si="516"/>
        <v>70219.869999999908</v>
      </c>
      <c r="AH362" s="346">
        <f t="shared" si="517"/>
        <v>419538.49000000028</v>
      </c>
      <c r="AI362" s="523">
        <f t="shared" si="505"/>
        <v>-145.08000000002971</v>
      </c>
      <c r="AJ362" s="523">
        <f t="shared" si="566"/>
        <v>-182920.06000000011</v>
      </c>
      <c r="AK362" s="522">
        <f t="shared" si="506"/>
        <v>-183065.14000000013</v>
      </c>
      <c r="AL362" s="346">
        <f t="shared" si="518"/>
        <v>260973.53000000014</v>
      </c>
      <c r="AM362" s="427">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6">
        <f t="shared" si="549"/>
        <v>1555.3144658947169</v>
      </c>
      <c r="AV362" s="346">
        <f t="shared" si="550"/>
        <v>362105.10082378151</v>
      </c>
    </row>
    <row r="363" spans="1:48" x14ac:dyDescent="0.25">
      <c r="A363" s="51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6">
        <f t="shared" si="479"/>
        <v>25</v>
      </c>
      <c r="M363" s="426">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12">
        <f t="shared" si="545"/>
        <v>54849</v>
      </c>
      <c r="Y363" s="285">
        <f t="shared" si="512"/>
        <v>260973.53000000014</v>
      </c>
      <c r="Z363" s="50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22">
        <f t="shared" si="505"/>
        <v>-164.55000000002974</v>
      </c>
      <c r="AJ363" s="522">
        <f t="shared" si="566"/>
        <v>-183853.30000000013</v>
      </c>
      <c r="AK363" s="522">
        <f t="shared" si="506"/>
        <v>-184017.85000000015</v>
      </c>
      <c r="AL363" s="285">
        <f t="shared" si="518"/>
        <v>260702.73000000016</v>
      </c>
      <c r="AM363" s="426">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1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6">
        <f t="shared" si="479"/>
        <v>25</v>
      </c>
      <c r="M364" s="426">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12">
        <f t="shared" si="545"/>
        <v>54879</v>
      </c>
      <c r="Y364" s="285">
        <f t="shared" si="512"/>
        <v>260702.73000000016</v>
      </c>
      <c r="Z364" s="50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22">
        <f t="shared" si="505"/>
        <v>-184.02000000002977</v>
      </c>
      <c r="AJ364" s="522">
        <f t="shared" si="566"/>
        <v>-184791.40000000014</v>
      </c>
      <c r="AK364" s="522">
        <f t="shared" si="506"/>
        <v>-184975.42000000016</v>
      </c>
      <c r="AL364" s="285">
        <f t="shared" si="518"/>
        <v>260430.52000000016</v>
      </c>
      <c r="AM364" s="426">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1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6">
        <f t="shared" si="479"/>
        <v>25</v>
      </c>
      <c r="M365" s="426">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12">
        <f t="shared" si="545"/>
        <v>54909</v>
      </c>
      <c r="Y365" s="285">
        <f t="shared" si="512"/>
        <v>260430.52000000016</v>
      </c>
      <c r="Z365" s="50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22">
        <f t="shared" si="505"/>
        <v>-203.4900000000298</v>
      </c>
      <c r="AJ365" s="522">
        <f t="shared" si="566"/>
        <v>-185734.39000000013</v>
      </c>
      <c r="AK365" s="522">
        <f t="shared" si="506"/>
        <v>-185937.88000000015</v>
      </c>
      <c r="AL365" s="285">
        <f t="shared" si="518"/>
        <v>260156.89000000016</v>
      </c>
      <c r="AM365" s="426">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1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6">
        <f t="shared" si="479"/>
        <v>25</v>
      </c>
      <c r="M366" s="426">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12">
        <f t="shared" si="545"/>
        <v>54939</v>
      </c>
      <c r="Y366" s="285">
        <f t="shared" si="512"/>
        <v>260156.89000000016</v>
      </c>
      <c r="Z366" s="50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22">
        <f t="shared" si="505"/>
        <v>-222.96000000002982</v>
      </c>
      <c r="AJ366" s="522">
        <f t="shared" si="566"/>
        <v>-186682.28000000014</v>
      </c>
      <c r="AK366" s="522">
        <f t="shared" si="506"/>
        <v>-186905.24000000017</v>
      </c>
      <c r="AL366" s="285">
        <f t="shared" si="518"/>
        <v>259881.83000000016</v>
      </c>
      <c r="AM366" s="426">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1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6">
        <f t="shared" ref="L367:L430" si="587">IF(MOD(M367,12)=0,M367/12,L366)</f>
        <v>25</v>
      </c>
      <c r="M367" s="426">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12">
        <f t="shared" si="545"/>
        <v>54969</v>
      </c>
      <c r="Y367" s="285">
        <f t="shared" si="512"/>
        <v>259881.83000000016</v>
      </c>
      <c r="Z367" s="50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22">
        <f t="shared" si="505"/>
        <v>-242.43000000002985</v>
      </c>
      <c r="AJ367" s="522">
        <f t="shared" si="566"/>
        <v>-187635.11000000016</v>
      </c>
      <c r="AK367" s="522">
        <f t="shared" si="506"/>
        <v>-187877.54000000018</v>
      </c>
      <c r="AL367" s="285">
        <f t="shared" si="518"/>
        <v>259605.34000000017</v>
      </c>
      <c r="AM367" s="426">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1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6">
        <f t="shared" si="587"/>
        <v>25</v>
      </c>
      <c r="M368" s="426">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12">
        <f t="shared" si="545"/>
        <v>54999</v>
      </c>
      <c r="Y368" s="285">
        <f t="shared" si="512"/>
        <v>259605.34000000017</v>
      </c>
      <c r="Z368" s="50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22">
        <f t="shared" si="505"/>
        <v>-261.90000000002988</v>
      </c>
      <c r="AJ368" s="522">
        <f t="shared" si="566"/>
        <v>-188592.91000000015</v>
      </c>
      <c r="AK368" s="522">
        <f t="shared" si="506"/>
        <v>-188854.81000000017</v>
      </c>
      <c r="AL368" s="285">
        <f t="shared" si="518"/>
        <v>259327.41000000018</v>
      </c>
      <c r="AM368" s="426">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1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6">
        <f t="shared" si="587"/>
        <v>25</v>
      </c>
      <c r="M369" s="426">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12">
        <f t="shared" si="545"/>
        <v>55029</v>
      </c>
      <c r="Y369" s="285">
        <f t="shared" si="512"/>
        <v>259327.41000000018</v>
      </c>
      <c r="Z369" s="50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22">
        <f t="shared" si="505"/>
        <v>-281.3700000000299</v>
      </c>
      <c r="AJ369" s="522">
        <f t="shared" si="566"/>
        <v>-189555.69000000015</v>
      </c>
      <c r="AK369" s="522">
        <f t="shared" si="506"/>
        <v>-189837.06000000017</v>
      </c>
      <c r="AL369" s="285">
        <f t="shared" si="518"/>
        <v>259048.03000000017</v>
      </c>
      <c r="AM369" s="426">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1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6">
        <f t="shared" si="587"/>
        <v>25</v>
      </c>
      <c r="M370" s="426">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12">
        <f t="shared" si="545"/>
        <v>55059</v>
      </c>
      <c r="Y370" s="285">
        <f t="shared" si="512"/>
        <v>259048.03000000017</v>
      </c>
      <c r="Z370" s="50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22">
        <f t="shared" si="505"/>
        <v>-300.84000000002993</v>
      </c>
      <c r="AJ370" s="522">
        <f t="shared" si="566"/>
        <v>-190523.49000000017</v>
      </c>
      <c r="AK370" s="522">
        <f t="shared" si="506"/>
        <v>-190824.33000000019</v>
      </c>
      <c r="AL370" s="285">
        <f t="shared" si="518"/>
        <v>258767.20000000019</v>
      </c>
      <c r="AM370" s="426">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1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6">
        <f t="shared" si="587"/>
        <v>26</v>
      </c>
      <c r="M371" s="426">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12">
        <f t="shared" si="545"/>
        <v>55089</v>
      </c>
      <c r="Y371" s="285">
        <f t="shared" si="512"/>
        <v>258767.20000000019</v>
      </c>
      <c r="Z371" s="50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22">
        <f t="shared" si="505"/>
        <v>-320.31000000002996</v>
      </c>
      <c r="AJ371" s="522">
        <f t="shared" si="566"/>
        <v>-191496.33000000016</v>
      </c>
      <c r="AK371" s="522">
        <f t="shared" si="506"/>
        <v>-191816.64000000019</v>
      </c>
      <c r="AL371" s="285">
        <f t="shared" si="518"/>
        <v>258484.91000000018</v>
      </c>
      <c r="AM371" s="426">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1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6">
        <f t="shared" si="587"/>
        <v>26</v>
      </c>
      <c r="M372" s="426">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12">
        <f t="shared" si="545"/>
        <v>55119</v>
      </c>
      <c r="Y372" s="285">
        <f t="shared" si="512"/>
        <v>258484.91000000018</v>
      </c>
      <c r="Z372" s="50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22">
        <f t="shared" si="505"/>
        <v>-339.78000000002999</v>
      </c>
      <c r="AJ372" s="522">
        <f t="shared" si="566"/>
        <v>-192474.24000000017</v>
      </c>
      <c r="AK372" s="522">
        <f t="shared" si="506"/>
        <v>-192814.02000000019</v>
      </c>
      <c r="AL372" s="285">
        <f t="shared" si="518"/>
        <v>258201.15000000017</v>
      </c>
      <c r="AM372" s="426">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1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6">
        <f t="shared" si="587"/>
        <v>26</v>
      </c>
      <c r="M373" s="426">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12">
        <f t="shared" si="545"/>
        <v>55149</v>
      </c>
      <c r="Y373" s="285">
        <f t="shared" si="512"/>
        <v>258201.15000000017</v>
      </c>
      <c r="Z373" s="50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22">
        <f t="shared" si="505"/>
        <v>-359.25000000003001</v>
      </c>
      <c r="AJ373" s="522">
        <f t="shared" si="566"/>
        <v>-193457.24000000017</v>
      </c>
      <c r="AK373" s="522">
        <f t="shared" si="506"/>
        <v>-193816.49000000019</v>
      </c>
      <c r="AL373" s="285">
        <f t="shared" si="518"/>
        <v>257915.91000000018</v>
      </c>
      <c r="AM373" s="426">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15" t="str">
        <f t="shared" si="494"/>
        <v xml:space="preserve"> </v>
      </c>
      <c r="B374" s="346">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6">
        <f t="shared" si="496"/>
        <v>97532.849999999991</v>
      </c>
      <c r="J374" s="346">
        <f t="shared" si="497"/>
        <v>64871.789999999986</v>
      </c>
      <c r="K374" s="346">
        <f t="shared" si="498"/>
        <v>-1.0100000000546174</v>
      </c>
      <c r="L374" s="427">
        <f t="shared" si="587"/>
        <v>26</v>
      </c>
      <c r="M374" s="427">
        <f t="shared" si="543"/>
        <v>315</v>
      </c>
      <c r="N374" s="346">
        <f t="shared" si="544"/>
        <v>64458.67000000002</v>
      </c>
      <c r="O374" s="346">
        <f t="shared" si="510"/>
        <v>1610.57</v>
      </c>
      <c r="P374" s="346">
        <f t="shared" si="552"/>
        <v>1274.8499999999999</v>
      </c>
      <c r="Q374" s="346">
        <f t="shared" si="511"/>
        <v>335.72</v>
      </c>
      <c r="R374" s="346">
        <f t="shared" si="502"/>
        <v>134.16999999999999</v>
      </c>
      <c r="S374" s="346">
        <f t="shared" si="503"/>
        <v>188.55</v>
      </c>
      <c r="T374" s="346">
        <f t="shared" si="499"/>
        <v>1933.29</v>
      </c>
      <c r="U374" s="346">
        <f t="shared" si="553"/>
        <v>198392.18000000011</v>
      </c>
      <c r="V374" s="346">
        <f t="shared" si="554"/>
        <v>310547.94</v>
      </c>
      <c r="W374" s="346">
        <f t="shared" si="500"/>
        <v>63183.820000000022</v>
      </c>
      <c r="X374" s="515" t="str">
        <f t="shared" si="545"/>
        <v xml:space="preserve"> </v>
      </c>
      <c r="Y374" s="346">
        <f t="shared" si="512"/>
        <v>257915.91000000018</v>
      </c>
      <c r="Z374" s="505">
        <f t="shared" si="537"/>
        <v>6.25E-2</v>
      </c>
      <c r="AA374" s="346">
        <f t="shared" si="538"/>
        <v>1630.04</v>
      </c>
      <c r="AB374" s="346">
        <f t="shared" si="513"/>
        <v>286.73</v>
      </c>
      <c r="AC374" s="346">
        <f t="shared" si="539"/>
        <v>1343.31</v>
      </c>
      <c r="AD374" s="346">
        <f t="shared" ref="AD374:AE374" si="595">+AD373</f>
        <v>134.16999999999999</v>
      </c>
      <c r="AE374" s="346">
        <f t="shared" si="595"/>
        <v>188.55</v>
      </c>
      <c r="AF374" s="346">
        <f t="shared" si="515"/>
        <v>1952.76</v>
      </c>
      <c r="AG374" s="346">
        <f t="shared" si="516"/>
        <v>73564.219999999914</v>
      </c>
      <c r="AH374" s="346">
        <f t="shared" si="517"/>
        <v>435754.62000000023</v>
      </c>
      <c r="AI374" s="523">
        <f t="shared" si="505"/>
        <v>-378.72000000003004</v>
      </c>
      <c r="AJ374" s="523">
        <f t="shared" si="566"/>
        <v>-194445.36000000016</v>
      </c>
      <c r="AK374" s="522">
        <f t="shared" si="506"/>
        <v>-194824.08000000019</v>
      </c>
      <c r="AL374" s="346">
        <f t="shared" si="518"/>
        <v>257629.18000000017</v>
      </c>
      <c r="AM374" s="427">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6">
        <f t="shared" si="549"/>
        <v>1602.6208436763252</v>
      </c>
      <c r="AV374" s="346">
        <f t="shared" si="550"/>
        <v>381074.95831420639</v>
      </c>
    </row>
    <row r="375" spans="1:48" x14ac:dyDescent="0.25">
      <c r="A375" s="51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6">
        <f t="shared" si="587"/>
        <v>26</v>
      </c>
      <c r="M375" s="426">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12" t="str">
        <f t="shared" si="545"/>
        <v xml:space="preserve"> </v>
      </c>
      <c r="Y375" s="285">
        <f t="shared" si="512"/>
        <v>257629.18000000017</v>
      </c>
      <c r="Z375" s="50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22">
        <f t="shared" si="505"/>
        <v>-398.19000000003007</v>
      </c>
      <c r="AJ375" s="522">
        <f t="shared" si="566"/>
        <v>-195438.63000000015</v>
      </c>
      <c r="AK375" s="522">
        <f t="shared" si="506"/>
        <v>-195836.82000000018</v>
      </c>
      <c r="AL375" s="285">
        <f t="shared" si="518"/>
        <v>257340.96000000017</v>
      </c>
      <c r="AM375" s="426">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1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6">
        <f t="shared" si="587"/>
        <v>26</v>
      </c>
      <c r="M376" s="426">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12" t="str">
        <f t="shared" si="545"/>
        <v xml:space="preserve"> </v>
      </c>
      <c r="Y376" s="285">
        <f t="shared" si="512"/>
        <v>257340.96000000017</v>
      </c>
      <c r="Z376" s="50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22">
        <f t="shared" si="505"/>
        <v>-417.6600000000301</v>
      </c>
      <c r="AJ376" s="522">
        <f t="shared" si="566"/>
        <v>-196437.07000000012</v>
      </c>
      <c r="AK376" s="522">
        <f t="shared" si="506"/>
        <v>-196854.73000000016</v>
      </c>
      <c r="AL376" s="285">
        <f t="shared" si="518"/>
        <v>257051.24000000017</v>
      </c>
      <c r="AM376" s="426">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1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6">
        <f t="shared" si="587"/>
        <v>26</v>
      </c>
      <c r="M377" s="426">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12" t="str">
        <f t="shared" si="545"/>
        <v xml:space="preserve"> </v>
      </c>
      <c r="Y377" s="285">
        <f t="shared" si="512"/>
        <v>257051.24000000017</v>
      </c>
      <c r="Z377" s="50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22">
        <f t="shared" si="505"/>
        <v>-437.13000000003012</v>
      </c>
      <c r="AJ377" s="522">
        <f t="shared" si="566"/>
        <v>-197440.71000000014</v>
      </c>
      <c r="AK377" s="522">
        <f t="shared" si="506"/>
        <v>-197877.84000000017</v>
      </c>
      <c r="AL377" s="285">
        <f t="shared" si="518"/>
        <v>256760.01000000015</v>
      </c>
      <c r="AM377" s="426">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1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6">
        <f t="shared" si="587"/>
        <v>26</v>
      </c>
      <c r="M378" s="426">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12" t="str">
        <f t="shared" si="545"/>
        <v xml:space="preserve"> </v>
      </c>
      <c r="Y378" s="285">
        <f t="shared" si="512"/>
        <v>256760.01000000015</v>
      </c>
      <c r="Z378" s="50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22">
        <f t="shared" si="505"/>
        <v>-456.60000000003015</v>
      </c>
      <c r="AJ378" s="522">
        <f t="shared" si="566"/>
        <v>-198449.58000000013</v>
      </c>
      <c r="AK378" s="522">
        <f t="shared" si="506"/>
        <v>-198906.18000000017</v>
      </c>
      <c r="AL378" s="285">
        <f t="shared" si="518"/>
        <v>256467.26000000015</v>
      </c>
      <c r="AM378" s="426">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1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6">
        <f t="shared" si="587"/>
        <v>26</v>
      </c>
      <c r="M379" s="426">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12" t="str">
        <f t="shared" si="545"/>
        <v xml:space="preserve"> </v>
      </c>
      <c r="Y379" s="285">
        <f t="shared" si="512"/>
        <v>256467.26000000015</v>
      </c>
      <c r="Z379" s="50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22">
        <f t="shared" si="505"/>
        <v>-476.07000000003018</v>
      </c>
      <c r="AJ379" s="522">
        <f t="shared" si="566"/>
        <v>-199463.70000000013</v>
      </c>
      <c r="AK379" s="522">
        <f t="shared" si="506"/>
        <v>-199939.77000000016</v>
      </c>
      <c r="AL379" s="285">
        <f t="shared" si="518"/>
        <v>256172.99000000017</v>
      </c>
      <c r="AM379" s="426">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1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6">
        <f t="shared" si="587"/>
        <v>26</v>
      </c>
      <c r="M380" s="426">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12" t="str">
        <f t="shared" si="545"/>
        <v xml:space="preserve"> </v>
      </c>
      <c r="Y380" s="285">
        <f t="shared" si="512"/>
        <v>256172.99000000017</v>
      </c>
      <c r="Z380" s="50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22">
        <f t="shared" ref="AI380:AI443" si="614">O380-AA380+AI379</f>
        <v>-495.5400000000302</v>
      </c>
      <c r="AJ380" s="522">
        <f t="shared" si="566"/>
        <v>-200483.10000000015</v>
      </c>
      <c r="AK380" s="522">
        <f t="shared" ref="AK380:AK443" si="615">SUM(AI380:AJ380)</f>
        <v>-200978.64000000019</v>
      </c>
      <c r="AL380" s="285">
        <f t="shared" si="518"/>
        <v>255877.18000000017</v>
      </c>
      <c r="AM380" s="426">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1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6">
        <f t="shared" si="587"/>
        <v>26</v>
      </c>
      <c r="M381" s="426">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12" t="str">
        <f t="shared" si="545"/>
        <v xml:space="preserve"> </v>
      </c>
      <c r="Y381" s="285">
        <f t="shared" si="512"/>
        <v>255877.18000000017</v>
      </c>
      <c r="Z381" s="50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22">
        <f t="shared" si="614"/>
        <v>-515.01000000003023</v>
      </c>
      <c r="AJ381" s="522">
        <f t="shared" si="566"/>
        <v>-201507.81000000014</v>
      </c>
      <c r="AK381" s="522">
        <f t="shared" si="615"/>
        <v>-202022.82000000018</v>
      </c>
      <c r="AL381" s="285">
        <f t="shared" si="518"/>
        <v>255579.83000000016</v>
      </c>
      <c r="AM381" s="426">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1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6">
        <f t="shared" si="587"/>
        <v>26</v>
      </c>
      <c r="M382" s="426">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12" t="str">
        <f t="shared" si="545"/>
        <v xml:space="preserve"> </v>
      </c>
      <c r="Y382" s="285">
        <f t="shared" ref="Y382:Y445" si="621">IF(+AL381&lt;0,0,+AL381)</f>
        <v>255579.83000000016</v>
      </c>
      <c r="Z382" s="50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22">
        <f t="shared" si="614"/>
        <v>-534.48000000003026</v>
      </c>
      <c r="AJ382" s="522">
        <f t="shared" si="566"/>
        <v>-202537.85000000015</v>
      </c>
      <c r="AK382" s="522">
        <f t="shared" si="615"/>
        <v>-203072.33000000019</v>
      </c>
      <c r="AL382" s="285">
        <f t="shared" ref="AL382:AL445" si="627">+Y382-AB382</f>
        <v>255280.93000000017</v>
      </c>
      <c r="AM382" s="426">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1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6">
        <f t="shared" si="587"/>
        <v>27</v>
      </c>
      <c r="M383" s="426">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12" t="str">
        <f t="shared" si="545"/>
        <v xml:space="preserve"> </v>
      </c>
      <c r="Y383" s="285">
        <f t="shared" si="621"/>
        <v>255280.93000000017</v>
      </c>
      <c r="Z383" s="50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22">
        <f t="shared" si="614"/>
        <v>-553.95000000003029</v>
      </c>
      <c r="AJ383" s="522">
        <f t="shared" si="566"/>
        <v>-203573.27000000014</v>
      </c>
      <c r="AK383" s="522">
        <f t="shared" si="615"/>
        <v>-204127.22000000018</v>
      </c>
      <c r="AL383" s="285">
        <f t="shared" si="627"/>
        <v>254980.48000000016</v>
      </c>
      <c r="AM383" s="426">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1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6">
        <f t="shared" si="587"/>
        <v>27</v>
      </c>
      <c r="M384" s="426">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12" t="str">
        <f t="shared" si="545"/>
        <v xml:space="preserve"> </v>
      </c>
      <c r="Y384" s="285">
        <f t="shared" si="621"/>
        <v>254980.48000000016</v>
      </c>
      <c r="Z384" s="50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22">
        <f t="shared" si="614"/>
        <v>-573.42000000003031</v>
      </c>
      <c r="AJ384" s="522">
        <f t="shared" si="566"/>
        <v>-204614.07000000015</v>
      </c>
      <c r="AK384" s="522">
        <f t="shared" si="615"/>
        <v>-205187.49000000019</v>
      </c>
      <c r="AL384" s="285">
        <f t="shared" si="627"/>
        <v>254678.46000000017</v>
      </c>
      <c r="AM384" s="426">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1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6">
        <f t="shared" si="587"/>
        <v>27</v>
      </c>
      <c r="M385" s="426">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12" t="str">
        <f t="shared" si="545"/>
        <v xml:space="preserve"> </v>
      </c>
      <c r="Y385" s="285">
        <f t="shared" si="621"/>
        <v>254678.46000000017</v>
      </c>
      <c r="Z385" s="50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22">
        <f t="shared" si="614"/>
        <v>-592.89000000003034</v>
      </c>
      <c r="AJ385" s="522">
        <f t="shared" si="566"/>
        <v>-205660.30000000016</v>
      </c>
      <c r="AK385" s="522">
        <f t="shared" si="615"/>
        <v>-206253.19000000021</v>
      </c>
      <c r="AL385" s="285">
        <f t="shared" si="627"/>
        <v>254374.87000000017</v>
      </c>
      <c r="AM385" s="426">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15" t="str">
        <f t="shared" si="603"/>
        <v xml:space="preserve"> </v>
      </c>
      <c r="B386" s="346">
        <f t="shared" si="597"/>
        <v>0</v>
      </c>
      <c r="C386" s="21">
        <f t="shared" si="535"/>
        <v>0</v>
      </c>
      <c r="D386" s="21">
        <f t="shared" si="551"/>
        <v>0</v>
      </c>
      <c r="E386" s="21">
        <f t="shared" si="536"/>
        <v>0</v>
      </c>
      <c r="F386" s="21">
        <f t="shared" si="604"/>
        <v>134.16999999999999</v>
      </c>
      <c r="G386" s="21">
        <f t="shared" si="600"/>
        <v>188.55</v>
      </c>
      <c r="H386" s="21">
        <f t="shared" si="601"/>
        <v>322.72000000000003</v>
      </c>
      <c r="I386" s="346">
        <f t="shared" si="605"/>
        <v>97532.849999999991</v>
      </c>
      <c r="J386" s="346">
        <f t="shared" si="606"/>
        <v>64871.789999999986</v>
      </c>
      <c r="K386" s="346">
        <f t="shared" si="607"/>
        <v>0</v>
      </c>
      <c r="L386" s="427">
        <f t="shared" si="587"/>
        <v>27</v>
      </c>
      <c r="M386" s="427">
        <f t="shared" si="543"/>
        <v>327</v>
      </c>
      <c r="N386" s="346">
        <f t="shared" si="544"/>
        <v>48714.570000000022</v>
      </c>
      <c r="O386" s="346">
        <f t="shared" si="619"/>
        <v>1610.57</v>
      </c>
      <c r="P386" s="346">
        <f t="shared" si="552"/>
        <v>1356.85</v>
      </c>
      <c r="Q386" s="346">
        <f t="shared" si="620"/>
        <v>253.72</v>
      </c>
      <c r="R386" s="346">
        <f t="shared" si="611"/>
        <v>134.16999999999999</v>
      </c>
      <c r="S386" s="346">
        <f t="shared" si="612"/>
        <v>188.55</v>
      </c>
      <c r="T386" s="346">
        <f t="shared" si="608"/>
        <v>1933.29</v>
      </c>
      <c r="U386" s="346">
        <f t="shared" si="553"/>
        <v>214218.28000000012</v>
      </c>
      <c r="V386" s="346">
        <f t="shared" si="554"/>
        <v>314048.68</v>
      </c>
      <c r="W386" s="346">
        <f t="shared" si="609"/>
        <v>47357.720000000023</v>
      </c>
      <c r="X386" s="515" t="str">
        <f t="shared" si="545"/>
        <v xml:space="preserve"> </v>
      </c>
      <c r="Y386" s="346">
        <f t="shared" si="621"/>
        <v>254374.87000000017</v>
      </c>
      <c r="Z386" s="505">
        <f t="shared" si="537"/>
        <v>6.25E-2</v>
      </c>
      <c r="AA386" s="346">
        <f t="shared" si="538"/>
        <v>1630.04</v>
      </c>
      <c r="AB386" s="346">
        <f t="shared" si="622"/>
        <v>305.17000000000007</v>
      </c>
      <c r="AC386" s="346">
        <f t="shared" si="539"/>
        <v>1324.87</v>
      </c>
      <c r="AD386" s="346">
        <f t="shared" ref="AD386:AE386" si="631">+AD385</f>
        <v>134.16999999999999</v>
      </c>
      <c r="AE386" s="346">
        <f t="shared" si="631"/>
        <v>188.55</v>
      </c>
      <c r="AF386" s="346">
        <f t="shared" si="624"/>
        <v>1952.76</v>
      </c>
      <c r="AG386" s="346">
        <f t="shared" si="625"/>
        <v>77123.69999999991</v>
      </c>
      <c r="AH386" s="346">
        <f t="shared" si="626"/>
        <v>451755.62000000029</v>
      </c>
      <c r="AI386" s="523">
        <f t="shared" si="614"/>
        <v>-612.36000000003037</v>
      </c>
      <c r="AJ386" s="523">
        <f t="shared" si="566"/>
        <v>-206711.98000000013</v>
      </c>
      <c r="AK386" s="522">
        <f t="shared" si="615"/>
        <v>-207324.34000000017</v>
      </c>
      <c r="AL386" s="346">
        <f t="shared" si="627"/>
        <v>254069.70000000016</v>
      </c>
      <c r="AM386" s="427">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6">
        <f t="shared" si="549"/>
        <v>1651.3660902062727</v>
      </c>
      <c r="AV386" s="346">
        <f t="shared" si="550"/>
        <v>400621.80217271537</v>
      </c>
    </row>
    <row r="387" spans="1:48" x14ac:dyDescent="0.25">
      <c r="A387" s="51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6">
        <f t="shared" si="587"/>
        <v>27</v>
      </c>
      <c r="M387" s="426">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12" t="str">
        <f t="shared" si="545"/>
        <v xml:space="preserve"> </v>
      </c>
      <c r="Y387" s="285">
        <f t="shared" si="621"/>
        <v>254069.70000000016</v>
      </c>
      <c r="Z387" s="50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22">
        <f t="shared" si="614"/>
        <v>-631.8300000000304</v>
      </c>
      <c r="AJ387" s="522">
        <f t="shared" si="566"/>
        <v>-207769.14000000013</v>
      </c>
      <c r="AK387" s="522">
        <f t="shared" si="615"/>
        <v>-208400.97000000015</v>
      </c>
      <c r="AL387" s="285">
        <f t="shared" si="627"/>
        <v>253762.94000000015</v>
      </c>
      <c r="AM387" s="426">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1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6">
        <f t="shared" si="587"/>
        <v>27</v>
      </c>
      <c r="M388" s="426">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12" t="str">
        <f t="shared" si="545"/>
        <v xml:space="preserve"> </v>
      </c>
      <c r="Y388" s="285">
        <f t="shared" si="621"/>
        <v>253762.94000000015</v>
      </c>
      <c r="Z388" s="50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22">
        <f t="shared" si="614"/>
        <v>-651.30000000003042</v>
      </c>
      <c r="AJ388" s="522">
        <f t="shared" si="566"/>
        <v>-208831.80000000013</v>
      </c>
      <c r="AK388" s="522">
        <f t="shared" si="615"/>
        <v>-209483.10000000015</v>
      </c>
      <c r="AL388" s="285">
        <f t="shared" si="627"/>
        <v>253454.58000000016</v>
      </c>
      <c r="AM388" s="426">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1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6">
        <f t="shared" si="587"/>
        <v>27</v>
      </c>
      <c r="M389" s="426">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12" t="str">
        <f t="shared" si="545"/>
        <v xml:space="preserve"> </v>
      </c>
      <c r="Y389" s="285">
        <f t="shared" si="621"/>
        <v>253454.58000000016</v>
      </c>
      <c r="Z389" s="50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22">
        <f t="shared" si="614"/>
        <v>-670.77000000003045</v>
      </c>
      <c r="AJ389" s="522">
        <f t="shared" si="566"/>
        <v>-209900.00000000015</v>
      </c>
      <c r="AK389" s="522">
        <f t="shared" si="615"/>
        <v>-210570.77000000016</v>
      </c>
      <c r="AL389" s="285">
        <f t="shared" si="627"/>
        <v>253144.62000000017</v>
      </c>
      <c r="AM389" s="426">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1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6">
        <f t="shared" si="587"/>
        <v>27</v>
      </c>
      <c r="M390" s="426">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12" t="str">
        <f t="shared" si="545"/>
        <v xml:space="preserve"> </v>
      </c>
      <c r="Y390" s="285">
        <f t="shared" si="621"/>
        <v>253144.62000000017</v>
      </c>
      <c r="Z390" s="50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22">
        <f t="shared" si="614"/>
        <v>-690.24000000003048</v>
      </c>
      <c r="AJ390" s="522">
        <f t="shared" si="566"/>
        <v>-210973.76000000015</v>
      </c>
      <c r="AK390" s="522">
        <f t="shared" si="615"/>
        <v>-211664.00000000017</v>
      </c>
      <c r="AL390" s="285">
        <f t="shared" si="627"/>
        <v>252833.04000000018</v>
      </c>
      <c r="AM390" s="426">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1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6">
        <f t="shared" si="587"/>
        <v>27</v>
      </c>
      <c r="M391" s="426">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12" t="str">
        <f t="shared" si="545"/>
        <v xml:space="preserve"> </v>
      </c>
      <c r="Y391" s="285">
        <f t="shared" si="621"/>
        <v>252833.04000000018</v>
      </c>
      <c r="Z391" s="50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22">
        <f t="shared" si="614"/>
        <v>-709.7100000000305</v>
      </c>
      <c r="AJ391" s="522">
        <f t="shared" si="566"/>
        <v>-212053.11000000016</v>
      </c>
      <c r="AK391" s="522">
        <f t="shared" si="615"/>
        <v>-212762.82000000018</v>
      </c>
      <c r="AL391" s="285">
        <f t="shared" si="627"/>
        <v>252519.84000000017</v>
      </c>
      <c r="AM391" s="426">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1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6">
        <f t="shared" si="587"/>
        <v>27</v>
      </c>
      <c r="M392" s="426">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12" t="str">
        <f t="shared" si="545"/>
        <v xml:space="preserve"> </v>
      </c>
      <c r="Y392" s="285">
        <f t="shared" si="621"/>
        <v>252519.84000000017</v>
      </c>
      <c r="Z392" s="50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22">
        <f t="shared" si="614"/>
        <v>-729.18000000003053</v>
      </c>
      <c r="AJ392" s="522">
        <f t="shared" si="566"/>
        <v>-213138.09000000014</v>
      </c>
      <c r="AK392" s="522">
        <f t="shared" si="615"/>
        <v>-213867.27000000016</v>
      </c>
      <c r="AL392" s="285">
        <f t="shared" si="627"/>
        <v>252205.01000000018</v>
      </c>
      <c r="AM392" s="426">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1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6">
        <f t="shared" si="587"/>
        <v>27</v>
      </c>
      <c r="M393" s="426">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12" t="str">
        <f t="shared" si="545"/>
        <v xml:space="preserve"> </v>
      </c>
      <c r="Y393" s="285">
        <f t="shared" si="621"/>
        <v>252205.01000000018</v>
      </c>
      <c r="Z393" s="50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22">
        <f t="shared" si="614"/>
        <v>-748.65000000003056</v>
      </c>
      <c r="AJ393" s="522">
        <f t="shared" si="566"/>
        <v>-214228.72000000015</v>
      </c>
      <c r="AK393" s="522">
        <f t="shared" si="615"/>
        <v>-214977.37000000017</v>
      </c>
      <c r="AL393" s="285">
        <f t="shared" si="627"/>
        <v>251888.54000000018</v>
      </c>
      <c r="AM393" s="426">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1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6">
        <f t="shared" si="587"/>
        <v>27</v>
      </c>
      <c r="M394" s="426">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12" t="str">
        <f t="shared" si="545"/>
        <v xml:space="preserve"> </v>
      </c>
      <c r="Y394" s="285">
        <f t="shared" si="621"/>
        <v>251888.54000000018</v>
      </c>
      <c r="Z394" s="50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22">
        <f t="shared" si="614"/>
        <v>-768.12000000003059</v>
      </c>
      <c r="AJ394" s="522">
        <f t="shared" si="566"/>
        <v>-215325.03000000014</v>
      </c>
      <c r="AK394" s="522">
        <f t="shared" si="615"/>
        <v>-216093.15000000017</v>
      </c>
      <c r="AL394" s="285">
        <f t="shared" si="627"/>
        <v>251570.42000000019</v>
      </c>
      <c r="AM394" s="426">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1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6">
        <f t="shared" si="587"/>
        <v>28</v>
      </c>
      <c r="M395" s="426">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12" t="str">
        <f t="shared" si="545"/>
        <v xml:space="preserve"> </v>
      </c>
      <c r="Y395" s="285">
        <f t="shared" si="621"/>
        <v>251570.42000000019</v>
      </c>
      <c r="Z395" s="50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22">
        <f t="shared" si="614"/>
        <v>-787.59000000003061</v>
      </c>
      <c r="AJ395" s="522">
        <f t="shared" si="566"/>
        <v>-216427.04000000015</v>
      </c>
      <c r="AK395" s="522">
        <f t="shared" si="615"/>
        <v>-217214.63000000018</v>
      </c>
      <c r="AL395" s="285">
        <f t="shared" si="627"/>
        <v>251250.64000000019</v>
      </c>
      <c r="AM395" s="426">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1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6">
        <f t="shared" si="587"/>
        <v>28</v>
      </c>
      <c r="M396" s="426">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12" t="str">
        <f t="shared" si="545"/>
        <v xml:space="preserve"> </v>
      </c>
      <c r="Y396" s="285">
        <f t="shared" si="621"/>
        <v>251250.64000000019</v>
      </c>
      <c r="Z396" s="50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22">
        <f t="shared" si="614"/>
        <v>-807.06000000003064</v>
      </c>
      <c r="AJ396" s="522">
        <f t="shared" si="566"/>
        <v>-217534.80000000016</v>
      </c>
      <c r="AK396" s="522">
        <f t="shared" si="615"/>
        <v>-218341.86000000019</v>
      </c>
      <c r="AL396" s="285">
        <f t="shared" si="627"/>
        <v>250929.20000000019</v>
      </c>
      <c r="AM396" s="426">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1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6">
        <f t="shared" si="587"/>
        <v>28</v>
      </c>
      <c r="M397" s="426">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12" t="str">
        <f t="shared" si="545"/>
        <v xml:space="preserve"> </v>
      </c>
      <c r="Y397" s="285">
        <f t="shared" si="621"/>
        <v>250929.20000000019</v>
      </c>
      <c r="Z397" s="50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22">
        <f t="shared" si="614"/>
        <v>-826.53000000003067</v>
      </c>
      <c r="AJ397" s="522">
        <f t="shared" si="566"/>
        <v>-218648.32000000015</v>
      </c>
      <c r="AK397" s="522">
        <f t="shared" si="615"/>
        <v>-219474.85000000018</v>
      </c>
      <c r="AL397" s="285">
        <f t="shared" si="627"/>
        <v>250606.08000000019</v>
      </c>
      <c r="AM397" s="426">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15" t="str">
        <f t="shared" si="603"/>
        <v xml:space="preserve"> </v>
      </c>
      <c r="B398" s="346">
        <f t="shared" si="597"/>
        <v>0</v>
      </c>
      <c r="C398" s="21">
        <f t="shared" si="535"/>
        <v>0</v>
      </c>
      <c r="D398" s="21">
        <f t="shared" si="551"/>
        <v>0</v>
      </c>
      <c r="E398" s="21">
        <f t="shared" si="536"/>
        <v>0</v>
      </c>
      <c r="F398" s="21">
        <f t="shared" si="604"/>
        <v>134.16999999999999</v>
      </c>
      <c r="G398" s="21">
        <f t="shared" si="600"/>
        <v>188.55</v>
      </c>
      <c r="H398" s="21">
        <f t="shared" si="601"/>
        <v>322.72000000000003</v>
      </c>
      <c r="I398" s="346">
        <f t="shared" si="605"/>
        <v>97532.849999999991</v>
      </c>
      <c r="J398" s="346">
        <f t="shared" si="606"/>
        <v>64871.789999999986</v>
      </c>
      <c r="K398" s="346">
        <f t="shared" si="607"/>
        <v>0</v>
      </c>
      <c r="L398" s="427">
        <f t="shared" si="587"/>
        <v>28</v>
      </c>
      <c r="M398" s="427">
        <f t="shared" si="543"/>
        <v>339</v>
      </c>
      <c r="N398" s="346">
        <f t="shared" si="544"/>
        <v>31957.760000000031</v>
      </c>
      <c r="O398" s="346">
        <f t="shared" si="619"/>
        <v>1610.57</v>
      </c>
      <c r="P398" s="346">
        <f t="shared" si="552"/>
        <v>1444.12</v>
      </c>
      <c r="Q398" s="346">
        <f t="shared" si="620"/>
        <v>166.45</v>
      </c>
      <c r="R398" s="346">
        <f t="shared" si="611"/>
        <v>134.16999999999999</v>
      </c>
      <c r="S398" s="346">
        <f t="shared" si="612"/>
        <v>188.55</v>
      </c>
      <c r="T398" s="346">
        <f t="shared" si="608"/>
        <v>1933.29</v>
      </c>
      <c r="U398" s="346">
        <f t="shared" si="553"/>
        <v>231062.36000000013</v>
      </c>
      <c r="V398" s="346">
        <f t="shared" si="554"/>
        <v>316531.44</v>
      </c>
      <c r="W398" s="346">
        <f t="shared" si="609"/>
        <v>30513.640000000032</v>
      </c>
      <c r="X398" s="515" t="str">
        <f t="shared" si="545"/>
        <v xml:space="preserve"> </v>
      </c>
      <c r="Y398" s="346">
        <f t="shared" si="621"/>
        <v>250606.08000000019</v>
      </c>
      <c r="Z398" s="505">
        <f t="shared" si="537"/>
        <v>6.25E-2</v>
      </c>
      <c r="AA398" s="346">
        <f t="shared" si="538"/>
        <v>1630.04</v>
      </c>
      <c r="AB398" s="346">
        <f t="shared" si="622"/>
        <v>324.79999999999995</v>
      </c>
      <c r="AC398" s="346">
        <f t="shared" si="539"/>
        <v>1305.24</v>
      </c>
      <c r="AD398" s="346">
        <f t="shared" ref="AD398:AE398" si="643">+AD397</f>
        <v>134.16999999999999</v>
      </c>
      <c r="AE398" s="346">
        <f t="shared" si="643"/>
        <v>188.55</v>
      </c>
      <c r="AF398" s="346">
        <f t="shared" si="624"/>
        <v>1952.76</v>
      </c>
      <c r="AG398" s="346">
        <f t="shared" si="625"/>
        <v>80912.119999999908</v>
      </c>
      <c r="AH398" s="346">
        <f t="shared" si="626"/>
        <v>467527.68000000034</v>
      </c>
      <c r="AI398" s="523">
        <f t="shared" si="614"/>
        <v>-846.0000000000307</v>
      </c>
      <c r="AJ398" s="523">
        <f t="shared" si="566"/>
        <v>-219767.64000000016</v>
      </c>
      <c r="AK398" s="522">
        <f t="shared" si="615"/>
        <v>-220613.64000000019</v>
      </c>
      <c r="AL398" s="346">
        <f t="shared" si="627"/>
        <v>250281.2800000002</v>
      </c>
      <c r="AM398" s="427">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6">
        <f t="shared" si="549"/>
        <v>1701.5939700544138</v>
      </c>
      <c r="AV398" s="346">
        <f t="shared" si="550"/>
        <v>420763.18199181999</v>
      </c>
    </row>
    <row r="399" spans="1:48" x14ac:dyDescent="0.25">
      <c r="A399" s="51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6">
        <f t="shared" si="587"/>
        <v>28</v>
      </c>
      <c r="M399" s="426">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12" t="str">
        <f t="shared" si="545"/>
        <v xml:space="preserve"> </v>
      </c>
      <c r="Y399" s="285">
        <f t="shared" si="621"/>
        <v>250281.2800000002</v>
      </c>
      <c r="Z399" s="50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22">
        <f t="shared" si="614"/>
        <v>-865.47000000003072</v>
      </c>
      <c r="AJ399" s="522">
        <f t="shared" si="566"/>
        <v>-220892.79000000018</v>
      </c>
      <c r="AK399" s="522">
        <f t="shared" si="615"/>
        <v>-221758.26000000021</v>
      </c>
      <c r="AL399" s="285">
        <f t="shared" si="627"/>
        <v>249954.79000000021</v>
      </c>
      <c r="AM399" s="426">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1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6">
        <f t="shared" si="587"/>
        <v>28</v>
      </c>
      <c r="M400" s="426">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12" t="str">
        <f t="shared" ref="X400:X463" si="653">+A400</f>
        <v xml:space="preserve"> </v>
      </c>
      <c r="Y400" s="285">
        <f t="shared" si="621"/>
        <v>249954.79000000021</v>
      </c>
      <c r="Z400" s="50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22">
        <f t="shared" si="614"/>
        <v>-884.94000000003075</v>
      </c>
      <c r="AJ400" s="522">
        <f t="shared" si="566"/>
        <v>-222023.81000000017</v>
      </c>
      <c r="AK400" s="522">
        <f t="shared" si="615"/>
        <v>-222908.7500000002</v>
      </c>
      <c r="AL400" s="285">
        <f t="shared" si="627"/>
        <v>249626.60000000021</v>
      </c>
      <c r="AM400" s="426">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1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6">
        <f t="shared" si="587"/>
        <v>28</v>
      </c>
      <c r="M401" s="426">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12" t="str">
        <f t="shared" si="653"/>
        <v xml:space="preserve"> </v>
      </c>
      <c r="Y401" s="285">
        <f t="shared" si="621"/>
        <v>249626.60000000021</v>
      </c>
      <c r="Z401" s="50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22">
        <f t="shared" si="614"/>
        <v>-904.41000000003078</v>
      </c>
      <c r="AJ401" s="522">
        <f t="shared" si="566"/>
        <v>-223160.72000000018</v>
      </c>
      <c r="AK401" s="522">
        <f t="shared" si="615"/>
        <v>-224065.13000000021</v>
      </c>
      <c r="AL401" s="285">
        <f t="shared" si="627"/>
        <v>249296.70000000022</v>
      </c>
      <c r="AM401" s="426">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1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6">
        <f t="shared" si="587"/>
        <v>28</v>
      </c>
      <c r="M402" s="426">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12" t="str">
        <f t="shared" si="653"/>
        <v xml:space="preserve"> </v>
      </c>
      <c r="Y402" s="285">
        <f t="shared" si="621"/>
        <v>249296.70000000022</v>
      </c>
      <c r="Z402" s="50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22">
        <f t="shared" si="614"/>
        <v>-923.8800000000308</v>
      </c>
      <c r="AJ402" s="522">
        <f t="shared" si="566"/>
        <v>-224303.55000000019</v>
      </c>
      <c r="AK402" s="522">
        <f t="shared" si="615"/>
        <v>-225227.43000000023</v>
      </c>
      <c r="AL402" s="285">
        <f t="shared" si="627"/>
        <v>248965.08000000022</v>
      </c>
      <c r="AM402" s="426">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1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6">
        <f t="shared" si="587"/>
        <v>28</v>
      </c>
      <c r="M403" s="426">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12" t="str">
        <f t="shared" si="653"/>
        <v xml:space="preserve"> </v>
      </c>
      <c r="Y403" s="285">
        <f t="shared" si="621"/>
        <v>248965.08000000022</v>
      </c>
      <c r="Z403" s="50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22">
        <f t="shared" si="614"/>
        <v>-943.35000000003083</v>
      </c>
      <c r="AJ403" s="522">
        <f t="shared" si="566"/>
        <v>-225452.32000000018</v>
      </c>
      <c r="AK403" s="522">
        <f t="shared" si="615"/>
        <v>-226395.67000000022</v>
      </c>
      <c r="AL403" s="285">
        <f t="shared" si="627"/>
        <v>248631.73000000021</v>
      </c>
      <c r="AM403" s="426">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1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6">
        <f t="shared" si="587"/>
        <v>28</v>
      </c>
      <c r="M404" s="426">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12" t="str">
        <f t="shared" si="653"/>
        <v xml:space="preserve"> </v>
      </c>
      <c r="Y404" s="285">
        <f t="shared" si="621"/>
        <v>248631.73000000021</v>
      </c>
      <c r="Z404" s="50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22">
        <f t="shared" si="614"/>
        <v>-962.82000000003086</v>
      </c>
      <c r="AJ404" s="522">
        <f t="shared" si="566"/>
        <v>-226607.08000000019</v>
      </c>
      <c r="AK404" s="522">
        <f t="shared" si="615"/>
        <v>-227569.90000000023</v>
      </c>
      <c r="AL404" s="285">
        <f t="shared" si="627"/>
        <v>248296.65000000023</v>
      </c>
      <c r="AM404" s="426">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1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6">
        <f t="shared" si="587"/>
        <v>28</v>
      </c>
      <c r="M405" s="426">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12" t="str">
        <f t="shared" si="653"/>
        <v xml:space="preserve"> </v>
      </c>
      <c r="Y405" s="285">
        <f t="shared" si="621"/>
        <v>248296.65000000023</v>
      </c>
      <c r="Z405" s="50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22">
        <f t="shared" si="614"/>
        <v>-982.29000000003089</v>
      </c>
      <c r="AJ405" s="522">
        <f t="shared" si="566"/>
        <v>-227767.85000000021</v>
      </c>
      <c r="AK405" s="522">
        <f t="shared" si="615"/>
        <v>-228750.14000000025</v>
      </c>
      <c r="AL405" s="285">
        <f t="shared" si="627"/>
        <v>247959.82000000024</v>
      </c>
      <c r="AM405" s="426">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1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6">
        <f t="shared" si="587"/>
        <v>28</v>
      </c>
      <c r="M406" s="426">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12" t="str">
        <f t="shared" si="653"/>
        <v xml:space="preserve"> </v>
      </c>
      <c r="Y406" s="285">
        <f t="shared" si="621"/>
        <v>247959.82000000024</v>
      </c>
      <c r="Z406" s="50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22">
        <f t="shared" si="614"/>
        <v>-1001.7600000000309</v>
      </c>
      <c r="AJ406" s="522">
        <f t="shared" si="566"/>
        <v>-228934.67000000022</v>
      </c>
      <c r="AK406" s="522">
        <f t="shared" si="615"/>
        <v>-229936.43000000025</v>
      </c>
      <c r="AL406" s="285">
        <f t="shared" si="627"/>
        <v>247621.24000000025</v>
      </c>
      <c r="AM406" s="426">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1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6">
        <f t="shared" si="587"/>
        <v>29</v>
      </c>
      <c r="M407" s="426">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12" t="str">
        <f t="shared" si="653"/>
        <v xml:space="preserve"> </v>
      </c>
      <c r="Y407" s="285">
        <f t="shared" si="621"/>
        <v>247621.24000000025</v>
      </c>
      <c r="Z407" s="50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22">
        <f t="shared" si="614"/>
        <v>-1021.2300000000309</v>
      </c>
      <c r="AJ407" s="522">
        <f t="shared" si="566"/>
        <v>-230107.56000000023</v>
      </c>
      <c r="AK407" s="522">
        <f t="shared" si="615"/>
        <v>-231128.79000000027</v>
      </c>
      <c r="AL407" s="285">
        <f t="shared" si="627"/>
        <v>247280.89000000025</v>
      </c>
      <c r="AM407" s="426">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1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6">
        <f t="shared" si="587"/>
        <v>29</v>
      </c>
      <c r="M408" s="426">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12" t="str">
        <f t="shared" si="653"/>
        <v xml:space="preserve"> </v>
      </c>
      <c r="Y408" s="285">
        <f t="shared" si="621"/>
        <v>247280.89000000025</v>
      </c>
      <c r="Z408" s="50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22">
        <f t="shared" si="614"/>
        <v>-1040.700000000031</v>
      </c>
      <c r="AJ408" s="522">
        <f t="shared" si="566"/>
        <v>-231286.57000000021</v>
      </c>
      <c r="AK408" s="522">
        <f t="shared" si="615"/>
        <v>-232327.27000000025</v>
      </c>
      <c r="AL408" s="285">
        <f t="shared" si="627"/>
        <v>246938.77000000025</v>
      </c>
      <c r="AM408" s="426">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1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6">
        <f t="shared" si="587"/>
        <v>29</v>
      </c>
      <c r="M409" s="426">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12" t="str">
        <f t="shared" si="653"/>
        <v xml:space="preserve"> </v>
      </c>
      <c r="Y409" s="285">
        <f t="shared" si="621"/>
        <v>246938.77000000025</v>
      </c>
      <c r="Z409" s="50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22">
        <f t="shared" si="614"/>
        <v>-1060.170000000031</v>
      </c>
      <c r="AJ409" s="522">
        <f t="shared" si="566"/>
        <v>-232471.72000000023</v>
      </c>
      <c r="AK409" s="522">
        <f t="shared" si="615"/>
        <v>-233531.89000000028</v>
      </c>
      <c r="AL409" s="285">
        <f t="shared" si="627"/>
        <v>246594.87000000026</v>
      </c>
      <c r="AM409" s="426">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15" t="str">
        <f t="shared" si="603"/>
        <v xml:space="preserve"> </v>
      </c>
      <c r="B410" s="346">
        <f t="shared" si="597"/>
        <v>0</v>
      </c>
      <c r="C410" s="21">
        <f t="shared" si="644"/>
        <v>0</v>
      </c>
      <c r="D410" s="21">
        <f t="shared" si="659"/>
        <v>0</v>
      </c>
      <c r="E410" s="21">
        <f t="shared" si="645"/>
        <v>0</v>
      </c>
      <c r="F410" s="21">
        <f t="shared" si="604"/>
        <v>134.16999999999999</v>
      </c>
      <c r="G410" s="21">
        <f t="shared" si="600"/>
        <v>188.55</v>
      </c>
      <c r="H410" s="21">
        <f t="shared" si="601"/>
        <v>322.72000000000003</v>
      </c>
      <c r="I410" s="346">
        <f t="shared" si="605"/>
        <v>97532.849999999991</v>
      </c>
      <c r="J410" s="346">
        <f t="shared" si="606"/>
        <v>64871.789999999986</v>
      </c>
      <c r="K410" s="346">
        <f t="shared" si="607"/>
        <v>0</v>
      </c>
      <c r="L410" s="427">
        <f t="shared" si="587"/>
        <v>29</v>
      </c>
      <c r="M410" s="427">
        <f t="shared" si="651"/>
        <v>351</v>
      </c>
      <c r="N410" s="346">
        <f t="shared" si="652"/>
        <v>14123.150000000032</v>
      </c>
      <c r="O410" s="346">
        <f t="shared" si="619"/>
        <v>1610.57</v>
      </c>
      <c r="P410" s="346">
        <f t="shared" si="660"/>
        <v>1537.01</v>
      </c>
      <c r="Q410" s="346">
        <f t="shared" si="620"/>
        <v>73.56</v>
      </c>
      <c r="R410" s="346">
        <f t="shared" si="611"/>
        <v>134.16999999999999</v>
      </c>
      <c r="S410" s="346">
        <f t="shared" si="612"/>
        <v>188.55</v>
      </c>
      <c r="T410" s="346">
        <f t="shared" si="608"/>
        <v>1933.29</v>
      </c>
      <c r="U410" s="346">
        <f t="shared" si="661"/>
        <v>248989.86000000013</v>
      </c>
      <c r="V410" s="346">
        <f t="shared" si="662"/>
        <v>317930.77999999997</v>
      </c>
      <c r="W410" s="346">
        <f t="shared" si="609"/>
        <v>12586.140000000032</v>
      </c>
      <c r="X410" s="515" t="str">
        <f t="shared" si="653"/>
        <v xml:space="preserve"> </v>
      </c>
      <c r="Y410" s="346">
        <f t="shared" si="621"/>
        <v>246594.87000000026</v>
      </c>
      <c r="Z410" s="505">
        <f t="shared" si="646"/>
        <v>6.25E-2</v>
      </c>
      <c r="AA410" s="346">
        <f t="shared" si="647"/>
        <v>1630.04</v>
      </c>
      <c r="AB410" s="346">
        <f t="shared" si="622"/>
        <v>345.69000000000005</v>
      </c>
      <c r="AC410" s="346">
        <f t="shared" si="648"/>
        <v>1284.3499999999999</v>
      </c>
      <c r="AD410" s="346">
        <f t="shared" ref="AD410:AE410" si="672">+AD409</f>
        <v>134.16999999999999</v>
      </c>
      <c r="AE410" s="346">
        <f t="shared" si="672"/>
        <v>188.55</v>
      </c>
      <c r="AF410" s="346">
        <f t="shared" si="624"/>
        <v>1952.76</v>
      </c>
      <c r="AG410" s="346">
        <f t="shared" si="625"/>
        <v>84944.219999999914</v>
      </c>
      <c r="AH410" s="346">
        <f t="shared" si="626"/>
        <v>483056.06000000035</v>
      </c>
      <c r="AI410" s="523">
        <f t="shared" si="614"/>
        <v>-1079.640000000031</v>
      </c>
      <c r="AJ410" s="523">
        <f t="shared" si="566"/>
        <v>-233663.04000000021</v>
      </c>
      <c r="AK410" s="522">
        <f t="shared" si="615"/>
        <v>-234742.68000000025</v>
      </c>
      <c r="AL410" s="346">
        <f t="shared" si="627"/>
        <v>246249.18000000025</v>
      </c>
      <c r="AM410" s="427">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6">
        <f t="shared" si="657"/>
        <v>1753.3495789318729</v>
      </c>
      <c r="AV410" s="346">
        <f t="shared" si="658"/>
        <v>441517.181151681</v>
      </c>
    </row>
    <row r="411" spans="1:48" x14ac:dyDescent="0.25">
      <c r="A411" s="51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6">
        <f t="shared" si="587"/>
        <v>29</v>
      </c>
      <c r="M411" s="426">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12" t="str">
        <f t="shared" si="653"/>
        <v xml:space="preserve"> </v>
      </c>
      <c r="Y411" s="285">
        <f t="shared" si="621"/>
        <v>246249.18000000025</v>
      </c>
      <c r="Z411" s="50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22">
        <f t="shared" si="614"/>
        <v>-1099.1100000000311</v>
      </c>
      <c r="AJ411" s="522">
        <f t="shared" ref="AJ411:AJ474" si="674">+W411-AL411</f>
        <v>-234860.57000000024</v>
      </c>
      <c r="AK411" s="522">
        <f t="shared" si="615"/>
        <v>-235959.68000000028</v>
      </c>
      <c r="AL411" s="285">
        <f t="shared" si="627"/>
        <v>245901.69000000026</v>
      </c>
      <c r="AM411" s="426">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1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6">
        <f t="shared" si="587"/>
        <v>29</v>
      </c>
      <c r="M412" s="426">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12" t="str">
        <f t="shared" si="653"/>
        <v xml:space="preserve"> </v>
      </c>
      <c r="Y412" s="285">
        <f t="shared" si="621"/>
        <v>245901.69000000026</v>
      </c>
      <c r="Z412" s="50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22">
        <f t="shared" si="614"/>
        <v>-1118.5800000000311</v>
      </c>
      <c r="AJ412" s="522">
        <f t="shared" si="674"/>
        <v>-236064.33000000025</v>
      </c>
      <c r="AK412" s="522">
        <f t="shared" si="615"/>
        <v>-237182.91000000029</v>
      </c>
      <c r="AL412" s="285">
        <f t="shared" si="627"/>
        <v>245552.39000000028</v>
      </c>
      <c r="AM412" s="426">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1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6">
        <f t="shared" si="587"/>
        <v>29</v>
      </c>
      <c r="M413" s="426">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12" t="str">
        <f t="shared" si="653"/>
        <v xml:space="preserve"> </v>
      </c>
      <c r="Y413" s="285">
        <f t="shared" si="621"/>
        <v>245552.39000000028</v>
      </c>
      <c r="Z413" s="50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22">
        <f t="shared" si="614"/>
        <v>-1138.0500000000311</v>
      </c>
      <c r="AJ413" s="522">
        <f t="shared" si="674"/>
        <v>-237274.36000000025</v>
      </c>
      <c r="AK413" s="522">
        <f t="shared" si="615"/>
        <v>-238412.41000000027</v>
      </c>
      <c r="AL413" s="285">
        <f t="shared" si="627"/>
        <v>245201.27000000028</v>
      </c>
      <c r="AM413" s="426">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1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6">
        <f t="shared" si="587"/>
        <v>29</v>
      </c>
      <c r="M414" s="426">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12" t="str">
        <f t="shared" si="653"/>
        <v xml:space="preserve"> </v>
      </c>
      <c r="Y414" s="285">
        <f t="shared" si="621"/>
        <v>245201.27000000028</v>
      </c>
      <c r="Z414" s="50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22">
        <f t="shared" si="614"/>
        <v>-1157.5200000000311</v>
      </c>
      <c r="AJ414" s="522">
        <f t="shared" si="674"/>
        <v>-238490.69000000024</v>
      </c>
      <c r="AK414" s="522">
        <f t="shared" si="615"/>
        <v>-239648.21000000025</v>
      </c>
      <c r="AL414" s="285">
        <f t="shared" si="627"/>
        <v>244848.32000000027</v>
      </c>
      <c r="AM414" s="426">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1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6">
        <f t="shared" si="587"/>
        <v>29</v>
      </c>
      <c r="M415" s="426">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12" t="str">
        <f t="shared" si="653"/>
        <v xml:space="preserve"> </v>
      </c>
      <c r="Y415" s="285">
        <f t="shared" si="621"/>
        <v>244848.32000000027</v>
      </c>
      <c r="Z415" s="50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22">
        <f t="shared" si="614"/>
        <v>-1176.9900000000312</v>
      </c>
      <c r="AJ415" s="522">
        <f t="shared" si="674"/>
        <v>-239713.36000000022</v>
      </c>
      <c r="AK415" s="522">
        <f t="shared" si="615"/>
        <v>-240890.35000000024</v>
      </c>
      <c r="AL415" s="285">
        <f t="shared" si="627"/>
        <v>244493.53000000026</v>
      </c>
      <c r="AM415" s="426">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1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6">
        <f t="shared" si="587"/>
        <v>29</v>
      </c>
      <c r="M416" s="426">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12" t="str">
        <f t="shared" si="653"/>
        <v xml:space="preserve"> </v>
      </c>
      <c r="Y416" s="285">
        <f t="shared" si="621"/>
        <v>244493.53000000026</v>
      </c>
      <c r="Z416" s="50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22">
        <f t="shared" si="614"/>
        <v>-1196.4600000000312</v>
      </c>
      <c r="AJ416" s="522">
        <f t="shared" si="674"/>
        <v>-240942.39000000022</v>
      </c>
      <c r="AK416" s="522">
        <f t="shared" si="615"/>
        <v>-242138.85000000024</v>
      </c>
      <c r="AL416" s="285">
        <f t="shared" si="627"/>
        <v>244136.89000000025</v>
      </c>
      <c r="AM416" s="426">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1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6">
        <f t="shared" si="587"/>
        <v>29</v>
      </c>
      <c r="M417" s="426">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12" t="str">
        <f t="shared" si="653"/>
        <v xml:space="preserve"> </v>
      </c>
      <c r="Y417" s="285">
        <f t="shared" si="621"/>
        <v>244136.89000000025</v>
      </c>
      <c r="Z417" s="50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22">
        <f t="shared" si="614"/>
        <v>-1215.9300000000312</v>
      </c>
      <c r="AJ417" s="522">
        <f t="shared" si="674"/>
        <v>-242177.83000000022</v>
      </c>
      <c r="AK417" s="522">
        <f t="shared" si="615"/>
        <v>-243393.76000000024</v>
      </c>
      <c r="AL417" s="285">
        <f t="shared" si="627"/>
        <v>243778.40000000026</v>
      </c>
      <c r="AM417" s="426">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1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6">
        <f t="shared" si="587"/>
        <v>29</v>
      </c>
      <c r="M418" s="426">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12" t="str">
        <f t="shared" si="653"/>
        <v xml:space="preserve"> </v>
      </c>
      <c r="Y418" s="285">
        <f t="shared" si="621"/>
        <v>243778.40000000026</v>
      </c>
      <c r="Z418" s="50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22">
        <f t="shared" si="614"/>
        <v>-1235.4000000000312</v>
      </c>
      <c r="AJ418" s="522">
        <f t="shared" si="674"/>
        <v>-243419.70000000024</v>
      </c>
      <c r="AK418" s="522">
        <f t="shared" si="615"/>
        <v>-244655.10000000027</v>
      </c>
      <c r="AL418" s="285">
        <f t="shared" si="627"/>
        <v>243418.04000000027</v>
      </c>
      <c r="AM418" s="426">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1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6">
        <f t="shared" si="587"/>
        <v>30</v>
      </c>
      <c r="M419" s="426">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12" t="str">
        <f t="shared" si="653"/>
        <v xml:space="preserve"> </v>
      </c>
      <c r="Y419" s="285">
        <f t="shared" si="621"/>
        <v>243418.04000000027</v>
      </c>
      <c r="Z419" s="50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22">
        <f t="shared" si="614"/>
        <v>-2865.4400000000314</v>
      </c>
      <c r="AJ419" s="522">
        <f t="shared" si="674"/>
        <v>-243055.80000000028</v>
      </c>
      <c r="AK419" s="522">
        <f t="shared" si="615"/>
        <v>-245921.24000000031</v>
      </c>
      <c r="AL419" s="285">
        <f t="shared" si="627"/>
        <v>243055.80000000028</v>
      </c>
      <c r="AM419" s="426">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1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6">
        <f t="shared" si="587"/>
        <v>30</v>
      </c>
      <c r="M420" s="426">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12" t="str">
        <f t="shared" si="653"/>
        <v xml:space="preserve"> </v>
      </c>
      <c r="Y420" s="285">
        <f t="shared" si="621"/>
        <v>243055.80000000028</v>
      </c>
      <c r="Z420" s="50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22">
        <f t="shared" si="614"/>
        <v>-4495.4800000000314</v>
      </c>
      <c r="AJ420" s="522">
        <f t="shared" si="674"/>
        <v>-242691.68000000028</v>
      </c>
      <c r="AK420" s="522">
        <f t="shared" si="615"/>
        <v>-247187.16000000032</v>
      </c>
      <c r="AL420" s="285">
        <f>+Y420-AB420</f>
        <v>242691.68000000028</v>
      </c>
      <c r="AM420" s="426">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1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6">
        <f t="shared" si="587"/>
        <v>30</v>
      </c>
      <c r="M421" s="426">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12" t="str">
        <f t="shared" si="653"/>
        <v xml:space="preserve"> </v>
      </c>
      <c r="Y421" s="285">
        <f t="shared" si="621"/>
        <v>242691.68000000028</v>
      </c>
      <c r="Z421" s="50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22">
        <f t="shared" si="614"/>
        <v>-6125.5200000000314</v>
      </c>
      <c r="AJ421" s="522">
        <f t="shared" si="674"/>
        <v>-242325.66000000029</v>
      </c>
      <c r="AK421" s="522">
        <f t="shared" si="615"/>
        <v>-248451.18000000031</v>
      </c>
      <c r="AL421" s="285">
        <f t="shared" si="627"/>
        <v>242325.66000000029</v>
      </c>
      <c r="AM421" s="426">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15" t="str">
        <f t="shared" si="603"/>
        <v xml:space="preserve"> </v>
      </c>
      <c r="B422" s="346">
        <f t="shared" si="597"/>
        <v>0</v>
      </c>
      <c r="C422" s="21">
        <f t="shared" si="644"/>
        <v>0</v>
      </c>
      <c r="D422" s="21">
        <f t="shared" si="659"/>
        <v>0</v>
      </c>
      <c r="E422" s="21">
        <f t="shared" si="645"/>
        <v>0</v>
      </c>
      <c r="F422" s="21">
        <f t="shared" si="604"/>
        <v>134.16999999999999</v>
      </c>
      <c r="G422" s="21">
        <f t="shared" si="600"/>
        <v>188.55</v>
      </c>
      <c r="H422" s="21">
        <f t="shared" si="601"/>
        <v>322.72000000000003</v>
      </c>
      <c r="I422" s="346">
        <f t="shared" si="605"/>
        <v>97532.849999999991</v>
      </c>
      <c r="J422" s="346">
        <f t="shared" si="606"/>
        <v>64871.789999999986</v>
      </c>
      <c r="K422" s="346">
        <f t="shared" si="607"/>
        <v>0</v>
      </c>
      <c r="L422" s="427">
        <f t="shared" si="587"/>
        <v>30</v>
      </c>
      <c r="M422" s="427">
        <f t="shared" si="651"/>
        <v>363</v>
      </c>
      <c r="N422" s="346">
        <f t="shared" si="681"/>
        <v>0</v>
      </c>
      <c r="O422" s="346">
        <f t="shared" si="619"/>
        <v>0</v>
      </c>
      <c r="P422" s="346">
        <f t="shared" si="660"/>
        <v>0</v>
      </c>
      <c r="Q422" s="346">
        <f t="shared" si="620"/>
        <v>0</v>
      </c>
      <c r="R422" s="346">
        <f t="shared" si="611"/>
        <v>134.16999999999999</v>
      </c>
      <c r="S422" s="346">
        <f t="shared" si="612"/>
        <v>188.55</v>
      </c>
      <c r="T422" s="346">
        <f t="shared" si="608"/>
        <v>322.72000000000003</v>
      </c>
      <c r="U422" s="346">
        <f t="shared" si="661"/>
        <v>261577.66000000012</v>
      </c>
      <c r="V422" s="346">
        <f t="shared" si="662"/>
        <v>318227.53999999998</v>
      </c>
      <c r="W422" s="346">
        <f t="shared" si="609"/>
        <v>0</v>
      </c>
      <c r="X422" s="515" t="str">
        <f t="shared" si="653"/>
        <v xml:space="preserve"> </v>
      </c>
      <c r="Y422" s="346">
        <f t="shared" si="621"/>
        <v>242325.66000000029</v>
      </c>
      <c r="Z422" s="505">
        <f t="shared" si="646"/>
        <v>6.25E-2</v>
      </c>
      <c r="AA422" s="346">
        <f t="shared" si="647"/>
        <v>1630.04</v>
      </c>
      <c r="AB422" s="346">
        <f t="shared" si="622"/>
        <v>367.93000000000006</v>
      </c>
      <c r="AC422" s="346">
        <f t="shared" si="648"/>
        <v>1262.1099999999999</v>
      </c>
      <c r="AD422" s="346">
        <f t="shared" ref="AD422:AE422" si="686">+AD421</f>
        <v>134.16999999999999</v>
      </c>
      <c r="AE422" s="346">
        <f t="shared" si="686"/>
        <v>188.55</v>
      </c>
      <c r="AF422" s="346">
        <f t="shared" si="624"/>
        <v>1952.76</v>
      </c>
      <c r="AG422" s="346">
        <f t="shared" si="625"/>
        <v>89235.669999999911</v>
      </c>
      <c r="AH422" s="346">
        <f t="shared" si="626"/>
        <v>498325.09000000032</v>
      </c>
      <c r="AI422" s="523">
        <f t="shared" si="614"/>
        <v>-7755.5600000000313</v>
      </c>
      <c r="AJ422" s="523">
        <f t="shared" si="674"/>
        <v>-241957.7300000003</v>
      </c>
      <c r="AK422" s="522">
        <f t="shared" si="615"/>
        <v>-249713.29000000033</v>
      </c>
      <c r="AL422" s="346">
        <f t="shared" si="627"/>
        <v>241957.7300000003</v>
      </c>
      <c r="AM422" s="427">
        <f t="shared" si="655"/>
        <v>30</v>
      </c>
      <c r="AN422" s="21">
        <f t="shared" si="616"/>
        <v>0</v>
      </c>
      <c r="AO422" s="21">
        <f t="shared" si="585"/>
        <v>0</v>
      </c>
      <c r="AP422" s="21">
        <f t="shared" si="617"/>
        <v>0</v>
      </c>
      <c r="AQ422" s="21"/>
      <c r="AR422" s="23"/>
      <c r="AS422" s="21">
        <f t="shared" si="650"/>
        <v>0</v>
      </c>
      <c r="AT422" s="21">
        <f t="shared" si="656"/>
        <v>0</v>
      </c>
      <c r="AU422" s="346">
        <f t="shared" si="657"/>
        <v>0</v>
      </c>
      <c r="AV422" s="346">
        <f t="shared" si="658"/>
        <v>0</v>
      </c>
    </row>
    <row r="423" spans="1:48" x14ac:dyDescent="0.25">
      <c r="A423" s="51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6">
        <f t="shared" si="587"/>
        <v>30</v>
      </c>
      <c r="M423" s="426">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12" t="str">
        <f t="shared" si="653"/>
        <v xml:space="preserve"> </v>
      </c>
      <c r="Y423" s="285">
        <f t="shared" si="621"/>
        <v>241957.7300000003</v>
      </c>
      <c r="Z423" s="50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22">
        <f t="shared" si="614"/>
        <v>-9385.6000000000313</v>
      </c>
      <c r="AJ423" s="522">
        <f t="shared" si="674"/>
        <v>-241587.89000000031</v>
      </c>
      <c r="AK423" s="522">
        <f t="shared" si="615"/>
        <v>-250973.49000000034</v>
      </c>
      <c r="AL423" s="285">
        <f t="shared" si="627"/>
        <v>241587.89000000031</v>
      </c>
      <c r="AM423" s="426">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1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6">
        <f t="shared" si="587"/>
        <v>30</v>
      </c>
      <c r="M424" s="426">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12" t="str">
        <f t="shared" si="653"/>
        <v xml:space="preserve"> </v>
      </c>
      <c r="Y424" s="285">
        <f t="shared" si="621"/>
        <v>241587.89000000031</v>
      </c>
      <c r="Z424" s="50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22">
        <f t="shared" si="614"/>
        <v>-11015.640000000032</v>
      </c>
      <c r="AJ424" s="522">
        <f t="shared" si="674"/>
        <v>-241216.12000000032</v>
      </c>
      <c r="AK424" s="522">
        <f t="shared" si="615"/>
        <v>-252231.76000000036</v>
      </c>
      <c r="AL424" s="285">
        <f t="shared" si="627"/>
        <v>241216.12000000032</v>
      </c>
      <c r="AM424" s="426">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1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6">
        <f t="shared" si="587"/>
        <v>30</v>
      </c>
      <c r="M425" s="426">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12" t="str">
        <f t="shared" si="653"/>
        <v xml:space="preserve"> </v>
      </c>
      <c r="Y425" s="285">
        <f t="shared" si="621"/>
        <v>241216.12000000032</v>
      </c>
      <c r="Z425" s="50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22">
        <f t="shared" si="614"/>
        <v>-12645.680000000033</v>
      </c>
      <c r="AJ425" s="522">
        <f t="shared" si="674"/>
        <v>-240842.41000000032</v>
      </c>
      <c r="AK425" s="522">
        <f t="shared" si="615"/>
        <v>-253488.09000000035</v>
      </c>
      <c r="AL425" s="285">
        <f t="shared" si="627"/>
        <v>240842.41000000032</v>
      </c>
      <c r="AM425" s="426">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1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6">
        <f t="shared" si="587"/>
        <v>30</v>
      </c>
      <c r="M426" s="426">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12" t="str">
        <f t="shared" si="653"/>
        <v xml:space="preserve"> </v>
      </c>
      <c r="Y426" s="285">
        <f t="shared" si="621"/>
        <v>240842.41000000032</v>
      </c>
      <c r="Z426" s="50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22">
        <f t="shared" si="614"/>
        <v>-14275.720000000034</v>
      </c>
      <c r="AJ426" s="522">
        <f t="shared" si="674"/>
        <v>-240466.76000000033</v>
      </c>
      <c r="AK426" s="522">
        <f t="shared" si="615"/>
        <v>-254742.48000000036</v>
      </c>
      <c r="AL426" s="285">
        <f t="shared" si="627"/>
        <v>240466.76000000033</v>
      </c>
      <c r="AM426" s="426">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1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6">
        <f t="shared" si="587"/>
        <v>30</v>
      </c>
      <c r="M427" s="426">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12" t="str">
        <f t="shared" si="653"/>
        <v xml:space="preserve"> </v>
      </c>
      <c r="Y427" s="285">
        <f t="shared" si="621"/>
        <v>240466.76000000033</v>
      </c>
      <c r="Z427" s="50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22">
        <f t="shared" si="614"/>
        <v>-15905.760000000035</v>
      </c>
      <c r="AJ427" s="522">
        <f t="shared" si="674"/>
        <v>-240089.15000000034</v>
      </c>
      <c r="AK427" s="522">
        <f t="shared" si="615"/>
        <v>-255994.91000000038</v>
      </c>
      <c r="AL427" s="285">
        <f t="shared" si="627"/>
        <v>240089.15000000034</v>
      </c>
      <c r="AM427" s="426">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1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6">
        <f t="shared" si="587"/>
        <v>30</v>
      </c>
      <c r="M428" s="426">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12" t="str">
        <f t="shared" si="653"/>
        <v xml:space="preserve"> </v>
      </c>
      <c r="Y428" s="285">
        <f t="shared" si="621"/>
        <v>240089.15000000034</v>
      </c>
      <c r="Z428" s="50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22">
        <f t="shared" si="614"/>
        <v>-17535.800000000036</v>
      </c>
      <c r="AJ428" s="522">
        <f t="shared" si="674"/>
        <v>-239709.57000000036</v>
      </c>
      <c r="AK428" s="522">
        <f t="shared" si="615"/>
        <v>-257245.3700000004</v>
      </c>
      <c r="AL428" s="285">
        <f t="shared" si="627"/>
        <v>239709.57000000036</v>
      </c>
      <c r="AM428" s="426">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1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6">
        <f t="shared" si="587"/>
        <v>30</v>
      </c>
      <c r="M429" s="426">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12" t="str">
        <f t="shared" si="653"/>
        <v xml:space="preserve"> </v>
      </c>
      <c r="Y429" s="285">
        <f t="shared" si="621"/>
        <v>239709.57000000036</v>
      </c>
      <c r="Z429" s="50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22">
        <f t="shared" si="614"/>
        <v>-19165.840000000037</v>
      </c>
      <c r="AJ429" s="522">
        <f t="shared" si="674"/>
        <v>-239328.02000000037</v>
      </c>
      <c r="AK429" s="522">
        <f t="shared" si="615"/>
        <v>-258493.86000000039</v>
      </c>
      <c r="AL429" s="285">
        <f t="shared" si="627"/>
        <v>239328.02000000037</v>
      </c>
      <c r="AM429" s="426">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1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6">
        <f t="shared" si="587"/>
        <v>30</v>
      </c>
      <c r="M430" s="426">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12" t="str">
        <f t="shared" si="653"/>
        <v xml:space="preserve"> </v>
      </c>
      <c r="Y430" s="285">
        <f t="shared" si="621"/>
        <v>239328.02000000037</v>
      </c>
      <c r="Z430" s="50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22">
        <f t="shared" si="614"/>
        <v>-20795.880000000037</v>
      </c>
      <c r="AJ430" s="522">
        <f t="shared" si="674"/>
        <v>-238944.48000000036</v>
      </c>
      <c r="AK430" s="522">
        <f t="shared" si="615"/>
        <v>-259740.36000000039</v>
      </c>
      <c r="AL430" s="285">
        <f t="shared" si="627"/>
        <v>238944.48000000036</v>
      </c>
      <c r="AM430" s="426">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1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6">
        <f t="shared" ref="L431:L494" si="696">IF(MOD(M431,12)=0,M431/12,L430)</f>
        <v>31</v>
      </c>
      <c r="M431" s="426">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12" t="str">
        <f t="shared" si="653"/>
        <v xml:space="preserve"> </v>
      </c>
      <c r="Y431" s="285">
        <f t="shared" si="621"/>
        <v>238944.48000000036</v>
      </c>
      <c r="Z431" s="50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22">
        <f t="shared" si="614"/>
        <v>-22425.920000000038</v>
      </c>
      <c r="AJ431" s="522">
        <f t="shared" si="674"/>
        <v>-238558.94000000035</v>
      </c>
      <c r="AK431" s="522">
        <f t="shared" si="615"/>
        <v>-260984.86000000039</v>
      </c>
      <c r="AL431" s="285">
        <f t="shared" si="627"/>
        <v>238558.94000000035</v>
      </c>
      <c r="AM431" s="426">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1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6">
        <f t="shared" si="696"/>
        <v>31</v>
      </c>
      <c r="M432" s="426">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12" t="str">
        <f t="shared" si="653"/>
        <v xml:space="preserve"> </v>
      </c>
      <c r="Y432" s="285">
        <f t="shared" si="621"/>
        <v>238558.94000000035</v>
      </c>
      <c r="Z432" s="50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22">
        <f t="shared" si="614"/>
        <v>-24055.960000000039</v>
      </c>
      <c r="AJ432" s="522">
        <f t="shared" si="674"/>
        <v>-238171.39000000036</v>
      </c>
      <c r="AK432" s="522">
        <f t="shared" si="615"/>
        <v>-262227.35000000038</v>
      </c>
      <c r="AL432" s="285">
        <f t="shared" si="627"/>
        <v>238171.39000000036</v>
      </c>
      <c r="AM432" s="426">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1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6">
        <f t="shared" si="696"/>
        <v>31</v>
      </c>
      <c r="M433" s="426">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12" t="str">
        <f t="shared" si="653"/>
        <v xml:space="preserve"> </v>
      </c>
      <c r="Y433" s="285">
        <f t="shared" si="621"/>
        <v>238171.39000000036</v>
      </c>
      <c r="Z433" s="50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22">
        <f t="shared" si="614"/>
        <v>-25686.00000000004</v>
      </c>
      <c r="AJ433" s="522">
        <f t="shared" si="674"/>
        <v>-237781.83000000037</v>
      </c>
      <c r="AK433" s="522">
        <f t="shared" si="615"/>
        <v>-263467.83000000042</v>
      </c>
      <c r="AL433" s="285">
        <f t="shared" si="627"/>
        <v>237781.83000000037</v>
      </c>
      <c r="AM433" s="426">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15" t="str">
        <f t="shared" si="603"/>
        <v xml:space="preserve"> </v>
      </c>
      <c r="B434" s="346">
        <f t="shared" si="597"/>
        <v>0</v>
      </c>
      <c r="C434" s="21">
        <f t="shared" si="644"/>
        <v>0</v>
      </c>
      <c r="D434" s="21">
        <f t="shared" si="659"/>
        <v>0</v>
      </c>
      <c r="E434" s="21">
        <f t="shared" si="645"/>
        <v>0</v>
      </c>
      <c r="F434" s="21">
        <f t="shared" si="604"/>
        <v>134.16999999999999</v>
      </c>
      <c r="G434" s="21">
        <f t="shared" si="600"/>
        <v>188.55</v>
      </c>
      <c r="H434" s="21">
        <f t="shared" si="601"/>
        <v>322.72000000000003</v>
      </c>
      <c r="I434" s="346">
        <f t="shared" si="605"/>
        <v>97532.849999999991</v>
      </c>
      <c r="J434" s="346">
        <f t="shared" si="606"/>
        <v>64871.789999999986</v>
      </c>
      <c r="K434" s="346">
        <f t="shared" si="607"/>
        <v>0</v>
      </c>
      <c r="L434" s="427">
        <f t="shared" si="696"/>
        <v>31</v>
      </c>
      <c r="M434" s="427">
        <f t="shared" si="651"/>
        <v>375</v>
      </c>
      <c r="N434" s="346">
        <f t="shared" si="681"/>
        <v>0</v>
      </c>
      <c r="O434" s="346">
        <f t="shared" si="619"/>
        <v>0</v>
      </c>
      <c r="P434" s="346">
        <f t="shared" si="660"/>
        <v>0</v>
      </c>
      <c r="Q434" s="346">
        <f t="shared" si="620"/>
        <v>0</v>
      </c>
      <c r="R434" s="346">
        <f t="shared" si="611"/>
        <v>134.16999999999999</v>
      </c>
      <c r="S434" s="346">
        <f t="shared" si="612"/>
        <v>188.55</v>
      </c>
      <c r="T434" s="346">
        <f t="shared" si="608"/>
        <v>322.72000000000003</v>
      </c>
      <c r="U434" s="346">
        <f t="shared" si="661"/>
        <v>261577.66000000012</v>
      </c>
      <c r="V434" s="346">
        <f t="shared" si="662"/>
        <v>318227.53999999998</v>
      </c>
      <c r="W434" s="346">
        <f t="shared" si="609"/>
        <v>0</v>
      </c>
      <c r="X434" s="515" t="str">
        <f t="shared" si="653"/>
        <v xml:space="preserve"> </v>
      </c>
      <c r="Y434" s="346">
        <f t="shared" si="621"/>
        <v>237781.83000000037</v>
      </c>
      <c r="Z434" s="505">
        <f t="shared" si="646"/>
        <v>6.25E-2</v>
      </c>
      <c r="AA434" s="346">
        <f t="shared" si="647"/>
        <v>1630.04</v>
      </c>
      <c r="AB434" s="346">
        <f t="shared" si="622"/>
        <v>391.58999999999992</v>
      </c>
      <c r="AC434" s="346">
        <f t="shared" si="648"/>
        <v>1238.45</v>
      </c>
      <c r="AD434" s="346">
        <f t="shared" ref="AD434:AE434" si="700">+AD433</f>
        <v>134.16999999999999</v>
      </c>
      <c r="AE434" s="346">
        <f t="shared" si="700"/>
        <v>188.55</v>
      </c>
      <c r="AF434" s="346">
        <f t="shared" si="624"/>
        <v>1952.76</v>
      </c>
      <c r="AG434" s="346">
        <f t="shared" si="625"/>
        <v>93803.159999999902</v>
      </c>
      <c r="AH434" s="346">
        <f t="shared" si="626"/>
        <v>513318.08000000037</v>
      </c>
      <c r="AI434" s="523">
        <f t="shared" si="614"/>
        <v>-27316.040000000041</v>
      </c>
      <c r="AJ434" s="523">
        <f t="shared" si="674"/>
        <v>-237390.24000000037</v>
      </c>
      <c r="AK434" s="522">
        <f t="shared" si="615"/>
        <v>-264706.28000000044</v>
      </c>
      <c r="AL434" s="346">
        <f t="shared" si="627"/>
        <v>237390.24000000037</v>
      </c>
      <c r="AM434" s="427">
        <f t="shared" si="655"/>
        <v>31</v>
      </c>
      <c r="AN434" s="21">
        <f t="shared" si="616"/>
        <v>0</v>
      </c>
      <c r="AO434" s="21">
        <f t="shared" si="694"/>
        <v>0</v>
      </c>
      <c r="AP434" s="21">
        <f t="shared" si="617"/>
        <v>0</v>
      </c>
      <c r="AQ434" s="21"/>
      <c r="AR434" s="23"/>
      <c r="AS434" s="21">
        <f t="shared" si="650"/>
        <v>0</v>
      </c>
      <c r="AT434" s="21">
        <f t="shared" si="656"/>
        <v>0</v>
      </c>
      <c r="AU434" s="346">
        <f t="shared" si="657"/>
        <v>0</v>
      </c>
      <c r="AV434" s="346">
        <f t="shared" si="658"/>
        <v>0</v>
      </c>
    </row>
    <row r="435" spans="1:48" x14ac:dyDescent="0.25">
      <c r="A435" s="51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6">
        <f t="shared" si="696"/>
        <v>31</v>
      </c>
      <c r="M435" s="426">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12" t="str">
        <f t="shared" si="653"/>
        <v xml:space="preserve"> </v>
      </c>
      <c r="Y435" s="285">
        <f t="shared" si="621"/>
        <v>237390.24000000037</v>
      </c>
      <c r="Z435" s="50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22">
        <f t="shared" si="614"/>
        <v>-28946.080000000042</v>
      </c>
      <c r="AJ435" s="522">
        <f t="shared" si="674"/>
        <v>-236996.61000000036</v>
      </c>
      <c r="AK435" s="522">
        <f t="shared" si="615"/>
        <v>-265942.69000000041</v>
      </c>
      <c r="AL435" s="285">
        <f t="shared" si="627"/>
        <v>236996.61000000036</v>
      </c>
      <c r="AM435" s="426">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1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6">
        <f t="shared" si="696"/>
        <v>31</v>
      </c>
      <c r="M436" s="426">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12" t="str">
        <f t="shared" si="653"/>
        <v xml:space="preserve"> </v>
      </c>
      <c r="Y436" s="285">
        <f t="shared" si="621"/>
        <v>236996.61000000036</v>
      </c>
      <c r="Z436" s="50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22">
        <f t="shared" si="614"/>
        <v>-30576.120000000043</v>
      </c>
      <c r="AJ436" s="522">
        <f t="shared" si="674"/>
        <v>-236600.93000000037</v>
      </c>
      <c r="AK436" s="522">
        <f t="shared" si="615"/>
        <v>-267177.0500000004</v>
      </c>
      <c r="AL436" s="285">
        <f t="shared" si="627"/>
        <v>236600.93000000037</v>
      </c>
      <c r="AM436" s="426">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1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6">
        <f t="shared" si="696"/>
        <v>31</v>
      </c>
      <c r="M437" s="426">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12" t="str">
        <f t="shared" si="653"/>
        <v xml:space="preserve"> </v>
      </c>
      <c r="Y437" s="285">
        <f t="shared" si="621"/>
        <v>236600.93000000037</v>
      </c>
      <c r="Z437" s="50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22">
        <f t="shared" si="614"/>
        <v>-32206.160000000044</v>
      </c>
      <c r="AJ437" s="522">
        <f t="shared" si="674"/>
        <v>-236203.19000000038</v>
      </c>
      <c r="AK437" s="522">
        <f t="shared" si="615"/>
        <v>-268409.35000000044</v>
      </c>
      <c r="AL437" s="285">
        <f t="shared" si="627"/>
        <v>236203.19000000038</v>
      </c>
      <c r="AM437" s="426">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1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6">
        <f t="shared" si="696"/>
        <v>31</v>
      </c>
      <c r="M438" s="426">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12" t="str">
        <f t="shared" si="653"/>
        <v xml:space="preserve"> </v>
      </c>
      <c r="Y438" s="285">
        <f t="shared" si="621"/>
        <v>236203.19000000038</v>
      </c>
      <c r="Z438" s="50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22">
        <f t="shared" si="614"/>
        <v>-33836.200000000041</v>
      </c>
      <c r="AJ438" s="522">
        <f t="shared" si="674"/>
        <v>-235803.37000000037</v>
      </c>
      <c r="AK438" s="522">
        <f t="shared" si="615"/>
        <v>-269639.57000000041</v>
      </c>
      <c r="AL438" s="285">
        <f t="shared" si="627"/>
        <v>235803.37000000037</v>
      </c>
      <c r="AM438" s="426">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1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6">
        <f t="shared" si="696"/>
        <v>31</v>
      </c>
      <c r="M439" s="426">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12" t="str">
        <f t="shared" si="653"/>
        <v xml:space="preserve"> </v>
      </c>
      <c r="Y439" s="285">
        <f t="shared" si="621"/>
        <v>235803.37000000037</v>
      </c>
      <c r="Z439" s="50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22">
        <f t="shared" si="614"/>
        <v>-35466.240000000042</v>
      </c>
      <c r="AJ439" s="522">
        <f t="shared" si="674"/>
        <v>-235401.47000000038</v>
      </c>
      <c r="AK439" s="522">
        <f t="shared" si="615"/>
        <v>-270867.71000000043</v>
      </c>
      <c r="AL439" s="285">
        <f t="shared" si="627"/>
        <v>235401.47000000038</v>
      </c>
      <c r="AM439" s="426">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1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6">
        <f t="shared" si="696"/>
        <v>31</v>
      </c>
      <c r="M440" s="426">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12" t="str">
        <f t="shared" si="653"/>
        <v xml:space="preserve"> </v>
      </c>
      <c r="Y440" s="285">
        <f t="shared" si="621"/>
        <v>235401.47000000038</v>
      </c>
      <c r="Z440" s="50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22">
        <f t="shared" si="614"/>
        <v>-37096.280000000042</v>
      </c>
      <c r="AJ440" s="522">
        <f t="shared" si="674"/>
        <v>-234997.48000000039</v>
      </c>
      <c r="AK440" s="522">
        <f t="shared" si="615"/>
        <v>-272093.76000000042</v>
      </c>
      <c r="AL440" s="285">
        <f t="shared" si="627"/>
        <v>234997.48000000039</v>
      </c>
      <c r="AM440" s="426">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1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6">
        <f t="shared" si="696"/>
        <v>31</v>
      </c>
      <c r="M441" s="426">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12" t="str">
        <f t="shared" si="653"/>
        <v xml:space="preserve"> </v>
      </c>
      <c r="Y441" s="285">
        <f t="shared" si="621"/>
        <v>234997.48000000039</v>
      </c>
      <c r="Z441" s="50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22">
        <f t="shared" si="614"/>
        <v>-38726.320000000043</v>
      </c>
      <c r="AJ441" s="522">
        <f t="shared" si="674"/>
        <v>-234591.39000000039</v>
      </c>
      <c r="AK441" s="522">
        <f t="shared" si="615"/>
        <v>-273317.71000000043</v>
      </c>
      <c r="AL441" s="285">
        <f t="shared" si="627"/>
        <v>234591.39000000039</v>
      </c>
      <c r="AM441" s="426">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1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6">
        <f t="shared" si="696"/>
        <v>31</v>
      </c>
      <c r="M442" s="426">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12" t="str">
        <f t="shared" si="653"/>
        <v xml:space="preserve"> </v>
      </c>
      <c r="Y442" s="285">
        <f t="shared" si="621"/>
        <v>234591.39000000039</v>
      </c>
      <c r="Z442" s="50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22">
        <f t="shared" si="614"/>
        <v>-40356.360000000044</v>
      </c>
      <c r="AJ442" s="522">
        <f t="shared" si="674"/>
        <v>-234183.1800000004</v>
      </c>
      <c r="AK442" s="522">
        <f t="shared" si="615"/>
        <v>-274539.54000000044</v>
      </c>
      <c r="AL442" s="285">
        <f t="shared" si="627"/>
        <v>234183.1800000004</v>
      </c>
      <c r="AM442" s="426">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1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6">
        <f t="shared" si="696"/>
        <v>32</v>
      </c>
      <c r="M443" s="426">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12" t="str">
        <f t="shared" si="653"/>
        <v xml:space="preserve"> </v>
      </c>
      <c r="Y443" s="285">
        <f t="shared" si="621"/>
        <v>234183.1800000004</v>
      </c>
      <c r="Z443" s="50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22">
        <f t="shared" si="614"/>
        <v>-41986.400000000045</v>
      </c>
      <c r="AJ443" s="522">
        <f t="shared" si="674"/>
        <v>-233772.8400000004</v>
      </c>
      <c r="AK443" s="522">
        <f t="shared" si="615"/>
        <v>-275759.24000000046</v>
      </c>
      <c r="AL443" s="285">
        <f t="shared" si="627"/>
        <v>233772.8400000004</v>
      </c>
      <c r="AM443" s="426">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1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6">
        <f t="shared" si="696"/>
        <v>32</v>
      </c>
      <c r="M444" s="426">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12" t="str">
        <f t="shared" si="653"/>
        <v xml:space="preserve"> </v>
      </c>
      <c r="Y444" s="285">
        <f t="shared" si="621"/>
        <v>233772.8400000004</v>
      </c>
      <c r="Z444" s="50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22">
        <f t="shared" ref="AI444:AI507" si="723">O444-AA444+AI443</f>
        <v>-43616.440000000046</v>
      </c>
      <c r="AJ444" s="522">
        <f t="shared" si="674"/>
        <v>-233360.3700000004</v>
      </c>
      <c r="AK444" s="522">
        <f t="shared" ref="AK444:AK507" si="724">SUM(AI444:AJ444)</f>
        <v>-276976.81000000046</v>
      </c>
      <c r="AL444" s="285">
        <f t="shared" si="627"/>
        <v>233360.3700000004</v>
      </c>
      <c r="AM444" s="426">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1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6">
        <f t="shared" si="696"/>
        <v>32</v>
      </c>
      <c r="M445" s="426">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12" t="str">
        <f t="shared" si="653"/>
        <v xml:space="preserve"> </v>
      </c>
      <c r="Y445" s="285">
        <f t="shared" si="621"/>
        <v>233360.3700000004</v>
      </c>
      <c r="Z445" s="50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22">
        <f t="shared" si="723"/>
        <v>-45246.480000000047</v>
      </c>
      <c r="AJ445" s="522">
        <f t="shared" si="674"/>
        <v>-232945.75000000041</v>
      </c>
      <c r="AK445" s="522">
        <f t="shared" si="724"/>
        <v>-278192.23000000045</v>
      </c>
      <c r="AL445" s="285">
        <f t="shared" si="627"/>
        <v>232945.75000000041</v>
      </c>
      <c r="AM445" s="426">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15" t="str">
        <f t="shared" si="712"/>
        <v xml:space="preserve"> </v>
      </c>
      <c r="B446" s="346">
        <f t="shared" si="706"/>
        <v>0</v>
      </c>
      <c r="C446" s="21">
        <f t="shared" si="644"/>
        <v>0</v>
      </c>
      <c r="D446" s="21">
        <f t="shared" si="659"/>
        <v>0</v>
      </c>
      <c r="E446" s="21">
        <f t="shared" si="645"/>
        <v>0</v>
      </c>
      <c r="F446" s="21">
        <f t="shared" si="713"/>
        <v>134.16999999999999</v>
      </c>
      <c r="G446" s="21">
        <f t="shared" si="709"/>
        <v>188.55</v>
      </c>
      <c r="H446" s="21">
        <f t="shared" si="710"/>
        <v>322.72000000000003</v>
      </c>
      <c r="I446" s="346">
        <f t="shared" si="714"/>
        <v>97532.849999999991</v>
      </c>
      <c r="J446" s="346">
        <f t="shared" si="715"/>
        <v>64871.789999999986</v>
      </c>
      <c r="K446" s="346">
        <f t="shared" si="716"/>
        <v>0</v>
      </c>
      <c r="L446" s="427">
        <f t="shared" si="696"/>
        <v>32</v>
      </c>
      <c r="M446" s="427">
        <f t="shared" si="651"/>
        <v>387</v>
      </c>
      <c r="N446" s="346">
        <f t="shared" si="681"/>
        <v>0</v>
      </c>
      <c r="O446" s="346">
        <f t="shared" ref="O446:O490" si="728">IF($O$9&lt;=A446,IF(+$W445&lt;=0,0,$O$8),0)</f>
        <v>0</v>
      </c>
      <c r="P446" s="346">
        <f t="shared" si="660"/>
        <v>0</v>
      </c>
      <c r="Q446" s="346">
        <f t="shared" ref="Q446:Q490" si="729">IF($O$9&lt;=A446,ROUND(N446*($O$6/12),2),0)</f>
        <v>0</v>
      </c>
      <c r="R446" s="346">
        <f t="shared" si="720"/>
        <v>134.16999999999999</v>
      </c>
      <c r="S446" s="346">
        <f t="shared" si="721"/>
        <v>188.55</v>
      </c>
      <c r="T446" s="346">
        <f t="shared" si="717"/>
        <v>322.72000000000003</v>
      </c>
      <c r="U446" s="346">
        <f t="shared" si="661"/>
        <v>261577.66000000012</v>
      </c>
      <c r="V446" s="346">
        <f t="shared" si="662"/>
        <v>318227.53999999998</v>
      </c>
      <c r="W446" s="346">
        <f t="shared" si="718"/>
        <v>0</v>
      </c>
      <c r="X446" s="515" t="str">
        <f t="shared" si="653"/>
        <v xml:space="preserve"> </v>
      </c>
      <c r="Y446" s="346">
        <f t="shared" ref="Y446:Y509" si="730">IF(+AL445&lt;0,0,+AL445)</f>
        <v>232945.75000000041</v>
      </c>
      <c r="Z446" s="505">
        <f t="shared" si="646"/>
        <v>6.25E-2</v>
      </c>
      <c r="AA446" s="346">
        <f t="shared" si="647"/>
        <v>1630.04</v>
      </c>
      <c r="AB446" s="346">
        <f t="shared" ref="AB446:AB509" si="731">+AA446-AC446</f>
        <v>416.78</v>
      </c>
      <c r="AC446" s="346">
        <f t="shared" si="648"/>
        <v>1213.26</v>
      </c>
      <c r="AD446" s="346">
        <f t="shared" ref="AD446:AE446" si="732">+AD445</f>
        <v>134.16999999999999</v>
      </c>
      <c r="AE446" s="346">
        <f t="shared" si="732"/>
        <v>188.55</v>
      </c>
      <c r="AF446" s="346">
        <f t="shared" ref="AF446:AF509" si="733">SUM(AB446:AE446)</f>
        <v>1952.76</v>
      </c>
      <c r="AG446" s="346">
        <f t="shared" ref="AG446:AG509" si="734">+AB446+AG445</f>
        <v>98664.429999999906</v>
      </c>
      <c r="AH446" s="346">
        <f t="shared" ref="AH446:AH509" si="735">+AH445+AC446</f>
        <v>528017.29000000027</v>
      </c>
      <c r="AI446" s="523">
        <f t="shared" si="723"/>
        <v>-46876.520000000048</v>
      </c>
      <c r="AJ446" s="523">
        <f t="shared" si="674"/>
        <v>-232528.97000000041</v>
      </c>
      <c r="AK446" s="522">
        <f t="shared" si="724"/>
        <v>-279405.49000000046</v>
      </c>
      <c r="AL446" s="346">
        <f t="shared" ref="AL446:AL509" si="736">+Y446-AB446</f>
        <v>232528.97000000041</v>
      </c>
      <c r="AM446" s="427">
        <f t="shared" si="655"/>
        <v>32</v>
      </c>
      <c r="AN446" s="21">
        <f t="shared" si="725"/>
        <v>0</v>
      </c>
      <c r="AO446" s="21">
        <f t="shared" si="694"/>
        <v>0</v>
      </c>
      <c r="AP446" s="21">
        <f t="shared" si="726"/>
        <v>0</v>
      </c>
      <c r="AQ446" s="21"/>
      <c r="AR446" s="23"/>
      <c r="AS446" s="21">
        <f t="shared" si="650"/>
        <v>0</v>
      </c>
      <c r="AT446" s="21">
        <f t="shared" si="656"/>
        <v>0</v>
      </c>
      <c r="AU446" s="346">
        <f t="shared" si="657"/>
        <v>0</v>
      </c>
      <c r="AV446" s="346">
        <f t="shared" si="658"/>
        <v>0</v>
      </c>
    </row>
    <row r="447" spans="1:48" x14ac:dyDescent="0.25">
      <c r="A447" s="51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6">
        <f t="shared" si="696"/>
        <v>32</v>
      </c>
      <c r="M447" s="426">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12" t="str">
        <f t="shared" si="653"/>
        <v xml:space="preserve"> </v>
      </c>
      <c r="Y447" s="285">
        <f t="shared" si="730"/>
        <v>232528.97000000041</v>
      </c>
      <c r="Z447" s="50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22">
        <f t="shared" si="723"/>
        <v>-48506.560000000049</v>
      </c>
      <c r="AJ447" s="522">
        <f t="shared" si="674"/>
        <v>-232110.0200000004</v>
      </c>
      <c r="AK447" s="522">
        <f t="shared" si="724"/>
        <v>-280616.58000000042</v>
      </c>
      <c r="AL447" s="285">
        <f t="shared" si="736"/>
        <v>232110.0200000004</v>
      </c>
      <c r="AM447" s="426">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1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6">
        <f t="shared" si="696"/>
        <v>32</v>
      </c>
      <c r="M448" s="426">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12" t="str">
        <f t="shared" si="653"/>
        <v xml:space="preserve"> </v>
      </c>
      <c r="Y448" s="285">
        <f t="shared" si="730"/>
        <v>232110.0200000004</v>
      </c>
      <c r="Z448" s="50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22">
        <f t="shared" si="723"/>
        <v>-50136.600000000049</v>
      </c>
      <c r="AJ448" s="522">
        <f t="shared" si="674"/>
        <v>-231688.89000000039</v>
      </c>
      <c r="AK448" s="522">
        <f t="shared" si="724"/>
        <v>-281825.49000000046</v>
      </c>
      <c r="AL448" s="285">
        <f t="shared" si="736"/>
        <v>231688.89000000039</v>
      </c>
      <c r="AM448" s="426">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1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6">
        <f t="shared" si="696"/>
        <v>32</v>
      </c>
      <c r="M449" s="426">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12" t="str">
        <f t="shared" si="653"/>
        <v xml:space="preserve"> </v>
      </c>
      <c r="Y449" s="285">
        <f t="shared" si="730"/>
        <v>231688.89000000039</v>
      </c>
      <c r="Z449" s="50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22">
        <f t="shared" si="723"/>
        <v>-51766.64000000005</v>
      </c>
      <c r="AJ449" s="522">
        <f t="shared" si="674"/>
        <v>-231265.56000000041</v>
      </c>
      <c r="AK449" s="522">
        <f t="shared" si="724"/>
        <v>-283032.20000000048</v>
      </c>
      <c r="AL449" s="285">
        <f t="shared" si="736"/>
        <v>231265.56000000041</v>
      </c>
      <c r="AM449" s="426">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1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6">
        <f t="shared" si="696"/>
        <v>32</v>
      </c>
      <c r="M450" s="426">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12" t="str">
        <f t="shared" si="653"/>
        <v xml:space="preserve"> </v>
      </c>
      <c r="Y450" s="285">
        <f t="shared" si="730"/>
        <v>231265.56000000041</v>
      </c>
      <c r="Z450" s="50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22">
        <f t="shared" si="723"/>
        <v>-53396.680000000051</v>
      </c>
      <c r="AJ450" s="522">
        <f t="shared" si="674"/>
        <v>-230840.03000000041</v>
      </c>
      <c r="AK450" s="522">
        <f t="shared" si="724"/>
        <v>-284236.71000000043</v>
      </c>
      <c r="AL450" s="285">
        <f t="shared" si="736"/>
        <v>230840.03000000041</v>
      </c>
      <c r="AM450" s="426">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1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6">
        <f t="shared" si="696"/>
        <v>32</v>
      </c>
      <c r="M451" s="426">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12" t="str">
        <f t="shared" si="653"/>
        <v xml:space="preserve"> </v>
      </c>
      <c r="Y451" s="285">
        <f t="shared" si="730"/>
        <v>230840.03000000041</v>
      </c>
      <c r="Z451" s="50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22">
        <f t="shared" si="723"/>
        <v>-55026.720000000052</v>
      </c>
      <c r="AJ451" s="522">
        <f t="shared" si="674"/>
        <v>-230412.28000000041</v>
      </c>
      <c r="AK451" s="522">
        <f t="shared" si="724"/>
        <v>-285439.00000000047</v>
      </c>
      <c r="AL451" s="285">
        <f t="shared" si="736"/>
        <v>230412.28000000041</v>
      </c>
      <c r="AM451" s="426">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1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6">
        <f t="shared" si="696"/>
        <v>32</v>
      </c>
      <c r="M452" s="426">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12" t="str">
        <f t="shared" si="653"/>
        <v xml:space="preserve"> </v>
      </c>
      <c r="Y452" s="285">
        <f t="shared" si="730"/>
        <v>230412.28000000041</v>
      </c>
      <c r="Z452" s="50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22">
        <f t="shared" si="723"/>
        <v>-56656.760000000053</v>
      </c>
      <c r="AJ452" s="522">
        <f t="shared" si="674"/>
        <v>-229982.3000000004</v>
      </c>
      <c r="AK452" s="522">
        <f t="shared" si="724"/>
        <v>-286639.06000000046</v>
      </c>
      <c r="AL452" s="285">
        <f t="shared" si="736"/>
        <v>229982.3000000004</v>
      </c>
      <c r="AM452" s="426">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1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6">
        <f t="shared" si="696"/>
        <v>32</v>
      </c>
      <c r="M453" s="426">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12" t="str">
        <f t="shared" si="653"/>
        <v xml:space="preserve"> </v>
      </c>
      <c r="Y453" s="285">
        <f t="shared" si="730"/>
        <v>229982.3000000004</v>
      </c>
      <c r="Z453" s="50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22">
        <f t="shared" si="723"/>
        <v>-58286.800000000054</v>
      </c>
      <c r="AJ453" s="522">
        <f t="shared" si="674"/>
        <v>-229550.08000000039</v>
      </c>
      <c r="AK453" s="522">
        <f t="shared" si="724"/>
        <v>-287836.88000000047</v>
      </c>
      <c r="AL453" s="285">
        <f t="shared" si="736"/>
        <v>229550.08000000039</v>
      </c>
      <c r="AM453" s="426">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1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6">
        <f t="shared" si="696"/>
        <v>32</v>
      </c>
      <c r="M454" s="426">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12" t="str">
        <f t="shared" si="653"/>
        <v xml:space="preserve"> </v>
      </c>
      <c r="Y454" s="285">
        <f t="shared" si="730"/>
        <v>229550.08000000039</v>
      </c>
      <c r="Z454" s="50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22">
        <f t="shared" si="723"/>
        <v>-59916.840000000055</v>
      </c>
      <c r="AJ454" s="522">
        <f t="shared" si="674"/>
        <v>-229115.61000000039</v>
      </c>
      <c r="AK454" s="522">
        <f t="shared" si="724"/>
        <v>-289032.45000000042</v>
      </c>
      <c r="AL454" s="285">
        <f t="shared" si="736"/>
        <v>229115.61000000039</v>
      </c>
      <c r="AM454" s="426">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1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6">
        <f t="shared" si="696"/>
        <v>33</v>
      </c>
      <c r="M455" s="426">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12" t="str">
        <f t="shared" si="653"/>
        <v xml:space="preserve"> </v>
      </c>
      <c r="Y455" s="285">
        <f t="shared" si="730"/>
        <v>229115.61000000039</v>
      </c>
      <c r="Z455" s="50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22">
        <f t="shared" si="723"/>
        <v>-61546.880000000056</v>
      </c>
      <c r="AJ455" s="522">
        <f t="shared" si="674"/>
        <v>-228678.88000000038</v>
      </c>
      <c r="AK455" s="522">
        <f t="shared" si="724"/>
        <v>-290225.76000000042</v>
      </c>
      <c r="AL455" s="285">
        <f t="shared" si="736"/>
        <v>228678.88000000038</v>
      </c>
      <c r="AM455" s="426">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1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6">
        <f t="shared" si="696"/>
        <v>33</v>
      </c>
      <c r="M456" s="426">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12" t="str">
        <f t="shared" si="653"/>
        <v xml:space="preserve"> </v>
      </c>
      <c r="Y456" s="285">
        <f t="shared" si="730"/>
        <v>228678.88000000038</v>
      </c>
      <c r="Z456" s="50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22">
        <f t="shared" si="723"/>
        <v>-63176.920000000056</v>
      </c>
      <c r="AJ456" s="522">
        <f t="shared" si="674"/>
        <v>-228239.88000000038</v>
      </c>
      <c r="AK456" s="522">
        <f t="shared" si="724"/>
        <v>-291416.80000000045</v>
      </c>
      <c r="AL456" s="285">
        <f t="shared" si="736"/>
        <v>228239.88000000038</v>
      </c>
      <c r="AM456" s="426">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1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6">
        <f t="shared" si="696"/>
        <v>33</v>
      </c>
      <c r="M457" s="426">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12" t="str">
        <f t="shared" si="653"/>
        <v xml:space="preserve"> </v>
      </c>
      <c r="Y457" s="285">
        <f t="shared" si="730"/>
        <v>228239.88000000038</v>
      </c>
      <c r="Z457" s="50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22">
        <f t="shared" si="723"/>
        <v>-64806.960000000057</v>
      </c>
      <c r="AJ457" s="522">
        <f t="shared" si="674"/>
        <v>-227798.59000000037</v>
      </c>
      <c r="AK457" s="522">
        <f t="shared" si="724"/>
        <v>-292605.55000000045</v>
      </c>
      <c r="AL457" s="285">
        <f t="shared" si="736"/>
        <v>227798.59000000037</v>
      </c>
      <c r="AM457" s="426">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15" t="str">
        <f t="shared" si="712"/>
        <v xml:space="preserve"> </v>
      </c>
      <c r="B458" s="346">
        <f t="shared" si="706"/>
        <v>0</v>
      </c>
      <c r="C458" s="21">
        <f t="shared" si="644"/>
        <v>0</v>
      </c>
      <c r="D458" s="21">
        <f t="shared" si="659"/>
        <v>0</v>
      </c>
      <c r="E458" s="21">
        <f t="shared" si="645"/>
        <v>0</v>
      </c>
      <c r="F458" s="21">
        <f t="shared" si="713"/>
        <v>134.16999999999999</v>
      </c>
      <c r="G458" s="21">
        <f t="shared" si="709"/>
        <v>188.55</v>
      </c>
      <c r="H458" s="21">
        <f t="shared" si="710"/>
        <v>322.72000000000003</v>
      </c>
      <c r="I458" s="346">
        <f t="shared" si="714"/>
        <v>97532.849999999991</v>
      </c>
      <c r="J458" s="346">
        <f t="shared" si="715"/>
        <v>64871.789999999986</v>
      </c>
      <c r="K458" s="346">
        <f t="shared" si="716"/>
        <v>0</v>
      </c>
      <c r="L458" s="427">
        <f t="shared" si="696"/>
        <v>33</v>
      </c>
      <c r="M458" s="427">
        <f t="shared" si="651"/>
        <v>399</v>
      </c>
      <c r="N458" s="346">
        <f t="shared" si="681"/>
        <v>0</v>
      </c>
      <c r="O458" s="346">
        <f t="shared" si="728"/>
        <v>0</v>
      </c>
      <c r="P458" s="346">
        <f t="shared" si="660"/>
        <v>0</v>
      </c>
      <c r="Q458" s="346">
        <f t="shared" si="729"/>
        <v>0</v>
      </c>
      <c r="R458" s="346">
        <f t="shared" si="720"/>
        <v>134.16999999999999</v>
      </c>
      <c r="S458" s="346">
        <f t="shared" si="721"/>
        <v>188.55</v>
      </c>
      <c r="T458" s="346">
        <f t="shared" si="717"/>
        <v>322.72000000000003</v>
      </c>
      <c r="U458" s="346">
        <f t="shared" si="661"/>
        <v>261577.66000000012</v>
      </c>
      <c r="V458" s="346">
        <f t="shared" si="662"/>
        <v>318227.53999999998</v>
      </c>
      <c r="W458" s="346">
        <f t="shared" si="718"/>
        <v>0</v>
      </c>
      <c r="X458" s="515" t="str">
        <f t="shared" si="653"/>
        <v xml:space="preserve"> </v>
      </c>
      <c r="Y458" s="346">
        <f t="shared" si="730"/>
        <v>227798.59000000037</v>
      </c>
      <c r="Z458" s="505">
        <f t="shared" si="646"/>
        <v>6.25E-2</v>
      </c>
      <c r="AA458" s="346">
        <f t="shared" si="647"/>
        <v>1630.04</v>
      </c>
      <c r="AB458" s="346">
        <f t="shared" si="731"/>
        <v>443.58999999999992</v>
      </c>
      <c r="AC458" s="346">
        <f t="shared" si="648"/>
        <v>1186.45</v>
      </c>
      <c r="AD458" s="346">
        <f t="shared" ref="AD458:AE458" si="748">+AD457</f>
        <v>134.16999999999999</v>
      </c>
      <c r="AE458" s="346">
        <f t="shared" si="748"/>
        <v>188.55</v>
      </c>
      <c r="AF458" s="346">
        <f t="shared" si="733"/>
        <v>1952.76</v>
      </c>
      <c r="AG458" s="346">
        <f t="shared" si="734"/>
        <v>103838.39999999989</v>
      </c>
      <c r="AH458" s="346">
        <f t="shared" si="735"/>
        <v>542403.80000000028</v>
      </c>
      <c r="AI458" s="523">
        <f t="shared" si="723"/>
        <v>-66437.000000000058</v>
      </c>
      <c r="AJ458" s="523">
        <f t="shared" si="674"/>
        <v>-227355.00000000038</v>
      </c>
      <c r="AK458" s="522">
        <f t="shared" si="724"/>
        <v>-293792.00000000047</v>
      </c>
      <c r="AL458" s="346">
        <f t="shared" si="736"/>
        <v>227355.00000000038</v>
      </c>
      <c r="AM458" s="427">
        <f t="shared" si="655"/>
        <v>33</v>
      </c>
      <c r="AN458" s="21">
        <f t="shared" si="725"/>
        <v>0</v>
      </c>
      <c r="AO458" s="21">
        <f t="shared" si="694"/>
        <v>0</v>
      </c>
      <c r="AP458" s="21">
        <f t="shared" si="726"/>
        <v>0</v>
      </c>
      <c r="AQ458" s="21"/>
      <c r="AR458" s="23"/>
      <c r="AS458" s="21">
        <f t="shared" si="650"/>
        <v>0</v>
      </c>
      <c r="AT458" s="21">
        <f t="shared" si="656"/>
        <v>0</v>
      </c>
      <c r="AU458" s="346">
        <f t="shared" si="657"/>
        <v>0</v>
      </c>
      <c r="AV458" s="346">
        <f t="shared" si="658"/>
        <v>0</v>
      </c>
    </row>
    <row r="459" spans="1:48" x14ac:dyDescent="0.25">
      <c r="A459" s="51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6">
        <f t="shared" si="696"/>
        <v>33</v>
      </c>
      <c r="M459" s="426">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12" t="str">
        <f t="shared" si="653"/>
        <v xml:space="preserve"> </v>
      </c>
      <c r="Y459" s="285">
        <f t="shared" si="730"/>
        <v>227355.00000000038</v>
      </c>
      <c r="Z459" s="50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22">
        <f t="shared" si="723"/>
        <v>-68067.040000000052</v>
      </c>
      <c r="AJ459" s="522">
        <f t="shared" si="674"/>
        <v>-226909.10000000038</v>
      </c>
      <c r="AK459" s="522">
        <f t="shared" si="724"/>
        <v>-294976.14000000042</v>
      </c>
      <c r="AL459" s="285">
        <f t="shared" si="736"/>
        <v>226909.10000000038</v>
      </c>
      <c r="AM459" s="426">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1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6">
        <f t="shared" si="696"/>
        <v>33</v>
      </c>
      <c r="M460" s="426">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12" t="str">
        <f t="shared" si="653"/>
        <v xml:space="preserve"> </v>
      </c>
      <c r="Y460" s="285">
        <f t="shared" si="730"/>
        <v>226909.10000000038</v>
      </c>
      <c r="Z460" s="50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22">
        <f t="shared" si="723"/>
        <v>-69697.080000000045</v>
      </c>
      <c r="AJ460" s="522">
        <f t="shared" si="674"/>
        <v>-226460.88000000038</v>
      </c>
      <c r="AK460" s="522">
        <f t="shared" si="724"/>
        <v>-296157.96000000043</v>
      </c>
      <c r="AL460" s="285">
        <f t="shared" si="736"/>
        <v>226460.88000000038</v>
      </c>
      <c r="AM460" s="426">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1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6">
        <f t="shared" si="696"/>
        <v>33</v>
      </c>
      <c r="M461" s="426">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12" t="str">
        <f t="shared" si="653"/>
        <v xml:space="preserve"> </v>
      </c>
      <c r="Y461" s="285">
        <f t="shared" si="730"/>
        <v>226460.88000000038</v>
      </c>
      <c r="Z461" s="50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22">
        <f t="shared" si="723"/>
        <v>-71327.120000000039</v>
      </c>
      <c r="AJ461" s="522">
        <f t="shared" si="674"/>
        <v>-226010.32000000039</v>
      </c>
      <c r="AK461" s="522">
        <f t="shared" si="724"/>
        <v>-297337.44000000041</v>
      </c>
      <c r="AL461" s="285">
        <f t="shared" si="736"/>
        <v>226010.32000000039</v>
      </c>
      <c r="AM461" s="426">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1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6">
        <f t="shared" si="696"/>
        <v>33</v>
      </c>
      <c r="M462" s="426">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12" t="str">
        <f t="shared" si="653"/>
        <v xml:space="preserve"> </v>
      </c>
      <c r="Y462" s="285">
        <f t="shared" si="730"/>
        <v>226010.32000000039</v>
      </c>
      <c r="Z462" s="50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22">
        <f t="shared" si="723"/>
        <v>-72957.160000000033</v>
      </c>
      <c r="AJ462" s="522">
        <f t="shared" si="674"/>
        <v>-225557.42000000039</v>
      </c>
      <c r="AK462" s="522">
        <f t="shared" si="724"/>
        <v>-298514.58000000042</v>
      </c>
      <c r="AL462" s="285">
        <f t="shared" si="736"/>
        <v>225557.42000000039</v>
      </c>
      <c r="AM462" s="426">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1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6">
        <f t="shared" si="696"/>
        <v>33</v>
      </c>
      <c r="M463" s="426">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12" t="str">
        <f t="shared" si="653"/>
        <v xml:space="preserve"> </v>
      </c>
      <c r="Y463" s="285">
        <f t="shared" si="730"/>
        <v>225557.42000000039</v>
      </c>
      <c r="Z463" s="50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22">
        <f t="shared" si="723"/>
        <v>-74587.200000000026</v>
      </c>
      <c r="AJ463" s="522">
        <f t="shared" si="674"/>
        <v>-225102.16000000038</v>
      </c>
      <c r="AK463" s="522">
        <f t="shared" si="724"/>
        <v>-299689.36000000039</v>
      </c>
      <c r="AL463" s="285">
        <f t="shared" si="736"/>
        <v>225102.16000000038</v>
      </c>
      <c r="AM463" s="426">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1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6">
        <f t="shared" si="696"/>
        <v>33</v>
      </c>
      <c r="M464" s="426">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12" t="str">
        <f t="shared" ref="X464:X527" si="761">+A464</f>
        <v xml:space="preserve"> </v>
      </c>
      <c r="Y464" s="285">
        <f t="shared" si="730"/>
        <v>225102.16000000038</v>
      </c>
      <c r="Z464" s="50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22">
        <f t="shared" si="723"/>
        <v>-76217.24000000002</v>
      </c>
      <c r="AJ464" s="522">
        <f t="shared" si="674"/>
        <v>-224644.53000000038</v>
      </c>
      <c r="AK464" s="522">
        <f t="shared" si="724"/>
        <v>-300861.77000000037</v>
      </c>
      <c r="AL464" s="285">
        <f t="shared" si="736"/>
        <v>224644.53000000038</v>
      </c>
      <c r="AM464" s="426">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1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6">
        <f t="shared" si="696"/>
        <v>33</v>
      </c>
      <c r="M465" s="426">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12" t="str">
        <f t="shared" si="761"/>
        <v xml:space="preserve"> </v>
      </c>
      <c r="Y465" s="285">
        <f t="shared" si="730"/>
        <v>224644.53000000038</v>
      </c>
      <c r="Z465" s="50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22">
        <f t="shared" si="723"/>
        <v>-77847.280000000013</v>
      </c>
      <c r="AJ465" s="522">
        <f t="shared" si="674"/>
        <v>-224184.51000000039</v>
      </c>
      <c r="AK465" s="522">
        <f t="shared" si="724"/>
        <v>-302031.79000000039</v>
      </c>
      <c r="AL465" s="285">
        <f t="shared" si="736"/>
        <v>224184.51000000039</v>
      </c>
      <c r="AM465" s="426">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1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6">
        <f t="shared" si="696"/>
        <v>33</v>
      </c>
      <c r="M466" s="426">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12" t="str">
        <f t="shared" si="761"/>
        <v xml:space="preserve"> </v>
      </c>
      <c r="Y466" s="285">
        <f t="shared" si="730"/>
        <v>224184.51000000039</v>
      </c>
      <c r="Z466" s="50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22">
        <f t="shared" si="723"/>
        <v>-79477.320000000007</v>
      </c>
      <c r="AJ466" s="522">
        <f t="shared" si="674"/>
        <v>-223722.10000000038</v>
      </c>
      <c r="AK466" s="522">
        <f t="shared" si="724"/>
        <v>-303199.42000000039</v>
      </c>
      <c r="AL466" s="285">
        <f t="shared" si="736"/>
        <v>223722.10000000038</v>
      </c>
      <c r="AM466" s="426">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1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6">
        <f t="shared" si="696"/>
        <v>34</v>
      </c>
      <c r="M467" s="426">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12" t="str">
        <f t="shared" si="761"/>
        <v xml:space="preserve"> </v>
      </c>
      <c r="Y467" s="285">
        <f t="shared" si="730"/>
        <v>223722.10000000038</v>
      </c>
      <c r="Z467" s="50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22">
        <f t="shared" si="723"/>
        <v>-81107.360000000001</v>
      </c>
      <c r="AJ467" s="522">
        <f t="shared" si="674"/>
        <v>-223257.28000000038</v>
      </c>
      <c r="AK467" s="522">
        <f t="shared" si="724"/>
        <v>-304364.64000000036</v>
      </c>
      <c r="AL467" s="285">
        <f t="shared" si="736"/>
        <v>223257.28000000038</v>
      </c>
      <c r="AM467" s="426">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1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6">
        <f t="shared" si="696"/>
        <v>34</v>
      </c>
      <c r="M468" s="426">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12" t="str">
        <f t="shared" si="761"/>
        <v xml:space="preserve"> </v>
      </c>
      <c r="Y468" s="285">
        <f t="shared" si="730"/>
        <v>223257.28000000038</v>
      </c>
      <c r="Z468" s="50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22">
        <f t="shared" si="723"/>
        <v>-82737.399999999994</v>
      </c>
      <c r="AJ468" s="522">
        <f t="shared" si="674"/>
        <v>-222790.04000000039</v>
      </c>
      <c r="AK468" s="522">
        <f t="shared" si="724"/>
        <v>-305527.44000000041</v>
      </c>
      <c r="AL468" s="285">
        <f t="shared" si="736"/>
        <v>222790.04000000039</v>
      </c>
      <c r="AM468" s="426">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1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6">
        <f t="shared" si="696"/>
        <v>34</v>
      </c>
      <c r="M469" s="426">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12" t="str">
        <f t="shared" si="761"/>
        <v xml:space="preserve"> </v>
      </c>
      <c r="Y469" s="285">
        <f t="shared" si="730"/>
        <v>222790.04000000039</v>
      </c>
      <c r="Z469" s="50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22">
        <f t="shared" si="723"/>
        <v>-84367.439999999988</v>
      </c>
      <c r="AJ469" s="522">
        <f t="shared" si="674"/>
        <v>-222320.36000000039</v>
      </c>
      <c r="AK469" s="522">
        <f t="shared" si="724"/>
        <v>-306687.8000000004</v>
      </c>
      <c r="AL469" s="285">
        <f t="shared" si="736"/>
        <v>222320.36000000039</v>
      </c>
      <c r="AM469" s="426">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15" t="str">
        <f t="shared" si="712"/>
        <v xml:space="preserve"> </v>
      </c>
      <c r="B470" s="346">
        <f t="shared" si="706"/>
        <v>0</v>
      </c>
      <c r="C470" s="21">
        <f t="shared" si="753"/>
        <v>0</v>
      </c>
      <c r="D470" s="21">
        <f t="shared" si="767"/>
        <v>0</v>
      </c>
      <c r="E470" s="21">
        <f t="shared" si="754"/>
        <v>0</v>
      </c>
      <c r="F470" s="21">
        <f t="shared" si="713"/>
        <v>134.16999999999999</v>
      </c>
      <c r="G470" s="21">
        <f t="shared" si="709"/>
        <v>188.55</v>
      </c>
      <c r="H470" s="21">
        <f t="shared" si="710"/>
        <v>322.72000000000003</v>
      </c>
      <c r="I470" s="346">
        <f t="shared" si="714"/>
        <v>97532.849999999991</v>
      </c>
      <c r="J470" s="346">
        <f t="shared" si="715"/>
        <v>64871.789999999986</v>
      </c>
      <c r="K470" s="346">
        <f t="shared" si="716"/>
        <v>0</v>
      </c>
      <c r="L470" s="427">
        <f t="shared" si="696"/>
        <v>34</v>
      </c>
      <c r="M470" s="427">
        <f t="shared" si="760"/>
        <v>411</v>
      </c>
      <c r="N470" s="346">
        <f t="shared" si="681"/>
        <v>0</v>
      </c>
      <c r="O470" s="346">
        <f t="shared" si="728"/>
        <v>0</v>
      </c>
      <c r="P470" s="346">
        <f t="shared" si="768"/>
        <v>0</v>
      </c>
      <c r="Q470" s="346">
        <f t="shared" si="729"/>
        <v>0</v>
      </c>
      <c r="R470" s="346">
        <f t="shared" si="720"/>
        <v>134.16999999999999</v>
      </c>
      <c r="S470" s="346">
        <f t="shared" si="721"/>
        <v>188.55</v>
      </c>
      <c r="T470" s="346">
        <f t="shared" si="717"/>
        <v>322.72000000000003</v>
      </c>
      <c r="U470" s="346">
        <f t="shared" si="769"/>
        <v>261577.66000000012</v>
      </c>
      <c r="V470" s="346">
        <f t="shared" si="770"/>
        <v>318227.53999999998</v>
      </c>
      <c r="W470" s="346">
        <f t="shared" si="718"/>
        <v>0</v>
      </c>
      <c r="X470" s="515" t="str">
        <f t="shared" si="761"/>
        <v xml:space="preserve"> </v>
      </c>
      <c r="Y470" s="346">
        <f t="shared" si="730"/>
        <v>222320.36000000039</v>
      </c>
      <c r="Z470" s="505">
        <f t="shared" si="755"/>
        <v>6.25E-2</v>
      </c>
      <c r="AA470" s="346">
        <f t="shared" si="756"/>
        <v>1630.04</v>
      </c>
      <c r="AB470" s="346">
        <f t="shared" si="731"/>
        <v>472.11999999999989</v>
      </c>
      <c r="AC470" s="346">
        <f t="shared" si="757"/>
        <v>1157.92</v>
      </c>
      <c r="AD470" s="346">
        <f t="shared" ref="AD470:AE470" si="776">+AD469</f>
        <v>134.16999999999999</v>
      </c>
      <c r="AE470" s="346">
        <f t="shared" si="776"/>
        <v>188.55</v>
      </c>
      <c r="AF470" s="346">
        <f t="shared" si="733"/>
        <v>1952.76</v>
      </c>
      <c r="AG470" s="346">
        <f t="shared" si="734"/>
        <v>109345.15999999989</v>
      </c>
      <c r="AH470" s="346">
        <f t="shared" si="735"/>
        <v>556457.52000000037</v>
      </c>
      <c r="AI470" s="523">
        <f t="shared" si="723"/>
        <v>-85997.479999999981</v>
      </c>
      <c r="AJ470" s="523">
        <f t="shared" si="674"/>
        <v>-221848.2400000004</v>
      </c>
      <c r="AK470" s="522">
        <f t="shared" si="724"/>
        <v>-307845.72000000038</v>
      </c>
      <c r="AL470" s="346">
        <f t="shared" si="736"/>
        <v>221848.2400000004</v>
      </c>
      <c r="AM470" s="427">
        <f t="shared" si="763"/>
        <v>34</v>
      </c>
      <c r="AN470" s="21">
        <f t="shared" si="725"/>
        <v>0</v>
      </c>
      <c r="AO470" s="21">
        <f t="shared" si="694"/>
        <v>0</v>
      </c>
      <c r="AP470" s="21">
        <f t="shared" si="726"/>
        <v>0</v>
      </c>
      <c r="AQ470" s="21"/>
      <c r="AR470" s="23"/>
      <c r="AS470" s="21">
        <f t="shared" si="759"/>
        <v>0</v>
      </c>
      <c r="AT470" s="21">
        <f t="shared" si="764"/>
        <v>0</v>
      </c>
      <c r="AU470" s="346">
        <f t="shared" si="765"/>
        <v>0</v>
      </c>
      <c r="AV470" s="346">
        <f t="shared" si="766"/>
        <v>0</v>
      </c>
    </row>
    <row r="471" spans="1:48" x14ac:dyDescent="0.25">
      <c r="A471" s="51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6">
        <f t="shared" si="696"/>
        <v>34</v>
      </c>
      <c r="M471" s="426">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12" t="str">
        <f t="shared" si="761"/>
        <v xml:space="preserve"> </v>
      </c>
      <c r="Y471" s="285">
        <f t="shared" si="730"/>
        <v>221848.2400000004</v>
      </c>
      <c r="Z471" s="50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22">
        <f t="shared" si="723"/>
        <v>-87627.519999999975</v>
      </c>
      <c r="AJ471" s="522">
        <f t="shared" si="674"/>
        <v>-221373.66000000041</v>
      </c>
      <c r="AK471" s="522">
        <f t="shared" si="724"/>
        <v>-309001.1800000004</v>
      </c>
      <c r="AL471" s="285">
        <f t="shared" si="736"/>
        <v>221373.66000000041</v>
      </c>
      <c r="AM471" s="426">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1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6">
        <f t="shared" si="696"/>
        <v>34</v>
      </c>
      <c r="M472" s="426">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12" t="str">
        <f t="shared" si="761"/>
        <v xml:space="preserve"> </v>
      </c>
      <c r="Y472" s="285">
        <f t="shared" si="730"/>
        <v>221373.66000000041</v>
      </c>
      <c r="Z472" s="50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22">
        <f t="shared" si="723"/>
        <v>-89257.559999999969</v>
      </c>
      <c r="AJ472" s="522">
        <f t="shared" si="674"/>
        <v>-220896.61000000042</v>
      </c>
      <c r="AK472" s="522">
        <f t="shared" si="724"/>
        <v>-310154.17000000039</v>
      </c>
      <c r="AL472" s="285">
        <f t="shared" si="736"/>
        <v>220896.61000000042</v>
      </c>
      <c r="AM472" s="426">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1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6">
        <f t="shared" si="696"/>
        <v>34</v>
      </c>
      <c r="M473" s="426">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12" t="str">
        <f t="shared" si="761"/>
        <v xml:space="preserve"> </v>
      </c>
      <c r="Y473" s="285">
        <f t="shared" si="730"/>
        <v>220896.61000000042</v>
      </c>
      <c r="Z473" s="50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22">
        <f t="shared" si="723"/>
        <v>-90887.599999999962</v>
      </c>
      <c r="AJ473" s="522">
        <f t="shared" si="674"/>
        <v>-220417.07000000041</v>
      </c>
      <c r="AK473" s="522">
        <f t="shared" si="724"/>
        <v>-311304.67000000039</v>
      </c>
      <c r="AL473" s="285">
        <f t="shared" si="736"/>
        <v>220417.07000000041</v>
      </c>
      <c r="AM473" s="426">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1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6">
        <f t="shared" si="696"/>
        <v>34</v>
      </c>
      <c r="M474" s="426">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12" t="str">
        <f t="shared" si="761"/>
        <v xml:space="preserve"> </v>
      </c>
      <c r="Y474" s="285">
        <f t="shared" si="730"/>
        <v>220417.07000000041</v>
      </c>
      <c r="Z474" s="50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22">
        <f t="shared" si="723"/>
        <v>-92517.639999999956</v>
      </c>
      <c r="AJ474" s="522">
        <f t="shared" si="674"/>
        <v>-219935.04000000042</v>
      </c>
      <c r="AK474" s="522">
        <f t="shared" si="724"/>
        <v>-312452.6800000004</v>
      </c>
      <c r="AL474" s="285">
        <f t="shared" si="736"/>
        <v>219935.04000000042</v>
      </c>
      <c r="AM474" s="426">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1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6">
        <f t="shared" si="696"/>
        <v>34</v>
      </c>
      <c r="M475" s="426">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12" t="str">
        <f t="shared" si="761"/>
        <v xml:space="preserve"> </v>
      </c>
      <c r="Y475" s="285">
        <f t="shared" si="730"/>
        <v>219935.04000000042</v>
      </c>
      <c r="Z475" s="50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22">
        <f t="shared" si="723"/>
        <v>-94147.679999999949</v>
      </c>
      <c r="AJ475" s="522">
        <f t="shared" ref="AJ475:AJ538" si="782">+W475-AL475</f>
        <v>-219450.50000000041</v>
      </c>
      <c r="AK475" s="522">
        <f t="shared" si="724"/>
        <v>-313598.18000000034</v>
      </c>
      <c r="AL475" s="285">
        <f t="shared" si="736"/>
        <v>219450.50000000041</v>
      </c>
      <c r="AM475" s="426">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1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6">
        <f t="shared" si="696"/>
        <v>34</v>
      </c>
      <c r="M476" s="426">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12" t="str">
        <f t="shared" si="761"/>
        <v xml:space="preserve"> </v>
      </c>
      <c r="Y476" s="285">
        <f t="shared" si="730"/>
        <v>219450.50000000041</v>
      </c>
      <c r="Z476" s="50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22">
        <f t="shared" si="723"/>
        <v>-95777.719999999943</v>
      </c>
      <c r="AJ476" s="522">
        <f t="shared" si="782"/>
        <v>-218963.4300000004</v>
      </c>
      <c r="AK476" s="522">
        <f t="shared" si="724"/>
        <v>-314741.15000000037</v>
      </c>
      <c r="AL476" s="285">
        <f t="shared" si="736"/>
        <v>218963.4300000004</v>
      </c>
      <c r="AM476" s="426">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1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6">
        <f t="shared" si="696"/>
        <v>34</v>
      </c>
      <c r="M477" s="426">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12" t="str">
        <f t="shared" si="761"/>
        <v xml:space="preserve"> </v>
      </c>
      <c r="Y477" s="285">
        <f t="shared" si="730"/>
        <v>218963.4300000004</v>
      </c>
      <c r="Z477" s="50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22">
        <f t="shared" si="723"/>
        <v>-97407.759999999937</v>
      </c>
      <c r="AJ477" s="522">
        <f t="shared" si="782"/>
        <v>-218473.82000000041</v>
      </c>
      <c r="AK477" s="522">
        <f t="shared" si="724"/>
        <v>-315881.58000000037</v>
      </c>
      <c r="AL477" s="285">
        <f t="shared" si="736"/>
        <v>218473.82000000041</v>
      </c>
      <c r="AM477" s="426">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1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6">
        <f t="shared" si="696"/>
        <v>34</v>
      </c>
      <c r="M478" s="426">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12" t="str">
        <f t="shared" si="761"/>
        <v xml:space="preserve"> </v>
      </c>
      <c r="Y478" s="285">
        <f t="shared" si="730"/>
        <v>218473.82000000041</v>
      </c>
      <c r="Z478" s="50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22">
        <f t="shared" si="723"/>
        <v>-99037.79999999993</v>
      </c>
      <c r="AJ478" s="522">
        <f t="shared" si="782"/>
        <v>-217981.66000000041</v>
      </c>
      <c r="AK478" s="522">
        <f t="shared" si="724"/>
        <v>-317019.46000000031</v>
      </c>
      <c r="AL478" s="285">
        <f t="shared" si="736"/>
        <v>217981.66000000041</v>
      </c>
      <c r="AM478" s="426">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1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6">
        <f t="shared" si="696"/>
        <v>35</v>
      </c>
      <c r="M479" s="426">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12" t="str">
        <f t="shared" si="761"/>
        <v xml:space="preserve"> </v>
      </c>
      <c r="Y479" s="285">
        <f t="shared" si="730"/>
        <v>217981.66000000041</v>
      </c>
      <c r="Z479" s="50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22">
        <f t="shared" si="723"/>
        <v>-100667.83999999992</v>
      </c>
      <c r="AJ479" s="522">
        <f t="shared" si="782"/>
        <v>-217486.94000000041</v>
      </c>
      <c r="AK479" s="522">
        <f t="shared" si="724"/>
        <v>-318154.78000000032</v>
      </c>
      <c r="AL479" s="285">
        <f t="shared" si="736"/>
        <v>217486.94000000041</v>
      </c>
      <c r="AM479" s="426">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1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6">
        <f t="shared" si="696"/>
        <v>35</v>
      </c>
      <c r="M480" s="426">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12" t="str">
        <f t="shared" si="761"/>
        <v xml:space="preserve"> </v>
      </c>
      <c r="Y480" s="285">
        <f t="shared" si="730"/>
        <v>217486.94000000041</v>
      </c>
      <c r="Z480" s="50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22">
        <f t="shared" si="723"/>
        <v>-102297.87999999992</v>
      </c>
      <c r="AJ480" s="522">
        <f t="shared" si="782"/>
        <v>-216989.64000000042</v>
      </c>
      <c r="AK480" s="522">
        <f t="shared" si="724"/>
        <v>-319287.52000000037</v>
      </c>
      <c r="AL480" s="285">
        <f t="shared" si="736"/>
        <v>216989.64000000042</v>
      </c>
      <c r="AM480" s="426">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1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6">
        <f t="shared" si="696"/>
        <v>35</v>
      </c>
      <c r="M481" s="426">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12" t="str">
        <f t="shared" si="761"/>
        <v xml:space="preserve"> </v>
      </c>
      <c r="Y481" s="285">
        <f t="shared" si="730"/>
        <v>216989.64000000042</v>
      </c>
      <c r="Z481" s="50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22">
        <f t="shared" si="723"/>
        <v>-103927.91999999991</v>
      </c>
      <c r="AJ481" s="522">
        <f t="shared" si="782"/>
        <v>-216489.75000000041</v>
      </c>
      <c r="AK481" s="522">
        <f t="shared" si="724"/>
        <v>-320417.67000000033</v>
      </c>
      <c r="AL481" s="285">
        <f t="shared" si="736"/>
        <v>216489.75000000041</v>
      </c>
      <c r="AM481" s="426">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15" t="str">
        <f t="shared" si="712"/>
        <v xml:space="preserve"> </v>
      </c>
      <c r="B482" s="346">
        <f t="shared" si="706"/>
        <v>0</v>
      </c>
      <c r="C482" s="21">
        <f t="shared" si="753"/>
        <v>0</v>
      </c>
      <c r="D482" s="21">
        <f t="shared" si="767"/>
        <v>0</v>
      </c>
      <c r="E482" s="21">
        <f t="shared" si="754"/>
        <v>0</v>
      </c>
      <c r="F482" s="21">
        <f t="shared" si="713"/>
        <v>134.16999999999999</v>
      </c>
      <c r="G482" s="21">
        <f t="shared" si="709"/>
        <v>188.55</v>
      </c>
      <c r="H482" s="21">
        <f t="shared" si="710"/>
        <v>322.72000000000003</v>
      </c>
      <c r="I482" s="346">
        <f t="shared" si="714"/>
        <v>97532.849999999991</v>
      </c>
      <c r="J482" s="346">
        <f t="shared" si="715"/>
        <v>64871.789999999986</v>
      </c>
      <c r="K482" s="346">
        <f t="shared" si="716"/>
        <v>0</v>
      </c>
      <c r="L482" s="427">
        <f t="shared" si="696"/>
        <v>35</v>
      </c>
      <c r="M482" s="427">
        <f t="shared" si="760"/>
        <v>423</v>
      </c>
      <c r="N482" s="346">
        <f t="shared" ref="N482:N490" si="789">IF(+W481&lt;0,0,+W481)</f>
        <v>0</v>
      </c>
      <c r="O482" s="346">
        <f t="shared" si="728"/>
        <v>0</v>
      </c>
      <c r="P482" s="346">
        <f t="shared" si="768"/>
        <v>0</v>
      </c>
      <c r="Q482" s="346">
        <f t="shared" si="729"/>
        <v>0</v>
      </c>
      <c r="R482" s="346">
        <f t="shared" si="720"/>
        <v>134.16999999999999</v>
      </c>
      <c r="S482" s="346">
        <f t="shared" si="721"/>
        <v>188.55</v>
      </c>
      <c r="T482" s="346">
        <f t="shared" si="717"/>
        <v>322.72000000000003</v>
      </c>
      <c r="U482" s="346">
        <f t="shared" si="769"/>
        <v>261577.66000000012</v>
      </c>
      <c r="V482" s="346">
        <f t="shared" si="770"/>
        <v>318227.53999999998</v>
      </c>
      <c r="W482" s="346">
        <f t="shared" si="718"/>
        <v>0</v>
      </c>
      <c r="X482" s="515" t="str">
        <f t="shared" si="761"/>
        <v xml:space="preserve"> </v>
      </c>
      <c r="Y482" s="346">
        <f t="shared" si="730"/>
        <v>216489.75000000041</v>
      </c>
      <c r="Z482" s="505">
        <f t="shared" si="755"/>
        <v>6.25E-2</v>
      </c>
      <c r="AA482" s="346">
        <f t="shared" si="756"/>
        <v>1630.04</v>
      </c>
      <c r="AB482" s="346">
        <f t="shared" si="731"/>
        <v>502.49</v>
      </c>
      <c r="AC482" s="346">
        <f t="shared" si="757"/>
        <v>1127.55</v>
      </c>
      <c r="AD482" s="346">
        <f t="shared" ref="AD482:AE482" si="790">+AD481</f>
        <v>134.16999999999999</v>
      </c>
      <c r="AE482" s="346">
        <f t="shared" si="790"/>
        <v>188.55</v>
      </c>
      <c r="AF482" s="346">
        <f t="shared" si="733"/>
        <v>1952.76</v>
      </c>
      <c r="AG482" s="346">
        <f t="shared" si="734"/>
        <v>115206.1399999999</v>
      </c>
      <c r="AH482" s="346">
        <f t="shared" si="735"/>
        <v>570157.02000000037</v>
      </c>
      <c r="AI482" s="523">
        <f t="shared" si="723"/>
        <v>-105557.9599999999</v>
      </c>
      <c r="AJ482" s="523">
        <f t="shared" si="782"/>
        <v>-215987.26000000042</v>
      </c>
      <c r="AK482" s="522">
        <f t="shared" si="724"/>
        <v>-321545.22000000032</v>
      </c>
      <c r="AL482" s="346">
        <f t="shared" si="736"/>
        <v>215987.26000000042</v>
      </c>
      <c r="AM482" s="427">
        <f t="shared" si="763"/>
        <v>35</v>
      </c>
      <c r="AN482" s="21">
        <f t="shared" si="725"/>
        <v>0</v>
      </c>
      <c r="AO482" s="21">
        <f t="shared" si="694"/>
        <v>0</v>
      </c>
      <c r="AP482" s="21">
        <f t="shared" si="726"/>
        <v>0</v>
      </c>
      <c r="AQ482" s="21"/>
      <c r="AR482" s="23"/>
      <c r="AS482" s="21">
        <f t="shared" si="759"/>
        <v>0</v>
      </c>
      <c r="AT482" s="21">
        <f t="shared" si="764"/>
        <v>0</v>
      </c>
      <c r="AU482" s="346">
        <f t="shared" si="765"/>
        <v>0</v>
      </c>
      <c r="AV482" s="346">
        <f t="shared" si="766"/>
        <v>0</v>
      </c>
    </row>
    <row r="483" spans="1:49" x14ac:dyDescent="0.25">
      <c r="A483" s="51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6">
        <f t="shared" si="696"/>
        <v>35</v>
      </c>
      <c r="M483" s="426">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12" t="str">
        <f t="shared" si="761"/>
        <v xml:space="preserve"> </v>
      </c>
      <c r="Y483" s="285">
        <f t="shared" si="730"/>
        <v>215987.26000000042</v>
      </c>
      <c r="Z483" s="50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22">
        <f t="shared" si="723"/>
        <v>-107187.9999999999</v>
      </c>
      <c r="AJ483" s="522">
        <f t="shared" si="782"/>
        <v>-215482.15000000043</v>
      </c>
      <c r="AK483" s="522">
        <f t="shared" si="724"/>
        <v>-322670.15000000031</v>
      </c>
      <c r="AL483" s="285">
        <f t="shared" si="736"/>
        <v>215482.15000000043</v>
      </c>
      <c r="AM483" s="426">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1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6">
        <f t="shared" si="696"/>
        <v>35</v>
      </c>
      <c r="M484" s="426">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12" t="str">
        <f t="shared" si="761"/>
        <v xml:space="preserve"> </v>
      </c>
      <c r="Y484" s="285">
        <f t="shared" si="730"/>
        <v>215482.15000000043</v>
      </c>
      <c r="Z484" s="50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22">
        <f t="shared" si="723"/>
        <v>-108818.03999999989</v>
      </c>
      <c r="AJ484" s="522">
        <f t="shared" si="782"/>
        <v>-214974.41000000044</v>
      </c>
      <c r="AK484" s="522">
        <f t="shared" si="724"/>
        <v>-323792.4500000003</v>
      </c>
      <c r="AL484" s="285">
        <f t="shared" si="736"/>
        <v>214974.41000000044</v>
      </c>
      <c r="AM484" s="426">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1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6">
        <f t="shared" si="696"/>
        <v>35</v>
      </c>
      <c r="M485" s="426">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12" t="str">
        <f t="shared" si="761"/>
        <v xml:space="preserve"> </v>
      </c>
      <c r="Y485" s="285">
        <f t="shared" si="730"/>
        <v>214974.41000000044</v>
      </c>
      <c r="Z485" s="50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22">
        <f t="shared" si="723"/>
        <v>-110448.07999999989</v>
      </c>
      <c r="AJ485" s="522">
        <f t="shared" si="782"/>
        <v>-214464.03000000044</v>
      </c>
      <c r="AK485" s="522">
        <f t="shared" si="724"/>
        <v>-324912.11000000034</v>
      </c>
      <c r="AL485" s="285">
        <f t="shared" si="736"/>
        <v>214464.03000000044</v>
      </c>
      <c r="AM485" s="426">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1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6">
        <f t="shared" si="696"/>
        <v>35</v>
      </c>
      <c r="M486" s="426">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12" t="str">
        <f t="shared" si="761"/>
        <v xml:space="preserve"> </v>
      </c>
      <c r="Y486" s="285">
        <f t="shared" si="730"/>
        <v>214464.03000000044</v>
      </c>
      <c r="Z486" s="50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22">
        <f t="shared" si="723"/>
        <v>-112078.11999999988</v>
      </c>
      <c r="AJ486" s="522">
        <f t="shared" si="782"/>
        <v>-213950.99000000043</v>
      </c>
      <c r="AK486" s="522">
        <f t="shared" si="724"/>
        <v>-326029.11000000034</v>
      </c>
      <c r="AL486" s="285">
        <f t="shared" si="736"/>
        <v>213950.99000000043</v>
      </c>
      <c r="AM486" s="426">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1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6">
        <f t="shared" si="696"/>
        <v>35</v>
      </c>
      <c r="M487" s="426">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12" t="str">
        <f t="shared" si="761"/>
        <v xml:space="preserve"> </v>
      </c>
      <c r="Y487" s="285">
        <f t="shared" si="730"/>
        <v>213950.99000000043</v>
      </c>
      <c r="Z487" s="50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22">
        <f t="shared" si="723"/>
        <v>-113708.15999999987</v>
      </c>
      <c r="AJ487" s="522">
        <f t="shared" si="782"/>
        <v>-213435.28000000044</v>
      </c>
      <c r="AK487" s="522">
        <f t="shared" si="724"/>
        <v>-327143.44000000029</v>
      </c>
      <c r="AL487" s="285">
        <f t="shared" si="736"/>
        <v>213435.28000000044</v>
      </c>
      <c r="AM487" s="426">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1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6">
        <f t="shared" si="696"/>
        <v>35</v>
      </c>
      <c r="M488" s="426">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12" t="str">
        <f t="shared" si="761"/>
        <v xml:space="preserve"> </v>
      </c>
      <c r="Y488" s="285">
        <f t="shared" si="730"/>
        <v>213435.28000000044</v>
      </c>
      <c r="Z488" s="50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22">
        <f t="shared" si="723"/>
        <v>-115338.19999999987</v>
      </c>
      <c r="AJ488" s="522">
        <f t="shared" si="782"/>
        <v>-212916.88000000044</v>
      </c>
      <c r="AK488" s="522">
        <f t="shared" si="724"/>
        <v>-328255.08000000031</v>
      </c>
      <c r="AL488" s="285">
        <f t="shared" si="736"/>
        <v>212916.88000000044</v>
      </c>
      <c r="AM488" s="426">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1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6">
        <f t="shared" si="696"/>
        <v>35</v>
      </c>
      <c r="M489" s="426">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12" t="str">
        <f t="shared" si="761"/>
        <v xml:space="preserve"> </v>
      </c>
      <c r="Y489" s="285">
        <f t="shared" si="730"/>
        <v>212916.88000000044</v>
      </c>
      <c r="Z489" s="50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22">
        <f t="shared" si="723"/>
        <v>-116968.23999999986</v>
      </c>
      <c r="AJ489" s="522">
        <f t="shared" si="782"/>
        <v>-212395.78000000044</v>
      </c>
      <c r="AK489" s="522">
        <f t="shared" si="724"/>
        <v>-329364.02000000031</v>
      </c>
      <c r="AL489" s="285">
        <f t="shared" si="736"/>
        <v>212395.78000000044</v>
      </c>
      <c r="AM489" s="426">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1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6">
        <f t="shared" si="696"/>
        <v>35</v>
      </c>
      <c r="M490" s="426">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12" t="str">
        <f t="shared" si="761"/>
        <v xml:space="preserve"> </v>
      </c>
      <c r="Y490" s="285">
        <f t="shared" si="730"/>
        <v>212395.78000000044</v>
      </c>
      <c r="Z490" s="50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22">
        <f t="shared" si="723"/>
        <v>-118598.27999999985</v>
      </c>
      <c r="AJ490" s="522">
        <f t="shared" si="782"/>
        <v>-211871.97000000044</v>
      </c>
      <c r="AK490" s="522">
        <f t="shared" si="724"/>
        <v>-330470.25000000029</v>
      </c>
      <c r="AL490" s="285">
        <f t="shared" si="736"/>
        <v>211871.97000000044</v>
      </c>
      <c r="AM490" s="426">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12"/>
      <c r="L491" s="426">
        <f t="shared" si="696"/>
        <v>0</v>
      </c>
      <c r="M491" s="426"/>
      <c r="X491" s="512">
        <f t="shared" si="761"/>
        <v>0</v>
      </c>
      <c r="Y491" s="285">
        <f t="shared" si="730"/>
        <v>211871.97000000044</v>
      </c>
      <c r="Z491" s="50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22">
        <f t="shared" si="723"/>
        <v>-118598.27999999985</v>
      </c>
      <c r="AJ491" s="522">
        <f t="shared" si="782"/>
        <v>-211871.97000000044</v>
      </c>
      <c r="AK491" s="522">
        <f t="shared" si="724"/>
        <v>-330470.25000000029</v>
      </c>
      <c r="AL491" s="285">
        <f t="shared" si="736"/>
        <v>211871.97000000044</v>
      </c>
      <c r="AM491" s="426">
        <f t="shared" si="763"/>
        <v>0</v>
      </c>
    </row>
    <row r="492" spans="1:49" x14ac:dyDescent="0.25">
      <c r="A492" s="512"/>
      <c r="L492" s="426">
        <f t="shared" si="696"/>
        <v>0</v>
      </c>
      <c r="M492" s="426"/>
      <c r="X492" s="512">
        <f t="shared" si="761"/>
        <v>0</v>
      </c>
      <c r="Y492" s="285">
        <f t="shared" si="730"/>
        <v>211871.97000000044</v>
      </c>
      <c r="Z492" s="50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22">
        <f t="shared" si="723"/>
        <v>-118598.27999999985</v>
      </c>
      <c r="AJ492" s="522">
        <f t="shared" si="782"/>
        <v>-211871.97000000044</v>
      </c>
      <c r="AK492" s="522">
        <f t="shared" si="724"/>
        <v>-330470.25000000029</v>
      </c>
      <c r="AL492" s="285">
        <f t="shared" si="736"/>
        <v>211871.97000000044</v>
      </c>
      <c r="AM492" s="426">
        <f t="shared" si="763"/>
        <v>0</v>
      </c>
    </row>
    <row r="493" spans="1:49" x14ac:dyDescent="0.25">
      <c r="A493" s="512"/>
      <c r="L493" s="426">
        <f t="shared" si="696"/>
        <v>0</v>
      </c>
      <c r="M493" s="426"/>
      <c r="X493" s="512">
        <f t="shared" si="761"/>
        <v>0</v>
      </c>
      <c r="Y493" s="285">
        <f t="shared" si="730"/>
        <v>211871.97000000044</v>
      </c>
      <c r="Z493" s="50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22">
        <f t="shared" si="723"/>
        <v>-118598.27999999985</v>
      </c>
      <c r="AJ493" s="522">
        <f t="shared" si="782"/>
        <v>-211871.97000000044</v>
      </c>
      <c r="AK493" s="522">
        <f t="shared" si="724"/>
        <v>-330470.25000000029</v>
      </c>
      <c r="AL493" s="285">
        <f t="shared" si="736"/>
        <v>211871.97000000044</v>
      </c>
      <c r="AM493" s="426">
        <f t="shared" si="763"/>
        <v>0</v>
      </c>
    </row>
    <row r="494" spans="1:49" ht="15.75" thickBot="1" x14ac:dyDescent="0.3">
      <c r="A494" s="515"/>
      <c r="B494" s="346"/>
      <c r="C494" s="21"/>
      <c r="D494" s="21"/>
      <c r="E494" s="21"/>
      <c r="F494" s="21"/>
      <c r="G494" s="21"/>
      <c r="H494" s="21"/>
      <c r="I494" s="346"/>
      <c r="J494" s="346"/>
      <c r="K494" s="346"/>
      <c r="L494" s="427">
        <f t="shared" si="696"/>
        <v>0</v>
      </c>
      <c r="M494" s="427"/>
      <c r="N494" s="346"/>
      <c r="U494" s="346"/>
      <c r="V494" s="346"/>
      <c r="W494" s="346"/>
      <c r="X494" s="515">
        <f t="shared" si="761"/>
        <v>0</v>
      </c>
      <c r="Y494" s="285">
        <f t="shared" si="730"/>
        <v>211871.97000000044</v>
      </c>
      <c r="Z494" s="50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22">
        <f t="shared" si="723"/>
        <v>-118598.27999999985</v>
      </c>
      <c r="AJ494" s="522">
        <f t="shared" si="782"/>
        <v>-211871.97000000044</v>
      </c>
      <c r="AK494" s="522">
        <f t="shared" si="724"/>
        <v>-330470.25000000029</v>
      </c>
      <c r="AL494" s="285">
        <f t="shared" si="736"/>
        <v>211871.97000000044</v>
      </c>
      <c r="AM494" s="427">
        <f t="shared" si="763"/>
        <v>0</v>
      </c>
      <c r="AN494" s="21"/>
      <c r="AO494" s="21"/>
      <c r="AP494" s="21"/>
      <c r="AQ494" s="21"/>
      <c r="AR494" s="23"/>
      <c r="AS494" s="21"/>
      <c r="AT494" s="21"/>
      <c r="AU494" s="346"/>
      <c r="AV494" s="346"/>
      <c r="AW494" s="21"/>
    </row>
    <row r="495" spans="1:49" x14ac:dyDescent="0.25">
      <c r="A495" s="512"/>
      <c r="L495" s="426">
        <f t="shared" ref="L495:L558" si="803">IF(MOD(M495,12)=0,M495/12,L494)</f>
        <v>0</v>
      </c>
      <c r="M495" s="426"/>
      <c r="X495" s="512">
        <f t="shared" si="761"/>
        <v>0</v>
      </c>
      <c r="Y495" s="285">
        <f t="shared" si="730"/>
        <v>211871.97000000044</v>
      </c>
      <c r="Z495" s="50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22">
        <f t="shared" si="723"/>
        <v>-118598.27999999985</v>
      </c>
      <c r="AJ495" s="522">
        <f t="shared" si="782"/>
        <v>-211871.97000000044</v>
      </c>
      <c r="AK495" s="522">
        <f t="shared" si="724"/>
        <v>-330470.25000000029</v>
      </c>
      <c r="AL495" s="285">
        <f t="shared" si="736"/>
        <v>211871.97000000044</v>
      </c>
      <c r="AM495" s="426">
        <f t="shared" si="763"/>
        <v>0</v>
      </c>
    </row>
    <row r="496" spans="1:49" x14ac:dyDescent="0.25">
      <c r="A496" s="512"/>
      <c r="L496" s="426">
        <f t="shared" si="803"/>
        <v>0</v>
      </c>
      <c r="M496" s="426"/>
      <c r="X496" s="512">
        <f t="shared" si="761"/>
        <v>0</v>
      </c>
      <c r="Y496" s="285">
        <f t="shared" si="730"/>
        <v>211871.97000000044</v>
      </c>
      <c r="Z496" s="50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22">
        <f t="shared" si="723"/>
        <v>-118598.27999999985</v>
      </c>
      <c r="AJ496" s="522">
        <f t="shared" si="782"/>
        <v>-211871.97000000044</v>
      </c>
      <c r="AK496" s="522">
        <f t="shared" si="724"/>
        <v>-330470.25000000029</v>
      </c>
      <c r="AL496" s="285">
        <f t="shared" si="736"/>
        <v>211871.97000000044</v>
      </c>
      <c r="AM496" s="426">
        <f t="shared" si="763"/>
        <v>0</v>
      </c>
    </row>
    <row r="497" spans="1:49" x14ac:dyDescent="0.25">
      <c r="A497" s="512"/>
      <c r="L497" s="426">
        <f t="shared" si="803"/>
        <v>0</v>
      </c>
      <c r="M497" s="426"/>
      <c r="X497" s="512">
        <f t="shared" si="761"/>
        <v>0</v>
      </c>
      <c r="Y497" s="285">
        <f t="shared" si="730"/>
        <v>211871.97000000044</v>
      </c>
      <c r="Z497" s="50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22">
        <f t="shared" si="723"/>
        <v>-118598.27999999985</v>
      </c>
      <c r="AJ497" s="522">
        <f t="shared" si="782"/>
        <v>-211871.97000000044</v>
      </c>
      <c r="AK497" s="522">
        <f t="shared" si="724"/>
        <v>-330470.25000000029</v>
      </c>
      <c r="AL497" s="285">
        <f t="shared" si="736"/>
        <v>211871.97000000044</v>
      </c>
      <c r="AM497" s="426">
        <f t="shared" si="763"/>
        <v>0</v>
      </c>
    </row>
    <row r="498" spans="1:49" x14ac:dyDescent="0.25">
      <c r="A498" s="512"/>
      <c r="L498" s="426">
        <f t="shared" si="803"/>
        <v>0</v>
      </c>
      <c r="M498" s="426"/>
      <c r="X498" s="512">
        <f t="shared" si="761"/>
        <v>0</v>
      </c>
      <c r="Y498" s="285">
        <f t="shared" si="730"/>
        <v>211871.97000000044</v>
      </c>
      <c r="Z498" s="50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22">
        <f t="shared" si="723"/>
        <v>-118598.27999999985</v>
      </c>
      <c r="AJ498" s="522">
        <f t="shared" si="782"/>
        <v>-211871.97000000044</v>
      </c>
      <c r="AK498" s="522">
        <f t="shared" si="724"/>
        <v>-330470.25000000029</v>
      </c>
      <c r="AL498" s="285">
        <f t="shared" si="736"/>
        <v>211871.97000000044</v>
      </c>
      <c r="AM498" s="426">
        <f t="shared" si="763"/>
        <v>0</v>
      </c>
    </row>
    <row r="499" spans="1:49" x14ac:dyDescent="0.25">
      <c r="A499" s="512"/>
      <c r="L499" s="426">
        <f t="shared" si="803"/>
        <v>0</v>
      </c>
      <c r="M499" s="426"/>
      <c r="X499" s="512">
        <f t="shared" si="761"/>
        <v>0</v>
      </c>
      <c r="Y499" s="285">
        <f t="shared" si="730"/>
        <v>211871.97000000044</v>
      </c>
      <c r="Z499" s="50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22">
        <f t="shared" si="723"/>
        <v>-118598.27999999985</v>
      </c>
      <c r="AJ499" s="522">
        <f t="shared" si="782"/>
        <v>-211871.97000000044</v>
      </c>
      <c r="AK499" s="522">
        <f t="shared" si="724"/>
        <v>-330470.25000000029</v>
      </c>
      <c r="AL499" s="285">
        <f t="shared" si="736"/>
        <v>211871.97000000044</v>
      </c>
      <c r="AM499" s="426">
        <f t="shared" si="763"/>
        <v>0</v>
      </c>
    </row>
    <row r="500" spans="1:49" x14ac:dyDescent="0.25">
      <c r="A500" s="512"/>
      <c r="L500" s="426">
        <f t="shared" si="803"/>
        <v>0</v>
      </c>
      <c r="M500" s="426"/>
      <c r="X500" s="512">
        <f t="shared" si="761"/>
        <v>0</v>
      </c>
      <c r="Y500" s="285">
        <f t="shared" si="730"/>
        <v>211871.97000000044</v>
      </c>
      <c r="Z500" s="50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22">
        <f t="shared" si="723"/>
        <v>-118598.27999999985</v>
      </c>
      <c r="AJ500" s="522">
        <f t="shared" si="782"/>
        <v>-211871.97000000044</v>
      </c>
      <c r="AK500" s="522">
        <f t="shared" si="724"/>
        <v>-330470.25000000029</v>
      </c>
      <c r="AL500" s="285">
        <f t="shared" si="736"/>
        <v>211871.97000000044</v>
      </c>
      <c r="AM500" s="426">
        <f t="shared" si="763"/>
        <v>0</v>
      </c>
    </row>
    <row r="501" spans="1:49" x14ac:dyDescent="0.25">
      <c r="A501" s="512"/>
      <c r="L501" s="426">
        <f t="shared" si="803"/>
        <v>0</v>
      </c>
      <c r="M501" s="426"/>
      <c r="X501" s="512">
        <f t="shared" si="761"/>
        <v>0</v>
      </c>
      <c r="Y501" s="285">
        <f t="shared" si="730"/>
        <v>211871.97000000044</v>
      </c>
      <c r="Z501" s="50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22">
        <f t="shared" si="723"/>
        <v>-118598.27999999985</v>
      </c>
      <c r="AJ501" s="522">
        <f t="shared" si="782"/>
        <v>-211871.97000000044</v>
      </c>
      <c r="AK501" s="522">
        <f t="shared" si="724"/>
        <v>-330470.25000000029</v>
      </c>
      <c r="AL501" s="285">
        <f t="shared" si="736"/>
        <v>211871.97000000044</v>
      </c>
      <c r="AM501" s="426">
        <f t="shared" si="763"/>
        <v>0</v>
      </c>
    </row>
    <row r="502" spans="1:49" x14ac:dyDescent="0.25">
      <c r="A502" s="512"/>
      <c r="L502" s="426">
        <f t="shared" si="803"/>
        <v>0</v>
      </c>
      <c r="M502" s="426"/>
      <c r="X502" s="512">
        <f t="shared" si="761"/>
        <v>0</v>
      </c>
      <c r="Y502" s="285">
        <f t="shared" si="730"/>
        <v>211871.97000000044</v>
      </c>
      <c r="Z502" s="50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22">
        <f t="shared" si="723"/>
        <v>-118598.27999999985</v>
      </c>
      <c r="AJ502" s="522">
        <f t="shared" si="782"/>
        <v>-211871.97000000044</v>
      </c>
      <c r="AK502" s="522">
        <f t="shared" si="724"/>
        <v>-330470.25000000029</v>
      </c>
      <c r="AL502" s="285">
        <f t="shared" si="736"/>
        <v>211871.97000000044</v>
      </c>
      <c r="AM502" s="426">
        <f t="shared" si="763"/>
        <v>0</v>
      </c>
    </row>
    <row r="503" spans="1:49" x14ac:dyDescent="0.25">
      <c r="A503" s="512"/>
      <c r="L503" s="426">
        <f t="shared" si="803"/>
        <v>0</v>
      </c>
      <c r="M503" s="426"/>
      <c r="X503" s="512">
        <f t="shared" si="761"/>
        <v>0</v>
      </c>
      <c r="Y503" s="285">
        <f t="shared" si="730"/>
        <v>211871.97000000044</v>
      </c>
      <c r="Z503" s="50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22">
        <f t="shared" si="723"/>
        <v>-118598.27999999985</v>
      </c>
      <c r="AJ503" s="522">
        <f t="shared" si="782"/>
        <v>-211871.97000000044</v>
      </c>
      <c r="AK503" s="522">
        <f t="shared" si="724"/>
        <v>-330470.25000000029</v>
      </c>
      <c r="AL503" s="285">
        <f t="shared" si="736"/>
        <v>211871.97000000044</v>
      </c>
      <c r="AM503" s="426">
        <f t="shared" si="763"/>
        <v>0</v>
      </c>
    </row>
    <row r="504" spans="1:49" x14ac:dyDescent="0.25">
      <c r="A504" s="512"/>
      <c r="L504" s="426">
        <f t="shared" si="803"/>
        <v>0</v>
      </c>
      <c r="M504" s="426"/>
      <c r="X504" s="512">
        <f t="shared" si="761"/>
        <v>0</v>
      </c>
      <c r="Y504" s="285">
        <f t="shared" si="730"/>
        <v>211871.97000000044</v>
      </c>
      <c r="Z504" s="50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22">
        <f t="shared" si="723"/>
        <v>-118598.27999999985</v>
      </c>
      <c r="AJ504" s="522">
        <f t="shared" si="782"/>
        <v>-211871.97000000044</v>
      </c>
      <c r="AK504" s="522">
        <f t="shared" si="724"/>
        <v>-330470.25000000029</v>
      </c>
      <c r="AL504" s="285">
        <f t="shared" si="736"/>
        <v>211871.97000000044</v>
      </c>
      <c r="AM504" s="426">
        <f t="shared" si="763"/>
        <v>0</v>
      </c>
    </row>
    <row r="505" spans="1:49" x14ac:dyDescent="0.25">
      <c r="A505" s="512"/>
      <c r="L505" s="426">
        <f t="shared" si="803"/>
        <v>0</v>
      </c>
      <c r="M505" s="426"/>
      <c r="X505" s="512">
        <f t="shared" si="761"/>
        <v>0</v>
      </c>
      <c r="Y505" s="285">
        <f t="shared" si="730"/>
        <v>211871.97000000044</v>
      </c>
      <c r="Z505" s="50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22">
        <f t="shared" si="723"/>
        <v>-118598.27999999985</v>
      </c>
      <c r="AJ505" s="522">
        <f t="shared" si="782"/>
        <v>-211871.97000000044</v>
      </c>
      <c r="AK505" s="522">
        <f t="shared" si="724"/>
        <v>-330470.25000000029</v>
      </c>
      <c r="AL505" s="285">
        <f t="shared" si="736"/>
        <v>211871.97000000044</v>
      </c>
      <c r="AM505" s="426">
        <f t="shared" si="763"/>
        <v>0</v>
      </c>
    </row>
    <row r="506" spans="1:49" ht="15.75" thickBot="1" x14ac:dyDescent="0.3">
      <c r="A506" s="515"/>
      <c r="B506" s="346"/>
      <c r="C506" s="21"/>
      <c r="D506" s="21"/>
      <c r="E506" s="21"/>
      <c r="F506" s="21"/>
      <c r="G506" s="21"/>
      <c r="H506" s="21"/>
      <c r="I506" s="346"/>
      <c r="J506" s="346"/>
      <c r="K506" s="346"/>
      <c r="L506" s="427">
        <f t="shared" si="803"/>
        <v>0</v>
      </c>
      <c r="M506" s="427"/>
      <c r="N506" s="346"/>
      <c r="U506" s="346"/>
      <c r="V506" s="346"/>
      <c r="W506" s="346"/>
      <c r="X506" s="515">
        <f t="shared" si="761"/>
        <v>0</v>
      </c>
      <c r="Y506" s="285">
        <f t="shared" si="730"/>
        <v>211871.97000000044</v>
      </c>
      <c r="Z506" s="50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22">
        <f t="shared" si="723"/>
        <v>-118598.27999999985</v>
      </c>
      <c r="AJ506" s="522">
        <f t="shared" si="782"/>
        <v>-211871.97000000044</v>
      </c>
      <c r="AK506" s="522">
        <f t="shared" si="724"/>
        <v>-330470.25000000029</v>
      </c>
      <c r="AL506" s="285">
        <f t="shared" si="736"/>
        <v>211871.97000000044</v>
      </c>
      <c r="AM506" s="427">
        <f t="shared" si="763"/>
        <v>0</v>
      </c>
      <c r="AN506" s="21"/>
      <c r="AO506" s="21"/>
      <c r="AP506" s="21"/>
      <c r="AQ506" s="21"/>
      <c r="AR506" s="23"/>
      <c r="AS506" s="21"/>
      <c r="AT506" s="21"/>
      <c r="AU506" s="346"/>
      <c r="AV506" s="346"/>
      <c r="AW506" s="21"/>
    </row>
    <row r="507" spans="1:49" x14ac:dyDescent="0.25">
      <c r="A507" s="512"/>
      <c r="L507" s="426">
        <f t="shared" si="803"/>
        <v>0</v>
      </c>
      <c r="M507" s="426"/>
      <c r="X507" s="512">
        <f t="shared" si="761"/>
        <v>0</v>
      </c>
      <c r="Y507" s="285">
        <f t="shared" si="730"/>
        <v>211871.97000000044</v>
      </c>
      <c r="Z507" s="50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22">
        <f t="shared" si="723"/>
        <v>-118598.27999999985</v>
      </c>
      <c r="AJ507" s="522">
        <f t="shared" si="782"/>
        <v>-211871.97000000044</v>
      </c>
      <c r="AK507" s="522">
        <f t="shared" si="724"/>
        <v>-330470.25000000029</v>
      </c>
      <c r="AL507" s="285">
        <f t="shared" si="736"/>
        <v>211871.97000000044</v>
      </c>
      <c r="AM507" s="426">
        <f t="shared" si="763"/>
        <v>0</v>
      </c>
    </row>
    <row r="508" spans="1:49" x14ac:dyDescent="0.25">
      <c r="A508" s="512"/>
      <c r="L508" s="426">
        <f t="shared" si="803"/>
        <v>0</v>
      </c>
      <c r="M508" s="426"/>
      <c r="X508" s="512">
        <f t="shared" si="761"/>
        <v>0</v>
      </c>
      <c r="Y508" s="285">
        <f t="shared" si="730"/>
        <v>211871.97000000044</v>
      </c>
      <c r="Z508" s="50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22">
        <f t="shared" ref="AI508:AI543" si="818">O508-AA508+AI507</f>
        <v>-118598.27999999985</v>
      </c>
      <c r="AJ508" s="522">
        <f t="shared" si="782"/>
        <v>-211871.97000000044</v>
      </c>
      <c r="AK508" s="522">
        <f t="shared" ref="AK508:AK543" si="819">SUM(AI508:AJ508)</f>
        <v>-330470.25000000029</v>
      </c>
      <c r="AL508" s="285">
        <f t="shared" si="736"/>
        <v>211871.97000000044</v>
      </c>
      <c r="AM508" s="426">
        <f t="shared" si="763"/>
        <v>0</v>
      </c>
    </row>
    <row r="509" spans="1:49" x14ac:dyDescent="0.25">
      <c r="A509" s="512"/>
      <c r="L509" s="426">
        <f t="shared" si="803"/>
        <v>0</v>
      </c>
      <c r="M509" s="426"/>
      <c r="X509" s="512">
        <f t="shared" si="761"/>
        <v>0</v>
      </c>
      <c r="Y509" s="285">
        <f t="shared" si="730"/>
        <v>211871.97000000044</v>
      </c>
      <c r="Z509" s="50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22">
        <f t="shared" si="818"/>
        <v>-118598.27999999985</v>
      </c>
      <c r="AJ509" s="522">
        <f t="shared" si="782"/>
        <v>-211871.97000000044</v>
      </c>
      <c r="AK509" s="522">
        <f t="shared" si="819"/>
        <v>-330470.25000000029</v>
      </c>
      <c r="AL509" s="285">
        <f t="shared" si="736"/>
        <v>211871.97000000044</v>
      </c>
      <c r="AM509" s="426">
        <f t="shared" si="763"/>
        <v>0</v>
      </c>
    </row>
    <row r="510" spans="1:49" x14ac:dyDescent="0.25">
      <c r="A510" s="512"/>
      <c r="L510" s="426">
        <f t="shared" si="803"/>
        <v>0</v>
      </c>
      <c r="M510" s="426"/>
      <c r="X510" s="512">
        <f t="shared" si="761"/>
        <v>0</v>
      </c>
      <c r="Y510" s="285">
        <f t="shared" ref="Y510:Y543" si="821">IF(+AL509&lt;0,0,+AL509)</f>
        <v>211871.97000000044</v>
      </c>
      <c r="Z510" s="50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22">
        <f t="shared" si="818"/>
        <v>-118598.27999999985</v>
      </c>
      <c r="AJ510" s="522">
        <f t="shared" si="782"/>
        <v>-211871.97000000044</v>
      </c>
      <c r="AK510" s="522">
        <f t="shared" si="819"/>
        <v>-330470.25000000029</v>
      </c>
      <c r="AL510" s="285">
        <f t="shared" ref="AL510:AL543" si="827">+Y510-AB510</f>
        <v>211871.97000000044</v>
      </c>
      <c r="AM510" s="426">
        <f t="shared" si="763"/>
        <v>0</v>
      </c>
    </row>
    <row r="511" spans="1:49" x14ac:dyDescent="0.25">
      <c r="A511" s="512"/>
      <c r="L511" s="426">
        <f t="shared" si="803"/>
        <v>0</v>
      </c>
      <c r="M511" s="426"/>
      <c r="X511" s="512">
        <f t="shared" si="761"/>
        <v>0</v>
      </c>
      <c r="Y511" s="285">
        <f t="shared" si="821"/>
        <v>211871.97000000044</v>
      </c>
      <c r="Z511" s="50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22">
        <f t="shared" si="818"/>
        <v>-118598.27999999985</v>
      </c>
      <c r="AJ511" s="522">
        <f t="shared" si="782"/>
        <v>-211871.97000000044</v>
      </c>
      <c r="AK511" s="522">
        <f t="shared" si="819"/>
        <v>-330470.25000000029</v>
      </c>
      <c r="AL511" s="285">
        <f t="shared" si="827"/>
        <v>211871.97000000044</v>
      </c>
      <c r="AM511" s="426">
        <f t="shared" si="763"/>
        <v>0</v>
      </c>
    </row>
    <row r="512" spans="1:49" x14ac:dyDescent="0.25">
      <c r="A512" s="512"/>
      <c r="L512" s="426">
        <f t="shared" si="803"/>
        <v>0</v>
      </c>
      <c r="M512" s="426"/>
      <c r="X512" s="512">
        <f t="shared" si="761"/>
        <v>0</v>
      </c>
      <c r="Y512" s="285">
        <f t="shared" si="821"/>
        <v>211871.97000000044</v>
      </c>
      <c r="Z512" s="50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22">
        <f t="shared" si="818"/>
        <v>-118598.27999999985</v>
      </c>
      <c r="AJ512" s="522">
        <f t="shared" si="782"/>
        <v>-211871.97000000044</v>
      </c>
      <c r="AK512" s="522">
        <f t="shared" si="819"/>
        <v>-330470.25000000029</v>
      </c>
      <c r="AL512" s="285">
        <f t="shared" si="827"/>
        <v>211871.97000000044</v>
      </c>
      <c r="AM512" s="426">
        <f t="shared" si="763"/>
        <v>0</v>
      </c>
    </row>
    <row r="513" spans="1:49" x14ac:dyDescent="0.25">
      <c r="A513" s="512"/>
      <c r="L513" s="426">
        <f t="shared" si="803"/>
        <v>0</v>
      </c>
      <c r="M513" s="426"/>
      <c r="X513" s="512">
        <f t="shared" si="761"/>
        <v>0</v>
      </c>
      <c r="Y513" s="285">
        <f t="shared" si="821"/>
        <v>211871.97000000044</v>
      </c>
      <c r="Z513" s="50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22">
        <f t="shared" si="818"/>
        <v>-118598.27999999985</v>
      </c>
      <c r="AJ513" s="522">
        <f t="shared" si="782"/>
        <v>-211871.97000000044</v>
      </c>
      <c r="AK513" s="522">
        <f t="shared" si="819"/>
        <v>-330470.25000000029</v>
      </c>
      <c r="AL513" s="285">
        <f t="shared" si="827"/>
        <v>211871.97000000044</v>
      </c>
      <c r="AM513" s="426">
        <f t="shared" si="763"/>
        <v>0</v>
      </c>
    </row>
    <row r="514" spans="1:49" x14ac:dyDescent="0.25">
      <c r="A514" s="512"/>
      <c r="L514" s="426">
        <f t="shared" si="803"/>
        <v>0</v>
      </c>
      <c r="M514" s="426"/>
      <c r="X514" s="512">
        <f t="shared" si="761"/>
        <v>0</v>
      </c>
      <c r="Y514" s="285">
        <f t="shared" si="821"/>
        <v>211871.97000000044</v>
      </c>
      <c r="Z514" s="50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22">
        <f t="shared" si="818"/>
        <v>-118598.27999999985</v>
      </c>
      <c r="AJ514" s="522">
        <f t="shared" si="782"/>
        <v>-211871.97000000044</v>
      </c>
      <c r="AK514" s="522">
        <f t="shared" si="819"/>
        <v>-330470.25000000029</v>
      </c>
      <c r="AL514" s="285">
        <f t="shared" si="827"/>
        <v>211871.97000000044</v>
      </c>
      <c r="AM514" s="426">
        <f t="shared" si="763"/>
        <v>0</v>
      </c>
    </row>
    <row r="515" spans="1:49" x14ac:dyDescent="0.25">
      <c r="A515" s="512"/>
      <c r="L515" s="426">
        <f t="shared" si="803"/>
        <v>0</v>
      </c>
      <c r="M515" s="426"/>
      <c r="X515" s="512">
        <f t="shared" si="761"/>
        <v>0</v>
      </c>
      <c r="Y515" s="285">
        <f t="shared" si="821"/>
        <v>211871.97000000044</v>
      </c>
      <c r="Z515" s="50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22">
        <f t="shared" si="818"/>
        <v>-118598.27999999985</v>
      </c>
      <c r="AJ515" s="522">
        <f t="shared" si="782"/>
        <v>-211871.97000000044</v>
      </c>
      <c r="AK515" s="522">
        <f t="shared" si="819"/>
        <v>-330470.25000000029</v>
      </c>
      <c r="AL515" s="285">
        <f t="shared" si="827"/>
        <v>211871.97000000044</v>
      </c>
      <c r="AM515" s="426">
        <f t="shared" si="763"/>
        <v>0</v>
      </c>
    </row>
    <row r="516" spans="1:49" x14ac:dyDescent="0.25">
      <c r="A516" s="512"/>
      <c r="L516" s="426">
        <f t="shared" si="803"/>
        <v>0</v>
      </c>
      <c r="M516" s="426"/>
      <c r="X516" s="512">
        <f t="shared" si="761"/>
        <v>0</v>
      </c>
      <c r="Y516" s="285">
        <f t="shared" si="821"/>
        <v>211871.97000000044</v>
      </c>
      <c r="Z516" s="50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22">
        <f t="shared" si="818"/>
        <v>-118598.27999999985</v>
      </c>
      <c r="AJ516" s="522">
        <f t="shared" si="782"/>
        <v>-211871.97000000044</v>
      </c>
      <c r="AK516" s="522">
        <f t="shared" si="819"/>
        <v>-330470.25000000029</v>
      </c>
      <c r="AL516" s="285">
        <f t="shared" si="827"/>
        <v>211871.97000000044</v>
      </c>
      <c r="AM516" s="426">
        <f t="shared" si="763"/>
        <v>0</v>
      </c>
    </row>
    <row r="517" spans="1:49" x14ac:dyDescent="0.25">
      <c r="A517" s="512"/>
      <c r="L517" s="426">
        <f t="shared" si="803"/>
        <v>0</v>
      </c>
      <c r="M517" s="426"/>
      <c r="X517" s="512">
        <f t="shared" si="761"/>
        <v>0</v>
      </c>
      <c r="Y517" s="285">
        <f t="shared" si="821"/>
        <v>211871.97000000044</v>
      </c>
      <c r="Z517" s="50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22">
        <f t="shared" si="818"/>
        <v>-118598.27999999985</v>
      </c>
      <c r="AJ517" s="522">
        <f t="shared" si="782"/>
        <v>-211871.97000000044</v>
      </c>
      <c r="AK517" s="522">
        <f t="shared" si="819"/>
        <v>-330470.25000000029</v>
      </c>
      <c r="AL517" s="285">
        <f t="shared" si="827"/>
        <v>211871.97000000044</v>
      </c>
      <c r="AM517" s="426">
        <f t="shared" si="763"/>
        <v>0</v>
      </c>
    </row>
    <row r="518" spans="1:49" ht="15.75" thickBot="1" x14ac:dyDescent="0.3">
      <c r="A518" s="515"/>
      <c r="B518" s="346"/>
      <c r="C518" s="21"/>
      <c r="D518" s="21"/>
      <c r="E518" s="21"/>
      <c r="F518" s="21"/>
      <c r="G518" s="21"/>
      <c r="H518" s="21"/>
      <c r="I518" s="346"/>
      <c r="J518" s="346"/>
      <c r="K518" s="346"/>
      <c r="L518" s="427">
        <f t="shared" si="803"/>
        <v>0</v>
      </c>
      <c r="M518" s="427"/>
      <c r="N518" s="346"/>
      <c r="U518" s="346"/>
      <c r="V518" s="346"/>
      <c r="W518" s="346"/>
      <c r="X518" s="515">
        <f t="shared" si="761"/>
        <v>0</v>
      </c>
      <c r="Y518" s="285">
        <f t="shared" si="821"/>
        <v>211871.97000000044</v>
      </c>
      <c r="Z518" s="50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22">
        <f t="shared" si="818"/>
        <v>-118598.27999999985</v>
      </c>
      <c r="AJ518" s="522">
        <f t="shared" si="782"/>
        <v>-211871.97000000044</v>
      </c>
      <c r="AK518" s="522">
        <f t="shared" si="819"/>
        <v>-330470.25000000029</v>
      </c>
      <c r="AL518" s="285">
        <f t="shared" si="827"/>
        <v>211871.97000000044</v>
      </c>
      <c r="AM518" s="427">
        <f t="shared" si="763"/>
        <v>0</v>
      </c>
      <c r="AN518" s="21"/>
      <c r="AO518" s="21"/>
      <c r="AP518" s="21"/>
      <c r="AQ518" s="21"/>
      <c r="AR518" s="23"/>
      <c r="AS518" s="21"/>
      <c r="AT518" s="21"/>
      <c r="AU518" s="346"/>
      <c r="AV518" s="346"/>
      <c r="AW518" s="21"/>
    </row>
    <row r="519" spans="1:49" x14ac:dyDescent="0.25">
      <c r="A519" s="512"/>
      <c r="L519" s="426">
        <f t="shared" si="803"/>
        <v>0</v>
      </c>
      <c r="M519" s="426"/>
      <c r="X519" s="512">
        <f t="shared" si="761"/>
        <v>0</v>
      </c>
      <c r="Y519" s="285">
        <f t="shared" si="821"/>
        <v>211871.97000000044</v>
      </c>
      <c r="Z519" s="50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22">
        <f t="shared" si="818"/>
        <v>-118598.27999999985</v>
      </c>
      <c r="AJ519" s="522">
        <f t="shared" si="782"/>
        <v>-211871.97000000044</v>
      </c>
      <c r="AK519" s="522">
        <f t="shared" si="819"/>
        <v>-330470.25000000029</v>
      </c>
      <c r="AL519" s="285">
        <f t="shared" si="827"/>
        <v>211871.97000000044</v>
      </c>
      <c r="AM519" s="426">
        <f t="shared" si="763"/>
        <v>0</v>
      </c>
    </row>
    <row r="520" spans="1:49" x14ac:dyDescent="0.25">
      <c r="A520" s="512"/>
      <c r="L520" s="426">
        <f t="shared" si="803"/>
        <v>0</v>
      </c>
      <c r="M520" s="426"/>
      <c r="X520" s="512">
        <f t="shared" si="761"/>
        <v>0</v>
      </c>
      <c r="Y520" s="285">
        <f t="shared" si="821"/>
        <v>211871.97000000044</v>
      </c>
      <c r="Z520" s="50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22">
        <f t="shared" si="818"/>
        <v>-118598.27999999985</v>
      </c>
      <c r="AJ520" s="522">
        <f t="shared" si="782"/>
        <v>-211871.97000000044</v>
      </c>
      <c r="AK520" s="522">
        <f t="shared" si="819"/>
        <v>-330470.25000000029</v>
      </c>
      <c r="AL520" s="285">
        <f t="shared" si="827"/>
        <v>211871.97000000044</v>
      </c>
      <c r="AM520" s="426">
        <f t="shared" si="763"/>
        <v>0</v>
      </c>
    </row>
    <row r="521" spans="1:49" x14ac:dyDescent="0.25">
      <c r="A521" s="512"/>
      <c r="L521" s="426">
        <f t="shared" si="803"/>
        <v>0</v>
      </c>
      <c r="M521" s="426"/>
      <c r="X521" s="512">
        <f t="shared" si="761"/>
        <v>0</v>
      </c>
      <c r="Y521" s="285">
        <f t="shared" si="821"/>
        <v>211871.97000000044</v>
      </c>
      <c r="Z521" s="50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22">
        <f t="shared" si="818"/>
        <v>-118598.27999999985</v>
      </c>
      <c r="AJ521" s="522">
        <f t="shared" si="782"/>
        <v>-211871.97000000044</v>
      </c>
      <c r="AK521" s="522">
        <f t="shared" si="819"/>
        <v>-330470.25000000029</v>
      </c>
      <c r="AL521" s="285">
        <f t="shared" si="827"/>
        <v>211871.97000000044</v>
      </c>
      <c r="AM521" s="426">
        <f t="shared" si="763"/>
        <v>0</v>
      </c>
    </row>
    <row r="522" spans="1:49" x14ac:dyDescent="0.25">
      <c r="A522" s="512"/>
      <c r="L522" s="426">
        <f t="shared" si="803"/>
        <v>0</v>
      </c>
      <c r="M522" s="426"/>
      <c r="X522" s="512">
        <f t="shared" si="761"/>
        <v>0</v>
      </c>
      <c r="Y522" s="285">
        <f t="shared" si="821"/>
        <v>211871.97000000044</v>
      </c>
      <c r="Z522" s="50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22">
        <f t="shared" si="818"/>
        <v>-118598.27999999985</v>
      </c>
      <c r="AJ522" s="522">
        <f t="shared" si="782"/>
        <v>-211871.97000000044</v>
      </c>
      <c r="AK522" s="522">
        <f t="shared" si="819"/>
        <v>-330470.25000000029</v>
      </c>
      <c r="AL522" s="285">
        <f t="shared" si="827"/>
        <v>211871.97000000044</v>
      </c>
      <c r="AM522" s="426">
        <f t="shared" si="763"/>
        <v>0</v>
      </c>
    </row>
    <row r="523" spans="1:49" x14ac:dyDescent="0.25">
      <c r="A523" s="512"/>
      <c r="L523" s="426">
        <f t="shared" si="803"/>
        <v>0</v>
      </c>
      <c r="M523" s="426"/>
      <c r="X523" s="512">
        <f t="shared" si="761"/>
        <v>0</v>
      </c>
      <c r="Y523" s="285">
        <f t="shared" si="821"/>
        <v>211871.97000000044</v>
      </c>
      <c r="Z523" s="50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22">
        <f t="shared" si="818"/>
        <v>-118598.27999999985</v>
      </c>
      <c r="AJ523" s="522">
        <f t="shared" si="782"/>
        <v>-211871.97000000044</v>
      </c>
      <c r="AK523" s="522">
        <f t="shared" si="819"/>
        <v>-330470.25000000029</v>
      </c>
      <c r="AL523" s="285">
        <f t="shared" si="827"/>
        <v>211871.97000000044</v>
      </c>
      <c r="AM523" s="426">
        <f t="shared" si="763"/>
        <v>0</v>
      </c>
    </row>
    <row r="524" spans="1:49" x14ac:dyDescent="0.25">
      <c r="A524" s="512"/>
      <c r="L524" s="426">
        <f t="shared" si="803"/>
        <v>0</v>
      </c>
      <c r="M524" s="426"/>
      <c r="X524" s="512">
        <f t="shared" si="761"/>
        <v>0</v>
      </c>
      <c r="Y524" s="285">
        <f t="shared" si="821"/>
        <v>211871.97000000044</v>
      </c>
      <c r="Z524" s="50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22">
        <f t="shared" si="818"/>
        <v>-118598.27999999985</v>
      </c>
      <c r="AJ524" s="522">
        <f t="shared" si="782"/>
        <v>-211871.97000000044</v>
      </c>
      <c r="AK524" s="522">
        <f t="shared" si="819"/>
        <v>-330470.25000000029</v>
      </c>
      <c r="AL524" s="285">
        <f t="shared" si="827"/>
        <v>211871.97000000044</v>
      </c>
      <c r="AM524" s="426">
        <f t="shared" si="763"/>
        <v>0</v>
      </c>
    </row>
    <row r="525" spans="1:49" x14ac:dyDescent="0.25">
      <c r="A525" s="512"/>
      <c r="L525" s="426">
        <f t="shared" si="803"/>
        <v>0</v>
      </c>
      <c r="M525" s="426"/>
      <c r="X525" s="512">
        <f t="shared" si="761"/>
        <v>0</v>
      </c>
      <c r="Y525" s="285">
        <f t="shared" si="821"/>
        <v>211871.97000000044</v>
      </c>
      <c r="Z525" s="50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22">
        <f t="shared" si="818"/>
        <v>-118598.27999999985</v>
      </c>
      <c r="AJ525" s="522">
        <f t="shared" si="782"/>
        <v>-211871.97000000044</v>
      </c>
      <c r="AK525" s="522">
        <f t="shared" si="819"/>
        <v>-330470.25000000029</v>
      </c>
      <c r="AL525" s="285">
        <f t="shared" si="827"/>
        <v>211871.97000000044</v>
      </c>
      <c r="AM525" s="426">
        <f t="shared" si="763"/>
        <v>0</v>
      </c>
    </row>
    <row r="526" spans="1:49" x14ac:dyDescent="0.25">
      <c r="A526" s="512"/>
      <c r="L526" s="426">
        <f t="shared" si="803"/>
        <v>0</v>
      </c>
      <c r="M526" s="426"/>
      <c r="X526" s="512">
        <f t="shared" si="761"/>
        <v>0</v>
      </c>
      <c r="Y526" s="285">
        <f t="shared" si="821"/>
        <v>211871.97000000044</v>
      </c>
      <c r="Z526" s="50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22">
        <f t="shared" si="818"/>
        <v>-118598.27999999985</v>
      </c>
      <c r="AJ526" s="522">
        <f t="shared" si="782"/>
        <v>-211871.97000000044</v>
      </c>
      <c r="AK526" s="522">
        <f t="shared" si="819"/>
        <v>-330470.25000000029</v>
      </c>
      <c r="AL526" s="285">
        <f t="shared" si="827"/>
        <v>211871.97000000044</v>
      </c>
      <c r="AM526" s="426">
        <f t="shared" si="763"/>
        <v>0</v>
      </c>
    </row>
    <row r="527" spans="1:49" x14ac:dyDescent="0.25">
      <c r="A527" s="512"/>
      <c r="L527" s="426">
        <f t="shared" si="803"/>
        <v>0</v>
      </c>
      <c r="M527" s="426"/>
      <c r="X527" s="512">
        <f t="shared" si="761"/>
        <v>0</v>
      </c>
      <c r="Y527" s="285">
        <f t="shared" si="821"/>
        <v>211871.97000000044</v>
      </c>
      <c r="Z527" s="50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22">
        <f t="shared" si="818"/>
        <v>-118598.27999999985</v>
      </c>
      <c r="AJ527" s="522">
        <f t="shared" si="782"/>
        <v>-211871.97000000044</v>
      </c>
      <c r="AK527" s="522">
        <f t="shared" si="819"/>
        <v>-330470.25000000029</v>
      </c>
      <c r="AL527" s="285">
        <f t="shared" si="827"/>
        <v>211871.97000000044</v>
      </c>
      <c r="AM527" s="426">
        <f t="shared" si="763"/>
        <v>0</v>
      </c>
    </row>
    <row r="528" spans="1:49" x14ac:dyDescent="0.25">
      <c r="A528" s="512"/>
      <c r="L528" s="426">
        <f t="shared" si="803"/>
        <v>0</v>
      </c>
      <c r="M528" s="426"/>
      <c r="X528" s="512">
        <f t="shared" ref="X528:X591" si="848">+A528</f>
        <v>0</v>
      </c>
      <c r="Y528" s="285">
        <f t="shared" si="821"/>
        <v>211871.97000000044</v>
      </c>
      <c r="Z528" s="50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22">
        <f t="shared" si="818"/>
        <v>-118598.27999999985</v>
      </c>
      <c r="AJ528" s="522">
        <f t="shared" si="782"/>
        <v>-211871.97000000044</v>
      </c>
      <c r="AK528" s="522">
        <f t="shared" si="819"/>
        <v>-330470.25000000029</v>
      </c>
      <c r="AL528" s="285">
        <f t="shared" si="827"/>
        <v>211871.97000000044</v>
      </c>
      <c r="AM528" s="426">
        <f t="shared" ref="AM528:AM591" si="850">+L528</f>
        <v>0</v>
      </c>
    </row>
    <row r="529" spans="1:49" x14ac:dyDescent="0.25">
      <c r="A529" s="512"/>
      <c r="L529" s="426">
        <f t="shared" si="803"/>
        <v>0</v>
      </c>
      <c r="M529" s="426"/>
      <c r="X529" s="512">
        <f t="shared" si="848"/>
        <v>0</v>
      </c>
      <c r="Y529" s="285">
        <f t="shared" si="821"/>
        <v>211871.97000000044</v>
      </c>
      <c r="Z529" s="50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22">
        <f t="shared" si="818"/>
        <v>-118598.27999999985</v>
      </c>
      <c r="AJ529" s="522">
        <f t="shared" si="782"/>
        <v>-211871.97000000044</v>
      </c>
      <c r="AK529" s="522">
        <f t="shared" si="819"/>
        <v>-330470.25000000029</v>
      </c>
      <c r="AL529" s="285">
        <f t="shared" si="827"/>
        <v>211871.97000000044</v>
      </c>
      <c r="AM529" s="426">
        <f t="shared" si="850"/>
        <v>0</v>
      </c>
    </row>
    <row r="530" spans="1:49" ht="15.75" thickBot="1" x14ac:dyDescent="0.3">
      <c r="A530" s="515"/>
      <c r="B530" s="346"/>
      <c r="C530" s="21"/>
      <c r="D530" s="21"/>
      <c r="E530" s="21"/>
      <c r="F530" s="21"/>
      <c r="G530" s="21"/>
      <c r="H530" s="21"/>
      <c r="I530" s="346"/>
      <c r="J530" s="346"/>
      <c r="K530" s="346"/>
      <c r="L530" s="427">
        <f t="shared" si="803"/>
        <v>0</v>
      </c>
      <c r="M530" s="427"/>
      <c r="N530" s="346"/>
      <c r="U530" s="346"/>
      <c r="V530" s="346"/>
      <c r="W530" s="346"/>
      <c r="X530" s="515">
        <f t="shared" si="848"/>
        <v>0</v>
      </c>
      <c r="Y530" s="285">
        <f t="shared" si="821"/>
        <v>211871.97000000044</v>
      </c>
      <c r="Z530" s="50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22">
        <f t="shared" si="818"/>
        <v>-118598.27999999985</v>
      </c>
      <c r="AJ530" s="522">
        <f t="shared" si="782"/>
        <v>-211871.97000000044</v>
      </c>
      <c r="AK530" s="522">
        <f t="shared" si="819"/>
        <v>-330470.25000000029</v>
      </c>
      <c r="AL530" s="285">
        <f t="shared" si="827"/>
        <v>211871.97000000044</v>
      </c>
      <c r="AM530" s="427">
        <f t="shared" si="850"/>
        <v>0</v>
      </c>
      <c r="AN530" s="21"/>
      <c r="AO530" s="21"/>
      <c r="AP530" s="21"/>
      <c r="AQ530" s="21"/>
      <c r="AR530" s="23"/>
      <c r="AS530" s="21"/>
      <c r="AT530" s="21"/>
      <c r="AU530" s="346"/>
      <c r="AV530" s="346"/>
      <c r="AW530" s="21"/>
    </row>
    <row r="531" spans="1:49" x14ac:dyDescent="0.25">
      <c r="A531" s="512"/>
      <c r="L531" s="426">
        <f t="shared" si="803"/>
        <v>0</v>
      </c>
      <c r="M531" s="426"/>
      <c r="X531" s="512">
        <f t="shared" si="848"/>
        <v>0</v>
      </c>
      <c r="Y531" s="285">
        <f t="shared" si="821"/>
        <v>211871.97000000044</v>
      </c>
      <c r="Z531" s="50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22">
        <f t="shared" si="818"/>
        <v>-118598.27999999985</v>
      </c>
      <c r="AJ531" s="522">
        <f t="shared" si="782"/>
        <v>-211871.97000000044</v>
      </c>
      <c r="AK531" s="522">
        <f t="shared" si="819"/>
        <v>-330470.25000000029</v>
      </c>
      <c r="AL531" s="285">
        <f t="shared" si="827"/>
        <v>211871.97000000044</v>
      </c>
      <c r="AM531" s="426">
        <f t="shared" si="850"/>
        <v>0</v>
      </c>
    </row>
    <row r="532" spans="1:49" x14ac:dyDescent="0.25">
      <c r="A532" s="512"/>
      <c r="L532" s="426">
        <f t="shared" si="803"/>
        <v>0</v>
      </c>
      <c r="M532" s="426"/>
      <c r="X532" s="512">
        <f t="shared" si="848"/>
        <v>0</v>
      </c>
      <c r="Y532" s="285">
        <f t="shared" si="821"/>
        <v>211871.97000000044</v>
      </c>
      <c r="Z532" s="50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22">
        <f t="shared" si="818"/>
        <v>-118598.27999999985</v>
      </c>
      <c r="AJ532" s="522">
        <f t="shared" si="782"/>
        <v>-211871.97000000044</v>
      </c>
      <c r="AK532" s="522">
        <f t="shared" si="819"/>
        <v>-330470.25000000029</v>
      </c>
      <c r="AL532" s="285">
        <f t="shared" si="827"/>
        <v>211871.97000000044</v>
      </c>
      <c r="AM532" s="426">
        <f t="shared" si="850"/>
        <v>0</v>
      </c>
    </row>
    <row r="533" spans="1:49" x14ac:dyDescent="0.25">
      <c r="A533" s="512"/>
      <c r="L533" s="426">
        <f t="shared" si="803"/>
        <v>0</v>
      </c>
      <c r="M533" s="426"/>
      <c r="X533" s="512">
        <f t="shared" si="848"/>
        <v>0</v>
      </c>
      <c r="Y533" s="285">
        <f t="shared" si="821"/>
        <v>211871.97000000044</v>
      </c>
      <c r="Z533" s="50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22">
        <f t="shared" si="818"/>
        <v>-118598.27999999985</v>
      </c>
      <c r="AJ533" s="522">
        <f t="shared" si="782"/>
        <v>-211871.97000000044</v>
      </c>
      <c r="AK533" s="522">
        <f t="shared" si="819"/>
        <v>-330470.25000000029</v>
      </c>
      <c r="AL533" s="285">
        <f t="shared" si="827"/>
        <v>211871.97000000044</v>
      </c>
      <c r="AM533" s="426">
        <f t="shared" si="850"/>
        <v>0</v>
      </c>
    </row>
    <row r="534" spans="1:49" x14ac:dyDescent="0.25">
      <c r="A534" s="512"/>
      <c r="L534" s="426">
        <f t="shared" si="803"/>
        <v>0</v>
      </c>
      <c r="M534" s="426"/>
      <c r="X534" s="512">
        <f t="shared" si="848"/>
        <v>0</v>
      </c>
      <c r="Y534" s="285">
        <f t="shared" si="821"/>
        <v>211871.97000000044</v>
      </c>
      <c r="Z534" s="50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22">
        <f t="shared" si="818"/>
        <v>-118598.27999999985</v>
      </c>
      <c r="AJ534" s="522">
        <f t="shared" si="782"/>
        <v>-211871.97000000044</v>
      </c>
      <c r="AK534" s="522">
        <f t="shared" si="819"/>
        <v>-330470.25000000029</v>
      </c>
      <c r="AL534" s="285">
        <f t="shared" si="827"/>
        <v>211871.97000000044</v>
      </c>
      <c r="AM534" s="426">
        <f t="shared" si="850"/>
        <v>0</v>
      </c>
    </row>
    <row r="535" spans="1:49" x14ac:dyDescent="0.25">
      <c r="A535" s="512"/>
      <c r="L535" s="426">
        <f t="shared" si="803"/>
        <v>0</v>
      </c>
      <c r="M535" s="426"/>
      <c r="X535" s="512">
        <f t="shared" si="848"/>
        <v>0</v>
      </c>
      <c r="Y535" s="285">
        <f t="shared" si="821"/>
        <v>211871.97000000044</v>
      </c>
      <c r="Z535" s="50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22">
        <f t="shared" si="818"/>
        <v>-118598.27999999985</v>
      </c>
      <c r="AJ535" s="522">
        <f t="shared" si="782"/>
        <v>-211871.97000000044</v>
      </c>
      <c r="AK535" s="522">
        <f t="shared" si="819"/>
        <v>-330470.25000000029</v>
      </c>
      <c r="AL535" s="285">
        <f t="shared" si="827"/>
        <v>211871.97000000044</v>
      </c>
      <c r="AM535" s="426">
        <f t="shared" si="850"/>
        <v>0</v>
      </c>
    </row>
    <row r="536" spans="1:49" x14ac:dyDescent="0.25">
      <c r="A536" s="512"/>
      <c r="L536" s="426">
        <f t="shared" si="803"/>
        <v>0</v>
      </c>
      <c r="M536" s="426"/>
      <c r="X536" s="512">
        <f t="shared" si="848"/>
        <v>0</v>
      </c>
      <c r="Y536" s="285">
        <f t="shared" si="821"/>
        <v>211871.97000000044</v>
      </c>
      <c r="Z536" s="50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22">
        <f t="shared" si="818"/>
        <v>-118598.27999999985</v>
      </c>
      <c r="AJ536" s="522">
        <f t="shared" si="782"/>
        <v>-211871.97000000044</v>
      </c>
      <c r="AK536" s="522">
        <f t="shared" si="819"/>
        <v>-330470.25000000029</v>
      </c>
      <c r="AL536" s="285">
        <f t="shared" si="827"/>
        <v>211871.97000000044</v>
      </c>
      <c r="AM536" s="426">
        <f t="shared" si="850"/>
        <v>0</v>
      </c>
    </row>
    <row r="537" spans="1:49" x14ac:dyDescent="0.25">
      <c r="A537" s="512"/>
      <c r="L537" s="426">
        <f t="shared" si="803"/>
        <v>0</v>
      </c>
      <c r="M537" s="426"/>
      <c r="X537" s="512">
        <f t="shared" si="848"/>
        <v>0</v>
      </c>
      <c r="Y537" s="285">
        <f t="shared" si="821"/>
        <v>211871.97000000044</v>
      </c>
      <c r="Z537" s="50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22">
        <f t="shared" si="818"/>
        <v>-118598.27999999985</v>
      </c>
      <c r="AJ537" s="522">
        <f t="shared" si="782"/>
        <v>-211871.97000000044</v>
      </c>
      <c r="AK537" s="522">
        <f t="shared" si="819"/>
        <v>-330470.25000000029</v>
      </c>
      <c r="AL537" s="285">
        <f t="shared" si="827"/>
        <v>211871.97000000044</v>
      </c>
      <c r="AM537" s="426">
        <f t="shared" si="850"/>
        <v>0</v>
      </c>
    </row>
    <row r="538" spans="1:49" x14ac:dyDescent="0.25">
      <c r="A538" s="512"/>
      <c r="L538" s="426">
        <f t="shared" si="803"/>
        <v>0</v>
      </c>
      <c r="M538" s="426"/>
      <c r="X538" s="512">
        <f t="shared" si="848"/>
        <v>0</v>
      </c>
      <c r="Y538" s="285">
        <f t="shared" si="821"/>
        <v>211871.97000000044</v>
      </c>
      <c r="Z538" s="50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22">
        <f t="shared" si="818"/>
        <v>-118598.27999999985</v>
      </c>
      <c r="AJ538" s="522">
        <f t="shared" si="782"/>
        <v>-211871.97000000044</v>
      </c>
      <c r="AK538" s="522">
        <f t="shared" si="819"/>
        <v>-330470.25000000029</v>
      </c>
      <c r="AL538" s="285">
        <f t="shared" si="827"/>
        <v>211871.97000000044</v>
      </c>
      <c r="AM538" s="426">
        <f t="shared" si="850"/>
        <v>0</v>
      </c>
    </row>
    <row r="539" spans="1:49" x14ac:dyDescent="0.25">
      <c r="A539" s="512"/>
      <c r="L539" s="426">
        <f t="shared" si="803"/>
        <v>0</v>
      </c>
      <c r="M539" s="426"/>
      <c r="X539" s="512">
        <f t="shared" si="848"/>
        <v>0</v>
      </c>
      <c r="Y539" s="285">
        <f t="shared" si="821"/>
        <v>211871.97000000044</v>
      </c>
      <c r="Z539" s="50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22">
        <f t="shared" si="818"/>
        <v>-118598.27999999985</v>
      </c>
      <c r="AJ539" s="522">
        <f t="shared" ref="AJ539:AJ543" si="862">+W539-AL539</f>
        <v>-211871.97000000044</v>
      </c>
      <c r="AK539" s="522">
        <f t="shared" si="819"/>
        <v>-330470.25000000029</v>
      </c>
      <c r="AL539" s="285">
        <f t="shared" si="827"/>
        <v>211871.97000000044</v>
      </c>
      <c r="AM539" s="426">
        <f t="shared" si="850"/>
        <v>0</v>
      </c>
    </row>
    <row r="540" spans="1:49" x14ac:dyDescent="0.25">
      <c r="A540" s="512"/>
      <c r="L540" s="426">
        <f t="shared" si="803"/>
        <v>0</v>
      </c>
      <c r="M540" s="426"/>
      <c r="X540" s="512">
        <f t="shared" si="848"/>
        <v>0</v>
      </c>
      <c r="Y540" s="285">
        <f t="shared" si="821"/>
        <v>211871.97000000044</v>
      </c>
      <c r="Z540" s="50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22">
        <f t="shared" si="818"/>
        <v>-118598.27999999985</v>
      </c>
      <c r="AJ540" s="522">
        <f t="shared" si="862"/>
        <v>-211871.97000000044</v>
      </c>
      <c r="AK540" s="522">
        <f t="shared" si="819"/>
        <v>-330470.25000000029</v>
      </c>
      <c r="AL540" s="285">
        <f t="shared" si="827"/>
        <v>211871.97000000044</v>
      </c>
      <c r="AM540" s="426">
        <f t="shared" si="850"/>
        <v>0</v>
      </c>
    </row>
    <row r="541" spans="1:49" x14ac:dyDescent="0.25">
      <c r="A541" s="512"/>
      <c r="L541" s="426">
        <f t="shared" si="803"/>
        <v>0</v>
      </c>
      <c r="M541" s="426"/>
      <c r="X541" s="512">
        <f t="shared" si="848"/>
        <v>0</v>
      </c>
      <c r="Y541" s="285">
        <f t="shared" si="821"/>
        <v>211871.97000000044</v>
      </c>
      <c r="Z541" s="50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22">
        <f t="shared" si="818"/>
        <v>-118598.27999999985</v>
      </c>
      <c r="AJ541" s="522">
        <f t="shared" si="862"/>
        <v>-211871.97000000044</v>
      </c>
      <c r="AK541" s="522">
        <f t="shared" si="819"/>
        <v>-330470.25000000029</v>
      </c>
      <c r="AL541" s="285">
        <f t="shared" si="827"/>
        <v>211871.97000000044</v>
      </c>
      <c r="AM541" s="426">
        <f t="shared" si="850"/>
        <v>0</v>
      </c>
    </row>
    <row r="542" spans="1:49" ht="15.75" thickBot="1" x14ac:dyDescent="0.3">
      <c r="A542" s="515"/>
      <c r="B542" s="346"/>
      <c r="C542" s="21"/>
      <c r="D542" s="21"/>
      <c r="E542" s="21"/>
      <c r="F542" s="21"/>
      <c r="G542" s="21"/>
      <c r="H542" s="21"/>
      <c r="I542" s="346"/>
      <c r="J542" s="346"/>
      <c r="K542" s="346"/>
      <c r="L542" s="427">
        <f t="shared" si="803"/>
        <v>0</v>
      </c>
      <c r="M542" s="427"/>
      <c r="N542" s="346"/>
      <c r="U542" s="346"/>
      <c r="V542" s="346"/>
      <c r="W542" s="346"/>
      <c r="X542" s="515">
        <f t="shared" si="848"/>
        <v>0</v>
      </c>
      <c r="Y542" s="285">
        <f t="shared" si="821"/>
        <v>211871.97000000044</v>
      </c>
      <c r="Z542" s="50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22">
        <f t="shared" si="818"/>
        <v>-118598.27999999985</v>
      </c>
      <c r="AJ542" s="522">
        <f t="shared" si="862"/>
        <v>-211871.97000000044</v>
      </c>
      <c r="AK542" s="522">
        <f t="shared" si="819"/>
        <v>-330470.25000000029</v>
      </c>
      <c r="AL542" s="285">
        <f t="shared" si="827"/>
        <v>211871.97000000044</v>
      </c>
      <c r="AM542" s="427">
        <f t="shared" si="850"/>
        <v>0</v>
      </c>
      <c r="AN542" s="21"/>
      <c r="AO542" s="21"/>
      <c r="AP542" s="21"/>
      <c r="AQ542" s="21"/>
      <c r="AR542" s="23"/>
      <c r="AS542" s="21"/>
      <c r="AT542" s="21"/>
      <c r="AU542" s="346"/>
      <c r="AV542" s="346"/>
      <c r="AW542" s="21"/>
    </row>
    <row r="543" spans="1:49" x14ac:dyDescent="0.25">
      <c r="A543" s="512"/>
      <c r="L543" s="426">
        <f t="shared" si="803"/>
        <v>0</v>
      </c>
      <c r="M543" s="426"/>
      <c r="X543" s="512">
        <f t="shared" si="848"/>
        <v>0</v>
      </c>
      <c r="Y543" s="285">
        <f t="shared" si="821"/>
        <v>211871.97000000044</v>
      </c>
      <c r="Z543" s="50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22">
        <f t="shared" si="818"/>
        <v>-118598.27999999985</v>
      </c>
      <c r="AJ543" s="522">
        <f t="shared" si="862"/>
        <v>-211871.97000000044</v>
      </c>
      <c r="AK543" s="522">
        <f t="shared" si="819"/>
        <v>-330470.25000000029</v>
      </c>
      <c r="AL543" s="285">
        <f t="shared" si="827"/>
        <v>211871.97000000044</v>
      </c>
      <c r="AM543" s="426">
        <f t="shared" si="850"/>
        <v>0</v>
      </c>
    </row>
    <row r="544" spans="1:49" x14ac:dyDescent="0.25">
      <c r="A544" s="512"/>
      <c r="L544" s="426">
        <f t="shared" si="803"/>
        <v>0</v>
      </c>
      <c r="M544" s="426"/>
      <c r="X544" s="512">
        <f t="shared" si="848"/>
        <v>0</v>
      </c>
      <c r="AM544" s="426">
        <f t="shared" si="850"/>
        <v>0</v>
      </c>
    </row>
    <row r="545" spans="1:49" x14ac:dyDescent="0.25">
      <c r="A545" s="512"/>
      <c r="L545" s="426">
        <f t="shared" si="803"/>
        <v>0</v>
      </c>
      <c r="M545" s="426"/>
      <c r="X545" s="512">
        <f t="shared" si="848"/>
        <v>0</v>
      </c>
      <c r="AM545" s="426">
        <f t="shared" si="850"/>
        <v>0</v>
      </c>
    </row>
    <row r="546" spans="1:49" x14ac:dyDescent="0.25">
      <c r="A546" s="512"/>
      <c r="L546" s="426">
        <f t="shared" si="803"/>
        <v>0</v>
      </c>
      <c r="M546" s="426"/>
      <c r="X546" s="512">
        <f t="shared" si="848"/>
        <v>0</v>
      </c>
      <c r="AM546" s="426">
        <f t="shared" si="850"/>
        <v>0</v>
      </c>
    </row>
    <row r="547" spans="1:49" x14ac:dyDescent="0.25">
      <c r="A547" s="512"/>
      <c r="L547" s="426">
        <f t="shared" si="803"/>
        <v>0</v>
      </c>
      <c r="M547" s="426"/>
      <c r="X547" s="512">
        <f t="shared" si="848"/>
        <v>0</v>
      </c>
      <c r="AM547" s="426">
        <f t="shared" si="850"/>
        <v>0</v>
      </c>
    </row>
    <row r="548" spans="1:49" x14ac:dyDescent="0.25">
      <c r="A548" s="512"/>
      <c r="L548" s="426">
        <f t="shared" si="803"/>
        <v>0</v>
      </c>
      <c r="M548" s="426"/>
      <c r="X548" s="512">
        <f t="shared" si="848"/>
        <v>0</v>
      </c>
      <c r="AM548" s="426">
        <f t="shared" si="850"/>
        <v>0</v>
      </c>
    </row>
    <row r="549" spans="1:49" x14ac:dyDescent="0.25">
      <c r="A549" s="512"/>
      <c r="L549" s="426">
        <f t="shared" si="803"/>
        <v>0</v>
      </c>
      <c r="M549" s="426"/>
      <c r="X549" s="512">
        <f t="shared" si="848"/>
        <v>0</v>
      </c>
      <c r="AM549" s="426">
        <f t="shared" si="850"/>
        <v>0</v>
      </c>
    </row>
    <row r="550" spans="1:49" x14ac:dyDescent="0.25">
      <c r="A550" s="512"/>
      <c r="L550" s="426">
        <f t="shared" si="803"/>
        <v>0</v>
      </c>
      <c r="M550" s="426"/>
      <c r="X550" s="512">
        <f t="shared" si="848"/>
        <v>0</v>
      </c>
      <c r="AM550" s="426">
        <f t="shared" si="850"/>
        <v>0</v>
      </c>
    </row>
    <row r="551" spans="1:49" x14ac:dyDescent="0.25">
      <c r="A551" s="512"/>
      <c r="L551" s="426">
        <f t="shared" si="803"/>
        <v>0</v>
      </c>
      <c r="M551" s="426"/>
      <c r="X551" s="512">
        <f t="shared" si="848"/>
        <v>0</v>
      </c>
      <c r="AM551" s="426">
        <f t="shared" si="850"/>
        <v>0</v>
      </c>
    </row>
    <row r="552" spans="1:49" x14ac:dyDescent="0.25">
      <c r="A552" s="512"/>
      <c r="L552" s="426">
        <f t="shared" si="803"/>
        <v>0</v>
      </c>
      <c r="M552" s="426"/>
      <c r="X552" s="512">
        <f t="shared" si="848"/>
        <v>0</v>
      </c>
      <c r="AM552" s="426">
        <f t="shared" si="850"/>
        <v>0</v>
      </c>
    </row>
    <row r="553" spans="1:49" x14ac:dyDescent="0.25">
      <c r="A553" s="512"/>
      <c r="L553" s="426">
        <f t="shared" si="803"/>
        <v>0</v>
      </c>
      <c r="M553" s="426"/>
      <c r="X553" s="512">
        <f t="shared" si="848"/>
        <v>0</v>
      </c>
      <c r="AM553" s="426">
        <f t="shared" si="850"/>
        <v>0</v>
      </c>
    </row>
    <row r="554" spans="1:49" ht="15.75" thickBot="1" x14ac:dyDescent="0.3">
      <c r="A554" s="515"/>
      <c r="B554" s="346"/>
      <c r="C554" s="21"/>
      <c r="D554" s="21"/>
      <c r="E554" s="21"/>
      <c r="F554" s="21"/>
      <c r="G554" s="21"/>
      <c r="H554" s="21"/>
      <c r="I554" s="346"/>
      <c r="J554" s="346"/>
      <c r="K554" s="346"/>
      <c r="L554" s="427">
        <f t="shared" si="803"/>
        <v>0</v>
      </c>
      <c r="M554" s="427"/>
      <c r="N554" s="346"/>
      <c r="O554" s="21"/>
      <c r="P554" s="21"/>
      <c r="Q554" s="21"/>
      <c r="R554" s="21"/>
      <c r="S554" s="21"/>
      <c r="T554" s="21"/>
      <c r="U554" s="346"/>
      <c r="V554" s="346"/>
      <c r="W554" s="346"/>
      <c r="X554" s="515">
        <f t="shared" si="848"/>
        <v>0</v>
      </c>
      <c r="Y554" s="346"/>
      <c r="Z554" s="505"/>
      <c r="AA554" s="21"/>
      <c r="AB554" s="21"/>
      <c r="AC554" s="21"/>
      <c r="AD554" s="21"/>
      <c r="AE554" s="21"/>
      <c r="AF554" s="21"/>
      <c r="AG554" s="346"/>
      <c r="AH554" s="346"/>
      <c r="AI554" s="346"/>
      <c r="AJ554" s="346"/>
      <c r="AK554" s="346"/>
      <c r="AL554" s="346"/>
      <c r="AM554" s="427">
        <f t="shared" si="850"/>
        <v>0</v>
      </c>
      <c r="AN554" s="21"/>
      <c r="AO554" s="21"/>
      <c r="AP554" s="21"/>
      <c r="AQ554" s="21"/>
      <c r="AR554" s="23"/>
      <c r="AS554" s="21"/>
      <c r="AT554" s="21"/>
      <c r="AU554" s="346"/>
      <c r="AV554" s="346"/>
      <c r="AW554" s="21"/>
    </row>
    <row r="555" spans="1:49" x14ac:dyDescent="0.25">
      <c r="A555" s="512"/>
      <c r="L555" s="426">
        <f t="shared" si="803"/>
        <v>0</v>
      </c>
      <c r="M555" s="426"/>
      <c r="X555" s="512">
        <f t="shared" si="848"/>
        <v>0</v>
      </c>
      <c r="AM555" s="426">
        <f t="shared" si="850"/>
        <v>0</v>
      </c>
    </row>
    <row r="556" spans="1:49" x14ac:dyDescent="0.25">
      <c r="A556" s="512"/>
      <c r="L556" s="426">
        <f t="shared" si="803"/>
        <v>0</v>
      </c>
      <c r="M556" s="426"/>
      <c r="X556" s="512">
        <f t="shared" si="848"/>
        <v>0</v>
      </c>
      <c r="AM556" s="426">
        <f t="shared" si="850"/>
        <v>0</v>
      </c>
    </row>
    <row r="557" spans="1:49" x14ac:dyDescent="0.25">
      <c r="A557" s="512"/>
      <c r="L557" s="426">
        <f t="shared" si="803"/>
        <v>0</v>
      </c>
      <c r="M557" s="426"/>
      <c r="X557" s="512">
        <f t="shared" si="848"/>
        <v>0</v>
      </c>
      <c r="AM557" s="426">
        <f t="shared" si="850"/>
        <v>0</v>
      </c>
    </row>
    <row r="558" spans="1:49" x14ac:dyDescent="0.25">
      <c r="A558" s="512"/>
      <c r="L558" s="426">
        <f t="shared" si="803"/>
        <v>0</v>
      </c>
      <c r="M558" s="426"/>
      <c r="X558" s="512">
        <f t="shared" si="848"/>
        <v>0</v>
      </c>
      <c r="AM558" s="426">
        <f t="shared" si="850"/>
        <v>0</v>
      </c>
    </row>
    <row r="559" spans="1:49" x14ac:dyDescent="0.25">
      <c r="A559" s="512"/>
      <c r="L559" s="426">
        <f t="shared" ref="L559:L622" si="867">IF(MOD(M559,12)=0,M559/12,L558)</f>
        <v>0</v>
      </c>
      <c r="M559" s="426"/>
      <c r="X559" s="512">
        <f t="shared" si="848"/>
        <v>0</v>
      </c>
      <c r="AM559" s="426">
        <f t="shared" si="850"/>
        <v>0</v>
      </c>
    </row>
    <row r="560" spans="1:49" x14ac:dyDescent="0.25">
      <c r="A560" s="512"/>
      <c r="L560" s="426">
        <f t="shared" si="867"/>
        <v>0</v>
      </c>
      <c r="M560" s="426"/>
      <c r="X560" s="512">
        <f t="shared" si="848"/>
        <v>0</v>
      </c>
      <c r="AM560" s="426">
        <f t="shared" si="850"/>
        <v>0</v>
      </c>
    </row>
    <row r="561" spans="1:49" x14ac:dyDescent="0.25">
      <c r="A561" s="512"/>
      <c r="L561" s="426">
        <f t="shared" si="867"/>
        <v>0</v>
      </c>
      <c r="M561" s="426"/>
      <c r="X561" s="512">
        <f t="shared" si="848"/>
        <v>0</v>
      </c>
      <c r="AM561" s="426">
        <f t="shared" si="850"/>
        <v>0</v>
      </c>
    </row>
    <row r="562" spans="1:49" x14ac:dyDescent="0.25">
      <c r="A562" s="512"/>
      <c r="L562" s="426">
        <f t="shared" si="867"/>
        <v>0</v>
      </c>
      <c r="M562" s="426"/>
      <c r="X562" s="512">
        <f t="shared" si="848"/>
        <v>0</v>
      </c>
      <c r="AM562" s="426">
        <f t="shared" si="850"/>
        <v>0</v>
      </c>
    </row>
    <row r="563" spans="1:49" x14ac:dyDescent="0.25">
      <c r="A563" s="512"/>
      <c r="L563" s="426">
        <f t="shared" si="867"/>
        <v>0</v>
      </c>
      <c r="M563" s="426"/>
      <c r="X563" s="512">
        <f t="shared" si="848"/>
        <v>0</v>
      </c>
      <c r="AM563" s="426">
        <f t="shared" si="850"/>
        <v>0</v>
      </c>
    </row>
    <row r="564" spans="1:49" x14ac:dyDescent="0.25">
      <c r="A564" s="512"/>
      <c r="L564" s="426">
        <f t="shared" si="867"/>
        <v>0</v>
      </c>
      <c r="M564" s="426"/>
      <c r="X564" s="512">
        <f t="shared" si="848"/>
        <v>0</v>
      </c>
      <c r="AM564" s="426">
        <f t="shared" si="850"/>
        <v>0</v>
      </c>
    </row>
    <row r="565" spans="1:49" x14ac:dyDescent="0.25">
      <c r="A565" s="512"/>
      <c r="L565" s="426">
        <f t="shared" si="867"/>
        <v>0</v>
      </c>
      <c r="M565" s="426"/>
      <c r="X565" s="512">
        <f t="shared" si="848"/>
        <v>0</v>
      </c>
      <c r="AM565" s="426">
        <f t="shared" si="850"/>
        <v>0</v>
      </c>
    </row>
    <row r="566" spans="1:49" ht="15.75" thickBot="1" x14ac:dyDescent="0.3">
      <c r="A566" s="515"/>
      <c r="B566" s="346"/>
      <c r="C566" s="21"/>
      <c r="D566" s="21"/>
      <c r="E566" s="21"/>
      <c r="F566" s="21"/>
      <c r="G566" s="21"/>
      <c r="H566" s="21"/>
      <c r="I566" s="346"/>
      <c r="J566" s="346"/>
      <c r="K566" s="346"/>
      <c r="L566" s="427">
        <f t="shared" si="867"/>
        <v>0</v>
      </c>
      <c r="M566" s="427"/>
      <c r="N566" s="346"/>
      <c r="O566" s="21"/>
      <c r="P566" s="21"/>
      <c r="Q566" s="21"/>
      <c r="R566" s="21"/>
      <c r="S566" s="21"/>
      <c r="T566" s="21"/>
      <c r="U566" s="346"/>
      <c r="V566" s="346"/>
      <c r="W566" s="346"/>
      <c r="X566" s="515">
        <f t="shared" si="848"/>
        <v>0</v>
      </c>
      <c r="Y566" s="346"/>
      <c r="Z566" s="505"/>
      <c r="AA566" s="21"/>
      <c r="AB566" s="21"/>
      <c r="AC566" s="21"/>
      <c r="AD566" s="21"/>
      <c r="AE566" s="21"/>
      <c r="AF566" s="21"/>
      <c r="AG566" s="346"/>
      <c r="AH566" s="346"/>
      <c r="AI566" s="346"/>
      <c r="AJ566" s="346"/>
      <c r="AK566" s="346"/>
      <c r="AL566" s="346"/>
      <c r="AM566" s="427">
        <f t="shared" si="850"/>
        <v>0</v>
      </c>
      <c r="AN566" s="21"/>
      <c r="AO566" s="21"/>
      <c r="AP566" s="21"/>
      <c r="AQ566" s="21"/>
      <c r="AR566" s="23"/>
      <c r="AS566" s="21"/>
      <c r="AT566" s="21"/>
      <c r="AU566" s="346"/>
      <c r="AV566" s="346"/>
      <c r="AW566" s="21"/>
    </row>
    <row r="567" spans="1:49" x14ac:dyDescent="0.25">
      <c r="A567" s="512"/>
      <c r="L567" s="426">
        <f t="shared" si="867"/>
        <v>0</v>
      </c>
      <c r="M567" s="426"/>
      <c r="X567" s="512">
        <f t="shared" si="848"/>
        <v>0</v>
      </c>
      <c r="AM567" s="426">
        <f t="shared" si="850"/>
        <v>0</v>
      </c>
    </row>
    <row r="568" spans="1:49" x14ac:dyDescent="0.25">
      <c r="A568" s="512"/>
      <c r="L568" s="426">
        <f t="shared" si="867"/>
        <v>0</v>
      </c>
      <c r="M568" s="426"/>
      <c r="X568" s="512">
        <f t="shared" si="848"/>
        <v>0</v>
      </c>
      <c r="AM568" s="426">
        <f t="shared" si="850"/>
        <v>0</v>
      </c>
    </row>
    <row r="569" spans="1:49" x14ac:dyDescent="0.25">
      <c r="A569" s="512"/>
      <c r="L569" s="426">
        <f t="shared" si="867"/>
        <v>0</v>
      </c>
      <c r="M569" s="426"/>
      <c r="X569" s="512">
        <f t="shared" si="848"/>
        <v>0</v>
      </c>
      <c r="AM569" s="426">
        <f t="shared" si="850"/>
        <v>0</v>
      </c>
    </row>
    <row r="570" spans="1:49" x14ac:dyDescent="0.25">
      <c r="A570" s="512"/>
      <c r="L570" s="426">
        <f t="shared" si="867"/>
        <v>0</v>
      </c>
      <c r="M570" s="426"/>
      <c r="X570" s="512">
        <f t="shared" si="848"/>
        <v>0</v>
      </c>
      <c r="AM570" s="426">
        <f t="shared" si="850"/>
        <v>0</v>
      </c>
    </row>
    <row r="571" spans="1:49" x14ac:dyDescent="0.25">
      <c r="A571" s="512"/>
      <c r="L571" s="426">
        <f t="shared" si="867"/>
        <v>0</v>
      </c>
      <c r="M571" s="426"/>
      <c r="X571" s="512">
        <f t="shared" si="848"/>
        <v>0</v>
      </c>
      <c r="AM571" s="426">
        <f t="shared" si="850"/>
        <v>0</v>
      </c>
    </row>
    <row r="572" spans="1:49" x14ac:dyDescent="0.25">
      <c r="A572" s="512"/>
      <c r="L572" s="426">
        <f t="shared" si="867"/>
        <v>0</v>
      </c>
      <c r="M572" s="426"/>
      <c r="X572" s="512">
        <f t="shared" si="848"/>
        <v>0</v>
      </c>
      <c r="AM572" s="426">
        <f t="shared" si="850"/>
        <v>0</v>
      </c>
    </row>
    <row r="573" spans="1:49" x14ac:dyDescent="0.25">
      <c r="A573" s="512"/>
      <c r="L573" s="426">
        <f t="shared" si="867"/>
        <v>0</v>
      </c>
      <c r="M573" s="426"/>
      <c r="X573" s="512">
        <f t="shared" si="848"/>
        <v>0</v>
      </c>
      <c r="AM573" s="426">
        <f t="shared" si="850"/>
        <v>0</v>
      </c>
    </row>
    <row r="574" spans="1:49" x14ac:dyDescent="0.25">
      <c r="A574" s="512"/>
      <c r="L574" s="426">
        <f t="shared" si="867"/>
        <v>0</v>
      </c>
      <c r="M574" s="426"/>
      <c r="X574" s="512">
        <f t="shared" si="848"/>
        <v>0</v>
      </c>
      <c r="AM574" s="426">
        <f t="shared" si="850"/>
        <v>0</v>
      </c>
    </row>
    <row r="575" spans="1:49" x14ac:dyDescent="0.25">
      <c r="A575" s="512"/>
      <c r="L575" s="426">
        <f t="shared" si="867"/>
        <v>0</v>
      </c>
      <c r="M575" s="426"/>
      <c r="X575" s="512">
        <f t="shared" si="848"/>
        <v>0</v>
      </c>
      <c r="AM575" s="426">
        <f t="shared" si="850"/>
        <v>0</v>
      </c>
    </row>
    <row r="576" spans="1:49" x14ac:dyDescent="0.25">
      <c r="A576" s="512"/>
      <c r="L576" s="426">
        <f t="shared" si="867"/>
        <v>0</v>
      </c>
      <c r="M576" s="426"/>
      <c r="X576" s="512">
        <f t="shared" si="848"/>
        <v>0</v>
      </c>
      <c r="AM576" s="426">
        <f t="shared" si="850"/>
        <v>0</v>
      </c>
    </row>
    <row r="577" spans="1:49" x14ac:dyDescent="0.25">
      <c r="A577" s="512"/>
      <c r="L577" s="426">
        <f t="shared" si="867"/>
        <v>0</v>
      </c>
      <c r="M577" s="426"/>
      <c r="X577" s="512">
        <f t="shared" si="848"/>
        <v>0</v>
      </c>
      <c r="AM577" s="426">
        <f t="shared" si="850"/>
        <v>0</v>
      </c>
    </row>
    <row r="578" spans="1:49" ht="15.75" thickBot="1" x14ac:dyDescent="0.3">
      <c r="A578" s="515"/>
      <c r="B578" s="346"/>
      <c r="C578" s="21"/>
      <c r="D578" s="21"/>
      <c r="E578" s="21"/>
      <c r="F578" s="21"/>
      <c r="G578" s="21"/>
      <c r="H578" s="21"/>
      <c r="I578" s="346"/>
      <c r="J578" s="346"/>
      <c r="K578" s="346"/>
      <c r="L578" s="427">
        <f t="shared" si="867"/>
        <v>0</v>
      </c>
      <c r="M578" s="427"/>
      <c r="N578" s="346"/>
      <c r="O578" s="21"/>
      <c r="P578" s="21"/>
      <c r="Q578" s="21"/>
      <c r="R578" s="21"/>
      <c r="S578" s="21"/>
      <c r="T578" s="21"/>
      <c r="U578" s="346"/>
      <c r="V578" s="346"/>
      <c r="W578" s="346"/>
      <c r="X578" s="515">
        <f t="shared" si="848"/>
        <v>0</v>
      </c>
      <c r="Y578" s="346"/>
      <c r="Z578" s="505"/>
      <c r="AA578" s="21"/>
      <c r="AB578" s="21"/>
      <c r="AC578" s="21"/>
      <c r="AD578" s="21"/>
      <c r="AE578" s="21"/>
      <c r="AF578" s="21"/>
      <c r="AG578" s="346"/>
      <c r="AH578" s="346"/>
      <c r="AI578" s="346"/>
      <c r="AJ578" s="346"/>
      <c r="AK578" s="346"/>
      <c r="AL578" s="346"/>
      <c r="AM578" s="427">
        <f t="shared" si="850"/>
        <v>0</v>
      </c>
      <c r="AN578" s="21"/>
      <c r="AO578" s="21"/>
      <c r="AP578" s="21"/>
      <c r="AQ578" s="21"/>
      <c r="AR578" s="23"/>
      <c r="AS578" s="21"/>
      <c r="AT578" s="21"/>
      <c r="AU578" s="346"/>
      <c r="AV578" s="346"/>
      <c r="AW578" s="21"/>
    </row>
    <row r="579" spans="1:49" x14ac:dyDescent="0.25">
      <c r="A579" s="512"/>
      <c r="L579" s="426">
        <f t="shared" si="867"/>
        <v>0</v>
      </c>
      <c r="M579" s="426"/>
      <c r="X579" s="512">
        <f t="shared" si="848"/>
        <v>0</v>
      </c>
      <c r="AM579" s="426">
        <f t="shared" si="850"/>
        <v>0</v>
      </c>
    </row>
    <row r="580" spans="1:49" x14ac:dyDescent="0.25">
      <c r="A580" s="512"/>
      <c r="L580" s="426">
        <f t="shared" si="867"/>
        <v>0</v>
      </c>
      <c r="M580" s="426"/>
      <c r="X580" s="512">
        <f t="shared" si="848"/>
        <v>0</v>
      </c>
      <c r="AM580" s="426">
        <f t="shared" si="850"/>
        <v>0</v>
      </c>
    </row>
    <row r="581" spans="1:49" x14ac:dyDescent="0.25">
      <c r="A581" s="512"/>
      <c r="L581" s="426">
        <f t="shared" si="867"/>
        <v>0</v>
      </c>
      <c r="M581" s="426"/>
      <c r="X581" s="512">
        <f t="shared" si="848"/>
        <v>0</v>
      </c>
      <c r="AM581" s="426">
        <f t="shared" si="850"/>
        <v>0</v>
      </c>
    </row>
    <row r="582" spans="1:49" x14ac:dyDescent="0.25">
      <c r="A582" s="512"/>
      <c r="L582" s="426">
        <f t="shared" si="867"/>
        <v>0</v>
      </c>
      <c r="M582" s="426"/>
      <c r="X582" s="512">
        <f t="shared" si="848"/>
        <v>0</v>
      </c>
      <c r="AM582" s="426">
        <f t="shared" si="850"/>
        <v>0</v>
      </c>
    </row>
    <row r="583" spans="1:49" x14ac:dyDescent="0.25">
      <c r="A583" s="512"/>
      <c r="L583" s="426">
        <f t="shared" si="867"/>
        <v>0</v>
      </c>
      <c r="M583" s="426"/>
      <c r="X583" s="512">
        <f t="shared" si="848"/>
        <v>0</v>
      </c>
      <c r="AM583" s="426">
        <f t="shared" si="850"/>
        <v>0</v>
      </c>
    </row>
    <row r="584" spans="1:49" x14ac:dyDescent="0.25">
      <c r="A584" s="512"/>
      <c r="L584" s="426">
        <f t="shared" si="867"/>
        <v>0</v>
      </c>
      <c r="M584" s="426"/>
      <c r="X584" s="512">
        <f t="shared" si="848"/>
        <v>0</v>
      </c>
      <c r="AM584" s="426">
        <f t="shared" si="850"/>
        <v>0</v>
      </c>
    </row>
    <row r="585" spans="1:49" x14ac:dyDescent="0.25">
      <c r="A585" s="512"/>
      <c r="L585" s="426">
        <f t="shared" si="867"/>
        <v>0</v>
      </c>
      <c r="M585" s="426"/>
      <c r="X585" s="512">
        <f t="shared" si="848"/>
        <v>0</v>
      </c>
      <c r="AM585" s="426">
        <f t="shared" si="850"/>
        <v>0</v>
      </c>
    </row>
    <row r="586" spans="1:49" x14ac:dyDescent="0.25">
      <c r="A586" s="512"/>
      <c r="L586" s="426">
        <f t="shared" si="867"/>
        <v>0</v>
      </c>
      <c r="M586" s="426"/>
      <c r="X586" s="512">
        <f t="shared" si="848"/>
        <v>0</v>
      </c>
      <c r="AM586" s="426">
        <f t="shared" si="850"/>
        <v>0</v>
      </c>
    </row>
    <row r="587" spans="1:49" x14ac:dyDescent="0.25">
      <c r="A587" s="512"/>
      <c r="L587" s="426">
        <f t="shared" si="867"/>
        <v>0</v>
      </c>
      <c r="M587" s="426"/>
      <c r="X587" s="512">
        <f t="shared" si="848"/>
        <v>0</v>
      </c>
      <c r="AM587" s="426">
        <f t="shared" si="850"/>
        <v>0</v>
      </c>
    </row>
    <row r="588" spans="1:49" x14ac:dyDescent="0.25">
      <c r="A588" s="512"/>
      <c r="L588" s="426">
        <f t="shared" si="867"/>
        <v>0</v>
      </c>
      <c r="M588" s="426"/>
      <c r="X588" s="512">
        <f t="shared" si="848"/>
        <v>0</v>
      </c>
      <c r="AM588" s="426">
        <f t="shared" si="850"/>
        <v>0</v>
      </c>
    </row>
    <row r="589" spans="1:49" x14ac:dyDescent="0.25">
      <c r="A589" s="512"/>
      <c r="L589" s="426">
        <f t="shared" si="867"/>
        <v>0</v>
      </c>
      <c r="M589" s="426"/>
      <c r="X589" s="512">
        <f t="shared" si="848"/>
        <v>0</v>
      </c>
      <c r="AM589" s="426">
        <f t="shared" si="850"/>
        <v>0</v>
      </c>
    </row>
    <row r="590" spans="1:49" ht="15.75" thickBot="1" x14ac:dyDescent="0.3">
      <c r="A590" s="515"/>
      <c r="B590" s="346"/>
      <c r="C590" s="21"/>
      <c r="D590" s="21"/>
      <c r="E590" s="21"/>
      <c r="F590" s="21"/>
      <c r="G590" s="21"/>
      <c r="H590" s="21"/>
      <c r="I590" s="346"/>
      <c r="J590" s="346"/>
      <c r="K590" s="346"/>
      <c r="L590" s="427">
        <f t="shared" si="867"/>
        <v>0</v>
      </c>
      <c r="M590" s="427"/>
      <c r="N590" s="346"/>
      <c r="O590" s="21"/>
      <c r="P590" s="21"/>
      <c r="Q590" s="21"/>
      <c r="R590" s="21"/>
      <c r="S590" s="21"/>
      <c r="T590" s="21"/>
      <c r="U590" s="346"/>
      <c r="V590" s="346"/>
      <c r="W590" s="346"/>
      <c r="X590" s="515">
        <f t="shared" si="848"/>
        <v>0</v>
      </c>
      <c r="Y590" s="346"/>
      <c r="Z590" s="505"/>
      <c r="AA590" s="21"/>
      <c r="AB590" s="21"/>
      <c r="AC590" s="21"/>
      <c r="AD590" s="21"/>
      <c r="AE590" s="21"/>
      <c r="AF590" s="21"/>
      <c r="AG590" s="346"/>
      <c r="AH590" s="346"/>
      <c r="AI590" s="346"/>
      <c r="AJ590" s="346"/>
      <c r="AK590" s="346"/>
      <c r="AL590" s="346"/>
      <c r="AM590" s="427">
        <f t="shared" si="850"/>
        <v>0</v>
      </c>
      <c r="AN590" s="21"/>
      <c r="AO590" s="21"/>
      <c r="AP590" s="21"/>
      <c r="AQ590" s="21"/>
      <c r="AR590" s="23"/>
      <c r="AS590" s="21"/>
      <c r="AT590" s="21"/>
      <c r="AU590" s="346"/>
      <c r="AV590" s="346"/>
      <c r="AW590" s="21"/>
    </row>
    <row r="591" spans="1:49" x14ac:dyDescent="0.25">
      <c r="A591" s="512"/>
      <c r="L591" s="426">
        <f t="shared" si="867"/>
        <v>0</v>
      </c>
      <c r="M591" s="426"/>
      <c r="X591" s="512">
        <f t="shared" si="848"/>
        <v>0</v>
      </c>
      <c r="AM591" s="426">
        <f t="shared" si="850"/>
        <v>0</v>
      </c>
    </row>
    <row r="592" spans="1:49" x14ac:dyDescent="0.25">
      <c r="A592" s="512"/>
      <c r="L592" s="426">
        <f t="shared" si="867"/>
        <v>0</v>
      </c>
      <c r="M592" s="426"/>
      <c r="X592" s="512">
        <f t="shared" ref="X592:X655" si="868">+A592</f>
        <v>0</v>
      </c>
      <c r="AM592" s="426">
        <f t="shared" ref="AM592:AM655" si="869">+L592</f>
        <v>0</v>
      </c>
    </row>
    <row r="593" spans="1:49" x14ac:dyDescent="0.25">
      <c r="A593" s="512"/>
      <c r="L593" s="426">
        <f t="shared" si="867"/>
        <v>0</v>
      </c>
      <c r="M593" s="426"/>
      <c r="X593" s="512">
        <f t="shared" si="868"/>
        <v>0</v>
      </c>
      <c r="AM593" s="426">
        <f t="shared" si="869"/>
        <v>0</v>
      </c>
    </row>
    <row r="594" spans="1:49" x14ac:dyDescent="0.25">
      <c r="A594" s="512"/>
      <c r="L594" s="426">
        <f t="shared" si="867"/>
        <v>0</v>
      </c>
      <c r="M594" s="426"/>
      <c r="X594" s="512">
        <f t="shared" si="868"/>
        <v>0</v>
      </c>
      <c r="AM594" s="426">
        <f t="shared" si="869"/>
        <v>0</v>
      </c>
    </row>
    <row r="595" spans="1:49" x14ac:dyDescent="0.25">
      <c r="A595" s="512"/>
      <c r="L595" s="426">
        <f t="shared" si="867"/>
        <v>0</v>
      </c>
      <c r="M595" s="426"/>
      <c r="X595" s="512">
        <f t="shared" si="868"/>
        <v>0</v>
      </c>
      <c r="AM595" s="426">
        <f t="shared" si="869"/>
        <v>0</v>
      </c>
    </row>
    <row r="596" spans="1:49" x14ac:dyDescent="0.25">
      <c r="A596" s="512"/>
      <c r="L596" s="426">
        <f t="shared" si="867"/>
        <v>0</v>
      </c>
      <c r="M596" s="426"/>
      <c r="X596" s="512">
        <f t="shared" si="868"/>
        <v>0</v>
      </c>
      <c r="AM596" s="426">
        <f t="shared" si="869"/>
        <v>0</v>
      </c>
    </row>
    <row r="597" spans="1:49" x14ac:dyDescent="0.25">
      <c r="A597" s="512"/>
      <c r="L597" s="426">
        <f t="shared" si="867"/>
        <v>0</v>
      </c>
      <c r="M597" s="426"/>
      <c r="X597" s="512">
        <f t="shared" si="868"/>
        <v>0</v>
      </c>
      <c r="AM597" s="426">
        <f t="shared" si="869"/>
        <v>0</v>
      </c>
    </row>
    <row r="598" spans="1:49" x14ac:dyDescent="0.25">
      <c r="A598" s="512"/>
      <c r="L598" s="426">
        <f t="shared" si="867"/>
        <v>0</v>
      </c>
      <c r="M598" s="426"/>
      <c r="X598" s="512">
        <f t="shared" si="868"/>
        <v>0</v>
      </c>
      <c r="AM598" s="426">
        <f t="shared" si="869"/>
        <v>0</v>
      </c>
    </row>
    <row r="599" spans="1:49" x14ac:dyDescent="0.25">
      <c r="A599" s="512"/>
      <c r="L599" s="426">
        <f t="shared" si="867"/>
        <v>0</v>
      </c>
      <c r="M599" s="426"/>
      <c r="X599" s="512">
        <f t="shared" si="868"/>
        <v>0</v>
      </c>
      <c r="AM599" s="426">
        <f t="shared" si="869"/>
        <v>0</v>
      </c>
    </row>
    <row r="600" spans="1:49" x14ac:dyDescent="0.25">
      <c r="A600" s="512"/>
      <c r="L600" s="426">
        <f t="shared" si="867"/>
        <v>0</v>
      </c>
      <c r="M600" s="426"/>
      <c r="X600" s="512">
        <f t="shared" si="868"/>
        <v>0</v>
      </c>
      <c r="AM600" s="426">
        <f t="shared" si="869"/>
        <v>0</v>
      </c>
    </row>
    <row r="601" spans="1:49" x14ac:dyDescent="0.25">
      <c r="A601" s="512"/>
      <c r="L601" s="426">
        <f t="shared" si="867"/>
        <v>0</v>
      </c>
      <c r="M601" s="426"/>
      <c r="X601" s="512">
        <f t="shared" si="868"/>
        <v>0</v>
      </c>
      <c r="AM601" s="426">
        <f t="shared" si="869"/>
        <v>0</v>
      </c>
    </row>
    <row r="602" spans="1:49" ht="15.75" thickBot="1" x14ac:dyDescent="0.3">
      <c r="A602" s="515"/>
      <c r="B602" s="346"/>
      <c r="C602" s="21"/>
      <c r="D602" s="21"/>
      <c r="E602" s="21"/>
      <c r="F602" s="21"/>
      <c r="G602" s="21"/>
      <c r="H602" s="21"/>
      <c r="I602" s="346"/>
      <c r="J602" s="346"/>
      <c r="K602" s="346"/>
      <c r="L602" s="427">
        <f t="shared" si="867"/>
        <v>0</v>
      </c>
      <c r="M602" s="427"/>
      <c r="N602" s="346"/>
      <c r="O602" s="21"/>
      <c r="P602" s="21"/>
      <c r="Q602" s="21"/>
      <c r="R602" s="21"/>
      <c r="S602" s="21"/>
      <c r="T602" s="21"/>
      <c r="U602" s="346"/>
      <c r="V602" s="346"/>
      <c r="W602" s="346"/>
      <c r="X602" s="515">
        <f t="shared" si="868"/>
        <v>0</v>
      </c>
      <c r="Y602" s="346"/>
      <c r="Z602" s="505"/>
      <c r="AA602" s="21"/>
      <c r="AB602" s="21"/>
      <c r="AC602" s="21"/>
      <c r="AD602" s="21"/>
      <c r="AE602" s="21"/>
      <c r="AF602" s="21"/>
      <c r="AG602" s="346"/>
      <c r="AH602" s="346"/>
      <c r="AI602" s="346"/>
      <c r="AJ602" s="346"/>
      <c r="AK602" s="346"/>
      <c r="AL602" s="346"/>
      <c r="AM602" s="427">
        <f t="shared" si="869"/>
        <v>0</v>
      </c>
      <c r="AN602" s="21"/>
      <c r="AO602" s="21"/>
      <c r="AP602" s="21"/>
      <c r="AQ602" s="21"/>
      <c r="AR602" s="23"/>
      <c r="AS602" s="21"/>
      <c r="AT602" s="21"/>
      <c r="AU602" s="346"/>
      <c r="AV602" s="346"/>
      <c r="AW602" s="21"/>
    </row>
    <row r="603" spans="1:49" x14ac:dyDescent="0.25">
      <c r="A603" s="512"/>
      <c r="L603" s="426">
        <f t="shared" si="867"/>
        <v>0</v>
      </c>
      <c r="M603" s="426"/>
      <c r="X603" s="512">
        <f t="shared" si="868"/>
        <v>0</v>
      </c>
      <c r="AM603" s="426">
        <f t="shared" si="869"/>
        <v>0</v>
      </c>
    </row>
    <row r="604" spans="1:49" x14ac:dyDescent="0.25">
      <c r="A604" s="512"/>
      <c r="L604" s="426">
        <f t="shared" si="867"/>
        <v>0</v>
      </c>
      <c r="M604" s="426"/>
      <c r="X604" s="512">
        <f t="shared" si="868"/>
        <v>0</v>
      </c>
      <c r="AM604" s="426">
        <f t="shared" si="869"/>
        <v>0</v>
      </c>
    </row>
    <row r="605" spans="1:49" x14ac:dyDescent="0.25">
      <c r="A605" s="512"/>
      <c r="L605" s="426">
        <f t="shared" si="867"/>
        <v>0</v>
      </c>
      <c r="M605" s="426"/>
      <c r="X605" s="512">
        <f t="shared" si="868"/>
        <v>0</v>
      </c>
      <c r="AM605" s="426">
        <f t="shared" si="869"/>
        <v>0</v>
      </c>
    </row>
    <row r="606" spans="1:49" x14ac:dyDescent="0.25">
      <c r="A606" s="512"/>
      <c r="L606" s="426">
        <f t="shared" si="867"/>
        <v>0</v>
      </c>
      <c r="M606" s="426"/>
      <c r="X606" s="512">
        <f t="shared" si="868"/>
        <v>0</v>
      </c>
      <c r="AM606" s="426">
        <f t="shared" si="869"/>
        <v>0</v>
      </c>
    </row>
    <row r="607" spans="1:49" x14ac:dyDescent="0.25">
      <c r="A607" s="512"/>
      <c r="L607" s="426">
        <f t="shared" si="867"/>
        <v>0</v>
      </c>
      <c r="M607" s="426"/>
      <c r="X607" s="512">
        <f t="shared" si="868"/>
        <v>0</v>
      </c>
      <c r="AM607" s="426">
        <f t="shared" si="869"/>
        <v>0</v>
      </c>
    </row>
    <row r="608" spans="1:49" x14ac:dyDescent="0.25">
      <c r="A608" s="512"/>
      <c r="L608" s="426">
        <f t="shared" si="867"/>
        <v>0</v>
      </c>
      <c r="M608" s="426"/>
      <c r="X608" s="512">
        <f t="shared" si="868"/>
        <v>0</v>
      </c>
      <c r="AM608" s="426">
        <f t="shared" si="869"/>
        <v>0</v>
      </c>
    </row>
    <row r="609" spans="1:49" x14ac:dyDescent="0.25">
      <c r="A609" s="512"/>
      <c r="L609" s="426">
        <f t="shared" si="867"/>
        <v>0</v>
      </c>
      <c r="M609" s="426"/>
      <c r="X609" s="512">
        <f t="shared" si="868"/>
        <v>0</v>
      </c>
      <c r="AM609" s="426">
        <f t="shared" si="869"/>
        <v>0</v>
      </c>
    </row>
    <row r="610" spans="1:49" x14ac:dyDescent="0.25">
      <c r="A610" s="512"/>
      <c r="L610" s="426">
        <f t="shared" si="867"/>
        <v>0</v>
      </c>
      <c r="M610" s="426"/>
      <c r="X610" s="512">
        <f t="shared" si="868"/>
        <v>0</v>
      </c>
      <c r="AM610" s="426">
        <f t="shared" si="869"/>
        <v>0</v>
      </c>
    </row>
    <row r="611" spans="1:49" x14ac:dyDescent="0.25">
      <c r="A611" s="512"/>
      <c r="L611" s="426">
        <f t="shared" si="867"/>
        <v>0</v>
      </c>
      <c r="M611" s="426"/>
      <c r="X611" s="512">
        <f t="shared" si="868"/>
        <v>0</v>
      </c>
      <c r="AM611" s="426">
        <f t="shared" si="869"/>
        <v>0</v>
      </c>
    </row>
    <row r="612" spans="1:49" x14ac:dyDescent="0.25">
      <c r="A612" s="512"/>
      <c r="L612" s="426">
        <f t="shared" si="867"/>
        <v>0</v>
      </c>
      <c r="M612" s="426"/>
      <c r="X612" s="512">
        <f t="shared" si="868"/>
        <v>0</v>
      </c>
      <c r="AM612" s="426">
        <f t="shared" si="869"/>
        <v>0</v>
      </c>
    </row>
    <row r="613" spans="1:49" x14ac:dyDescent="0.25">
      <c r="A613" s="512"/>
      <c r="L613" s="426">
        <f t="shared" si="867"/>
        <v>0</v>
      </c>
      <c r="M613" s="426"/>
      <c r="X613" s="512">
        <f t="shared" si="868"/>
        <v>0</v>
      </c>
      <c r="AM613" s="426">
        <f t="shared" si="869"/>
        <v>0</v>
      </c>
    </row>
    <row r="614" spans="1:49" ht="15.75" thickBot="1" x14ac:dyDescent="0.3">
      <c r="A614" s="515"/>
      <c r="B614" s="346"/>
      <c r="C614" s="21"/>
      <c r="D614" s="21"/>
      <c r="E614" s="21"/>
      <c r="F614" s="21"/>
      <c r="G614" s="21"/>
      <c r="H614" s="21"/>
      <c r="I614" s="346"/>
      <c r="J614" s="346"/>
      <c r="K614" s="346"/>
      <c r="L614" s="427">
        <f t="shared" si="867"/>
        <v>0</v>
      </c>
      <c r="M614" s="427"/>
      <c r="N614" s="346"/>
      <c r="O614" s="21"/>
      <c r="P614" s="21"/>
      <c r="Q614" s="21"/>
      <c r="R614" s="21"/>
      <c r="S614" s="21"/>
      <c r="T614" s="21"/>
      <c r="U614" s="346"/>
      <c r="V614" s="346"/>
      <c r="W614" s="346"/>
      <c r="X614" s="515">
        <f t="shared" si="868"/>
        <v>0</v>
      </c>
      <c r="Y614" s="346"/>
      <c r="Z614" s="505"/>
      <c r="AA614" s="21"/>
      <c r="AB614" s="21"/>
      <c r="AC614" s="21"/>
      <c r="AD614" s="21"/>
      <c r="AE614" s="21"/>
      <c r="AF614" s="21"/>
      <c r="AG614" s="346"/>
      <c r="AH614" s="346"/>
      <c r="AI614" s="346"/>
      <c r="AJ614" s="346"/>
      <c r="AK614" s="346"/>
      <c r="AL614" s="346"/>
      <c r="AM614" s="427">
        <f t="shared" si="869"/>
        <v>0</v>
      </c>
      <c r="AN614" s="21"/>
      <c r="AO614" s="21"/>
      <c r="AP614" s="21"/>
      <c r="AQ614" s="21"/>
      <c r="AR614" s="23"/>
      <c r="AS614" s="21"/>
      <c r="AT614" s="21"/>
      <c r="AU614" s="346"/>
      <c r="AV614" s="346"/>
      <c r="AW614" s="21"/>
    </row>
    <row r="615" spans="1:49" x14ac:dyDescent="0.25">
      <c r="A615" s="512"/>
      <c r="L615" s="426">
        <f t="shared" si="867"/>
        <v>0</v>
      </c>
      <c r="M615" s="426"/>
      <c r="X615" s="512">
        <f t="shared" si="868"/>
        <v>0</v>
      </c>
      <c r="AM615" s="426">
        <f t="shared" si="869"/>
        <v>0</v>
      </c>
    </row>
    <row r="616" spans="1:49" x14ac:dyDescent="0.25">
      <c r="A616" s="512"/>
      <c r="L616" s="426">
        <f t="shared" si="867"/>
        <v>0</v>
      </c>
      <c r="M616" s="426"/>
      <c r="X616" s="512">
        <f t="shared" si="868"/>
        <v>0</v>
      </c>
      <c r="AM616" s="426">
        <f t="shared" si="869"/>
        <v>0</v>
      </c>
    </row>
    <row r="617" spans="1:49" x14ac:dyDescent="0.25">
      <c r="A617" s="512"/>
      <c r="L617" s="426">
        <f t="shared" si="867"/>
        <v>0</v>
      </c>
      <c r="M617" s="426"/>
      <c r="X617" s="512">
        <f t="shared" si="868"/>
        <v>0</v>
      </c>
      <c r="AM617" s="426">
        <f t="shared" si="869"/>
        <v>0</v>
      </c>
    </row>
    <row r="618" spans="1:49" x14ac:dyDescent="0.25">
      <c r="A618" s="512"/>
      <c r="L618" s="426">
        <f t="shared" si="867"/>
        <v>0</v>
      </c>
      <c r="M618" s="426"/>
      <c r="X618" s="512">
        <f t="shared" si="868"/>
        <v>0</v>
      </c>
      <c r="AM618" s="426">
        <f t="shared" si="869"/>
        <v>0</v>
      </c>
    </row>
    <row r="619" spans="1:49" x14ac:dyDescent="0.25">
      <c r="A619" s="512"/>
      <c r="L619" s="426">
        <f t="shared" si="867"/>
        <v>0</v>
      </c>
      <c r="M619" s="426"/>
      <c r="X619" s="512">
        <f t="shared" si="868"/>
        <v>0</v>
      </c>
      <c r="AM619" s="426">
        <f t="shared" si="869"/>
        <v>0</v>
      </c>
    </row>
    <row r="620" spans="1:49" x14ac:dyDescent="0.25">
      <c r="A620" s="512"/>
      <c r="L620" s="426">
        <f t="shared" si="867"/>
        <v>0</v>
      </c>
      <c r="M620" s="426"/>
      <c r="X620" s="512">
        <f t="shared" si="868"/>
        <v>0</v>
      </c>
      <c r="AM620" s="426">
        <f t="shared" si="869"/>
        <v>0</v>
      </c>
    </row>
    <row r="621" spans="1:49" x14ac:dyDescent="0.25">
      <c r="A621" s="512"/>
      <c r="L621" s="426">
        <f t="shared" si="867"/>
        <v>0</v>
      </c>
      <c r="M621" s="426"/>
      <c r="X621" s="512">
        <f t="shared" si="868"/>
        <v>0</v>
      </c>
      <c r="AM621" s="426">
        <f t="shared" si="869"/>
        <v>0</v>
      </c>
    </row>
    <row r="622" spans="1:49" x14ac:dyDescent="0.25">
      <c r="A622" s="512"/>
      <c r="L622" s="426">
        <f t="shared" si="867"/>
        <v>0</v>
      </c>
      <c r="M622" s="426"/>
      <c r="X622" s="512">
        <f t="shared" si="868"/>
        <v>0</v>
      </c>
      <c r="AM622" s="426">
        <f t="shared" si="869"/>
        <v>0</v>
      </c>
    </row>
    <row r="623" spans="1:49" x14ac:dyDescent="0.25">
      <c r="A623" s="512"/>
      <c r="L623" s="426">
        <f t="shared" ref="L623:L686" si="870">IF(MOD(M623,12)=0,M623/12,L622)</f>
        <v>0</v>
      </c>
      <c r="M623" s="426"/>
      <c r="X623" s="512">
        <f t="shared" si="868"/>
        <v>0</v>
      </c>
      <c r="AM623" s="426">
        <f t="shared" si="869"/>
        <v>0</v>
      </c>
    </row>
    <row r="624" spans="1:49" x14ac:dyDescent="0.25">
      <c r="A624" s="512"/>
      <c r="L624" s="426">
        <f t="shared" si="870"/>
        <v>0</v>
      </c>
      <c r="M624" s="426"/>
      <c r="X624" s="512">
        <f t="shared" si="868"/>
        <v>0</v>
      </c>
      <c r="AM624" s="426">
        <f t="shared" si="869"/>
        <v>0</v>
      </c>
    </row>
    <row r="625" spans="1:49" x14ac:dyDescent="0.25">
      <c r="A625" s="512"/>
      <c r="L625" s="426">
        <f t="shared" si="870"/>
        <v>0</v>
      </c>
      <c r="M625" s="426"/>
      <c r="X625" s="512">
        <f t="shared" si="868"/>
        <v>0</v>
      </c>
      <c r="AM625" s="426">
        <f t="shared" si="869"/>
        <v>0</v>
      </c>
    </row>
    <row r="626" spans="1:49" ht="15.75" thickBot="1" x14ac:dyDescent="0.3">
      <c r="A626" s="515"/>
      <c r="B626" s="346"/>
      <c r="C626" s="21"/>
      <c r="D626" s="21"/>
      <c r="E626" s="21"/>
      <c r="F626" s="21"/>
      <c r="G626" s="21"/>
      <c r="H626" s="21"/>
      <c r="I626" s="346"/>
      <c r="J626" s="346"/>
      <c r="K626" s="346"/>
      <c r="L626" s="427">
        <f t="shared" si="870"/>
        <v>0</v>
      </c>
      <c r="M626" s="427"/>
      <c r="N626" s="346"/>
      <c r="O626" s="21"/>
      <c r="P626" s="21"/>
      <c r="Q626" s="21"/>
      <c r="R626" s="21"/>
      <c r="S626" s="21"/>
      <c r="T626" s="21"/>
      <c r="U626" s="346"/>
      <c r="V626" s="346"/>
      <c r="W626" s="346"/>
      <c r="X626" s="515">
        <f t="shared" si="868"/>
        <v>0</v>
      </c>
      <c r="Y626" s="346"/>
      <c r="Z626" s="505"/>
      <c r="AA626" s="21"/>
      <c r="AB626" s="21"/>
      <c r="AC626" s="21"/>
      <c r="AD626" s="21"/>
      <c r="AE626" s="21"/>
      <c r="AF626" s="21"/>
      <c r="AG626" s="346"/>
      <c r="AH626" s="346"/>
      <c r="AI626" s="346"/>
      <c r="AJ626" s="346"/>
      <c r="AK626" s="346"/>
      <c r="AL626" s="346"/>
      <c r="AM626" s="427">
        <f t="shared" si="869"/>
        <v>0</v>
      </c>
      <c r="AN626" s="21"/>
      <c r="AO626" s="21"/>
      <c r="AP626" s="21"/>
      <c r="AQ626" s="21"/>
      <c r="AR626" s="23"/>
      <c r="AS626" s="21"/>
      <c r="AT626" s="21"/>
      <c r="AU626" s="346"/>
      <c r="AV626" s="346"/>
      <c r="AW626" s="21"/>
    </row>
    <row r="627" spans="1:49" x14ac:dyDescent="0.25">
      <c r="A627" s="512"/>
      <c r="L627" s="426">
        <f t="shared" si="870"/>
        <v>0</v>
      </c>
      <c r="M627" s="426"/>
      <c r="X627" s="512">
        <f t="shared" si="868"/>
        <v>0</v>
      </c>
      <c r="AM627" s="426">
        <f t="shared" si="869"/>
        <v>0</v>
      </c>
    </row>
    <row r="628" spans="1:49" x14ac:dyDescent="0.25">
      <c r="A628" s="512"/>
      <c r="L628" s="426">
        <f t="shared" si="870"/>
        <v>0</v>
      </c>
      <c r="M628" s="426"/>
      <c r="X628" s="512">
        <f t="shared" si="868"/>
        <v>0</v>
      </c>
      <c r="AM628" s="426">
        <f t="shared" si="869"/>
        <v>0</v>
      </c>
    </row>
    <row r="629" spans="1:49" x14ac:dyDescent="0.25">
      <c r="A629" s="512"/>
      <c r="L629" s="426">
        <f t="shared" si="870"/>
        <v>0</v>
      </c>
      <c r="M629" s="426"/>
      <c r="X629" s="512">
        <f t="shared" si="868"/>
        <v>0</v>
      </c>
      <c r="AM629" s="426">
        <f t="shared" si="869"/>
        <v>0</v>
      </c>
    </row>
    <row r="630" spans="1:49" x14ac:dyDescent="0.25">
      <c r="A630" s="512"/>
      <c r="L630" s="426">
        <f t="shared" si="870"/>
        <v>0</v>
      </c>
      <c r="M630" s="426"/>
      <c r="X630" s="512">
        <f t="shared" si="868"/>
        <v>0</v>
      </c>
      <c r="AM630" s="426">
        <f t="shared" si="869"/>
        <v>0</v>
      </c>
    </row>
    <row r="631" spans="1:49" x14ac:dyDescent="0.25">
      <c r="A631" s="512"/>
      <c r="L631" s="426">
        <f t="shared" si="870"/>
        <v>0</v>
      </c>
      <c r="M631" s="426"/>
      <c r="X631" s="512">
        <f t="shared" si="868"/>
        <v>0</v>
      </c>
      <c r="AM631" s="426">
        <f t="shared" si="869"/>
        <v>0</v>
      </c>
    </row>
    <row r="632" spans="1:49" x14ac:dyDescent="0.25">
      <c r="A632" s="512"/>
      <c r="L632" s="426">
        <f t="shared" si="870"/>
        <v>0</v>
      </c>
      <c r="M632" s="426"/>
      <c r="X632" s="512">
        <f t="shared" si="868"/>
        <v>0</v>
      </c>
      <c r="AM632" s="426">
        <f t="shared" si="869"/>
        <v>0</v>
      </c>
    </row>
    <row r="633" spans="1:49" x14ac:dyDescent="0.25">
      <c r="A633" s="512"/>
      <c r="L633" s="426">
        <f t="shared" si="870"/>
        <v>0</v>
      </c>
      <c r="M633" s="426"/>
      <c r="X633" s="512">
        <f t="shared" si="868"/>
        <v>0</v>
      </c>
      <c r="AM633" s="426">
        <f t="shared" si="869"/>
        <v>0</v>
      </c>
    </row>
    <row r="634" spans="1:49" x14ac:dyDescent="0.25">
      <c r="A634" s="512"/>
      <c r="L634" s="426">
        <f t="shared" si="870"/>
        <v>0</v>
      </c>
      <c r="M634" s="426"/>
      <c r="X634" s="512">
        <f t="shared" si="868"/>
        <v>0</v>
      </c>
      <c r="AM634" s="426">
        <f t="shared" si="869"/>
        <v>0</v>
      </c>
    </row>
    <row r="635" spans="1:49" x14ac:dyDescent="0.25">
      <c r="A635" s="512"/>
      <c r="L635" s="426">
        <f t="shared" si="870"/>
        <v>0</v>
      </c>
      <c r="M635" s="426"/>
      <c r="X635" s="512">
        <f t="shared" si="868"/>
        <v>0</v>
      </c>
      <c r="AM635" s="426">
        <f t="shared" si="869"/>
        <v>0</v>
      </c>
    </row>
    <row r="636" spans="1:49" x14ac:dyDescent="0.25">
      <c r="A636" s="512"/>
      <c r="L636" s="426">
        <f t="shared" si="870"/>
        <v>0</v>
      </c>
      <c r="M636" s="426"/>
      <c r="X636" s="512">
        <f t="shared" si="868"/>
        <v>0</v>
      </c>
      <c r="AM636" s="426">
        <f t="shared" si="869"/>
        <v>0</v>
      </c>
    </row>
    <row r="637" spans="1:49" x14ac:dyDescent="0.25">
      <c r="A637" s="512"/>
      <c r="L637" s="426">
        <f t="shared" si="870"/>
        <v>0</v>
      </c>
      <c r="M637" s="426"/>
      <c r="X637" s="512">
        <f t="shared" si="868"/>
        <v>0</v>
      </c>
      <c r="AM637" s="426">
        <f t="shared" si="869"/>
        <v>0</v>
      </c>
    </row>
    <row r="638" spans="1:49" ht="15.75" thickBot="1" x14ac:dyDescent="0.3">
      <c r="A638" s="515"/>
      <c r="B638" s="346"/>
      <c r="C638" s="21"/>
      <c r="D638" s="21"/>
      <c r="E638" s="21"/>
      <c r="F638" s="21"/>
      <c r="G638" s="21"/>
      <c r="H638" s="21"/>
      <c r="I638" s="346"/>
      <c r="J638" s="346"/>
      <c r="K638" s="346"/>
      <c r="L638" s="427">
        <f t="shared" si="870"/>
        <v>0</v>
      </c>
      <c r="M638" s="427"/>
      <c r="N638" s="346"/>
      <c r="O638" s="21"/>
      <c r="P638" s="21"/>
      <c r="Q638" s="21"/>
      <c r="R638" s="21"/>
      <c r="S638" s="21"/>
      <c r="T638" s="21"/>
      <c r="U638" s="346"/>
      <c r="V638" s="346"/>
      <c r="W638" s="346"/>
      <c r="X638" s="515">
        <f t="shared" si="868"/>
        <v>0</v>
      </c>
      <c r="Y638" s="346"/>
      <c r="Z638" s="505"/>
      <c r="AA638" s="21"/>
      <c r="AB638" s="21"/>
      <c r="AC638" s="21"/>
      <c r="AD638" s="21"/>
      <c r="AE638" s="21"/>
      <c r="AF638" s="21"/>
      <c r="AG638" s="346"/>
      <c r="AH638" s="346"/>
      <c r="AI638" s="346"/>
      <c r="AJ638" s="346"/>
      <c r="AK638" s="346"/>
      <c r="AL638" s="346"/>
      <c r="AM638" s="427">
        <f t="shared" si="869"/>
        <v>0</v>
      </c>
      <c r="AN638" s="21"/>
      <c r="AO638" s="21"/>
      <c r="AP638" s="21"/>
      <c r="AQ638" s="21"/>
      <c r="AR638" s="23"/>
      <c r="AS638" s="21"/>
      <c r="AT638" s="21"/>
      <c r="AU638" s="346"/>
      <c r="AV638" s="346"/>
      <c r="AW638" s="21"/>
    </row>
    <row r="639" spans="1:49" x14ac:dyDescent="0.25">
      <c r="A639" s="512"/>
      <c r="L639" s="426">
        <f t="shared" si="870"/>
        <v>0</v>
      </c>
      <c r="M639" s="426"/>
      <c r="X639" s="512">
        <f t="shared" si="868"/>
        <v>0</v>
      </c>
      <c r="AM639" s="426">
        <f t="shared" si="869"/>
        <v>0</v>
      </c>
    </row>
    <row r="640" spans="1:49" x14ac:dyDescent="0.25">
      <c r="A640" s="512"/>
      <c r="L640" s="426">
        <f t="shared" si="870"/>
        <v>0</v>
      </c>
      <c r="M640" s="426"/>
      <c r="X640" s="512">
        <f t="shared" si="868"/>
        <v>0</v>
      </c>
      <c r="AM640" s="426">
        <f t="shared" si="869"/>
        <v>0</v>
      </c>
    </row>
    <row r="641" spans="1:49" x14ac:dyDescent="0.25">
      <c r="A641" s="512"/>
      <c r="L641" s="426">
        <f t="shared" si="870"/>
        <v>0</v>
      </c>
      <c r="M641" s="426"/>
      <c r="X641" s="512">
        <f t="shared" si="868"/>
        <v>0</v>
      </c>
      <c r="AM641" s="426">
        <f t="shared" si="869"/>
        <v>0</v>
      </c>
    </row>
    <row r="642" spans="1:49" x14ac:dyDescent="0.25">
      <c r="A642" s="512"/>
      <c r="L642" s="426">
        <f t="shared" si="870"/>
        <v>0</v>
      </c>
      <c r="M642" s="426"/>
      <c r="X642" s="512">
        <f t="shared" si="868"/>
        <v>0</v>
      </c>
      <c r="AM642" s="426">
        <f t="shared" si="869"/>
        <v>0</v>
      </c>
    </row>
    <row r="643" spans="1:49" x14ac:dyDescent="0.25">
      <c r="A643" s="512"/>
      <c r="L643" s="426">
        <f t="shared" si="870"/>
        <v>0</v>
      </c>
      <c r="M643" s="426"/>
      <c r="X643" s="512">
        <f t="shared" si="868"/>
        <v>0</v>
      </c>
      <c r="AM643" s="426">
        <f t="shared" si="869"/>
        <v>0</v>
      </c>
    </row>
    <row r="644" spans="1:49" x14ac:dyDescent="0.25">
      <c r="A644" s="512"/>
      <c r="L644" s="426">
        <f t="shared" si="870"/>
        <v>0</v>
      </c>
      <c r="M644" s="426"/>
      <c r="X644" s="512">
        <f t="shared" si="868"/>
        <v>0</v>
      </c>
      <c r="AM644" s="426">
        <f t="shared" si="869"/>
        <v>0</v>
      </c>
    </row>
    <row r="645" spans="1:49" x14ac:dyDescent="0.25">
      <c r="A645" s="512"/>
      <c r="L645" s="426">
        <f t="shared" si="870"/>
        <v>0</v>
      </c>
      <c r="M645" s="426"/>
      <c r="X645" s="512">
        <f t="shared" si="868"/>
        <v>0</v>
      </c>
      <c r="AM645" s="426">
        <f t="shared" si="869"/>
        <v>0</v>
      </c>
    </row>
    <row r="646" spans="1:49" x14ac:dyDescent="0.25">
      <c r="A646" s="512"/>
      <c r="L646" s="426">
        <f t="shared" si="870"/>
        <v>0</v>
      </c>
      <c r="M646" s="426"/>
      <c r="X646" s="512">
        <f t="shared" si="868"/>
        <v>0</v>
      </c>
      <c r="AM646" s="426">
        <f t="shared" si="869"/>
        <v>0</v>
      </c>
    </row>
    <row r="647" spans="1:49" x14ac:dyDescent="0.25">
      <c r="A647" s="512"/>
      <c r="L647" s="426">
        <f t="shared" si="870"/>
        <v>0</v>
      </c>
      <c r="M647" s="426"/>
      <c r="X647" s="512">
        <f t="shared" si="868"/>
        <v>0</v>
      </c>
      <c r="AM647" s="426">
        <f t="shared" si="869"/>
        <v>0</v>
      </c>
    </row>
    <row r="648" spans="1:49" x14ac:dyDescent="0.25">
      <c r="A648" s="512"/>
      <c r="L648" s="426">
        <f t="shared" si="870"/>
        <v>0</v>
      </c>
      <c r="M648" s="426"/>
      <c r="X648" s="512">
        <f t="shared" si="868"/>
        <v>0</v>
      </c>
      <c r="AM648" s="426">
        <f t="shared" si="869"/>
        <v>0</v>
      </c>
    </row>
    <row r="649" spans="1:49" x14ac:dyDescent="0.25">
      <c r="A649" s="512"/>
      <c r="L649" s="426">
        <f t="shared" si="870"/>
        <v>0</v>
      </c>
      <c r="M649" s="426"/>
      <c r="X649" s="512">
        <f t="shared" si="868"/>
        <v>0</v>
      </c>
      <c r="AM649" s="426">
        <f t="shared" si="869"/>
        <v>0</v>
      </c>
    </row>
    <row r="650" spans="1:49" ht="15.75" thickBot="1" x14ac:dyDescent="0.3">
      <c r="A650" s="515"/>
      <c r="B650" s="346"/>
      <c r="C650" s="21"/>
      <c r="D650" s="21"/>
      <c r="E650" s="21"/>
      <c r="F650" s="21"/>
      <c r="G650" s="21"/>
      <c r="H650" s="21"/>
      <c r="I650" s="346"/>
      <c r="J650" s="346"/>
      <c r="K650" s="346"/>
      <c r="L650" s="427">
        <f t="shared" si="870"/>
        <v>0</v>
      </c>
      <c r="M650" s="427"/>
      <c r="N650" s="346"/>
      <c r="O650" s="21"/>
      <c r="P650" s="21"/>
      <c r="Q650" s="21"/>
      <c r="R650" s="21"/>
      <c r="S650" s="21"/>
      <c r="T650" s="21"/>
      <c r="U650" s="346"/>
      <c r="V650" s="346"/>
      <c r="W650" s="346"/>
      <c r="X650" s="515">
        <f t="shared" si="868"/>
        <v>0</v>
      </c>
      <c r="Y650" s="346"/>
      <c r="Z650" s="505"/>
      <c r="AA650" s="21"/>
      <c r="AB650" s="21"/>
      <c r="AC650" s="21"/>
      <c r="AD650" s="21"/>
      <c r="AE650" s="21"/>
      <c r="AF650" s="21"/>
      <c r="AG650" s="346"/>
      <c r="AH650" s="346"/>
      <c r="AI650" s="346"/>
      <c r="AJ650" s="346"/>
      <c r="AK650" s="346"/>
      <c r="AL650" s="346"/>
      <c r="AM650" s="427">
        <f t="shared" si="869"/>
        <v>0</v>
      </c>
      <c r="AN650" s="21"/>
      <c r="AO650" s="21"/>
      <c r="AP650" s="21"/>
      <c r="AQ650" s="21"/>
      <c r="AR650" s="23"/>
      <c r="AS650" s="21"/>
      <c r="AT650" s="21"/>
      <c r="AU650" s="346"/>
      <c r="AV650" s="346"/>
      <c r="AW650" s="21"/>
    </row>
    <row r="651" spans="1:49" x14ac:dyDescent="0.25">
      <c r="A651" s="512"/>
      <c r="L651" s="426">
        <f t="shared" si="870"/>
        <v>0</v>
      </c>
      <c r="M651" s="426"/>
      <c r="X651" s="512">
        <f t="shared" si="868"/>
        <v>0</v>
      </c>
      <c r="AM651" s="426">
        <f t="shared" si="869"/>
        <v>0</v>
      </c>
    </row>
    <row r="652" spans="1:49" x14ac:dyDescent="0.25">
      <c r="A652" s="512"/>
      <c r="L652" s="426">
        <f t="shared" si="870"/>
        <v>0</v>
      </c>
      <c r="M652" s="426"/>
      <c r="X652" s="512">
        <f t="shared" si="868"/>
        <v>0</v>
      </c>
      <c r="AM652" s="426">
        <f t="shared" si="869"/>
        <v>0</v>
      </c>
    </row>
    <row r="653" spans="1:49" x14ac:dyDescent="0.25">
      <c r="A653" s="512"/>
      <c r="L653" s="426">
        <f t="shared" si="870"/>
        <v>0</v>
      </c>
      <c r="M653" s="426"/>
      <c r="X653" s="512">
        <f t="shared" si="868"/>
        <v>0</v>
      </c>
      <c r="AM653" s="426">
        <f t="shared" si="869"/>
        <v>0</v>
      </c>
    </row>
    <row r="654" spans="1:49" x14ac:dyDescent="0.25">
      <c r="A654" s="512"/>
      <c r="L654" s="426">
        <f t="shared" si="870"/>
        <v>0</v>
      </c>
      <c r="M654" s="426"/>
      <c r="X654" s="512">
        <f t="shared" si="868"/>
        <v>0</v>
      </c>
      <c r="AM654" s="426">
        <f t="shared" si="869"/>
        <v>0</v>
      </c>
    </row>
    <row r="655" spans="1:49" x14ac:dyDescent="0.25">
      <c r="A655" s="512"/>
      <c r="L655" s="426">
        <f t="shared" si="870"/>
        <v>0</v>
      </c>
      <c r="M655" s="426"/>
      <c r="X655" s="512">
        <f t="shared" si="868"/>
        <v>0</v>
      </c>
      <c r="AM655" s="426">
        <f t="shared" si="869"/>
        <v>0</v>
      </c>
    </row>
    <row r="656" spans="1:49" x14ac:dyDescent="0.25">
      <c r="A656" s="512"/>
      <c r="L656" s="426">
        <f t="shared" si="870"/>
        <v>0</v>
      </c>
      <c r="M656" s="426"/>
      <c r="X656" s="512">
        <f t="shared" ref="X656:X719" si="871">+A656</f>
        <v>0</v>
      </c>
      <c r="AM656" s="426">
        <f t="shared" ref="AM656:AM719" si="872">+L656</f>
        <v>0</v>
      </c>
    </row>
    <row r="657" spans="1:49" x14ac:dyDescent="0.25">
      <c r="A657" s="512"/>
      <c r="L657" s="426">
        <f t="shared" si="870"/>
        <v>0</v>
      </c>
      <c r="M657" s="426"/>
      <c r="X657" s="512">
        <f t="shared" si="871"/>
        <v>0</v>
      </c>
      <c r="AM657" s="426">
        <f t="shared" si="872"/>
        <v>0</v>
      </c>
    </row>
    <row r="658" spans="1:49" x14ac:dyDescent="0.25">
      <c r="A658" s="512"/>
      <c r="L658" s="426">
        <f t="shared" si="870"/>
        <v>0</v>
      </c>
      <c r="M658" s="426"/>
      <c r="X658" s="512">
        <f t="shared" si="871"/>
        <v>0</v>
      </c>
      <c r="AM658" s="426">
        <f t="shared" si="872"/>
        <v>0</v>
      </c>
    </row>
    <row r="659" spans="1:49" x14ac:dyDescent="0.25">
      <c r="A659" s="512"/>
      <c r="L659" s="426">
        <f t="shared" si="870"/>
        <v>0</v>
      </c>
      <c r="M659" s="426"/>
      <c r="X659" s="512">
        <f t="shared" si="871"/>
        <v>0</v>
      </c>
      <c r="AM659" s="426">
        <f t="shared" si="872"/>
        <v>0</v>
      </c>
    </row>
    <row r="660" spans="1:49" x14ac:dyDescent="0.25">
      <c r="A660" s="512"/>
      <c r="L660" s="426">
        <f t="shared" si="870"/>
        <v>0</v>
      </c>
      <c r="M660" s="426"/>
      <c r="X660" s="512">
        <f t="shared" si="871"/>
        <v>0</v>
      </c>
      <c r="AM660" s="426">
        <f t="shared" si="872"/>
        <v>0</v>
      </c>
    </row>
    <row r="661" spans="1:49" x14ac:dyDescent="0.25">
      <c r="A661" s="512"/>
      <c r="L661" s="426">
        <f t="shared" si="870"/>
        <v>0</v>
      </c>
      <c r="M661" s="426"/>
      <c r="X661" s="512">
        <f t="shared" si="871"/>
        <v>0</v>
      </c>
      <c r="AM661" s="426">
        <f t="shared" si="872"/>
        <v>0</v>
      </c>
    </row>
    <row r="662" spans="1:49" ht="15.75" thickBot="1" x14ac:dyDescent="0.3">
      <c r="A662" s="515"/>
      <c r="B662" s="346"/>
      <c r="C662" s="21"/>
      <c r="D662" s="21"/>
      <c r="E662" s="21"/>
      <c r="F662" s="21"/>
      <c r="G662" s="21"/>
      <c r="H662" s="21"/>
      <c r="I662" s="346"/>
      <c r="J662" s="346"/>
      <c r="K662" s="346"/>
      <c r="L662" s="427">
        <f t="shared" si="870"/>
        <v>0</v>
      </c>
      <c r="M662" s="427"/>
      <c r="N662" s="346"/>
      <c r="O662" s="21"/>
      <c r="P662" s="21"/>
      <c r="Q662" s="21"/>
      <c r="R662" s="21"/>
      <c r="S662" s="21"/>
      <c r="T662" s="21"/>
      <c r="U662" s="346"/>
      <c r="V662" s="346"/>
      <c r="W662" s="346"/>
      <c r="X662" s="515">
        <f t="shared" si="871"/>
        <v>0</v>
      </c>
      <c r="Y662" s="346"/>
      <c r="Z662" s="505"/>
      <c r="AA662" s="21"/>
      <c r="AB662" s="21"/>
      <c r="AC662" s="21"/>
      <c r="AD662" s="21"/>
      <c r="AE662" s="21"/>
      <c r="AF662" s="21"/>
      <c r="AG662" s="346"/>
      <c r="AH662" s="346"/>
      <c r="AI662" s="346"/>
      <c r="AJ662" s="346"/>
      <c r="AK662" s="346"/>
      <c r="AL662" s="346"/>
      <c r="AM662" s="427">
        <f t="shared" si="872"/>
        <v>0</v>
      </c>
      <c r="AN662" s="21"/>
      <c r="AO662" s="21"/>
      <c r="AP662" s="21"/>
      <c r="AQ662" s="21"/>
      <c r="AR662" s="23"/>
      <c r="AS662" s="21"/>
      <c r="AT662" s="21"/>
      <c r="AU662" s="346"/>
      <c r="AV662" s="346"/>
      <c r="AW662" s="21"/>
    </row>
    <row r="663" spans="1:49" x14ac:dyDescent="0.25">
      <c r="A663" s="512"/>
      <c r="L663" s="426">
        <f t="shared" si="870"/>
        <v>0</v>
      </c>
      <c r="M663" s="426"/>
      <c r="X663" s="512">
        <f t="shared" si="871"/>
        <v>0</v>
      </c>
      <c r="AM663" s="426">
        <f t="shared" si="872"/>
        <v>0</v>
      </c>
    </row>
    <row r="664" spans="1:49" x14ac:dyDescent="0.25">
      <c r="A664" s="512"/>
      <c r="L664" s="426">
        <f t="shared" si="870"/>
        <v>0</v>
      </c>
      <c r="M664" s="426"/>
      <c r="X664" s="512">
        <f t="shared" si="871"/>
        <v>0</v>
      </c>
      <c r="AM664" s="426">
        <f t="shared" si="872"/>
        <v>0</v>
      </c>
    </row>
    <row r="665" spans="1:49" x14ac:dyDescent="0.25">
      <c r="A665" s="512"/>
      <c r="L665" s="426">
        <f t="shared" si="870"/>
        <v>0</v>
      </c>
      <c r="M665" s="426"/>
      <c r="X665" s="512">
        <f t="shared" si="871"/>
        <v>0</v>
      </c>
      <c r="AM665" s="426">
        <f t="shared" si="872"/>
        <v>0</v>
      </c>
    </row>
    <row r="666" spans="1:49" x14ac:dyDescent="0.25">
      <c r="A666" s="512"/>
      <c r="L666" s="426">
        <f t="shared" si="870"/>
        <v>0</v>
      </c>
      <c r="M666" s="426"/>
      <c r="X666" s="512">
        <f t="shared" si="871"/>
        <v>0</v>
      </c>
      <c r="AM666" s="426">
        <f t="shared" si="872"/>
        <v>0</v>
      </c>
    </row>
    <row r="667" spans="1:49" x14ac:dyDescent="0.25">
      <c r="A667" s="512"/>
      <c r="L667" s="426">
        <f t="shared" si="870"/>
        <v>0</v>
      </c>
      <c r="M667" s="426"/>
      <c r="X667" s="512">
        <f t="shared" si="871"/>
        <v>0</v>
      </c>
      <c r="AM667" s="426">
        <f t="shared" si="872"/>
        <v>0</v>
      </c>
    </row>
    <row r="668" spans="1:49" x14ac:dyDescent="0.25">
      <c r="A668" s="512"/>
      <c r="L668" s="426">
        <f t="shared" si="870"/>
        <v>0</v>
      </c>
      <c r="M668" s="426"/>
      <c r="X668" s="512">
        <f t="shared" si="871"/>
        <v>0</v>
      </c>
      <c r="AM668" s="426">
        <f t="shared" si="872"/>
        <v>0</v>
      </c>
    </row>
    <row r="669" spans="1:49" x14ac:dyDescent="0.25">
      <c r="A669" s="512"/>
      <c r="L669" s="426">
        <f t="shared" si="870"/>
        <v>0</v>
      </c>
      <c r="M669" s="426"/>
      <c r="X669" s="512">
        <f t="shared" si="871"/>
        <v>0</v>
      </c>
      <c r="AM669" s="426">
        <f t="shared" si="872"/>
        <v>0</v>
      </c>
    </row>
    <row r="670" spans="1:49" x14ac:dyDescent="0.25">
      <c r="A670" s="512"/>
      <c r="L670" s="426">
        <f t="shared" si="870"/>
        <v>0</v>
      </c>
      <c r="M670" s="426"/>
      <c r="X670" s="512">
        <f t="shared" si="871"/>
        <v>0</v>
      </c>
      <c r="AM670" s="426">
        <f t="shared" si="872"/>
        <v>0</v>
      </c>
    </row>
    <row r="671" spans="1:49" x14ac:dyDescent="0.25">
      <c r="A671" s="512"/>
      <c r="L671" s="426">
        <f t="shared" si="870"/>
        <v>0</v>
      </c>
      <c r="M671" s="426"/>
      <c r="X671" s="512">
        <f t="shared" si="871"/>
        <v>0</v>
      </c>
      <c r="AM671" s="426">
        <f t="shared" si="872"/>
        <v>0</v>
      </c>
    </row>
    <row r="672" spans="1:49" x14ac:dyDescent="0.25">
      <c r="A672" s="512"/>
      <c r="L672" s="426">
        <f t="shared" si="870"/>
        <v>0</v>
      </c>
      <c r="M672" s="426"/>
      <c r="X672" s="512">
        <f t="shared" si="871"/>
        <v>0</v>
      </c>
      <c r="AM672" s="426">
        <f t="shared" si="872"/>
        <v>0</v>
      </c>
    </row>
    <row r="673" spans="1:49" x14ac:dyDescent="0.25">
      <c r="A673" s="512"/>
      <c r="L673" s="426">
        <f t="shared" si="870"/>
        <v>0</v>
      </c>
      <c r="M673" s="426"/>
      <c r="X673" s="512">
        <f t="shared" si="871"/>
        <v>0</v>
      </c>
      <c r="AM673" s="426">
        <f t="shared" si="872"/>
        <v>0</v>
      </c>
    </row>
    <row r="674" spans="1:49" ht="15.75" thickBot="1" x14ac:dyDescent="0.3">
      <c r="A674" s="515"/>
      <c r="B674" s="346"/>
      <c r="C674" s="21"/>
      <c r="D674" s="21"/>
      <c r="E674" s="21"/>
      <c r="F674" s="21"/>
      <c r="G674" s="21"/>
      <c r="H674" s="21"/>
      <c r="I674" s="346"/>
      <c r="J674" s="346"/>
      <c r="K674" s="346"/>
      <c r="L674" s="427">
        <f t="shared" si="870"/>
        <v>0</v>
      </c>
      <c r="M674" s="427"/>
      <c r="N674" s="346"/>
      <c r="O674" s="21"/>
      <c r="P674" s="21"/>
      <c r="Q674" s="21"/>
      <c r="R674" s="21"/>
      <c r="S674" s="21"/>
      <c r="T674" s="21"/>
      <c r="U674" s="346"/>
      <c r="V674" s="346"/>
      <c r="W674" s="346"/>
      <c r="X674" s="515">
        <f t="shared" si="871"/>
        <v>0</v>
      </c>
      <c r="Y674" s="346"/>
      <c r="Z674" s="505"/>
      <c r="AA674" s="21"/>
      <c r="AB674" s="21"/>
      <c r="AC674" s="21"/>
      <c r="AD674" s="21"/>
      <c r="AE674" s="21"/>
      <c r="AF674" s="21"/>
      <c r="AG674" s="346"/>
      <c r="AH674" s="346"/>
      <c r="AI674" s="346"/>
      <c r="AJ674" s="346"/>
      <c r="AK674" s="346"/>
      <c r="AL674" s="346"/>
      <c r="AM674" s="427">
        <f t="shared" si="872"/>
        <v>0</v>
      </c>
      <c r="AN674" s="21"/>
      <c r="AO674" s="21"/>
      <c r="AP674" s="21"/>
      <c r="AQ674" s="21"/>
      <c r="AR674" s="23"/>
      <c r="AS674" s="21"/>
      <c r="AT674" s="21"/>
      <c r="AU674" s="346"/>
      <c r="AV674" s="346"/>
      <c r="AW674" s="21"/>
    </row>
    <row r="675" spans="1:49" x14ac:dyDescent="0.25">
      <c r="A675" s="512"/>
      <c r="L675" s="426">
        <f t="shared" si="870"/>
        <v>0</v>
      </c>
      <c r="M675" s="426"/>
      <c r="X675" s="512">
        <f t="shared" si="871"/>
        <v>0</v>
      </c>
      <c r="AM675" s="426">
        <f t="shared" si="872"/>
        <v>0</v>
      </c>
    </row>
    <row r="676" spans="1:49" x14ac:dyDescent="0.25">
      <c r="A676" s="512"/>
      <c r="L676" s="426">
        <f t="shared" si="870"/>
        <v>0</v>
      </c>
      <c r="M676" s="426"/>
      <c r="X676" s="512">
        <f t="shared" si="871"/>
        <v>0</v>
      </c>
      <c r="AM676" s="426">
        <f t="shared" si="872"/>
        <v>0</v>
      </c>
    </row>
    <row r="677" spans="1:49" x14ac:dyDescent="0.25">
      <c r="A677" s="512"/>
      <c r="L677" s="426">
        <f t="shared" si="870"/>
        <v>0</v>
      </c>
      <c r="M677" s="426"/>
      <c r="X677" s="512">
        <f t="shared" si="871"/>
        <v>0</v>
      </c>
      <c r="AM677" s="426">
        <f t="shared" si="872"/>
        <v>0</v>
      </c>
    </row>
    <row r="678" spans="1:49" x14ac:dyDescent="0.25">
      <c r="A678" s="512"/>
      <c r="L678" s="426">
        <f t="shared" si="870"/>
        <v>0</v>
      </c>
      <c r="M678" s="426"/>
      <c r="X678" s="512">
        <f t="shared" si="871"/>
        <v>0</v>
      </c>
      <c r="AM678" s="426">
        <f t="shared" si="872"/>
        <v>0</v>
      </c>
    </row>
    <row r="679" spans="1:49" x14ac:dyDescent="0.25">
      <c r="A679" s="512"/>
      <c r="L679" s="426">
        <f t="shared" si="870"/>
        <v>0</v>
      </c>
      <c r="M679" s="426"/>
      <c r="X679" s="512">
        <f t="shared" si="871"/>
        <v>0</v>
      </c>
      <c r="AM679" s="426">
        <f t="shared" si="872"/>
        <v>0</v>
      </c>
    </row>
    <row r="680" spans="1:49" x14ac:dyDescent="0.25">
      <c r="A680" s="512"/>
      <c r="L680" s="426">
        <f t="shared" si="870"/>
        <v>0</v>
      </c>
      <c r="M680" s="426"/>
      <c r="X680" s="512">
        <f t="shared" si="871"/>
        <v>0</v>
      </c>
      <c r="AM680" s="426">
        <f t="shared" si="872"/>
        <v>0</v>
      </c>
    </row>
    <row r="681" spans="1:49" x14ac:dyDescent="0.25">
      <c r="A681" s="512"/>
      <c r="L681" s="426">
        <f t="shared" si="870"/>
        <v>0</v>
      </c>
      <c r="M681" s="426"/>
      <c r="X681" s="512">
        <f t="shared" si="871"/>
        <v>0</v>
      </c>
      <c r="AM681" s="426">
        <f t="shared" si="872"/>
        <v>0</v>
      </c>
    </row>
    <row r="682" spans="1:49" x14ac:dyDescent="0.25">
      <c r="A682" s="512"/>
      <c r="L682" s="426">
        <f t="shared" si="870"/>
        <v>0</v>
      </c>
      <c r="M682" s="426"/>
      <c r="X682" s="512">
        <f t="shared" si="871"/>
        <v>0</v>
      </c>
      <c r="AM682" s="426">
        <f t="shared" si="872"/>
        <v>0</v>
      </c>
    </row>
    <row r="683" spans="1:49" x14ac:dyDescent="0.25">
      <c r="A683" s="512"/>
      <c r="L683" s="426">
        <f t="shared" si="870"/>
        <v>0</v>
      </c>
      <c r="M683" s="426"/>
      <c r="X683" s="512">
        <f t="shared" si="871"/>
        <v>0</v>
      </c>
      <c r="AM683" s="426">
        <f t="shared" si="872"/>
        <v>0</v>
      </c>
    </row>
    <row r="684" spans="1:49" x14ac:dyDescent="0.25">
      <c r="A684" s="512"/>
      <c r="L684" s="426">
        <f t="shared" si="870"/>
        <v>0</v>
      </c>
      <c r="M684" s="426"/>
      <c r="X684" s="512">
        <f t="shared" si="871"/>
        <v>0</v>
      </c>
      <c r="AM684" s="426">
        <f t="shared" si="872"/>
        <v>0</v>
      </c>
    </row>
    <row r="685" spans="1:49" x14ac:dyDescent="0.25">
      <c r="A685" s="512"/>
      <c r="L685" s="426">
        <f t="shared" si="870"/>
        <v>0</v>
      </c>
      <c r="M685" s="426"/>
      <c r="X685" s="512">
        <f t="shared" si="871"/>
        <v>0</v>
      </c>
      <c r="AM685" s="426">
        <f t="shared" si="872"/>
        <v>0</v>
      </c>
    </row>
    <row r="686" spans="1:49" ht="15.75" thickBot="1" x14ac:dyDescent="0.3">
      <c r="A686" s="515"/>
      <c r="B686" s="346"/>
      <c r="C686" s="21"/>
      <c r="D686" s="21"/>
      <c r="E686" s="21"/>
      <c r="F686" s="21"/>
      <c r="G686" s="21"/>
      <c r="H686" s="21"/>
      <c r="I686" s="346"/>
      <c r="J686" s="346"/>
      <c r="K686" s="346"/>
      <c r="L686" s="427">
        <f t="shared" si="870"/>
        <v>0</v>
      </c>
      <c r="M686" s="427"/>
      <c r="N686" s="346"/>
      <c r="O686" s="21"/>
      <c r="P686" s="21"/>
      <c r="Q686" s="21"/>
      <c r="R686" s="21"/>
      <c r="S686" s="21"/>
      <c r="T686" s="21"/>
      <c r="U686" s="346"/>
      <c r="V686" s="346"/>
      <c r="W686" s="346"/>
      <c r="X686" s="515">
        <f t="shared" si="871"/>
        <v>0</v>
      </c>
      <c r="Y686" s="346"/>
      <c r="Z686" s="505"/>
      <c r="AA686" s="21"/>
      <c r="AB686" s="21"/>
      <c r="AC686" s="21"/>
      <c r="AD686" s="21"/>
      <c r="AE686" s="21"/>
      <c r="AF686" s="21"/>
      <c r="AG686" s="346"/>
      <c r="AH686" s="346"/>
      <c r="AI686" s="346"/>
      <c r="AJ686" s="346"/>
      <c r="AK686" s="346"/>
      <c r="AL686" s="346"/>
      <c r="AM686" s="427">
        <f t="shared" si="872"/>
        <v>0</v>
      </c>
      <c r="AN686" s="21"/>
      <c r="AO686" s="21"/>
      <c r="AP686" s="21"/>
      <c r="AQ686" s="21"/>
      <c r="AR686" s="23"/>
      <c r="AS686" s="21"/>
      <c r="AT686" s="21"/>
      <c r="AU686" s="346"/>
      <c r="AV686" s="346"/>
      <c r="AW686" s="21"/>
    </row>
    <row r="687" spans="1:49" x14ac:dyDescent="0.25">
      <c r="A687" s="512"/>
      <c r="L687" s="426">
        <f t="shared" ref="L687:L750" si="873">IF(MOD(M687,12)=0,M687/12,L686)</f>
        <v>0</v>
      </c>
      <c r="M687" s="426"/>
      <c r="X687" s="512">
        <f t="shared" si="871"/>
        <v>0</v>
      </c>
      <c r="AM687" s="426">
        <f t="shared" si="872"/>
        <v>0</v>
      </c>
    </row>
    <row r="688" spans="1:49" x14ac:dyDescent="0.25">
      <c r="A688" s="512"/>
      <c r="L688" s="426">
        <f t="shared" si="873"/>
        <v>0</v>
      </c>
      <c r="M688" s="426"/>
      <c r="X688" s="512">
        <f t="shared" si="871"/>
        <v>0</v>
      </c>
      <c r="AM688" s="426">
        <f t="shared" si="872"/>
        <v>0</v>
      </c>
    </row>
    <row r="689" spans="1:49" x14ac:dyDescent="0.25">
      <c r="A689" s="512"/>
      <c r="L689" s="426">
        <f t="shared" si="873"/>
        <v>0</v>
      </c>
      <c r="M689" s="426"/>
      <c r="X689" s="512">
        <f t="shared" si="871"/>
        <v>0</v>
      </c>
      <c r="AM689" s="426">
        <f t="shared" si="872"/>
        <v>0</v>
      </c>
    </row>
    <row r="690" spans="1:49" x14ac:dyDescent="0.25">
      <c r="A690" s="512"/>
      <c r="L690" s="426">
        <f t="shared" si="873"/>
        <v>0</v>
      </c>
      <c r="M690" s="426"/>
      <c r="X690" s="512">
        <f t="shared" si="871"/>
        <v>0</v>
      </c>
      <c r="AM690" s="426">
        <f t="shared" si="872"/>
        <v>0</v>
      </c>
    </row>
    <row r="691" spans="1:49" x14ac:dyDescent="0.25">
      <c r="A691" s="512"/>
      <c r="L691" s="426">
        <f t="shared" si="873"/>
        <v>0</v>
      </c>
      <c r="M691" s="426"/>
      <c r="X691" s="512">
        <f t="shared" si="871"/>
        <v>0</v>
      </c>
      <c r="AM691" s="426">
        <f t="shared" si="872"/>
        <v>0</v>
      </c>
    </row>
    <row r="692" spans="1:49" x14ac:dyDescent="0.25">
      <c r="A692" s="512"/>
      <c r="L692" s="426">
        <f t="shared" si="873"/>
        <v>0</v>
      </c>
      <c r="M692" s="426"/>
      <c r="X692" s="512">
        <f t="shared" si="871"/>
        <v>0</v>
      </c>
      <c r="AM692" s="426">
        <f t="shared" si="872"/>
        <v>0</v>
      </c>
    </row>
    <row r="693" spans="1:49" x14ac:dyDescent="0.25">
      <c r="A693" s="512"/>
      <c r="L693" s="426">
        <f t="shared" si="873"/>
        <v>0</v>
      </c>
      <c r="M693" s="426"/>
      <c r="X693" s="512">
        <f t="shared" si="871"/>
        <v>0</v>
      </c>
      <c r="AM693" s="426">
        <f t="shared" si="872"/>
        <v>0</v>
      </c>
    </row>
    <row r="694" spans="1:49" x14ac:dyDescent="0.25">
      <c r="A694" s="512"/>
      <c r="L694" s="426">
        <f t="shared" si="873"/>
        <v>0</v>
      </c>
      <c r="M694" s="426"/>
      <c r="X694" s="512">
        <f t="shared" si="871"/>
        <v>0</v>
      </c>
      <c r="AM694" s="426">
        <f t="shared" si="872"/>
        <v>0</v>
      </c>
    </row>
    <row r="695" spans="1:49" x14ac:dyDescent="0.25">
      <c r="A695" s="512"/>
      <c r="L695" s="426">
        <f t="shared" si="873"/>
        <v>0</v>
      </c>
      <c r="M695" s="426"/>
      <c r="X695" s="512">
        <f t="shared" si="871"/>
        <v>0</v>
      </c>
      <c r="AM695" s="426">
        <f t="shared" si="872"/>
        <v>0</v>
      </c>
    </row>
    <row r="696" spans="1:49" x14ac:dyDescent="0.25">
      <c r="A696" s="512"/>
      <c r="L696" s="426">
        <f t="shared" si="873"/>
        <v>0</v>
      </c>
      <c r="M696" s="426"/>
      <c r="X696" s="512">
        <f t="shared" si="871"/>
        <v>0</v>
      </c>
      <c r="AM696" s="426">
        <f t="shared" si="872"/>
        <v>0</v>
      </c>
    </row>
    <row r="697" spans="1:49" x14ac:dyDescent="0.25">
      <c r="A697" s="512"/>
      <c r="L697" s="426">
        <f t="shared" si="873"/>
        <v>0</v>
      </c>
      <c r="M697" s="426"/>
      <c r="X697" s="512">
        <f t="shared" si="871"/>
        <v>0</v>
      </c>
      <c r="AM697" s="426">
        <f t="shared" si="872"/>
        <v>0</v>
      </c>
    </row>
    <row r="698" spans="1:49" ht="15.75" thickBot="1" x14ac:dyDescent="0.3">
      <c r="A698" s="515"/>
      <c r="B698" s="346"/>
      <c r="C698" s="21"/>
      <c r="D698" s="21"/>
      <c r="E698" s="21"/>
      <c r="F698" s="21"/>
      <c r="G698" s="21"/>
      <c r="H698" s="21"/>
      <c r="I698" s="346"/>
      <c r="J698" s="346"/>
      <c r="K698" s="346"/>
      <c r="L698" s="427">
        <f t="shared" si="873"/>
        <v>0</v>
      </c>
      <c r="M698" s="427"/>
      <c r="N698" s="346"/>
      <c r="O698" s="21"/>
      <c r="P698" s="21"/>
      <c r="Q698" s="21"/>
      <c r="R698" s="21"/>
      <c r="S698" s="21"/>
      <c r="T698" s="21"/>
      <c r="U698" s="346"/>
      <c r="V698" s="346"/>
      <c r="W698" s="346"/>
      <c r="X698" s="515">
        <f t="shared" si="871"/>
        <v>0</v>
      </c>
      <c r="Y698" s="346"/>
      <c r="Z698" s="505"/>
      <c r="AA698" s="21"/>
      <c r="AB698" s="21"/>
      <c r="AC698" s="21"/>
      <c r="AD698" s="21"/>
      <c r="AE698" s="21"/>
      <c r="AF698" s="21"/>
      <c r="AG698" s="346"/>
      <c r="AH698" s="346"/>
      <c r="AI698" s="346"/>
      <c r="AJ698" s="346"/>
      <c r="AK698" s="346"/>
      <c r="AL698" s="346"/>
      <c r="AM698" s="427">
        <f t="shared" si="872"/>
        <v>0</v>
      </c>
      <c r="AN698" s="21"/>
      <c r="AO698" s="21"/>
      <c r="AP698" s="21"/>
      <c r="AQ698" s="21"/>
      <c r="AR698" s="23"/>
      <c r="AS698" s="21"/>
      <c r="AT698" s="21"/>
      <c r="AU698" s="346"/>
      <c r="AV698" s="346"/>
      <c r="AW698" s="21"/>
    </row>
    <row r="699" spans="1:49" x14ac:dyDescent="0.25">
      <c r="A699" s="512"/>
      <c r="L699" s="426">
        <f t="shared" si="873"/>
        <v>0</v>
      </c>
      <c r="M699" s="426"/>
      <c r="X699" s="512">
        <f t="shared" si="871"/>
        <v>0</v>
      </c>
      <c r="AM699" s="426">
        <f t="shared" si="872"/>
        <v>0</v>
      </c>
    </row>
    <row r="700" spans="1:49" x14ac:dyDescent="0.25">
      <c r="A700" s="512"/>
      <c r="L700" s="426">
        <f t="shared" si="873"/>
        <v>0</v>
      </c>
      <c r="M700" s="426"/>
      <c r="X700" s="512">
        <f t="shared" si="871"/>
        <v>0</v>
      </c>
      <c r="AM700" s="426">
        <f t="shared" si="872"/>
        <v>0</v>
      </c>
    </row>
    <row r="701" spans="1:49" x14ac:dyDescent="0.25">
      <c r="A701" s="512"/>
      <c r="L701" s="426">
        <f t="shared" si="873"/>
        <v>0</v>
      </c>
      <c r="M701" s="426"/>
      <c r="X701" s="512">
        <f t="shared" si="871"/>
        <v>0</v>
      </c>
      <c r="AM701" s="426">
        <f t="shared" si="872"/>
        <v>0</v>
      </c>
    </row>
    <row r="702" spans="1:49" x14ac:dyDescent="0.25">
      <c r="A702" s="512"/>
      <c r="L702" s="426">
        <f t="shared" si="873"/>
        <v>0</v>
      </c>
      <c r="M702" s="426"/>
      <c r="X702" s="512">
        <f t="shared" si="871"/>
        <v>0</v>
      </c>
      <c r="AM702" s="426">
        <f t="shared" si="872"/>
        <v>0</v>
      </c>
    </row>
    <row r="703" spans="1:49" x14ac:dyDescent="0.25">
      <c r="A703" s="512"/>
      <c r="L703" s="426">
        <f t="shared" si="873"/>
        <v>0</v>
      </c>
      <c r="M703" s="426"/>
      <c r="X703" s="512">
        <f t="shared" si="871"/>
        <v>0</v>
      </c>
      <c r="AM703" s="426">
        <f t="shared" si="872"/>
        <v>0</v>
      </c>
    </row>
    <row r="704" spans="1:49" x14ac:dyDescent="0.25">
      <c r="A704" s="512"/>
      <c r="L704" s="426">
        <f t="shared" si="873"/>
        <v>0</v>
      </c>
      <c r="M704" s="426"/>
      <c r="X704" s="512">
        <f t="shared" si="871"/>
        <v>0</v>
      </c>
      <c r="AM704" s="426">
        <f t="shared" si="872"/>
        <v>0</v>
      </c>
    </row>
    <row r="705" spans="1:49" x14ac:dyDescent="0.25">
      <c r="A705" s="512"/>
      <c r="L705" s="426">
        <f t="shared" si="873"/>
        <v>0</v>
      </c>
      <c r="M705" s="426"/>
      <c r="X705" s="512">
        <f t="shared" si="871"/>
        <v>0</v>
      </c>
      <c r="AM705" s="426">
        <f t="shared" si="872"/>
        <v>0</v>
      </c>
    </row>
    <row r="706" spans="1:49" x14ac:dyDescent="0.25">
      <c r="A706" s="512"/>
      <c r="L706" s="426">
        <f t="shared" si="873"/>
        <v>0</v>
      </c>
      <c r="M706" s="426"/>
      <c r="X706" s="512">
        <f t="shared" si="871"/>
        <v>0</v>
      </c>
      <c r="AM706" s="426">
        <f t="shared" si="872"/>
        <v>0</v>
      </c>
    </row>
    <row r="707" spans="1:49" x14ac:dyDescent="0.25">
      <c r="A707" s="512"/>
      <c r="L707" s="426">
        <f t="shared" si="873"/>
        <v>0</v>
      </c>
      <c r="M707" s="426"/>
      <c r="X707" s="512">
        <f t="shared" si="871"/>
        <v>0</v>
      </c>
      <c r="AM707" s="426">
        <f t="shared" si="872"/>
        <v>0</v>
      </c>
    </row>
    <row r="708" spans="1:49" x14ac:dyDescent="0.25">
      <c r="A708" s="512"/>
      <c r="L708" s="426">
        <f t="shared" si="873"/>
        <v>0</v>
      </c>
      <c r="M708" s="426"/>
      <c r="X708" s="512">
        <f t="shared" si="871"/>
        <v>0</v>
      </c>
      <c r="AM708" s="426">
        <f t="shared" si="872"/>
        <v>0</v>
      </c>
    </row>
    <row r="709" spans="1:49" x14ac:dyDescent="0.25">
      <c r="A709" s="512"/>
      <c r="L709" s="426">
        <f t="shared" si="873"/>
        <v>0</v>
      </c>
      <c r="M709" s="426"/>
      <c r="X709" s="512">
        <f t="shared" si="871"/>
        <v>0</v>
      </c>
      <c r="AM709" s="426">
        <f t="shared" si="872"/>
        <v>0</v>
      </c>
    </row>
    <row r="710" spans="1:49" ht="15.75" thickBot="1" x14ac:dyDescent="0.3">
      <c r="A710" s="515"/>
      <c r="B710" s="346"/>
      <c r="C710" s="21"/>
      <c r="D710" s="21"/>
      <c r="E710" s="21"/>
      <c r="F710" s="21"/>
      <c r="G710" s="21"/>
      <c r="H710" s="21"/>
      <c r="I710" s="346"/>
      <c r="J710" s="346"/>
      <c r="K710" s="346"/>
      <c r="L710" s="427">
        <f t="shared" si="873"/>
        <v>0</v>
      </c>
      <c r="M710" s="427"/>
      <c r="N710" s="346"/>
      <c r="O710" s="21"/>
      <c r="P710" s="21"/>
      <c r="Q710" s="21"/>
      <c r="R710" s="21"/>
      <c r="S710" s="21"/>
      <c r="T710" s="21"/>
      <c r="U710" s="346"/>
      <c r="V710" s="346"/>
      <c r="W710" s="346"/>
      <c r="X710" s="515">
        <f t="shared" si="871"/>
        <v>0</v>
      </c>
      <c r="Y710" s="346"/>
      <c r="Z710" s="505"/>
      <c r="AA710" s="21"/>
      <c r="AB710" s="21"/>
      <c r="AC710" s="21"/>
      <c r="AD710" s="21"/>
      <c r="AE710" s="21"/>
      <c r="AF710" s="21"/>
      <c r="AG710" s="346"/>
      <c r="AH710" s="346"/>
      <c r="AI710" s="346"/>
      <c r="AJ710" s="346"/>
      <c r="AK710" s="346"/>
      <c r="AL710" s="346"/>
      <c r="AM710" s="427">
        <f t="shared" si="872"/>
        <v>0</v>
      </c>
      <c r="AN710" s="21"/>
      <c r="AO710" s="21"/>
      <c r="AP710" s="21"/>
      <c r="AQ710" s="21"/>
      <c r="AR710" s="23"/>
      <c r="AS710" s="21"/>
      <c r="AT710" s="21"/>
      <c r="AU710" s="346"/>
      <c r="AV710" s="346"/>
      <c r="AW710" s="21"/>
    </row>
    <row r="711" spans="1:49" x14ac:dyDescent="0.25">
      <c r="A711" s="512"/>
      <c r="L711" s="426">
        <f t="shared" si="873"/>
        <v>0</v>
      </c>
      <c r="M711" s="426"/>
      <c r="X711" s="512">
        <f t="shared" si="871"/>
        <v>0</v>
      </c>
      <c r="AM711" s="426">
        <f t="shared" si="872"/>
        <v>0</v>
      </c>
    </row>
    <row r="712" spans="1:49" x14ac:dyDescent="0.25">
      <c r="A712" s="512"/>
      <c r="L712" s="426">
        <f t="shared" si="873"/>
        <v>0</v>
      </c>
      <c r="M712" s="426"/>
      <c r="X712" s="512">
        <f t="shared" si="871"/>
        <v>0</v>
      </c>
      <c r="AM712" s="426">
        <f t="shared" si="872"/>
        <v>0</v>
      </c>
    </row>
    <row r="713" spans="1:49" x14ac:dyDescent="0.25">
      <c r="A713" s="512"/>
      <c r="L713" s="426">
        <f t="shared" si="873"/>
        <v>0</v>
      </c>
      <c r="M713" s="426"/>
      <c r="X713" s="512">
        <f t="shared" si="871"/>
        <v>0</v>
      </c>
      <c r="AM713" s="426">
        <f t="shared" si="872"/>
        <v>0</v>
      </c>
    </row>
    <row r="714" spans="1:49" x14ac:dyDescent="0.25">
      <c r="A714" s="512"/>
      <c r="L714" s="426">
        <f t="shared" si="873"/>
        <v>0</v>
      </c>
      <c r="M714" s="426"/>
      <c r="X714" s="512">
        <f t="shared" si="871"/>
        <v>0</v>
      </c>
      <c r="AM714" s="426">
        <f t="shared" si="872"/>
        <v>0</v>
      </c>
    </row>
    <row r="715" spans="1:49" x14ac:dyDescent="0.25">
      <c r="A715" s="512"/>
      <c r="L715" s="426">
        <f t="shared" si="873"/>
        <v>0</v>
      </c>
      <c r="M715" s="426"/>
      <c r="X715" s="512">
        <f t="shared" si="871"/>
        <v>0</v>
      </c>
      <c r="AM715" s="426">
        <f t="shared" si="872"/>
        <v>0</v>
      </c>
    </row>
    <row r="716" spans="1:49" x14ac:dyDescent="0.25">
      <c r="A716" s="512"/>
      <c r="L716" s="426">
        <f t="shared" si="873"/>
        <v>0</v>
      </c>
      <c r="M716" s="426"/>
      <c r="X716" s="512">
        <f t="shared" si="871"/>
        <v>0</v>
      </c>
      <c r="AM716" s="426">
        <f t="shared" si="872"/>
        <v>0</v>
      </c>
    </row>
    <row r="717" spans="1:49" x14ac:dyDescent="0.25">
      <c r="A717" s="512"/>
      <c r="L717" s="426">
        <f t="shared" si="873"/>
        <v>0</v>
      </c>
      <c r="M717" s="426"/>
      <c r="X717" s="512">
        <f t="shared" si="871"/>
        <v>0</v>
      </c>
      <c r="AM717" s="426">
        <f t="shared" si="872"/>
        <v>0</v>
      </c>
    </row>
    <row r="718" spans="1:49" x14ac:dyDescent="0.25">
      <c r="A718" s="512"/>
      <c r="L718" s="426">
        <f t="shared" si="873"/>
        <v>0</v>
      </c>
      <c r="M718" s="426"/>
      <c r="X718" s="512">
        <f t="shared" si="871"/>
        <v>0</v>
      </c>
      <c r="AM718" s="426">
        <f t="shared" si="872"/>
        <v>0</v>
      </c>
    </row>
    <row r="719" spans="1:49" x14ac:dyDescent="0.25">
      <c r="A719" s="512"/>
      <c r="L719" s="426">
        <f t="shared" si="873"/>
        <v>0</v>
      </c>
      <c r="M719" s="426"/>
      <c r="X719" s="512">
        <f t="shared" si="871"/>
        <v>0</v>
      </c>
      <c r="AM719" s="426">
        <f t="shared" si="872"/>
        <v>0</v>
      </c>
    </row>
    <row r="720" spans="1:49" x14ac:dyDescent="0.25">
      <c r="A720" s="512"/>
      <c r="L720" s="426">
        <f t="shared" si="873"/>
        <v>0</v>
      </c>
      <c r="M720" s="426"/>
      <c r="X720" s="512">
        <f t="shared" ref="X720:X782" si="874">+A720</f>
        <v>0</v>
      </c>
      <c r="AM720" s="426">
        <f t="shared" ref="AM720:AM723" si="875">+L720</f>
        <v>0</v>
      </c>
    </row>
    <row r="721" spans="1:49" x14ac:dyDescent="0.25">
      <c r="A721" s="512"/>
      <c r="L721" s="426">
        <f t="shared" si="873"/>
        <v>0</v>
      </c>
      <c r="M721" s="426"/>
      <c r="X721" s="512">
        <f t="shared" si="874"/>
        <v>0</v>
      </c>
      <c r="AM721" s="426">
        <f t="shared" si="875"/>
        <v>0</v>
      </c>
    </row>
    <row r="722" spans="1:49" ht="15.75" thickBot="1" x14ac:dyDescent="0.3">
      <c r="A722" s="515"/>
      <c r="B722" s="346"/>
      <c r="C722" s="21"/>
      <c r="D722" s="21"/>
      <c r="E722" s="21"/>
      <c r="F722" s="21"/>
      <c r="G722" s="21"/>
      <c r="H722" s="21"/>
      <c r="I722" s="346"/>
      <c r="J722" s="346"/>
      <c r="K722" s="346"/>
      <c r="L722" s="427">
        <f t="shared" si="873"/>
        <v>0</v>
      </c>
      <c r="M722" s="427"/>
      <c r="N722" s="346"/>
      <c r="O722" s="21"/>
      <c r="P722" s="21"/>
      <c r="Q722" s="21"/>
      <c r="R722" s="21"/>
      <c r="S722" s="21"/>
      <c r="T722" s="21"/>
      <c r="U722" s="346"/>
      <c r="V722" s="346"/>
      <c r="W722" s="346"/>
      <c r="X722" s="515">
        <f t="shared" si="874"/>
        <v>0</v>
      </c>
      <c r="Y722" s="346"/>
      <c r="Z722" s="505"/>
      <c r="AA722" s="21"/>
      <c r="AB722" s="21"/>
      <c r="AC722" s="21"/>
      <c r="AD722" s="21"/>
      <c r="AE722" s="21"/>
      <c r="AF722" s="21"/>
      <c r="AG722" s="346"/>
      <c r="AH722" s="346"/>
      <c r="AI722" s="346"/>
      <c r="AJ722" s="346"/>
      <c r="AK722" s="346"/>
      <c r="AL722" s="346"/>
      <c r="AM722" s="427">
        <f t="shared" si="875"/>
        <v>0</v>
      </c>
      <c r="AN722" s="21"/>
      <c r="AO722" s="21"/>
      <c r="AP722" s="21"/>
      <c r="AQ722" s="21"/>
      <c r="AR722" s="23"/>
      <c r="AS722" s="21"/>
      <c r="AT722" s="21"/>
      <c r="AU722" s="346"/>
      <c r="AV722" s="346"/>
      <c r="AW722" s="21"/>
    </row>
    <row r="723" spans="1:49" x14ac:dyDescent="0.25">
      <c r="A723" s="512"/>
      <c r="L723" s="426">
        <f t="shared" si="873"/>
        <v>0</v>
      </c>
      <c r="M723" s="426"/>
      <c r="X723" s="512">
        <f t="shared" si="874"/>
        <v>0</v>
      </c>
      <c r="AM723" s="426">
        <f t="shared" si="875"/>
        <v>0</v>
      </c>
    </row>
    <row r="724" spans="1:49" x14ac:dyDescent="0.25">
      <c r="A724" s="512"/>
      <c r="L724" s="426">
        <f t="shared" si="873"/>
        <v>0</v>
      </c>
      <c r="M724" s="426"/>
      <c r="X724" s="512">
        <f t="shared" si="874"/>
        <v>0</v>
      </c>
      <c r="AM724" s="426"/>
    </row>
    <row r="725" spans="1:49" x14ac:dyDescent="0.25">
      <c r="A725" s="512"/>
      <c r="L725" s="426">
        <f t="shared" si="873"/>
        <v>0</v>
      </c>
      <c r="M725" s="426"/>
      <c r="X725" s="512">
        <f t="shared" si="874"/>
        <v>0</v>
      </c>
      <c r="AM725" s="426"/>
    </row>
    <row r="726" spans="1:49" x14ac:dyDescent="0.25">
      <c r="A726" s="512"/>
      <c r="L726" s="426">
        <f t="shared" si="873"/>
        <v>0</v>
      </c>
      <c r="M726" s="426"/>
      <c r="X726" s="512">
        <f t="shared" si="874"/>
        <v>0</v>
      </c>
      <c r="AM726" s="426"/>
    </row>
    <row r="727" spans="1:49" x14ac:dyDescent="0.25">
      <c r="A727" s="512"/>
      <c r="L727" s="426">
        <f t="shared" si="873"/>
        <v>0</v>
      </c>
      <c r="M727" s="426"/>
      <c r="X727" s="512">
        <f t="shared" si="874"/>
        <v>0</v>
      </c>
      <c r="AM727" s="426"/>
    </row>
    <row r="728" spans="1:49" x14ac:dyDescent="0.25">
      <c r="A728" s="512"/>
      <c r="L728" s="426">
        <f t="shared" si="873"/>
        <v>0</v>
      </c>
      <c r="M728" s="426"/>
      <c r="X728" s="512">
        <f t="shared" si="874"/>
        <v>0</v>
      </c>
      <c r="AM728" s="426"/>
    </row>
    <row r="729" spans="1:49" x14ac:dyDescent="0.25">
      <c r="A729" s="512"/>
      <c r="L729" s="426">
        <f t="shared" si="873"/>
        <v>0</v>
      </c>
      <c r="M729" s="426"/>
      <c r="X729" s="512">
        <f t="shared" si="874"/>
        <v>0</v>
      </c>
      <c r="AM729" s="426"/>
    </row>
    <row r="730" spans="1:49" x14ac:dyDescent="0.25">
      <c r="A730" s="512"/>
      <c r="L730" s="426">
        <f t="shared" si="873"/>
        <v>0</v>
      </c>
      <c r="M730" s="426"/>
      <c r="X730" s="512">
        <f t="shared" si="874"/>
        <v>0</v>
      </c>
      <c r="AM730" s="426"/>
    </row>
    <row r="731" spans="1:49" x14ac:dyDescent="0.25">
      <c r="A731" s="512"/>
      <c r="L731" s="426">
        <f t="shared" si="873"/>
        <v>0</v>
      </c>
      <c r="M731" s="426"/>
      <c r="X731" s="512">
        <f t="shared" si="874"/>
        <v>0</v>
      </c>
      <c r="AM731" s="426"/>
    </row>
    <row r="732" spans="1:49" x14ac:dyDescent="0.25">
      <c r="A732" s="512"/>
      <c r="L732" s="426">
        <f t="shared" si="873"/>
        <v>0</v>
      </c>
      <c r="M732" s="426"/>
      <c r="X732" s="512">
        <f t="shared" si="874"/>
        <v>0</v>
      </c>
      <c r="AM732" s="426"/>
    </row>
    <row r="733" spans="1:49" x14ac:dyDescent="0.25">
      <c r="A733" s="512"/>
      <c r="L733" s="426">
        <f t="shared" si="873"/>
        <v>0</v>
      </c>
      <c r="M733" s="426"/>
      <c r="X733" s="512">
        <f t="shared" si="874"/>
        <v>0</v>
      </c>
      <c r="AM733" s="426"/>
    </row>
    <row r="734" spans="1:49" ht="15.75" thickBot="1" x14ac:dyDescent="0.3">
      <c r="A734" s="515"/>
      <c r="B734" s="346"/>
      <c r="C734" s="21"/>
      <c r="D734" s="21"/>
      <c r="E734" s="21"/>
      <c r="F734" s="21"/>
      <c r="G734" s="21"/>
      <c r="H734" s="21"/>
      <c r="I734" s="346"/>
      <c r="J734" s="346"/>
      <c r="K734" s="346"/>
      <c r="L734" s="427">
        <f t="shared" si="873"/>
        <v>0</v>
      </c>
      <c r="M734" s="427"/>
      <c r="N734" s="346"/>
      <c r="O734" s="21"/>
      <c r="P734" s="21"/>
      <c r="Q734" s="21"/>
      <c r="R734" s="21"/>
      <c r="S734" s="21"/>
      <c r="T734" s="21"/>
      <c r="U734" s="346"/>
      <c r="V734" s="346"/>
      <c r="W734" s="346"/>
      <c r="X734" s="515">
        <f t="shared" si="874"/>
        <v>0</v>
      </c>
      <c r="Y734" s="346"/>
      <c r="Z734" s="505"/>
      <c r="AA734" s="21"/>
      <c r="AB734" s="21"/>
      <c r="AC734" s="21"/>
      <c r="AD734" s="21"/>
      <c r="AE734" s="21"/>
      <c r="AF734" s="21"/>
      <c r="AG734" s="346"/>
      <c r="AH734" s="346"/>
      <c r="AI734" s="346"/>
      <c r="AJ734" s="346"/>
      <c r="AK734" s="346"/>
      <c r="AL734" s="346"/>
      <c r="AM734" s="427"/>
      <c r="AN734" s="21"/>
      <c r="AO734" s="21"/>
      <c r="AP734" s="21"/>
      <c r="AQ734" s="21"/>
      <c r="AR734" s="23"/>
      <c r="AS734" s="21"/>
      <c r="AT734" s="21"/>
      <c r="AU734" s="346"/>
      <c r="AV734" s="346"/>
      <c r="AW734" s="21"/>
    </row>
    <row r="735" spans="1:49" x14ac:dyDescent="0.25">
      <c r="A735" s="512"/>
      <c r="L735" s="426">
        <f t="shared" si="873"/>
        <v>0</v>
      </c>
      <c r="M735" s="426"/>
      <c r="X735" s="512">
        <f t="shared" si="874"/>
        <v>0</v>
      </c>
      <c r="AM735" s="426"/>
    </row>
    <row r="736" spans="1:49" x14ac:dyDescent="0.25">
      <c r="A736" s="512"/>
      <c r="L736" s="426">
        <f t="shared" si="873"/>
        <v>0</v>
      </c>
      <c r="M736" s="426"/>
      <c r="X736" s="512">
        <f t="shared" si="874"/>
        <v>0</v>
      </c>
      <c r="AM736" s="426"/>
    </row>
    <row r="737" spans="1:49" x14ac:dyDescent="0.25">
      <c r="A737" s="512"/>
      <c r="L737" s="426">
        <f t="shared" si="873"/>
        <v>0</v>
      </c>
      <c r="M737" s="426"/>
      <c r="X737" s="512">
        <f t="shared" si="874"/>
        <v>0</v>
      </c>
      <c r="AM737" s="426"/>
    </row>
    <row r="738" spans="1:49" x14ac:dyDescent="0.25">
      <c r="A738" s="512"/>
      <c r="L738" s="426">
        <f t="shared" si="873"/>
        <v>0</v>
      </c>
      <c r="M738" s="426"/>
      <c r="X738" s="512">
        <f t="shared" si="874"/>
        <v>0</v>
      </c>
      <c r="AM738" s="426"/>
    </row>
    <row r="739" spans="1:49" x14ac:dyDescent="0.25">
      <c r="A739" s="512"/>
      <c r="L739" s="426">
        <f t="shared" si="873"/>
        <v>0</v>
      </c>
      <c r="M739" s="426"/>
      <c r="X739" s="512">
        <f t="shared" si="874"/>
        <v>0</v>
      </c>
      <c r="AM739" s="426"/>
    </row>
    <row r="740" spans="1:49" x14ac:dyDescent="0.25">
      <c r="A740" s="512"/>
      <c r="L740" s="426">
        <f t="shared" si="873"/>
        <v>0</v>
      </c>
      <c r="M740" s="426"/>
      <c r="X740" s="512">
        <f t="shared" si="874"/>
        <v>0</v>
      </c>
      <c r="AM740" s="426"/>
    </row>
    <row r="741" spans="1:49" x14ac:dyDescent="0.25">
      <c r="A741" s="512"/>
      <c r="L741" s="426">
        <f t="shared" si="873"/>
        <v>0</v>
      </c>
      <c r="M741" s="426"/>
      <c r="X741" s="512">
        <f t="shared" si="874"/>
        <v>0</v>
      </c>
      <c r="AM741" s="426"/>
    </row>
    <row r="742" spans="1:49" x14ac:dyDescent="0.25">
      <c r="A742" s="512"/>
      <c r="L742" s="426">
        <f t="shared" si="873"/>
        <v>0</v>
      </c>
      <c r="M742" s="426"/>
      <c r="X742" s="512">
        <f t="shared" si="874"/>
        <v>0</v>
      </c>
      <c r="AM742" s="426"/>
    </row>
    <row r="743" spans="1:49" x14ac:dyDescent="0.25">
      <c r="A743" s="512"/>
      <c r="L743" s="426">
        <f t="shared" si="873"/>
        <v>0</v>
      </c>
      <c r="M743" s="426"/>
      <c r="X743" s="512">
        <f t="shared" si="874"/>
        <v>0</v>
      </c>
      <c r="AM743" s="426"/>
    </row>
    <row r="744" spans="1:49" x14ac:dyDescent="0.25">
      <c r="A744" s="512"/>
      <c r="L744" s="426">
        <f t="shared" si="873"/>
        <v>0</v>
      </c>
      <c r="M744" s="426"/>
      <c r="X744" s="512">
        <f t="shared" si="874"/>
        <v>0</v>
      </c>
      <c r="AM744" s="426"/>
    </row>
    <row r="745" spans="1:49" x14ac:dyDescent="0.25">
      <c r="A745" s="512"/>
      <c r="L745" s="426">
        <f t="shared" si="873"/>
        <v>0</v>
      </c>
      <c r="M745" s="426"/>
      <c r="X745" s="512">
        <f t="shared" si="874"/>
        <v>0</v>
      </c>
      <c r="AM745" s="426"/>
    </row>
    <row r="746" spans="1:49" ht="15.75" thickBot="1" x14ac:dyDescent="0.3">
      <c r="A746" s="515"/>
      <c r="B746" s="346"/>
      <c r="C746" s="21"/>
      <c r="D746" s="21"/>
      <c r="E746" s="21"/>
      <c r="F746" s="21"/>
      <c r="G746" s="21"/>
      <c r="H746" s="21"/>
      <c r="I746" s="346"/>
      <c r="J746" s="346"/>
      <c r="K746" s="346"/>
      <c r="L746" s="427">
        <f t="shared" si="873"/>
        <v>0</v>
      </c>
      <c r="M746" s="427"/>
      <c r="N746" s="346"/>
      <c r="O746" s="21"/>
      <c r="P746" s="21"/>
      <c r="Q746" s="21"/>
      <c r="R746" s="21"/>
      <c r="S746" s="21"/>
      <c r="T746" s="21"/>
      <c r="U746" s="346"/>
      <c r="V746" s="346"/>
      <c r="W746" s="346"/>
      <c r="X746" s="515">
        <f t="shared" si="874"/>
        <v>0</v>
      </c>
      <c r="Y746" s="346"/>
      <c r="Z746" s="505"/>
      <c r="AA746" s="21"/>
      <c r="AB746" s="21"/>
      <c r="AC746" s="21"/>
      <c r="AD746" s="21"/>
      <c r="AE746" s="21"/>
      <c r="AF746" s="21"/>
      <c r="AG746" s="346"/>
      <c r="AH746" s="346"/>
      <c r="AI746" s="346"/>
      <c r="AJ746" s="346"/>
      <c r="AK746" s="346"/>
      <c r="AL746" s="346"/>
      <c r="AM746" s="427"/>
      <c r="AN746" s="21"/>
      <c r="AO746" s="21"/>
      <c r="AP746" s="21"/>
      <c r="AQ746" s="21"/>
      <c r="AR746" s="23"/>
      <c r="AS746" s="21"/>
      <c r="AT746" s="21"/>
      <c r="AU746" s="346"/>
      <c r="AV746" s="346"/>
      <c r="AW746" s="21"/>
    </row>
    <row r="747" spans="1:49" x14ac:dyDescent="0.25">
      <c r="A747" s="512"/>
      <c r="L747" s="426">
        <f t="shared" si="873"/>
        <v>0</v>
      </c>
      <c r="M747" s="426"/>
      <c r="X747" s="512">
        <f t="shared" si="874"/>
        <v>0</v>
      </c>
      <c r="AM747" s="426"/>
    </row>
    <row r="748" spans="1:49" x14ac:dyDescent="0.25">
      <c r="A748" s="512"/>
      <c r="L748" s="426">
        <f t="shared" si="873"/>
        <v>0</v>
      </c>
      <c r="M748" s="426"/>
      <c r="X748" s="512">
        <f t="shared" si="874"/>
        <v>0</v>
      </c>
      <c r="AM748" s="426"/>
    </row>
    <row r="749" spans="1:49" x14ac:dyDescent="0.25">
      <c r="A749" s="512"/>
      <c r="L749" s="426">
        <f t="shared" si="873"/>
        <v>0</v>
      </c>
      <c r="M749" s="426"/>
      <c r="X749" s="512">
        <f t="shared" si="874"/>
        <v>0</v>
      </c>
      <c r="AM749" s="426"/>
    </row>
    <row r="750" spans="1:49" x14ac:dyDescent="0.25">
      <c r="A750" s="512"/>
      <c r="L750" s="426">
        <f t="shared" si="873"/>
        <v>0</v>
      </c>
      <c r="M750" s="426"/>
      <c r="X750" s="512">
        <f t="shared" si="874"/>
        <v>0</v>
      </c>
      <c r="AM750" s="426"/>
    </row>
    <row r="751" spans="1:49" x14ac:dyDescent="0.25">
      <c r="A751" s="512"/>
      <c r="L751" s="426">
        <f t="shared" ref="L751:L782" si="876">IF(MOD(M751,12)=0,M751/12,L750)</f>
        <v>0</v>
      </c>
      <c r="M751" s="426"/>
      <c r="X751" s="512">
        <f t="shared" si="874"/>
        <v>0</v>
      </c>
      <c r="AM751" s="426"/>
    </row>
    <row r="752" spans="1:49" x14ac:dyDescent="0.25">
      <c r="A752" s="512"/>
      <c r="L752" s="426">
        <f t="shared" si="876"/>
        <v>0</v>
      </c>
      <c r="M752" s="426"/>
      <c r="X752" s="512">
        <f t="shared" si="874"/>
        <v>0</v>
      </c>
      <c r="AM752" s="426"/>
    </row>
    <row r="753" spans="1:49" x14ac:dyDescent="0.25">
      <c r="A753" s="512"/>
      <c r="L753" s="426">
        <f t="shared" si="876"/>
        <v>0</v>
      </c>
      <c r="M753" s="426"/>
      <c r="X753" s="512">
        <f t="shared" si="874"/>
        <v>0</v>
      </c>
      <c r="AM753" s="426"/>
    </row>
    <row r="754" spans="1:49" x14ac:dyDescent="0.25">
      <c r="A754" s="512"/>
      <c r="L754" s="426">
        <f t="shared" si="876"/>
        <v>0</v>
      </c>
      <c r="M754" s="426"/>
      <c r="X754" s="512">
        <f t="shared" si="874"/>
        <v>0</v>
      </c>
      <c r="AM754" s="426"/>
    </row>
    <row r="755" spans="1:49" x14ac:dyDescent="0.25">
      <c r="A755" s="512"/>
      <c r="L755" s="426">
        <f t="shared" si="876"/>
        <v>0</v>
      </c>
      <c r="M755" s="426"/>
      <c r="X755" s="512">
        <f t="shared" si="874"/>
        <v>0</v>
      </c>
      <c r="AM755" s="426"/>
    </row>
    <row r="756" spans="1:49" x14ac:dyDescent="0.25">
      <c r="A756" s="512"/>
      <c r="L756" s="426">
        <f t="shared" si="876"/>
        <v>0</v>
      </c>
      <c r="M756" s="426"/>
      <c r="X756" s="512">
        <f t="shared" si="874"/>
        <v>0</v>
      </c>
      <c r="AM756" s="426"/>
    </row>
    <row r="757" spans="1:49" x14ac:dyDescent="0.25">
      <c r="A757" s="512"/>
      <c r="L757" s="426">
        <f t="shared" si="876"/>
        <v>0</v>
      </c>
      <c r="M757" s="426"/>
      <c r="X757" s="512">
        <f t="shared" si="874"/>
        <v>0</v>
      </c>
      <c r="AM757" s="426"/>
    </row>
    <row r="758" spans="1:49" ht="15.75" thickBot="1" x14ac:dyDescent="0.3">
      <c r="A758" s="515"/>
      <c r="B758" s="346"/>
      <c r="C758" s="21"/>
      <c r="D758" s="21"/>
      <c r="E758" s="21"/>
      <c r="F758" s="21"/>
      <c r="G758" s="21"/>
      <c r="H758" s="21"/>
      <c r="I758" s="346"/>
      <c r="J758" s="346"/>
      <c r="K758" s="346"/>
      <c r="L758" s="427">
        <f t="shared" si="876"/>
        <v>0</v>
      </c>
      <c r="M758" s="427"/>
      <c r="N758" s="346"/>
      <c r="O758" s="21"/>
      <c r="P758" s="21"/>
      <c r="Q758" s="21"/>
      <c r="R758" s="21"/>
      <c r="S758" s="21"/>
      <c r="T758" s="21"/>
      <c r="U758" s="346"/>
      <c r="V758" s="346"/>
      <c r="W758" s="346"/>
      <c r="X758" s="515">
        <f t="shared" si="874"/>
        <v>0</v>
      </c>
      <c r="Y758" s="346"/>
      <c r="Z758" s="505"/>
      <c r="AA758" s="21"/>
      <c r="AB758" s="21"/>
      <c r="AC758" s="21"/>
      <c r="AD758" s="21"/>
      <c r="AE758" s="21"/>
      <c r="AF758" s="21"/>
      <c r="AG758" s="346"/>
      <c r="AH758" s="346"/>
      <c r="AI758" s="346"/>
      <c r="AJ758" s="346"/>
      <c r="AK758" s="346"/>
      <c r="AL758" s="346"/>
      <c r="AM758" s="427"/>
      <c r="AN758" s="21"/>
      <c r="AO758" s="21"/>
      <c r="AP758" s="21"/>
      <c r="AQ758" s="21"/>
      <c r="AR758" s="23"/>
      <c r="AS758" s="21"/>
      <c r="AT758" s="21"/>
      <c r="AU758" s="346"/>
      <c r="AV758" s="346"/>
      <c r="AW758" s="21"/>
    </row>
    <row r="759" spans="1:49" x14ac:dyDescent="0.25">
      <c r="A759" s="512"/>
      <c r="L759" s="426">
        <f t="shared" si="876"/>
        <v>0</v>
      </c>
      <c r="M759" s="426"/>
      <c r="X759" s="512">
        <f t="shared" si="874"/>
        <v>0</v>
      </c>
      <c r="AM759" s="426"/>
    </row>
    <row r="760" spans="1:49" x14ac:dyDescent="0.25">
      <c r="A760" s="512"/>
      <c r="L760" s="426">
        <f t="shared" si="876"/>
        <v>0</v>
      </c>
      <c r="M760" s="426"/>
      <c r="X760" s="512">
        <f t="shared" si="874"/>
        <v>0</v>
      </c>
      <c r="AM760" s="426"/>
    </row>
    <row r="761" spans="1:49" x14ac:dyDescent="0.25">
      <c r="A761" s="512"/>
      <c r="L761" s="426">
        <f t="shared" si="876"/>
        <v>0</v>
      </c>
      <c r="M761" s="426"/>
      <c r="X761" s="512">
        <f t="shared" si="874"/>
        <v>0</v>
      </c>
      <c r="AM761" s="426"/>
    </row>
    <row r="762" spans="1:49" x14ac:dyDescent="0.25">
      <c r="A762" s="512"/>
      <c r="L762" s="426">
        <f t="shared" si="876"/>
        <v>0</v>
      </c>
      <c r="M762" s="426"/>
      <c r="X762" s="512">
        <f t="shared" si="874"/>
        <v>0</v>
      </c>
      <c r="AM762" s="426"/>
    </row>
    <row r="763" spans="1:49" x14ac:dyDescent="0.25">
      <c r="A763" s="512"/>
      <c r="L763" s="426">
        <f t="shared" si="876"/>
        <v>0</v>
      </c>
      <c r="M763" s="426"/>
      <c r="X763" s="512">
        <f t="shared" si="874"/>
        <v>0</v>
      </c>
      <c r="AM763" s="426"/>
    </row>
    <row r="764" spans="1:49" x14ac:dyDescent="0.25">
      <c r="A764" s="512"/>
      <c r="L764" s="426">
        <f t="shared" si="876"/>
        <v>0</v>
      </c>
      <c r="M764" s="426"/>
      <c r="X764" s="512">
        <f t="shared" si="874"/>
        <v>0</v>
      </c>
      <c r="AM764" s="426"/>
    </row>
    <row r="765" spans="1:49" x14ac:dyDescent="0.25">
      <c r="A765" s="512"/>
      <c r="L765" s="426">
        <f t="shared" si="876"/>
        <v>0</v>
      </c>
      <c r="M765" s="426"/>
      <c r="X765" s="512">
        <f t="shared" si="874"/>
        <v>0</v>
      </c>
      <c r="AM765" s="426"/>
    </row>
    <row r="766" spans="1:49" x14ac:dyDescent="0.25">
      <c r="A766" s="512"/>
      <c r="L766" s="426">
        <f t="shared" si="876"/>
        <v>0</v>
      </c>
      <c r="M766" s="426"/>
      <c r="X766" s="512">
        <f t="shared" si="874"/>
        <v>0</v>
      </c>
      <c r="AM766" s="426"/>
    </row>
    <row r="767" spans="1:49" x14ac:dyDescent="0.25">
      <c r="A767" s="512"/>
      <c r="L767" s="426">
        <f t="shared" si="876"/>
        <v>0</v>
      </c>
      <c r="M767" s="426"/>
      <c r="X767" s="512">
        <f t="shared" si="874"/>
        <v>0</v>
      </c>
      <c r="AM767" s="426"/>
    </row>
    <row r="768" spans="1:49" x14ac:dyDescent="0.25">
      <c r="A768" s="512"/>
      <c r="L768" s="426">
        <f t="shared" si="876"/>
        <v>0</v>
      </c>
      <c r="M768" s="426"/>
      <c r="X768" s="512">
        <f t="shared" si="874"/>
        <v>0</v>
      </c>
      <c r="AM768" s="426"/>
    </row>
    <row r="769" spans="1:49" x14ac:dyDescent="0.25">
      <c r="A769" s="512"/>
      <c r="L769" s="426">
        <f t="shared" si="876"/>
        <v>0</v>
      </c>
      <c r="M769" s="426"/>
      <c r="X769" s="512">
        <f t="shared" si="874"/>
        <v>0</v>
      </c>
      <c r="AM769" s="426"/>
    </row>
    <row r="770" spans="1:49" ht="15.75" thickBot="1" x14ac:dyDescent="0.3">
      <c r="A770" s="515"/>
      <c r="B770" s="346"/>
      <c r="C770" s="21"/>
      <c r="D770" s="21"/>
      <c r="E770" s="21"/>
      <c r="F770" s="21"/>
      <c r="G770" s="21"/>
      <c r="H770" s="21"/>
      <c r="I770" s="346"/>
      <c r="J770" s="346"/>
      <c r="K770" s="346"/>
      <c r="L770" s="427">
        <f t="shared" si="876"/>
        <v>0</v>
      </c>
      <c r="M770" s="427"/>
      <c r="N770" s="346"/>
      <c r="O770" s="21"/>
      <c r="P770" s="21"/>
      <c r="Q770" s="21"/>
      <c r="R770" s="21"/>
      <c r="S770" s="21"/>
      <c r="T770" s="21"/>
      <c r="U770" s="346"/>
      <c r="V770" s="346"/>
      <c r="W770" s="346"/>
      <c r="X770" s="515">
        <f t="shared" si="874"/>
        <v>0</v>
      </c>
      <c r="Y770" s="346"/>
      <c r="Z770" s="505"/>
      <c r="AA770" s="21"/>
      <c r="AB770" s="21"/>
      <c r="AC770" s="21"/>
      <c r="AD770" s="21"/>
      <c r="AE770" s="21"/>
      <c r="AF770" s="21"/>
      <c r="AG770" s="346"/>
      <c r="AH770" s="346"/>
      <c r="AI770" s="346"/>
      <c r="AJ770" s="346"/>
      <c r="AK770" s="346"/>
      <c r="AL770" s="346"/>
      <c r="AM770" s="427"/>
      <c r="AN770" s="21"/>
      <c r="AO770" s="21"/>
      <c r="AP770" s="21"/>
      <c r="AQ770" s="21"/>
      <c r="AR770" s="23"/>
      <c r="AS770" s="21"/>
      <c r="AT770" s="21"/>
      <c r="AU770" s="346"/>
      <c r="AV770" s="346"/>
      <c r="AW770" s="21"/>
    </row>
    <row r="771" spans="1:49" x14ac:dyDescent="0.25">
      <c r="A771" s="512"/>
      <c r="L771" s="426">
        <f t="shared" si="876"/>
        <v>0</v>
      </c>
      <c r="M771" s="426"/>
      <c r="X771" s="512">
        <f t="shared" si="874"/>
        <v>0</v>
      </c>
      <c r="AM771" s="426"/>
    </row>
    <row r="772" spans="1:49" x14ac:dyDescent="0.25">
      <c r="A772" s="512"/>
      <c r="L772" s="426">
        <f t="shared" si="876"/>
        <v>0</v>
      </c>
      <c r="M772" s="426"/>
      <c r="X772" s="512">
        <f t="shared" si="874"/>
        <v>0</v>
      </c>
      <c r="AM772" s="426"/>
    </row>
    <row r="773" spans="1:49" x14ac:dyDescent="0.25">
      <c r="A773" s="512"/>
      <c r="L773" s="426">
        <f t="shared" si="876"/>
        <v>0</v>
      </c>
      <c r="M773" s="426"/>
      <c r="X773" s="512">
        <f t="shared" si="874"/>
        <v>0</v>
      </c>
      <c r="AM773" s="426"/>
    </row>
    <row r="774" spans="1:49" x14ac:dyDescent="0.25">
      <c r="A774" s="512"/>
      <c r="L774" s="426">
        <f t="shared" si="876"/>
        <v>0</v>
      </c>
      <c r="M774" s="426"/>
      <c r="X774" s="512">
        <f t="shared" si="874"/>
        <v>0</v>
      </c>
      <c r="AM774" s="426"/>
    </row>
    <row r="775" spans="1:49" x14ac:dyDescent="0.25">
      <c r="A775" s="512"/>
      <c r="L775" s="426">
        <f t="shared" si="876"/>
        <v>0</v>
      </c>
      <c r="M775" s="426"/>
      <c r="X775" s="512">
        <f t="shared" si="874"/>
        <v>0</v>
      </c>
      <c r="AM775" s="426"/>
    </row>
    <row r="776" spans="1:49" x14ac:dyDescent="0.25">
      <c r="A776" s="512"/>
      <c r="L776" s="426">
        <f t="shared" si="876"/>
        <v>0</v>
      </c>
      <c r="M776" s="426"/>
      <c r="X776" s="512">
        <f t="shared" si="874"/>
        <v>0</v>
      </c>
      <c r="AM776" s="426"/>
    </row>
    <row r="777" spans="1:49" x14ac:dyDescent="0.25">
      <c r="A777" s="512"/>
      <c r="L777" s="426">
        <f t="shared" si="876"/>
        <v>0</v>
      </c>
      <c r="M777" s="426"/>
      <c r="X777" s="512">
        <f t="shared" si="874"/>
        <v>0</v>
      </c>
      <c r="AM777" s="426"/>
    </row>
    <row r="778" spans="1:49" x14ac:dyDescent="0.25">
      <c r="A778" s="512"/>
      <c r="L778" s="426">
        <f t="shared" si="876"/>
        <v>0</v>
      </c>
      <c r="M778" s="426"/>
      <c r="X778" s="512">
        <f t="shared" si="874"/>
        <v>0</v>
      </c>
      <c r="AM778" s="426"/>
    </row>
    <row r="779" spans="1:49" x14ac:dyDescent="0.25">
      <c r="A779" s="512"/>
      <c r="L779" s="426">
        <f t="shared" si="876"/>
        <v>0</v>
      </c>
      <c r="M779" s="426"/>
      <c r="X779" s="512">
        <f t="shared" si="874"/>
        <v>0</v>
      </c>
      <c r="AM779" s="426"/>
    </row>
    <row r="780" spans="1:49" x14ac:dyDescent="0.25">
      <c r="A780" s="512"/>
      <c r="L780" s="426">
        <f t="shared" si="876"/>
        <v>0</v>
      </c>
      <c r="M780" s="426"/>
      <c r="X780" s="512">
        <f t="shared" si="874"/>
        <v>0</v>
      </c>
      <c r="AM780" s="426"/>
    </row>
    <row r="781" spans="1:49" x14ac:dyDescent="0.25">
      <c r="A781" s="512"/>
      <c r="L781" s="426">
        <f t="shared" si="876"/>
        <v>0</v>
      </c>
      <c r="M781" s="426"/>
      <c r="X781" s="512">
        <f t="shared" si="874"/>
        <v>0</v>
      </c>
      <c r="AM781" s="426"/>
    </row>
    <row r="782" spans="1:49" ht="15.75" thickBot="1" x14ac:dyDescent="0.3">
      <c r="A782" s="515"/>
      <c r="B782" s="346"/>
      <c r="C782" s="21"/>
      <c r="D782" s="21"/>
      <c r="E782" s="21"/>
      <c r="F782" s="21"/>
      <c r="G782" s="21"/>
      <c r="H782" s="21"/>
      <c r="I782" s="346"/>
      <c r="J782" s="346"/>
      <c r="K782" s="346"/>
      <c r="L782" s="427">
        <f t="shared" si="876"/>
        <v>0</v>
      </c>
      <c r="M782" s="427"/>
      <c r="N782" s="346"/>
      <c r="O782" s="21"/>
      <c r="P782" s="21"/>
      <c r="Q782" s="21"/>
      <c r="R782" s="21"/>
      <c r="S782" s="21"/>
      <c r="T782" s="21"/>
      <c r="U782" s="346"/>
      <c r="V782" s="346"/>
      <c r="W782" s="346"/>
      <c r="X782" s="515">
        <f t="shared" si="874"/>
        <v>0</v>
      </c>
      <c r="Y782" s="346"/>
      <c r="Z782" s="505"/>
      <c r="AA782" s="21"/>
      <c r="AB782" s="21"/>
      <c r="AC782" s="21"/>
      <c r="AD782" s="21"/>
      <c r="AE782" s="21"/>
      <c r="AF782" s="21"/>
      <c r="AG782" s="346"/>
      <c r="AH782" s="346"/>
      <c r="AI782" s="346"/>
      <c r="AJ782" s="346"/>
      <c r="AK782" s="346"/>
      <c r="AL782" s="346"/>
      <c r="AM782" s="427"/>
      <c r="AN782" s="21"/>
      <c r="AO782" s="21"/>
      <c r="AP782" s="21"/>
      <c r="AQ782" s="21"/>
      <c r="AR782" s="23"/>
      <c r="AS782" s="21"/>
      <c r="AT782" s="21"/>
      <c r="AU782" s="346"/>
      <c r="AV782" s="346"/>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48"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742</v>
      </c>
      <c r="D1" s="3" t="s">
        <v>758</v>
      </c>
      <c r="E1" s="3" t="s">
        <v>757</v>
      </c>
      <c r="F1" s="3" t="s">
        <v>759</v>
      </c>
      <c r="G1" s="3" t="s">
        <v>763</v>
      </c>
      <c r="H1" s="3" t="s">
        <v>743</v>
      </c>
      <c r="I1" s="3" t="s">
        <v>760</v>
      </c>
      <c r="J1" s="3" t="s">
        <v>761</v>
      </c>
      <c r="K1" s="3" t="s">
        <v>764</v>
      </c>
      <c r="L1" s="3" t="s">
        <v>762</v>
      </c>
      <c r="M1" s="3" t="s">
        <v>744</v>
      </c>
      <c r="N1" s="3" t="s">
        <v>670</v>
      </c>
      <c r="O1" s="3" t="s">
        <v>672</v>
      </c>
      <c r="P1" s="3" t="s">
        <v>664</v>
      </c>
      <c r="Q1" s="498" t="s">
        <v>665</v>
      </c>
      <c r="R1" s="499" t="s">
        <v>733</v>
      </c>
      <c r="S1" s="499" t="s">
        <v>732</v>
      </c>
      <c r="T1" s="499" t="s">
        <v>598</v>
      </c>
      <c r="U1" s="499" t="s">
        <v>737</v>
      </c>
      <c r="V1" s="500" t="s">
        <v>736</v>
      </c>
      <c r="W1" s="500" t="s">
        <v>738</v>
      </c>
      <c r="X1" s="500" t="s">
        <v>783</v>
      </c>
      <c r="Y1" s="499" t="s">
        <v>782</v>
      </c>
      <c r="Z1" s="499" t="s">
        <v>781</v>
      </c>
      <c r="AA1" s="499" t="s">
        <v>780</v>
      </c>
      <c r="AB1" s="499" t="s">
        <v>28</v>
      </c>
      <c r="AC1" s="500" t="s">
        <v>591</v>
      </c>
      <c r="AD1" s="499" t="s">
        <v>671</v>
      </c>
      <c r="AE1" s="499" t="s">
        <v>779</v>
      </c>
      <c r="AF1" s="499" t="s">
        <v>676</v>
      </c>
      <c r="AG1" s="499" t="s">
        <v>729</v>
      </c>
      <c r="AH1" s="499" t="s">
        <v>728</v>
      </c>
      <c r="AI1" s="499" t="s">
        <v>712</v>
      </c>
      <c r="AJ1" s="499" t="s">
        <v>711</v>
      </c>
      <c r="AK1" s="500" t="s">
        <v>713</v>
      </c>
      <c r="AL1" s="500" t="s">
        <v>714</v>
      </c>
      <c r="AM1" s="3" t="s">
        <v>681</v>
      </c>
      <c r="AN1" s="3" t="s">
        <v>719</v>
      </c>
      <c r="AO1" s="3" t="s">
        <v>720</v>
      </c>
      <c r="AP1" s="3" t="s">
        <v>717</v>
      </c>
      <c r="AQ1" s="3" t="s">
        <v>718</v>
      </c>
      <c r="AR1" s="3" t="s">
        <v>673</v>
      </c>
      <c r="AS1" s="3" t="s">
        <v>674</v>
      </c>
      <c r="AT1" s="3" t="s">
        <v>627</v>
      </c>
      <c r="AU1" s="3" t="s">
        <v>675</v>
      </c>
      <c r="AV1" s="3" t="s">
        <v>792</v>
      </c>
      <c r="AW1" s="3" t="s">
        <v>678</v>
      </c>
      <c r="AX1" s="3" t="s">
        <v>682</v>
      </c>
      <c r="AY1" s="3" t="s">
        <v>727</v>
      </c>
      <c r="AZ1" s="3" t="s">
        <v>789</v>
      </c>
      <c r="BA1" s="3" t="s">
        <v>683</v>
      </c>
      <c r="BB1" s="3" t="s">
        <v>684</v>
      </c>
      <c r="BC1" s="3" t="s">
        <v>685</v>
      </c>
      <c r="BD1" s="499" t="s">
        <v>748</v>
      </c>
      <c r="BE1" s="3" t="s">
        <v>752</v>
      </c>
      <c r="BF1" s="499" t="s">
        <v>755</v>
      </c>
      <c r="BG1" s="3" t="s">
        <v>754</v>
      </c>
      <c r="BH1" s="3" t="s">
        <v>756</v>
      </c>
      <c r="BI1" s="3" t="s">
        <v>767</v>
      </c>
      <c r="BJ1" s="3" t="s">
        <v>768</v>
      </c>
      <c r="BK1" s="3" t="s">
        <v>769</v>
      </c>
      <c r="BL1" s="3" t="s">
        <v>778</v>
      </c>
      <c r="BM1" s="3" t="s">
        <v>777</v>
      </c>
      <c r="BN1" s="3" t="s">
        <v>776</v>
      </c>
      <c r="BO1" s="30" t="s">
        <v>800</v>
      </c>
      <c r="BP1" s="30" t="s">
        <v>799</v>
      </c>
      <c r="BQ1" s="30" t="s">
        <v>121</v>
      </c>
      <c r="BR1" s="30" t="s">
        <v>802</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4121 Tensity Dr</v>
      </c>
      <c r="O2" t="str">
        <f>+B51</f>
        <v>Raleigh, NC 27604</v>
      </c>
      <c r="P2" t="str">
        <f>+B52</f>
        <v>LEE</v>
      </c>
      <c r="Q2">
        <f>+B38</f>
        <v>100</v>
      </c>
      <c r="R2">
        <f>B39</f>
        <v>5000</v>
      </c>
      <c r="S2" s="483">
        <f>+B11</f>
        <v>28964</v>
      </c>
      <c r="T2" s="14">
        <f ca="1">+B12</f>
        <v>323403.81</v>
      </c>
      <c r="U2" s="14">
        <f>B35</f>
        <v>28063.26</v>
      </c>
      <c r="V2" s="14">
        <f>+B37</f>
        <v>130291.26</v>
      </c>
      <c r="W2" s="14" t="str">
        <f>+B43</f>
        <v>Coastal Federal Credit Union</v>
      </c>
      <c r="X2" s="483">
        <f>+B10</f>
        <v>331193.40000000002</v>
      </c>
      <c r="Y2">
        <f>+B53</f>
        <v>2262.6000000000004</v>
      </c>
      <c r="Z2" s="484">
        <f>+B14</f>
        <v>1533.81</v>
      </c>
      <c r="AA2" s="285">
        <f>+B54</f>
        <v>188.55</v>
      </c>
      <c r="AB2" s="285">
        <f>+B55</f>
        <v>134.16999999999999</v>
      </c>
      <c r="AC2">
        <f>+B56</f>
        <v>0</v>
      </c>
      <c r="AD2" s="339">
        <f>+B16</f>
        <v>1630.04</v>
      </c>
      <c r="AE2" s="339">
        <f>B36</f>
        <v>97228</v>
      </c>
      <c r="AF2" s="484" t="str">
        <f>+B40</f>
        <v>3.750%</v>
      </c>
      <c r="AG2" s="484" t="str">
        <f>+B41</f>
        <v>3.750%</v>
      </c>
      <c r="AH2" s="484" t="str">
        <f>+B42</f>
        <v>6.250%</v>
      </c>
      <c r="AI2" s="339">
        <f>+B13</f>
        <v>1533.81</v>
      </c>
      <c r="AJ2" s="339">
        <f>+B16</f>
        <v>1630.04</v>
      </c>
      <c r="AK2">
        <f>+B17</f>
        <v>30</v>
      </c>
      <c r="AL2">
        <f>+B19</f>
        <v>300</v>
      </c>
      <c r="AM2">
        <f>+B18</f>
        <v>360</v>
      </c>
      <c r="AN2" s="485">
        <f>+B20</f>
        <v>45748</v>
      </c>
      <c r="AO2" s="485">
        <f>+B21</f>
        <v>47543</v>
      </c>
      <c r="AP2" s="485">
        <f>+B22</f>
        <v>47574</v>
      </c>
      <c r="AQ2" s="485">
        <f>+B23</f>
        <v>56674</v>
      </c>
      <c r="AR2" t="str">
        <f>+B73</f>
        <v>4121 Tensity Dr Real Estate Trust dated March, 52025</v>
      </c>
      <c r="AS2" s="135"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5">
        <f>+B44</f>
        <v>660.59</v>
      </c>
      <c r="BF2">
        <f ca="1">+B47</f>
        <v>2029</v>
      </c>
      <c r="BG2" t="str">
        <f>+B70</f>
        <v>Investment Services LLC</v>
      </c>
      <c r="BH2" s="135"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484"/>
      <c r="AH4" s="484"/>
      <c r="AI4" s="484"/>
      <c r="AU4" s="22"/>
      <c r="AV4" s="22"/>
      <c r="AW4" s="15"/>
    </row>
    <row r="5" spans="1:70" x14ac:dyDescent="0.25">
      <c r="AT5" s="22"/>
      <c r="AU5" s="15"/>
      <c r="AV5" s="15"/>
    </row>
    <row r="6" spans="1:70" ht="15.75" thickBot="1" x14ac:dyDescent="0.3">
      <c r="AT6" s="22"/>
      <c r="AU6" s="15"/>
      <c r="AV6" s="15"/>
    </row>
    <row r="7" spans="1:70" ht="15.75" thickBot="1" x14ac:dyDescent="0.3">
      <c r="A7" s="527" t="s">
        <v>745</v>
      </c>
      <c r="B7" s="25"/>
      <c r="C7" s="25"/>
      <c r="D7" s="25"/>
      <c r="AT7" s="22"/>
      <c r="AU7" s="15"/>
      <c r="AV7" s="15"/>
    </row>
    <row r="8" spans="1:70" x14ac:dyDescent="0.25">
      <c r="A8" s="30" t="s">
        <v>743</v>
      </c>
      <c r="B8" s="25"/>
      <c r="C8" s="25"/>
      <c r="D8" s="25"/>
      <c r="AT8" s="22"/>
      <c r="AU8" s="15"/>
      <c r="AV8" s="15"/>
    </row>
    <row r="9" spans="1:70" x14ac:dyDescent="0.25">
      <c r="A9" s="30" t="s">
        <v>744</v>
      </c>
      <c r="B9" s="25" t="s">
        <v>750</v>
      </c>
      <c r="C9" s="25"/>
      <c r="D9" s="25"/>
      <c r="AT9" s="22"/>
      <c r="AU9" s="15"/>
      <c r="AV9" s="15"/>
    </row>
    <row r="10" spans="1:70" x14ac:dyDescent="0.25">
      <c r="A10" s="30" t="s">
        <v>735</v>
      </c>
      <c r="B10" s="489">
        <f>+Amortization!AA5</f>
        <v>331193.40000000002</v>
      </c>
      <c r="C10" s="489"/>
      <c r="D10" s="489"/>
      <c r="AT10" s="22"/>
      <c r="AU10" s="15"/>
      <c r="AV10" s="15"/>
    </row>
    <row r="11" spans="1:70" x14ac:dyDescent="0.25">
      <c r="A11" s="496" t="s">
        <v>732</v>
      </c>
      <c r="B11" s="489">
        <f>+Amortization!$O$4-B38</f>
        <v>28964</v>
      </c>
      <c r="C11" s="489"/>
      <c r="D11" s="489"/>
      <c r="AT11" s="22"/>
      <c r="AU11" s="15"/>
      <c r="AV11" s="15"/>
    </row>
    <row r="12" spans="1:70" x14ac:dyDescent="0.25">
      <c r="A12" s="496" t="s">
        <v>598</v>
      </c>
      <c r="B12" s="490">
        <f ca="1">+B10-SUM(B38:B52)</f>
        <v>323403.81</v>
      </c>
      <c r="C12" s="490"/>
      <c r="D12" s="490"/>
      <c r="AT12" s="22"/>
      <c r="AU12" s="15"/>
      <c r="AV12" s="15"/>
    </row>
    <row r="13" spans="1:70" ht="13.5" customHeight="1" x14ac:dyDescent="0.25">
      <c r="A13" s="496" t="s">
        <v>712</v>
      </c>
      <c r="B13" s="493">
        <f>SUM(B14:B14)</f>
        <v>1533.81</v>
      </c>
      <c r="C13" s="493"/>
      <c r="D13" s="493"/>
      <c r="AT13" s="22"/>
      <c r="AU13" s="15"/>
      <c r="AV13" s="15"/>
    </row>
    <row r="14" spans="1:70" ht="13.5" customHeight="1" x14ac:dyDescent="0.25">
      <c r="A14" s="496" t="s">
        <v>679</v>
      </c>
      <c r="B14" s="492">
        <f>+Amortization!Z8</f>
        <v>1533.81</v>
      </c>
      <c r="C14" s="492"/>
      <c r="D14" s="492"/>
      <c r="AT14" s="22"/>
      <c r="AU14" s="15"/>
      <c r="AV14" s="15"/>
    </row>
    <row r="15" spans="1:70" ht="13.5" customHeight="1" x14ac:dyDescent="0.25">
      <c r="A15" s="496" t="s">
        <v>710</v>
      </c>
      <c r="B15" s="492">
        <f>+Amortization!Z9</f>
        <v>1630.04</v>
      </c>
      <c r="C15" s="492"/>
      <c r="D15" s="492"/>
      <c r="AT15" s="22"/>
      <c r="AU15" s="15"/>
      <c r="AV15" s="15"/>
    </row>
    <row r="16" spans="1:70" ht="13.5" customHeight="1" x14ac:dyDescent="0.25">
      <c r="A16" s="496" t="s">
        <v>711</v>
      </c>
      <c r="B16" s="493">
        <f>SUM(B15:B15)</f>
        <v>1630.04</v>
      </c>
      <c r="C16" s="493"/>
      <c r="D16" s="493"/>
      <c r="AT16" s="22"/>
      <c r="AU16" s="15"/>
      <c r="AV16" s="15"/>
    </row>
    <row r="17" spans="1:48" ht="13.5" customHeight="1" x14ac:dyDescent="0.25">
      <c r="A17" s="496" t="s">
        <v>680</v>
      </c>
      <c r="B17" s="28">
        <v>30</v>
      </c>
      <c r="C17" s="28"/>
      <c r="D17" s="28"/>
      <c r="AT17" s="22"/>
      <c r="AU17" s="15"/>
      <c r="AV17" s="15"/>
    </row>
    <row r="18" spans="1:48" ht="13.5" customHeight="1" x14ac:dyDescent="0.25">
      <c r="A18" s="30" t="s">
        <v>716</v>
      </c>
      <c r="B18" s="28">
        <f>+B17*12</f>
        <v>360</v>
      </c>
      <c r="C18" s="28"/>
      <c r="D18" s="28"/>
      <c r="AT18" s="22"/>
      <c r="AU18" s="15"/>
      <c r="AV18" s="15"/>
    </row>
    <row r="19" spans="1:48" ht="13.5" customHeight="1" x14ac:dyDescent="0.25">
      <c r="A19" s="30" t="s">
        <v>715</v>
      </c>
      <c r="B19" s="28">
        <f>+B18-60</f>
        <v>300</v>
      </c>
      <c r="C19" s="28"/>
      <c r="D19" s="28"/>
      <c r="AT19" s="22"/>
      <c r="AU19" s="15"/>
      <c r="AV19" s="15"/>
    </row>
    <row r="20" spans="1:48" ht="13.5" customHeight="1" x14ac:dyDescent="0.25">
      <c r="A20" s="30" t="s">
        <v>719</v>
      </c>
      <c r="B20" s="501">
        <v>45748</v>
      </c>
      <c r="C20" s="501"/>
      <c r="D20" s="501"/>
      <c r="AT20" s="22"/>
      <c r="AU20" s="15"/>
      <c r="AV20" s="15"/>
    </row>
    <row r="21" spans="1:48" x14ac:dyDescent="0.25">
      <c r="A21" s="30" t="s">
        <v>720</v>
      </c>
      <c r="B21" s="494">
        <f>+$B$20+(5*365)-DAY(+$B$20+(5*365))+1</f>
        <v>47543</v>
      </c>
      <c r="C21" s="494"/>
      <c r="D21" s="494"/>
      <c r="AT21" s="22"/>
      <c r="AU21" s="15"/>
      <c r="AV21" s="15"/>
    </row>
    <row r="22" spans="1:48" x14ac:dyDescent="0.25">
      <c r="A22" s="30" t="s">
        <v>717</v>
      </c>
      <c r="B22" s="494">
        <f>+$B$20+(5*365)-DAY(+$B$20+(5*365))+32</f>
        <v>47574</v>
      </c>
      <c r="C22" s="494"/>
      <c r="D22" s="494"/>
      <c r="AT22" s="22"/>
      <c r="AU22" s="15"/>
      <c r="AV22" s="15"/>
    </row>
    <row r="23" spans="1:48" x14ac:dyDescent="0.25">
      <c r="A23" s="30" t="s">
        <v>718</v>
      </c>
      <c r="B23" s="494">
        <f>+$B$20+($B$17*365)-DAY(+$B$20+($B$17*365))+1</f>
        <v>56674</v>
      </c>
      <c r="C23" s="494"/>
      <c r="D23" s="494"/>
      <c r="AT23" s="22"/>
      <c r="AU23" s="15"/>
      <c r="AV23" s="15"/>
    </row>
    <row r="24" spans="1:48" ht="15.75" thickBot="1" x14ac:dyDescent="0.3">
      <c r="A24" s="30" t="s">
        <v>682</v>
      </c>
      <c r="B24" s="25"/>
      <c r="C24" s="25"/>
      <c r="D24" s="25"/>
      <c r="AT24" s="22"/>
      <c r="AU24" s="15"/>
      <c r="AV24" s="15"/>
    </row>
    <row r="25" spans="1:48" ht="15.75" thickBot="1" x14ac:dyDescent="0.3">
      <c r="A25" s="527" t="s">
        <v>751</v>
      </c>
      <c r="B25" s="25"/>
      <c r="C25" s="25"/>
      <c r="D25" s="25"/>
      <c r="AT25" s="22"/>
      <c r="AU25" s="15"/>
      <c r="AV25" s="15"/>
    </row>
    <row r="26" spans="1:48" x14ac:dyDescent="0.25">
      <c r="A26" s="30" t="s">
        <v>742</v>
      </c>
      <c r="B26" s="25" t="s">
        <v>750</v>
      </c>
      <c r="C26" s="25"/>
      <c r="D26" s="25"/>
      <c r="AT26" s="22"/>
      <c r="AU26" s="15"/>
      <c r="AV26" s="15"/>
    </row>
    <row r="27" spans="1:48" x14ac:dyDescent="0.25">
      <c r="A27" s="30" t="s">
        <v>757</v>
      </c>
      <c r="B27" s="25" t="str">
        <f>+MOG!B3&amp;" "&amp;MOG!C3</f>
        <v>Laurence A. Tunnard</v>
      </c>
      <c r="C27" s="25"/>
      <c r="D27" s="25"/>
      <c r="AT27" s="22"/>
      <c r="AU27" s="15"/>
      <c r="AV27" s="15"/>
    </row>
    <row r="28" spans="1:48" x14ac:dyDescent="0.25">
      <c r="A28" s="30" t="s">
        <v>759</v>
      </c>
      <c r="B28" s="25" t="str">
        <f>+MOG!B4&amp;" "&amp;MOG!C4</f>
        <v>April D. Tunnard</v>
      </c>
      <c r="C28" s="25"/>
      <c r="D28" s="25"/>
      <c r="AT28" s="22"/>
      <c r="AU28" s="15"/>
      <c r="AV28" s="15"/>
    </row>
    <row r="29" spans="1:48" x14ac:dyDescent="0.25">
      <c r="A29" s="30" t="s">
        <v>758</v>
      </c>
      <c r="B29" s="25" t="str">
        <f>MOG!$B$3 &amp; " " &amp; MOG!$C$3 &amp; IF(+MOG!$C$4="",""," and " &amp; +MOG!$B$4 &amp; " " &amp;MOG!$C$4)</f>
        <v>Laurence A. Tunnard and April D. Tunnard</v>
      </c>
      <c r="C29" s="25"/>
      <c r="D29" s="25"/>
      <c r="AT29" s="22"/>
      <c r="AU29" s="15"/>
      <c r="AV29" s="15"/>
    </row>
    <row r="30" spans="1:48" x14ac:dyDescent="0.25">
      <c r="A30" s="30" t="s">
        <v>763</v>
      </c>
      <c r="B30" s="25"/>
      <c r="C30" s="25"/>
      <c r="D30" s="25"/>
      <c r="AT30" s="22"/>
      <c r="AU30" s="15"/>
      <c r="AV30" s="15"/>
    </row>
    <row r="31" spans="1:48" x14ac:dyDescent="0.25">
      <c r="A31" s="30" t="s">
        <v>760</v>
      </c>
      <c r="B31" s="25" t="s">
        <v>766</v>
      </c>
      <c r="C31" s="25"/>
      <c r="D31" s="25"/>
      <c r="AT31" s="22"/>
      <c r="AU31" s="15"/>
      <c r="AV31" s="15"/>
    </row>
    <row r="32" spans="1:48" x14ac:dyDescent="0.25">
      <c r="A32" s="30" t="s">
        <v>761</v>
      </c>
      <c r="B32" s="25" t="s">
        <v>766</v>
      </c>
      <c r="C32" s="25"/>
      <c r="D32" s="25"/>
      <c r="AT32" s="22"/>
      <c r="AU32" s="15"/>
      <c r="AV32" s="15"/>
    </row>
    <row r="33" spans="1:48" x14ac:dyDescent="0.25">
      <c r="A33" s="30" t="s">
        <v>764</v>
      </c>
      <c r="B33" s="25" t="s">
        <v>765</v>
      </c>
      <c r="C33" s="25"/>
      <c r="D33" s="25"/>
      <c r="AT33" s="22"/>
      <c r="AU33" s="15"/>
      <c r="AV33" s="15"/>
    </row>
    <row r="34" spans="1:48" x14ac:dyDescent="0.25">
      <c r="A34" s="30" t="s">
        <v>762</v>
      </c>
      <c r="B34" s="25">
        <v>1233445566</v>
      </c>
      <c r="C34" s="25"/>
      <c r="D34" s="25"/>
      <c r="AT34" s="22"/>
      <c r="AU34" s="15"/>
      <c r="AV34" s="15"/>
    </row>
    <row r="35" spans="1:48" x14ac:dyDescent="0.25">
      <c r="A35" s="496" t="s">
        <v>737</v>
      </c>
      <c r="B35" s="490">
        <f>Profit!C14</f>
        <v>28063.26</v>
      </c>
      <c r="C35" s="490"/>
      <c r="D35" s="490"/>
      <c r="AT35" s="22"/>
      <c r="AU35" s="15"/>
      <c r="AV35" s="15"/>
    </row>
    <row r="36" spans="1:48" x14ac:dyDescent="0.25">
      <c r="A36" s="496" t="s">
        <v>602</v>
      </c>
      <c r="B36" s="490">
        <f>Profit!C15</f>
        <v>97228</v>
      </c>
      <c r="C36" s="490"/>
      <c r="D36" s="490"/>
      <c r="AT36" s="22"/>
      <c r="AU36" s="15"/>
      <c r="AV36" s="15"/>
    </row>
    <row r="37" spans="1:48" x14ac:dyDescent="0.25">
      <c r="A37" s="496" t="s">
        <v>736</v>
      </c>
      <c r="B37" s="490">
        <f>Profit!B21</f>
        <v>130291.26</v>
      </c>
      <c r="C37" s="490"/>
      <c r="D37" s="490"/>
      <c r="AT37" s="22"/>
      <c r="AU37" s="15"/>
      <c r="AV37" s="15"/>
    </row>
    <row r="38" spans="1:48" x14ac:dyDescent="0.25">
      <c r="A38" s="496" t="s">
        <v>665</v>
      </c>
      <c r="B38" s="28">
        <v>100</v>
      </c>
      <c r="C38" s="28"/>
      <c r="D38" s="28"/>
      <c r="AT38" s="22"/>
      <c r="AU38" s="15"/>
      <c r="AV38" s="15"/>
    </row>
    <row r="39" spans="1:48" x14ac:dyDescent="0.25">
      <c r="A39" s="496" t="s">
        <v>734</v>
      </c>
      <c r="B39" s="490">
        <f>Profit!C20</f>
        <v>5000</v>
      </c>
      <c r="C39" s="490"/>
      <c r="D39" s="490"/>
      <c r="AT39" s="22"/>
      <c r="AU39" s="15"/>
      <c r="AV39" s="15"/>
    </row>
    <row r="40" spans="1:48" x14ac:dyDescent="0.25">
      <c r="A40" s="496" t="s">
        <v>676</v>
      </c>
      <c r="B40" s="492" t="str">
        <f>TEXT(Amortization!$C$3,"0.000%")</f>
        <v>3.750%</v>
      </c>
      <c r="C40" s="492"/>
      <c r="D40" s="492"/>
      <c r="AT40" s="22"/>
      <c r="AU40" s="15"/>
      <c r="AV40" s="15"/>
    </row>
    <row r="41" spans="1:48" x14ac:dyDescent="0.25">
      <c r="A41" s="496" t="s">
        <v>729</v>
      </c>
      <c r="B41" s="492" t="str">
        <f>TEXT(+Amortization!AA8,"0.000%")</f>
        <v>3.750%</v>
      </c>
      <c r="C41" s="492"/>
      <c r="D41" s="492"/>
      <c r="AT41" s="22"/>
      <c r="AU41" s="15"/>
      <c r="AV41" s="15"/>
    </row>
    <row r="42" spans="1:48" x14ac:dyDescent="0.25">
      <c r="A42" s="496" t="s">
        <v>728</v>
      </c>
      <c r="B42" s="492" t="str">
        <f>TEXT(Amortization!$O$6,"0.000%")</f>
        <v>6.250%</v>
      </c>
      <c r="C42" s="492"/>
      <c r="D42" s="492"/>
      <c r="AT42" s="22"/>
      <c r="AU42" s="15"/>
      <c r="AV42" s="15"/>
    </row>
    <row r="43" spans="1:48" x14ac:dyDescent="0.25">
      <c r="A43" s="496" t="s">
        <v>738</v>
      </c>
      <c r="B43" s="490" t="s">
        <v>739</v>
      </c>
      <c r="C43" s="490"/>
      <c r="D43" s="490"/>
      <c r="AT43" s="22"/>
      <c r="AU43" s="15"/>
      <c r="AV43" s="15"/>
    </row>
    <row r="44" spans="1:48" x14ac:dyDescent="0.25">
      <c r="A44" s="30" t="s">
        <v>752</v>
      </c>
      <c r="B44" s="491">
        <f>Carrying!E5</f>
        <v>660.59</v>
      </c>
      <c r="C44" s="491"/>
      <c r="D44" s="491"/>
      <c r="AT44" s="22"/>
      <c r="AU44" s="15"/>
      <c r="AV44" s="15"/>
    </row>
    <row r="45" spans="1:48" ht="15.75" thickBot="1" x14ac:dyDescent="0.3">
      <c r="A45" s="496" t="s">
        <v>748</v>
      </c>
      <c r="B45" s="490" t="s">
        <v>749</v>
      </c>
      <c r="C45" s="490"/>
      <c r="D45" s="490"/>
      <c r="AT45" s="22"/>
      <c r="AU45" s="15"/>
      <c r="AV45" s="15"/>
    </row>
    <row r="46" spans="1:48" ht="15.75" thickBot="1" x14ac:dyDescent="0.3">
      <c r="A46" s="527" t="s">
        <v>793</v>
      </c>
      <c r="B46" s="528"/>
      <c r="C46" s="528"/>
      <c r="D46" s="528"/>
      <c r="AT46" s="22"/>
      <c r="AU46" s="15"/>
      <c r="AV46" s="15"/>
    </row>
    <row r="47" spans="1:48" x14ac:dyDescent="0.25">
      <c r="A47" s="496" t="s">
        <v>753</v>
      </c>
      <c r="B47" s="32">
        <f ca="1">YEAR(NOW()+365*3)</f>
        <v>2029</v>
      </c>
      <c r="C47" s="32"/>
      <c r="D47" s="32"/>
      <c r="AT47" s="22"/>
      <c r="AU47" s="15"/>
      <c r="AV47" s="15"/>
    </row>
    <row r="48" spans="1:48" ht="15.75" thickBot="1" x14ac:dyDescent="0.3">
      <c r="A48" s="30" t="s">
        <v>756</v>
      </c>
      <c r="B48" s="490" t="s">
        <v>795</v>
      </c>
      <c r="C48" s="490"/>
      <c r="D48" s="490"/>
      <c r="AT48" s="22"/>
      <c r="AU48" s="15"/>
      <c r="AV48" s="15"/>
    </row>
    <row r="49" spans="1:49" ht="15.75" thickBot="1" x14ac:dyDescent="0.3">
      <c r="A49" s="527" t="s">
        <v>746</v>
      </c>
      <c r="B49" s="25"/>
      <c r="C49" s="25"/>
      <c r="D49" s="25"/>
      <c r="AT49" s="22"/>
      <c r="AU49" s="15"/>
      <c r="AV49" s="15"/>
    </row>
    <row r="50" spans="1:49" x14ac:dyDescent="0.25">
      <c r="A50" s="30" t="s">
        <v>670</v>
      </c>
      <c r="B50" s="25" t="str">
        <f>+Profit!$B$2</f>
        <v>4121 Tensity Dr</v>
      </c>
      <c r="C50" s="25"/>
      <c r="D50" s="25"/>
      <c r="AT50" s="22"/>
      <c r="AU50" s="15"/>
      <c r="AV50" s="15"/>
    </row>
    <row r="51" spans="1:49" x14ac:dyDescent="0.25">
      <c r="A51" s="30" t="s">
        <v>672</v>
      </c>
      <c r="B51" s="25" t="str">
        <f>+Profit!$E$2</f>
        <v>Raleigh, NC 27604</v>
      </c>
      <c r="C51" s="25"/>
      <c r="D51" s="25"/>
      <c r="AT51" s="22"/>
      <c r="AU51" s="15"/>
      <c r="AV51" s="15"/>
    </row>
    <row r="52" spans="1:49" x14ac:dyDescent="0.25">
      <c r="A52" s="30" t="s">
        <v>664</v>
      </c>
      <c r="B52" s="25" t="s">
        <v>803</v>
      </c>
      <c r="C52" s="25"/>
      <c r="D52" s="25"/>
      <c r="AT52" s="22"/>
      <c r="AU52" s="15"/>
      <c r="AV52" s="15"/>
    </row>
    <row r="53" spans="1:49" x14ac:dyDescent="0.25">
      <c r="A53" s="496" t="s">
        <v>666</v>
      </c>
      <c r="B53" s="25">
        <f>+B54*12</f>
        <v>2262.6000000000004</v>
      </c>
      <c r="C53" s="25"/>
      <c r="D53" s="25"/>
      <c r="AU53" s="22"/>
      <c r="AV53" s="22"/>
      <c r="AW53" s="15"/>
    </row>
    <row r="54" spans="1:49" x14ac:dyDescent="0.25">
      <c r="A54" s="496" t="s">
        <v>667</v>
      </c>
      <c r="B54" s="491">
        <f>+Amortization!$T$9</f>
        <v>188.55</v>
      </c>
      <c r="C54" s="491"/>
      <c r="D54" s="491"/>
      <c r="AU54" s="22"/>
      <c r="AV54" s="22"/>
      <c r="AW54" s="15"/>
    </row>
    <row r="55" spans="1:49" x14ac:dyDescent="0.25">
      <c r="A55" s="496" t="s">
        <v>668</v>
      </c>
      <c r="B55" s="491">
        <f>+Amortization!$T$8</f>
        <v>134.16999999999999</v>
      </c>
      <c r="C55" s="491"/>
      <c r="D55" s="491"/>
      <c r="AU55" s="22"/>
      <c r="AV55" s="22"/>
      <c r="AW55" s="15"/>
    </row>
    <row r="56" spans="1:49" ht="15.75" thickBot="1" x14ac:dyDescent="0.3">
      <c r="A56" s="497" t="s">
        <v>669</v>
      </c>
      <c r="B56" s="25">
        <v>0</v>
      </c>
      <c r="C56" s="25"/>
      <c r="D56" s="25"/>
      <c r="AU56" s="22"/>
      <c r="AV56" s="22"/>
      <c r="AW56" s="15"/>
    </row>
    <row r="57" spans="1:49" ht="15.75" thickBot="1" x14ac:dyDescent="0.3">
      <c r="A57" s="527" t="s">
        <v>747</v>
      </c>
      <c r="B57" s="25"/>
      <c r="C57" s="25"/>
      <c r="D57" s="25"/>
      <c r="AU57" s="22"/>
      <c r="AV57" s="22"/>
      <c r="AW57" s="15"/>
    </row>
    <row r="58" spans="1:49" x14ac:dyDescent="0.25">
      <c r="A58" s="30"/>
      <c r="B58" s="32"/>
      <c r="C58" s="32"/>
      <c r="D58" s="32"/>
    </row>
    <row r="59" spans="1:49" ht="15.75" x14ac:dyDescent="0.25">
      <c r="A59" s="30"/>
      <c r="B59" s="502"/>
      <c r="C59" s="502"/>
      <c r="D59" s="502"/>
    </row>
    <row r="60" spans="1:49" x14ac:dyDescent="0.25">
      <c r="A60" s="30" t="s">
        <v>789</v>
      </c>
      <c r="B60" s="490" t="s">
        <v>790</v>
      </c>
      <c r="C60" s="490"/>
      <c r="D60" s="490"/>
    </row>
    <row r="61" spans="1:49" x14ac:dyDescent="0.25">
      <c r="A61" s="30" t="s">
        <v>683</v>
      </c>
      <c r="B61" s="490" t="s">
        <v>786</v>
      </c>
      <c r="C61" s="490"/>
      <c r="D61" s="490"/>
    </row>
    <row r="62" spans="1:49" ht="15.75" x14ac:dyDescent="0.25">
      <c r="A62" s="30" t="s">
        <v>727</v>
      </c>
      <c r="B62" s="529"/>
      <c r="C62" s="529"/>
      <c r="D62" s="529"/>
    </row>
    <row r="63" spans="1:49" ht="15.75" x14ac:dyDescent="0.25">
      <c r="A63" s="30" t="s">
        <v>684</v>
      </c>
      <c r="B63" s="529"/>
      <c r="C63" s="529"/>
      <c r="D63" s="529"/>
    </row>
    <row r="64" spans="1:49" ht="15.75" x14ac:dyDescent="0.25">
      <c r="A64" s="30" t="s">
        <v>685</v>
      </c>
      <c r="B64" s="529"/>
      <c r="C64" s="529"/>
      <c r="D64" s="529"/>
    </row>
    <row r="65" spans="1:4" x14ac:dyDescent="0.25">
      <c r="A65" s="30" t="s">
        <v>767</v>
      </c>
      <c r="B65" s="28" t="s">
        <v>785</v>
      </c>
      <c r="C65" s="28"/>
      <c r="D65" s="28"/>
    </row>
    <row r="66" spans="1:4" x14ac:dyDescent="0.25">
      <c r="A66" s="30" t="s">
        <v>768</v>
      </c>
      <c r="B66" s="530" t="s">
        <v>787</v>
      </c>
      <c r="C66" s="530"/>
      <c r="D66" s="530"/>
    </row>
    <row r="67" spans="1:4" x14ac:dyDescent="0.25">
      <c r="A67" s="30" t="s">
        <v>769</v>
      </c>
      <c r="B67" s="530" t="s">
        <v>788</v>
      </c>
      <c r="C67" s="530"/>
      <c r="D67" s="530"/>
    </row>
    <row r="68" spans="1:4" ht="15.75" thickBot="1" x14ac:dyDescent="0.3">
      <c r="A68" s="30" t="s">
        <v>770</v>
      </c>
      <c r="B68" s="28"/>
      <c r="C68" s="28"/>
      <c r="D68" s="28"/>
    </row>
    <row r="69" spans="1:4" ht="15.75" thickBot="1" x14ac:dyDescent="0.3">
      <c r="A69" s="527" t="s">
        <v>794</v>
      </c>
      <c r="B69" s="25"/>
      <c r="C69" s="25"/>
      <c r="D69" s="25"/>
    </row>
    <row r="70" spans="1:4" x14ac:dyDescent="0.25">
      <c r="A70" s="30" t="s">
        <v>754</v>
      </c>
      <c r="B70" s="25" t="s">
        <v>784</v>
      </c>
      <c r="C70" s="25"/>
      <c r="D70" s="25"/>
    </row>
    <row r="71" spans="1:4" x14ac:dyDescent="0.25">
      <c r="A71" s="30" t="s">
        <v>771</v>
      </c>
      <c r="B71" t="s">
        <v>774</v>
      </c>
    </row>
    <row r="72" spans="1:4" x14ac:dyDescent="0.25">
      <c r="A72" s="30" t="s">
        <v>772</v>
      </c>
      <c r="B72" t="s">
        <v>773</v>
      </c>
    </row>
    <row r="73" spans="1:4" x14ac:dyDescent="0.25">
      <c r="A73" s="30" t="s">
        <v>673</v>
      </c>
      <c r="B73" s="25" t="str">
        <f>+ B50 &amp; " Real Estate Trust dated " &amp; B74 &amp; B75</f>
        <v>4121 Tensity Dr Real Estate Trust dated March, 52025</v>
      </c>
      <c r="C73" s="25"/>
      <c r="D73" s="25"/>
    </row>
    <row r="74" spans="1:4" x14ac:dyDescent="0.25">
      <c r="A74" s="30" t="s">
        <v>674</v>
      </c>
      <c r="B74" s="495" t="s">
        <v>775</v>
      </c>
      <c r="C74" s="495"/>
      <c r="D74" s="495"/>
    </row>
    <row r="75" spans="1:4" x14ac:dyDescent="0.25">
      <c r="A75" s="30" t="s">
        <v>627</v>
      </c>
      <c r="B75" s="25">
        <v>2025</v>
      </c>
      <c r="C75" s="25"/>
      <c r="D75" s="25"/>
    </row>
    <row r="76" spans="1:4" x14ac:dyDescent="0.25">
      <c r="A76" s="30" t="s">
        <v>675</v>
      </c>
      <c r="B76" s="28" t="s">
        <v>677</v>
      </c>
      <c r="C76" s="28"/>
      <c r="D76" s="28"/>
    </row>
    <row r="77" spans="1:4" x14ac:dyDescent="0.25">
      <c r="A77" s="30" t="s">
        <v>678</v>
      </c>
      <c r="B77" s="32">
        <f ca="1">YEAR(NOW())</f>
        <v>2026</v>
      </c>
      <c r="C77" s="32"/>
      <c r="D77" s="32"/>
    </row>
    <row r="78" spans="1:4" x14ac:dyDescent="0.25">
      <c r="A78" s="30" t="s">
        <v>791</v>
      </c>
      <c r="B78" s="32">
        <f ca="1">MONTH(NOW())</f>
        <v>6</v>
      </c>
      <c r="C78" s="32"/>
      <c r="D78" s="32"/>
    </row>
    <row r="79" spans="1:4" x14ac:dyDescent="0.25">
      <c r="A79" s="30"/>
      <c r="B79" s="25"/>
      <c r="C79" s="25"/>
      <c r="D79" s="25"/>
    </row>
    <row r="80" spans="1:4" x14ac:dyDescent="0.25">
      <c r="A80" s="30" t="s">
        <v>726</v>
      </c>
      <c r="B80" s="25"/>
      <c r="C80" s="25"/>
      <c r="D80" s="25"/>
    </row>
    <row r="81" spans="1:4" ht="15.75" thickBot="1" x14ac:dyDescent="0.3">
      <c r="A81" s="30"/>
      <c r="B81" s="25"/>
      <c r="C81" s="25"/>
      <c r="D81" s="25"/>
    </row>
    <row r="82" spans="1:4" ht="15.75" thickBot="1" x14ac:dyDescent="0.3">
      <c r="A82" s="527" t="s">
        <v>796</v>
      </c>
      <c r="B82" s="25"/>
      <c r="C82" s="25"/>
      <c r="D82" s="25"/>
    </row>
    <row r="83" spans="1:4" x14ac:dyDescent="0.25">
      <c r="A83" s="30" t="s">
        <v>797</v>
      </c>
      <c r="B83" s="25">
        <f>+B86*B84</f>
        <v>8047.08</v>
      </c>
      <c r="C83" s="25"/>
      <c r="D83" s="25"/>
    </row>
    <row r="84" spans="1:4" x14ac:dyDescent="0.25">
      <c r="A84" s="30" t="s">
        <v>798</v>
      </c>
      <c r="B84" s="491">
        <f>+B44+B85</f>
        <v>670.59</v>
      </c>
      <c r="C84" s="491"/>
      <c r="D84" s="491"/>
    </row>
    <row r="85" spans="1:4" ht="15.75" x14ac:dyDescent="0.25">
      <c r="A85" s="30" t="s">
        <v>804</v>
      </c>
      <c r="B85" s="529">
        <v>10</v>
      </c>
      <c r="C85" s="491"/>
      <c r="D85" s="491"/>
    </row>
    <row r="86" spans="1:4" x14ac:dyDescent="0.25">
      <c r="A86" s="30" t="s">
        <v>799</v>
      </c>
      <c r="B86" s="25">
        <v>12</v>
      </c>
      <c r="C86" s="25"/>
      <c r="D86" s="25"/>
    </row>
    <row r="87" spans="1:4" x14ac:dyDescent="0.25">
      <c r="A87" s="30" t="s">
        <v>121</v>
      </c>
      <c r="B87" s="25">
        <v>0</v>
      </c>
      <c r="C87" s="25"/>
      <c r="D87" s="25"/>
    </row>
    <row r="88" spans="1:4" x14ac:dyDescent="0.25">
      <c r="A88" s="30" t="s">
        <v>801</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abSelected="1" workbookViewId="0"/>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9.140625" customWidth="1"/>
    <col min="9" max="9" width="17"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27" t="s">
        <v>745</v>
      </c>
      <c r="B1" s="865"/>
      <c r="C1" s="865"/>
      <c r="D1" s="527" t="s">
        <v>793</v>
      </c>
      <c r="E1" s="866"/>
      <c r="F1" s="865"/>
      <c r="G1" s="25"/>
      <c r="H1" s="527" t="s">
        <v>796</v>
      </c>
      <c r="I1" s="865"/>
      <c r="J1" s="865"/>
      <c r="K1" s="135"/>
    </row>
    <row r="2" spans="1:11" ht="15.75" customHeight="1" x14ac:dyDescent="0.25">
      <c r="A2" s="30" t="s">
        <v>1109</v>
      </c>
      <c r="B2" s="865" t="s">
        <v>1110</v>
      </c>
      <c r="C2" s="865"/>
      <c r="D2" s="496" t="s">
        <v>1111</v>
      </c>
      <c r="E2" s="867"/>
      <c r="F2" s="865"/>
      <c r="G2" s="25"/>
      <c r="H2" s="30" t="s">
        <v>797</v>
      </c>
      <c r="I2" s="865">
        <f>+Profit!C19</f>
        <v>0</v>
      </c>
      <c r="J2" s="865"/>
      <c r="K2" s="135"/>
    </row>
    <row r="3" spans="1:11" ht="15.75" customHeight="1" x14ac:dyDescent="0.25">
      <c r="A3" s="30" t="s">
        <v>1112</v>
      </c>
      <c r="B3" s="865" t="s">
        <v>1113</v>
      </c>
      <c r="C3" s="868"/>
      <c r="D3" s="496" t="s">
        <v>1114</v>
      </c>
      <c r="E3" s="869" t="str">
        <f>IF(E2="",+Docs!B33,E2)</f>
        <v>YYY-YY-YYYY</v>
      </c>
      <c r="F3" s="865"/>
      <c r="G3" s="25"/>
      <c r="H3" s="30" t="s">
        <v>1115</v>
      </c>
      <c r="I3" s="869">
        <f>+I2/2/6</f>
        <v>0</v>
      </c>
      <c r="J3" s="865"/>
      <c r="K3" s="135"/>
    </row>
    <row r="4" spans="1:11" ht="15.75" customHeight="1" x14ac:dyDescent="0.25">
      <c r="A4" s="30" t="s">
        <v>1116</v>
      </c>
      <c r="B4" s="865" t="s">
        <v>805</v>
      </c>
      <c r="C4" s="865"/>
      <c r="D4" s="496" t="s">
        <v>753</v>
      </c>
      <c r="E4" s="870">
        <v>2025</v>
      </c>
      <c r="F4" s="865"/>
      <c r="G4" s="25"/>
      <c r="H4" s="30" t="s">
        <v>1117</v>
      </c>
      <c r="I4" s="869">
        <f>+I2/2</f>
        <v>0</v>
      </c>
      <c r="J4" s="865"/>
      <c r="K4" s="135"/>
    </row>
    <row r="5" spans="1:11" ht="15.75" customHeight="1" x14ac:dyDescent="0.25">
      <c r="A5" s="30" t="s">
        <v>1116</v>
      </c>
      <c r="B5" s="865" t="s">
        <v>806</v>
      </c>
      <c r="C5" s="865"/>
      <c r="D5" s="30" t="s">
        <v>756</v>
      </c>
      <c r="E5" s="869" t="s">
        <v>1118</v>
      </c>
      <c r="F5" s="865"/>
      <c r="G5" s="25"/>
      <c r="H5" s="30" t="s">
        <v>1119</v>
      </c>
      <c r="I5" s="865" t="str">
        <f>"A balloon payment of " &amp; TEXT(I4,"$#,##0.00") &amp; " will be due when the property is resold by the purchaser"</f>
        <v>A balloon payment of $0.00 will be due when the property is resold by the purchaser</v>
      </c>
      <c r="J5" s="865"/>
      <c r="K5" s="135"/>
    </row>
    <row r="6" spans="1:11" ht="15.75" customHeight="1" x14ac:dyDescent="0.25">
      <c r="A6" s="30" t="s">
        <v>744</v>
      </c>
      <c r="B6" s="865" t="s">
        <v>1120</v>
      </c>
      <c r="C6" s="865"/>
      <c r="D6" s="30" t="s">
        <v>1121</v>
      </c>
      <c r="E6" s="867"/>
      <c r="F6" s="865"/>
      <c r="G6" s="25"/>
      <c r="H6" s="30" t="s">
        <v>1122</v>
      </c>
      <c r="I6" s="30" t="str">
        <f>IF(J6="Yes","Limited Allowance Compensating for Rent", "DON'T USE")</f>
        <v>DON'T USE</v>
      </c>
      <c r="J6" s="871" t="s">
        <v>1123</v>
      </c>
      <c r="K6" s="135"/>
    </row>
    <row r="7" spans="1:11" ht="15.75" customHeight="1" x14ac:dyDescent="0.25">
      <c r="A7" s="30" t="s">
        <v>735</v>
      </c>
      <c r="B7" s="872">
        <f>+Amortization!AA4</f>
        <v>29064</v>
      </c>
      <c r="C7" s="873"/>
      <c r="D7" s="30" t="s">
        <v>1124</v>
      </c>
      <c r="E7" s="869" t="str">
        <f>IF(E6="X","[X] If checked, The rent shall adjust, annually, to exactly the amount of the mortgage payment, property insurance, real estate taxes, plus $10.00."," ")</f>
        <v xml:space="preserve"> </v>
      </c>
      <c r="F7" s="873"/>
      <c r="G7" s="489"/>
      <c r="H7" s="30" t="s">
        <v>1125</v>
      </c>
      <c r="I7" s="30" t="str">
        <f>IF(J7="Yes","Part of Purchase and Sale Agreement", "DON'T USE")</f>
        <v>Part of Purchase and Sale Agreement</v>
      </c>
      <c r="J7" s="871" t="s">
        <v>32</v>
      </c>
      <c r="K7" s="135"/>
    </row>
    <row r="8" spans="1:11" ht="15.75" customHeight="1" x14ac:dyDescent="0.25">
      <c r="A8" s="30" t="s">
        <v>1126</v>
      </c>
      <c r="B8" s="872">
        <f>+Amortization!K2</f>
        <v>0</v>
      </c>
      <c r="C8" s="873"/>
      <c r="D8" s="30" t="s">
        <v>1127</v>
      </c>
      <c r="E8" s="874">
        <v>0</v>
      </c>
      <c r="F8" s="873"/>
      <c r="G8" s="489"/>
      <c r="H8" s="30" t="s">
        <v>804</v>
      </c>
      <c r="I8" s="529">
        <v>11</v>
      </c>
      <c r="J8" s="529"/>
      <c r="K8" s="135"/>
    </row>
    <row r="9" spans="1:11" ht="16.5" customHeight="1" thickBot="1" x14ac:dyDescent="0.3">
      <c r="A9" s="496" t="s">
        <v>732</v>
      </c>
      <c r="B9" s="872">
        <f>+Amortization!$O$4</f>
        <v>29064</v>
      </c>
      <c r="C9" s="873"/>
      <c r="D9" s="30" t="s">
        <v>752</v>
      </c>
      <c r="E9" s="875">
        <f>IF(E8=0,0,Carrying!E5)</f>
        <v>0</v>
      </c>
      <c r="F9" s="873"/>
      <c r="G9" s="489"/>
      <c r="H9" s="30" t="s">
        <v>799</v>
      </c>
      <c r="I9" s="865">
        <v>6</v>
      </c>
      <c r="J9" s="865"/>
      <c r="K9" s="135"/>
    </row>
    <row r="10" spans="1:11" ht="16.5" customHeight="1" thickBot="1" x14ac:dyDescent="0.3">
      <c r="A10" s="496" t="s">
        <v>598</v>
      </c>
      <c r="B10" s="876">
        <f>+Amortization!O5</f>
        <v>261576</v>
      </c>
      <c r="C10" s="869"/>
      <c r="D10" s="527" t="s">
        <v>746</v>
      </c>
      <c r="E10" s="865"/>
      <c r="F10" s="869"/>
      <c r="G10" s="490"/>
      <c r="H10" s="30" t="s">
        <v>121</v>
      </c>
      <c r="I10" s="865">
        <v>0</v>
      </c>
      <c r="J10" s="865"/>
      <c r="K10" s="135"/>
    </row>
    <row r="11" spans="1:11" ht="13.5" customHeight="1" x14ac:dyDescent="0.25">
      <c r="A11" s="496" t="s">
        <v>712</v>
      </c>
      <c r="B11" s="877">
        <f>SUM(B12:B12)</f>
        <v>1630.04</v>
      </c>
      <c r="C11" s="878"/>
      <c r="D11" s="30" t="s">
        <v>670</v>
      </c>
      <c r="E11" s="879" t="str">
        <f>+Profit!$B$2</f>
        <v>4121 Tensity Dr</v>
      </c>
      <c r="F11" s="878"/>
      <c r="G11" s="493"/>
      <c r="H11" s="30" t="s">
        <v>801</v>
      </c>
      <c r="I11" s="865" t="str">
        <f>IF(I2&gt;0,"X","")</f>
        <v/>
      </c>
      <c r="J11" s="865"/>
      <c r="K11" s="135"/>
    </row>
    <row r="12" spans="1:11" ht="13.5" customHeight="1" x14ac:dyDescent="0.25">
      <c r="A12" s="496" t="s">
        <v>679</v>
      </c>
      <c r="B12" s="880">
        <f>+Amortization!Z9</f>
        <v>1630.04</v>
      </c>
      <c r="C12" s="881"/>
      <c r="D12" s="30" t="s">
        <v>672</v>
      </c>
      <c r="E12" s="879" t="str">
        <f>+Profit!$E$2</f>
        <v>Raleigh, NC 27604</v>
      </c>
      <c r="F12" s="881"/>
      <c r="G12" s="492"/>
      <c r="H12" s="30" t="s">
        <v>1128</v>
      </c>
      <c r="I12" s="865" t="s">
        <v>1129</v>
      </c>
      <c r="J12" s="865"/>
      <c r="K12" s="135"/>
    </row>
    <row r="13" spans="1:11" ht="13.5" customHeight="1" thickBot="1" x14ac:dyDescent="0.3">
      <c r="A13" s="496" t="s">
        <v>710</v>
      </c>
      <c r="B13" s="880">
        <f>+Amortization!Z10</f>
        <v>0</v>
      </c>
      <c r="C13" s="881"/>
      <c r="D13" s="30" t="s">
        <v>664</v>
      </c>
      <c r="E13" s="865" t="s">
        <v>1130</v>
      </c>
      <c r="F13" s="881"/>
      <c r="G13" s="492"/>
      <c r="H13" s="30"/>
      <c r="I13" s="865"/>
      <c r="J13" s="865"/>
      <c r="K13" s="135"/>
    </row>
    <row r="14" spans="1:11" ht="13.5" customHeight="1" thickBot="1" x14ac:dyDescent="0.3">
      <c r="A14" s="496" t="s">
        <v>711</v>
      </c>
      <c r="B14" s="877">
        <f>SUM(B13:B13)</f>
        <v>0</v>
      </c>
      <c r="C14" s="878"/>
      <c r="D14" s="496" t="s">
        <v>666</v>
      </c>
      <c r="E14" s="865">
        <f>+E15*12</f>
        <v>0</v>
      </c>
      <c r="F14" s="878"/>
      <c r="G14" s="493"/>
      <c r="H14" s="527" t="s">
        <v>1131</v>
      </c>
      <c r="I14" s="865"/>
      <c r="J14" s="865"/>
      <c r="K14" s="135"/>
    </row>
    <row r="15" spans="1:11" ht="13.5" customHeight="1" x14ac:dyDescent="0.25">
      <c r="A15" s="496" t="s">
        <v>680</v>
      </c>
      <c r="B15" s="876">
        <f>+Amortization!O9</f>
        <v>45717</v>
      </c>
      <c r="C15" s="878"/>
      <c r="D15" s="496" t="s">
        <v>667</v>
      </c>
      <c r="E15" s="882">
        <f>+Amortization!$T$10</f>
        <v>0</v>
      </c>
      <c r="F15" s="878"/>
      <c r="G15" s="493"/>
      <c r="H15" s="30" t="s">
        <v>1132</v>
      </c>
      <c r="I15" s="883"/>
      <c r="J15" s="865"/>
      <c r="K15" s="135"/>
    </row>
    <row r="16" spans="1:11" ht="13.5" customHeight="1" x14ac:dyDescent="0.25">
      <c r="A16" s="30" t="s">
        <v>716</v>
      </c>
      <c r="B16" s="879">
        <f>+B15*12</f>
        <v>548604</v>
      </c>
      <c r="C16" s="878"/>
      <c r="D16" s="496" t="s">
        <v>668</v>
      </c>
      <c r="E16" s="882">
        <f>+Amortization!$T$9</f>
        <v>188.55</v>
      </c>
      <c r="F16" s="878"/>
      <c r="G16" s="493"/>
      <c r="H16" s="30" t="s">
        <v>1133</v>
      </c>
      <c r="I16" s="883"/>
      <c r="J16" s="865"/>
      <c r="K16" s="135"/>
    </row>
    <row r="17" spans="1:11" ht="13.5" customHeight="1" thickBot="1" x14ac:dyDescent="0.3">
      <c r="A17" s="30" t="s">
        <v>715</v>
      </c>
      <c r="B17" s="879">
        <f>+B16-60</f>
        <v>548544</v>
      </c>
      <c r="C17" s="878"/>
      <c r="D17" s="497" t="s">
        <v>669</v>
      </c>
      <c r="E17" s="865">
        <v>0</v>
      </c>
      <c r="F17" s="878"/>
      <c r="G17" s="493"/>
      <c r="H17" s="30" t="s">
        <v>1134</v>
      </c>
      <c r="I17" s="883"/>
      <c r="J17" s="865"/>
      <c r="K17" s="135"/>
    </row>
    <row r="18" spans="1:11" ht="13.5" customHeight="1" thickBot="1" x14ac:dyDescent="0.3">
      <c r="A18" s="30" t="s">
        <v>719</v>
      </c>
      <c r="B18" s="884">
        <f>+Amortization!O11</f>
        <v>0</v>
      </c>
      <c r="C18" s="878"/>
      <c r="D18" s="527" t="s">
        <v>747</v>
      </c>
      <c r="E18" s="865"/>
      <c r="F18" s="878"/>
      <c r="G18" s="493"/>
      <c r="H18" s="30" t="s">
        <v>1135</v>
      </c>
      <c r="I18" s="885"/>
      <c r="J18" s="865"/>
      <c r="K18" s="135"/>
    </row>
    <row r="19" spans="1:11" ht="15.75" customHeight="1" x14ac:dyDescent="0.25">
      <c r="A19" s="30" t="s">
        <v>720</v>
      </c>
      <c r="B19" s="884">
        <f>+Amortization!Q11</f>
        <v>0</v>
      </c>
      <c r="C19" s="878"/>
      <c r="D19" s="30" t="s">
        <v>789</v>
      </c>
      <c r="E19" s="886" t="s">
        <v>1136</v>
      </c>
      <c r="F19" s="878"/>
      <c r="G19" s="493"/>
      <c r="H19" s="30" t="s">
        <v>1137</v>
      </c>
      <c r="I19" s="883"/>
      <c r="J19" s="865"/>
      <c r="K19" s="135"/>
    </row>
    <row r="20" spans="1:11" ht="15.75" customHeight="1" x14ac:dyDescent="0.25">
      <c r="A20" s="30" t="s">
        <v>717</v>
      </c>
      <c r="B20" s="884">
        <f>+Amortization!O11</f>
        <v>0</v>
      </c>
      <c r="C20" s="878"/>
      <c r="D20" s="30" t="s">
        <v>683</v>
      </c>
      <c r="E20" t="s">
        <v>1138</v>
      </c>
      <c r="F20" s="878"/>
      <c r="G20" s="493"/>
      <c r="H20" s="30" t="s">
        <v>1139</v>
      </c>
      <c r="I20" s="883"/>
      <c r="J20" s="865"/>
      <c r="K20" s="135"/>
    </row>
    <row r="21" spans="1:11" ht="15.75" customHeight="1" x14ac:dyDescent="0.25">
      <c r="A21" s="30" t="s">
        <v>718</v>
      </c>
      <c r="B21" s="884" t="e">
        <f>+$B$18+($B$15*365)-DAY(+$B$18+($B$15*365))+1</f>
        <v>#NUM!</v>
      </c>
      <c r="C21" s="878"/>
      <c r="D21" s="30" t="s">
        <v>727</v>
      </c>
      <c r="E21" s="887" t="s">
        <v>1140</v>
      </c>
      <c r="F21" s="878"/>
      <c r="G21" s="493"/>
      <c r="H21" s="493"/>
      <c r="J21" s="135"/>
      <c r="K21" s="135"/>
    </row>
    <row r="22" spans="1:11" ht="15.75" customHeight="1" x14ac:dyDescent="0.25">
      <c r="A22" s="30" t="s">
        <v>1141</v>
      </c>
      <c r="B22" s="868" t="s">
        <v>1142</v>
      </c>
      <c r="C22" s="871"/>
      <c r="E22" s="871"/>
      <c r="F22" s="878"/>
      <c r="G22" s="493"/>
      <c r="H22" s="493"/>
      <c r="J22" s="135"/>
      <c r="K22" s="135"/>
    </row>
    <row r="23" spans="1:11" ht="15.75" customHeight="1" x14ac:dyDescent="0.25">
      <c r="A23" s="30" t="s">
        <v>1143</v>
      </c>
      <c r="B23" s="888" t="s">
        <v>1144</v>
      </c>
      <c r="C23" s="871"/>
      <c r="E23" s="871"/>
      <c r="F23" s="878"/>
      <c r="G23" s="493"/>
      <c r="H23" s="493"/>
      <c r="J23" s="135"/>
      <c r="K23" s="135"/>
    </row>
    <row r="24" spans="1:11" ht="15.75" customHeight="1" x14ac:dyDescent="0.25">
      <c r="A24" s="30" t="s">
        <v>1145</v>
      </c>
      <c r="B24" s="889" t="s">
        <v>1146</v>
      </c>
      <c r="C24" s="871"/>
      <c r="E24" s="871"/>
      <c r="F24" s="878"/>
      <c r="G24" s="493"/>
      <c r="H24" s="493"/>
      <c r="J24" s="135"/>
      <c r="K24" s="135"/>
    </row>
    <row r="25" spans="1:11" ht="15.75" customHeight="1" x14ac:dyDescent="0.25">
      <c r="A25" s="30"/>
      <c r="B25" s="878"/>
      <c r="C25" s="878"/>
      <c r="D25" s="30" t="s">
        <v>1147</v>
      </c>
      <c r="E25" s="874"/>
      <c r="F25" s="878"/>
      <c r="G25" s="493"/>
      <c r="H25" s="493"/>
      <c r="J25" s="135"/>
      <c r="K25" s="135"/>
    </row>
    <row r="26" spans="1:11" ht="16.5" customHeight="1" thickBot="1" x14ac:dyDescent="0.3">
      <c r="A26" s="30"/>
      <c r="B26" s="865"/>
      <c r="C26" s="878"/>
      <c r="D26" s="30" t="s">
        <v>767</v>
      </c>
      <c r="E26" s="883"/>
      <c r="F26" s="878"/>
      <c r="G26" s="493"/>
      <c r="H26" s="493"/>
      <c r="J26" s="135"/>
      <c r="K26" s="135"/>
    </row>
    <row r="27" spans="1:11" ht="16.5" customHeight="1" thickBot="1" x14ac:dyDescent="0.3">
      <c r="A27" s="527" t="s">
        <v>751</v>
      </c>
      <c r="B27" s="865"/>
      <c r="C27" s="878"/>
      <c r="D27" s="30" t="s">
        <v>768</v>
      </c>
      <c r="E27" s="890"/>
      <c r="F27" s="878"/>
      <c r="G27" s="493"/>
      <c r="H27" s="493"/>
      <c r="J27" s="135"/>
      <c r="K27" s="135"/>
    </row>
    <row r="28" spans="1:11" ht="15.75" customHeight="1" x14ac:dyDescent="0.25">
      <c r="A28" s="30" t="s">
        <v>742</v>
      </c>
      <c r="B28" s="883" t="s">
        <v>1148</v>
      </c>
      <c r="C28" s="878"/>
      <c r="D28" s="30" t="s">
        <v>769</v>
      </c>
      <c r="E28" s="890"/>
      <c r="F28" s="878"/>
      <c r="G28" s="493"/>
      <c r="H28" s="493"/>
      <c r="J28" s="135"/>
      <c r="K28" s="135"/>
    </row>
    <row r="29" spans="1:11" ht="16.5" customHeight="1" thickBot="1" x14ac:dyDescent="0.3">
      <c r="A29" s="30" t="s">
        <v>757</v>
      </c>
      <c r="B29" s="879" t="str">
        <f>MOG!$B$3 &amp; " " &amp; MOG!$C$3</f>
        <v>Laurence A. Tunnard</v>
      </c>
      <c r="C29" s="878"/>
      <c r="D29" s="30" t="s">
        <v>770</v>
      </c>
      <c r="E29" s="883" t="s">
        <v>1149</v>
      </c>
      <c r="F29" s="878"/>
      <c r="G29" s="493"/>
      <c r="H29" s="493"/>
      <c r="J29" s="135"/>
      <c r="K29" s="135"/>
    </row>
    <row r="30" spans="1:11" ht="16.5" customHeight="1" thickBot="1" x14ac:dyDescent="0.3">
      <c r="A30" s="30" t="s">
        <v>759</v>
      </c>
      <c r="B30" s="879" t="str">
        <f>IF(B31="",MOG!B4&amp;" "&amp;MOG!C4,"")</f>
        <v>April D. Tunnard</v>
      </c>
      <c r="C30" s="878"/>
      <c r="D30" s="527" t="s">
        <v>794</v>
      </c>
      <c r="E30" s="865"/>
      <c r="F30" s="878"/>
      <c r="G30" s="493"/>
      <c r="H30" s="493"/>
      <c r="J30" s="135"/>
      <c r="K30" s="135"/>
    </row>
    <row r="31" spans="1:11" ht="15.75" customHeight="1" x14ac:dyDescent="0.25">
      <c r="A31" s="30" t="s">
        <v>1150</v>
      </c>
      <c r="B31" s="883"/>
      <c r="C31" s="865"/>
      <c r="D31" s="30" t="s">
        <v>754</v>
      </c>
      <c r="E31" s="883" t="s">
        <v>784</v>
      </c>
      <c r="F31" s="865"/>
      <c r="G31" s="25"/>
      <c r="H31" s="25"/>
      <c r="J31" s="135"/>
      <c r="K31" s="135"/>
    </row>
    <row r="32" spans="1:11" ht="15.75" customHeight="1" x14ac:dyDescent="0.25">
      <c r="A32" s="30" t="s">
        <v>1151</v>
      </c>
      <c r="B32" s="883"/>
      <c r="C32" s="865"/>
      <c r="D32" s="30" t="s">
        <v>771</v>
      </c>
      <c r="E32" s="874" t="s">
        <v>774</v>
      </c>
      <c r="F32" s="865"/>
      <c r="G32" s="25"/>
      <c r="H32" s="25"/>
      <c r="J32" s="135"/>
      <c r="K32" s="135"/>
    </row>
    <row r="33" spans="1:11" ht="15.75" customHeight="1" x14ac:dyDescent="0.25">
      <c r="A33" s="30" t="s">
        <v>758</v>
      </c>
      <c r="B33" s="865"/>
      <c r="C33" s="865"/>
      <c r="D33" s="30" t="s">
        <v>772</v>
      </c>
      <c r="E33" s="874" t="s">
        <v>773</v>
      </c>
      <c r="F33" s="865"/>
      <c r="G33" s="25"/>
      <c r="H33" s="25"/>
      <c r="J33" s="135"/>
      <c r="K33" s="135"/>
    </row>
    <row r="34" spans="1:11" ht="15.75" customHeight="1" x14ac:dyDescent="0.25">
      <c r="A34" s="30" t="s">
        <v>1152</v>
      </c>
      <c r="B34" s="865"/>
      <c r="C34" s="891"/>
      <c r="D34" s="30" t="s">
        <v>673</v>
      </c>
      <c r="E34" s="879" t="str">
        <f>+ E11 &amp; " Real Estate Trust dated " &amp; E35 &amp; " " &amp; E36</f>
        <v>4121 Tensity Dr Real Estate Trust dated March, 5 2025</v>
      </c>
      <c r="F34" s="891"/>
      <c r="G34" s="25"/>
      <c r="H34" s="25"/>
      <c r="J34" s="135"/>
      <c r="K34" s="135"/>
    </row>
    <row r="35" spans="1:11" ht="15.75" customHeight="1" x14ac:dyDescent="0.25">
      <c r="A35" s="30" t="s">
        <v>1153</v>
      </c>
      <c r="B35" s="865"/>
      <c r="C35" s="891"/>
      <c r="D35" s="30" t="s">
        <v>674</v>
      </c>
      <c r="E35" s="890" t="s">
        <v>775</v>
      </c>
      <c r="F35" s="891"/>
      <c r="G35" s="25"/>
      <c r="H35" s="25"/>
      <c r="J35" s="135"/>
      <c r="K35" s="135"/>
    </row>
    <row r="36" spans="1:11" ht="15.75" customHeight="1" x14ac:dyDescent="0.25">
      <c r="A36" s="30" t="s">
        <v>684</v>
      </c>
      <c r="B36" s="891"/>
      <c r="C36" s="891"/>
      <c r="D36" s="30" t="s">
        <v>627</v>
      </c>
      <c r="E36" s="883">
        <v>2025</v>
      </c>
      <c r="F36" s="891"/>
      <c r="G36" s="25"/>
      <c r="H36" s="25"/>
      <c r="J36" s="135"/>
      <c r="K36" s="135"/>
    </row>
    <row r="37" spans="1:11" ht="15.75" customHeight="1" x14ac:dyDescent="0.25">
      <c r="A37" s="30" t="s">
        <v>685</v>
      </c>
      <c r="B37" s="891"/>
      <c r="C37" s="891"/>
      <c r="D37" s="30" t="s">
        <v>675</v>
      </c>
      <c r="E37" s="883" t="s">
        <v>1154</v>
      </c>
      <c r="F37" s="891"/>
      <c r="G37" s="25"/>
      <c r="H37" s="25"/>
      <c r="J37" s="135"/>
      <c r="K37" s="135"/>
    </row>
    <row r="38" spans="1:11" ht="15.75" customHeight="1" x14ac:dyDescent="0.25">
      <c r="A38" s="30" t="s">
        <v>1155</v>
      </c>
      <c r="B38" s="891"/>
      <c r="C38" s="865"/>
      <c r="D38" s="30" t="s">
        <v>678</v>
      </c>
      <c r="E38" s="892">
        <f ca="1">YEAR(NOW())</f>
        <v>2026</v>
      </c>
      <c r="F38" s="865"/>
      <c r="G38" s="25"/>
      <c r="H38" s="25"/>
      <c r="J38" s="135"/>
      <c r="K38" s="135"/>
    </row>
    <row r="39" spans="1:11" ht="15.75" customHeight="1" x14ac:dyDescent="0.25">
      <c r="A39" s="30" t="s">
        <v>1156</v>
      </c>
      <c r="B39" s="891"/>
      <c r="C39" s="490"/>
      <c r="D39" s="30" t="s">
        <v>791</v>
      </c>
      <c r="E39" s="892">
        <f ca="1">MONTH(NOW())</f>
        <v>6</v>
      </c>
      <c r="F39" s="883"/>
      <c r="G39" s="25"/>
      <c r="H39" s="25"/>
      <c r="J39" s="135"/>
      <c r="K39" s="135"/>
    </row>
    <row r="40" spans="1:11" ht="15.75" customHeight="1" x14ac:dyDescent="0.25">
      <c r="A40" s="30" t="s">
        <v>763</v>
      </c>
      <c r="B40" s="865" t="s">
        <v>1157</v>
      </c>
      <c r="C40" s="490"/>
      <c r="D40" s="30"/>
      <c r="E40" s="865"/>
      <c r="F40" s="883"/>
      <c r="G40" s="25"/>
      <c r="H40" s="25"/>
      <c r="J40" s="135"/>
      <c r="K40" s="135"/>
    </row>
    <row r="41" spans="1:11" ht="15.75" customHeight="1" x14ac:dyDescent="0.25">
      <c r="A41" s="30" t="s">
        <v>760</v>
      </c>
      <c r="B41" s="883" t="s">
        <v>1158</v>
      </c>
      <c r="C41" s="490"/>
      <c r="D41" s="30" t="s">
        <v>726</v>
      </c>
      <c r="E41" s="865"/>
      <c r="F41" s="883"/>
      <c r="G41" s="25"/>
      <c r="H41" s="25"/>
      <c r="J41" s="135"/>
      <c r="K41" s="135"/>
    </row>
    <row r="42" spans="1:11" ht="15.75" customHeight="1" x14ac:dyDescent="0.25">
      <c r="A42" s="30" t="s">
        <v>761</v>
      </c>
      <c r="B42" s="883" t="s">
        <v>1158</v>
      </c>
      <c r="C42" s="865"/>
      <c r="D42" s="30"/>
      <c r="E42" s="865"/>
      <c r="F42" s="865"/>
      <c r="G42" s="25"/>
      <c r="H42" s="25"/>
      <c r="J42" s="135"/>
      <c r="K42" s="135"/>
    </row>
    <row r="43" spans="1:11" ht="15.75" customHeight="1" x14ac:dyDescent="0.25">
      <c r="A43" s="30" t="s">
        <v>764</v>
      </c>
      <c r="B43" s="883" t="s">
        <v>1158</v>
      </c>
      <c r="C43" s="869"/>
      <c r="D43" s="869"/>
      <c r="E43" s="869"/>
      <c r="F43" s="869"/>
      <c r="G43" s="490"/>
      <c r="H43" s="490"/>
      <c r="J43" s="135"/>
      <c r="K43" s="135"/>
    </row>
    <row r="44" spans="1:11" ht="15.75" customHeight="1" x14ac:dyDescent="0.25">
      <c r="A44" s="30" t="s">
        <v>762</v>
      </c>
      <c r="B44" s="865">
        <v>555834859</v>
      </c>
      <c r="C44" s="869"/>
      <c r="D44" s="869"/>
      <c r="E44" s="869"/>
      <c r="F44" s="869"/>
      <c r="G44" s="490"/>
      <c r="H44" s="490"/>
      <c r="J44" s="135"/>
      <c r="K44" s="135"/>
    </row>
    <row r="45" spans="1:11" ht="15.75" customHeight="1" x14ac:dyDescent="0.25">
      <c r="A45" s="496" t="s">
        <v>737</v>
      </c>
      <c r="B45" s="869">
        <f>Profit!C14</f>
        <v>28063.26</v>
      </c>
      <c r="C45" s="869"/>
      <c r="D45" s="869"/>
      <c r="E45" s="869"/>
      <c r="F45" s="869"/>
      <c r="G45" s="490"/>
      <c r="H45" s="490"/>
      <c r="J45" s="135"/>
      <c r="K45" s="135"/>
    </row>
    <row r="46" spans="1:11" ht="15.75" customHeight="1" x14ac:dyDescent="0.25">
      <c r="A46" s="496" t="s">
        <v>602</v>
      </c>
      <c r="B46" s="869">
        <f>Profit!C15</f>
        <v>97228</v>
      </c>
      <c r="C46" s="490"/>
      <c r="D46" s="490"/>
      <c r="E46" s="490"/>
      <c r="F46" s="490"/>
      <c r="G46" s="490"/>
      <c r="H46" s="490"/>
      <c r="J46" s="135"/>
      <c r="K46" s="135"/>
    </row>
    <row r="47" spans="1:11" ht="15.75" customHeight="1" x14ac:dyDescent="0.25">
      <c r="A47" s="496" t="s">
        <v>736</v>
      </c>
      <c r="B47" s="869">
        <f>Profit!B21</f>
        <v>130291.26</v>
      </c>
      <c r="C47" s="869"/>
      <c r="D47" s="869"/>
      <c r="E47" s="869"/>
      <c r="F47" s="869"/>
      <c r="G47" s="490"/>
      <c r="H47" s="490"/>
      <c r="J47" s="135"/>
      <c r="K47" s="135"/>
    </row>
    <row r="48" spans="1:11" ht="15.75" customHeight="1" x14ac:dyDescent="0.25">
      <c r="A48" s="496" t="s">
        <v>665</v>
      </c>
      <c r="B48" s="883">
        <v>100</v>
      </c>
      <c r="C48" s="881"/>
      <c r="D48" s="881"/>
      <c r="E48" s="881"/>
      <c r="F48" s="881"/>
      <c r="G48" s="492"/>
      <c r="H48" s="492"/>
      <c r="J48" s="135"/>
      <c r="K48" s="135"/>
    </row>
    <row r="49" spans="1:11" ht="15.75" customHeight="1" x14ac:dyDescent="0.25">
      <c r="A49" s="496" t="s">
        <v>734</v>
      </c>
      <c r="B49" s="869">
        <f>+Profit!C20-B48</f>
        <v>4900</v>
      </c>
      <c r="C49" s="881"/>
      <c r="D49" s="881"/>
      <c r="E49" s="881"/>
      <c r="F49" s="881"/>
      <c r="G49" s="492"/>
      <c r="H49" s="492"/>
      <c r="J49" s="135"/>
      <c r="K49" s="135"/>
    </row>
    <row r="50" spans="1:11" ht="15.75" customHeight="1" x14ac:dyDescent="0.25">
      <c r="A50" s="496" t="s">
        <v>676</v>
      </c>
      <c r="B50" s="881" t="str">
        <f>TEXT(Amortization!$C$4,"0.000%")</f>
        <v>3000.000%</v>
      </c>
      <c r="C50" s="881"/>
      <c r="D50" s="881"/>
      <c r="E50" s="881"/>
      <c r="F50" s="881"/>
      <c r="G50" s="492"/>
      <c r="H50" s="492"/>
      <c r="J50" s="135"/>
      <c r="K50" s="135"/>
    </row>
    <row r="51" spans="1:11" ht="15.75" customHeight="1" x14ac:dyDescent="0.25">
      <c r="A51" s="496" t="s">
        <v>729</v>
      </c>
      <c r="B51" s="881" t="str">
        <f>TEXT(+Amortization!AA9,"0.000%")</f>
        <v>6.250%</v>
      </c>
      <c r="C51" s="869"/>
      <c r="D51" s="869"/>
      <c r="E51" s="869"/>
      <c r="F51" s="869"/>
      <c r="G51" s="490"/>
      <c r="H51" s="490"/>
      <c r="J51" s="135"/>
      <c r="K51" s="135"/>
    </row>
    <row r="52" spans="1:11" ht="15.75" customHeight="1" x14ac:dyDescent="0.25">
      <c r="A52" s="496" t="s">
        <v>728</v>
      </c>
      <c r="B52" s="881" t="str">
        <f>TEXT(Amortization!$O$7,"0.000%")</f>
        <v>3000.000%</v>
      </c>
      <c r="C52" s="871"/>
      <c r="D52" s="871"/>
      <c r="E52" s="871"/>
      <c r="F52" s="871"/>
      <c r="G52" s="491"/>
      <c r="H52" s="491"/>
      <c r="J52" s="135"/>
      <c r="K52" s="135"/>
    </row>
    <row r="53" spans="1:11" ht="15.75" customHeight="1" x14ac:dyDescent="0.25">
      <c r="A53" s="496" t="s">
        <v>738</v>
      </c>
      <c r="B53" s="869" t="s">
        <v>1159</v>
      </c>
      <c r="C53" s="869"/>
      <c r="D53" s="869"/>
      <c r="E53" s="869"/>
      <c r="F53" s="869"/>
      <c r="G53" s="490"/>
      <c r="H53" s="490"/>
      <c r="J53" s="135"/>
      <c r="K53" s="135"/>
    </row>
    <row r="54" spans="1:11" ht="15.75" customHeight="1" x14ac:dyDescent="0.25">
      <c r="B54" s="871"/>
      <c r="C54" s="866"/>
      <c r="D54" s="866"/>
      <c r="E54" s="866"/>
      <c r="F54" s="866"/>
      <c r="G54" s="528"/>
      <c r="H54" s="528"/>
      <c r="J54" s="135"/>
      <c r="K54" s="135"/>
    </row>
    <row r="55" spans="1:11" ht="15.75" customHeight="1" x14ac:dyDescent="0.25">
      <c r="A55" s="496" t="s">
        <v>748</v>
      </c>
      <c r="B55" s="869" t="s">
        <v>152</v>
      </c>
      <c r="C55" s="866"/>
      <c r="D55" s="866"/>
      <c r="E55" s="866"/>
      <c r="F55" s="866"/>
      <c r="G55" s="528"/>
      <c r="H55" s="528"/>
      <c r="J55" s="135"/>
      <c r="K55" s="135"/>
    </row>
    <row r="56" spans="1:11" ht="15.75" customHeight="1" x14ac:dyDescent="0.25">
      <c r="B56" s="871"/>
      <c r="C56" s="869"/>
      <c r="D56" s="869"/>
      <c r="E56" s="869"/>
      <c r="F56" s="869"/>
      <c r="G56" s="528"/>
      <c r="H56" s="528"/>
      <c r="J56" s="135"/>
      <c r="K56" s="135"/>
    </row>
    <row r="57" spans="1:11" ht="15.75" customHeight="1" x14ac:dyDescent="0.25">
      <c r="B57" s="871"/>
      <c r="C57" s="870"/>
      <c r="D57" s="870"/>
      <c r="E57" s="870"/>
      <c r="F57" s="870"/>
      <c r="G57" s="32"/>
      <c r="H57" s="32"/>
      <c r="J57" s="135"/>
      <c r="K57" s="135"/>
    </row>
    <row r="58" spans="1:11" ht="15.75" customHeight="1" x14ac:dyDescent="0.25">
      <c r="B58" s="871"/>
      <c r="C58" s="869"/>
      <c r="D58" s="869"/>
      <c r="E58" s="869"/>
      <c r="F58" s="869"/>
      <c r="G58" s="490"/>
      <c r="H58" s="490"/>
      <c r="J58" s="135"/>
      <c r="K58" s="135"/>
    </row>
    <row r="59" spans="1:11" ht="15.75" customHeight="1" x14ac:dyDescent="0.25">
      <c r="B59" s="871"/>
      <c r="C59" s="866"/>
      <c r="D59" s="866"/>
      <c r="E59" s="866"/>
      <c r="F59" s="866"/>
      <c r="G59" s="490"/>
      <c r="H59" s="490"/>
      <c r="J59" s="135"/>
      <c r="K59" s="135"/>
    </row>
    <row r="60" spans="1:11" ht="15.75" customHeight="1" x14ac:dyDescent="0.25">
      <c r="B60" s="871"/>
      <c r="C60" s="866"/>
      <c r="D60" s="866"/>
      <c r="E60" s="866"/>
      <c r="F60" s="866"/>
      <c r="G60" s="490"/>
      <c r="H60" s="490"/>
      <c r="J60" s="135"/>
      <c r="K60" s="135"/>
    </row>
    <row r="61" spans="1:11" ht="15.75" customHeight="1" x14ac:dyDescent="0.25">
      <c r="B61" s="871"/>
      <c r="C61" s="866"/>
      <c r="D61" s="866"/>
      <c r="E61" s="866"/>
      <c r="F61" s="866"/>
      <c r="G61" s="490"/>
      <c r="H61" s="490"/>
      <c r="J61" s="135"/>
      <c r="K61" s="135"/>
    </row>
    <row r="62" spans="1:11" ht="15.75" customHeight="1" x14ac:dyDescent="0.25">
      <c r="B62" s="871"/>
      <c r="C62" s="875"/>
      <c r="D62" s="875"/>
      <c r="E62" s="875"/>
      <c r="F62" s="875"/>
      <c r="G62" s="490"/>
      <c r="H62" s="490"/>
      <c r="J62" s="135"/>
      <c r="K62" s="135"/>
    </row>
    <row r="63" spans="1:11" ht="15.75" customHeight="1" x14ac:dyDescent="0.25">
      <c r="B63" s="871"/>
      <c r="C63" s="865"/>
      <c r="D63" s="865"/>
      <c r="E63" s="865"/>
      <c r="F63" s="865"/>
      <c r="G63" s="25"/>
      <c r="H63" s="25"/>
      <c r="J63" s="135"/>
      <c r="K63" s="135"/>
    </row>
    <row r="64" spans="1:11" ht="15.75" customHeight="1" x14ac:dyDescent="0.25">
      <c r="B64" s="871"/>
      <c r="C64" s="865"/>
      <c r="D64" s="865"/>
      <c r="E64" s="865"/>
      <c r="F64" s="865"/>
      <c r="G64" s="25"/>
      <c r="H64" s="25"/>
      <c r="J64" s="135"/>
      <c r="K64" s="135"/>
    </row>
    <row r="65" spans="2:11" ht="15.75" customHeight="1" x14ac:dyDescent="0.25">
      <c r="B65" s="871"/>
      <c r="C65" s="865"/>
      <c r="D65" s="865"/>
      <c r="E65" s="865"/>
      <c r="F65" s="865"/>
      <c r="G65" s="25"/>
      <c r="H65" s="25"/>
      <c r="J65" s="135"/>
      <c r="K65" s="135"/>
    </row>
    <row r="66" spans="2:11" ht="15.75" customHeight="1" x14ac:dyDescent="0.25">
      <c r="B66" s="871"/>
      <c r="C66" s="865"/>
      <c r="D66" s="865"/>
      <c r="E66" s="865"/>
      <c r="F66" s="865"/>
      <c r="G66" s="25"/>
      <c r="H66" s="25"/>
      <c r="J66" s="135"/>
      <c r="K66" s="135"/>
    </row>
    <row r="67" spans="2:11" ht="15.75" customHeight="1" x14ac:dyDescent="0.25">
      <c r="B67" s="871"/>
      <c r="C67" s="865"/>
      <c r="D67" s="865"/>
      <c r="E67" s="865"/>
      <c r="F67" s="865"/>
      <c r="G67" s="25"/>
      <c r="H67" s="25"/>
      <c r="J67" s="135"/>
      <c r="K67" s="135"/>
    </row>
    <row r="68" spans="2:11" ht="15.75" customHeight="1" x14ac:dyDescent="0.25">
      <c r="B68" s="871"/>
      <c r="C68" s="875"/>
      <c r="D68" s="875"/>
      <c r="E68" s="875"/>
      <c r="F68" s="875"/>
      <c r="G68" s="491"/>
      <c r="H68" s="491"/>
      <c r="J68" s="135"/>
      <c r="K68" s="135"/>
    </row>
    <row r="69" spans="2:11" ht="15.75" customHeight="1" x14ac:dyDescent="0.25">
      <c r="B69" s="871"/>
      <c r="C69" s="875"/>
      <c r="D69" s="875"/>
      <c r="E69" s="875"/>
      <c r="F69" s="875"/>
      <c r="G69" s="491"/>
      <c r="H69" s="491"/>
      <c r="J69" s="135"/>
      <c r="K69" s="135"/>
    </row>
    <row r="70" spans="2:11" ht="15.75" customHeight="1" x14ac:dyDescent="0.25">
      <c r="B70" s="871"/>
      <c r="C70" s="865"/>
      <c r="D70" s="865"/>
      <c r="E70" s="865"/>
      <c r="F70" s="865"/>
      <c r="G70" s="25"/>
      <c r="H70" s="25"/>
      <c r="J70" s="135"/>
      <c r="K70" s="135"/>
    </row>
    <row r="71" spans="2:11" ht="15.75" customHeight="1" x14ac:dyDescent="0.25">
      <c r="B71" s="871"/>
      <c r="C71" s="865"/>
      <c r="D71" s="865"/>
      <c r="E71" s="865"/>
      <c r="F71" s="865"/>
      <c r="G71" s="25"/>
      <c r="H71" s="25"/>
      <c r="J71" s="135"/>
      <c r="K71" s="135"/>
    </row>
    <row r="72" spans="2:11" ht="15.75" customHeight="1" x14ac:dyDescent="0.25">
      <c r="B72" s="871"/>
      <c r="C72" s="869"/>
      <c r="D72" s="869"/>
      <c r="E72" s="869"/>
      <c r="F72" s="869"/>
      <c r="G72" s="490"/>
      <c r="H72" s="490"/>
      <c r="J72" s="135"/>
      <c r="K72" s="135"/>
    </row>
    <row r="73" spans="2:11" ht="15.75" customHeight="1" x14ac:dyDescent="0.25">
      <c r="B73" s="871"/>
      <c r="C73" s="869"/>
      <c r="D73" s="869"/>
      <c r="E73" s="869"/>
      <c r="F73" s="869"/>
      <c r="G73" s="490"/>
      <c r="H73" s="490"/>
      <c r="J73" s="135"/>
      <c r="K73" s="135"/>
    </row>
    <row r="74" spans="2:11" ht="15.75" customHeight="1" x14ac:dyDescent="0.25">
      <c r="B74" s="871"/>
      <c r="C74" s="866"/>
      <c r="D74" s="866"/>
      <c r="E74" s="866"/>
      <c r="F74" s="866"/>
      <c r="G74" s="866"/>
      <c r="H74" s="866"/>
      <c r="I74" s="866"/>
      <c r="J74" s="866"/>
      <c r="K74" s="135"/>
    </row>
    <row r="75" spans="2:11" ht="15.75" customHeight="1" x14ac:dyDescent="0.25">
      <c r="B75" s="871"/>
      <c r="C75" s="866"/>
      <c r="D75" s="866"/>
      <c r="E75" s="866"/>
      <c r="F75" s="866"/>
      <c r="G75" s="866"/>
      <c r="H75" s="866"/>
      <c r="I75" s="866"/>
      <c r="J75" s="866"/>
      <c r="K75" s="135"/>
    </row>
    <row r="76" spans="2:11" ht="15.75" customHeight="1" x14ac:dyDescent="0.25">
      <c r="B76" s="871"/>
      <c r="C76" s="866"/>
      <c r="D76" s="866"/>
      <c r="E76" s="866"/>
      <c r="F76" s="866"/>
      <c r="G76" s="866"/>
      <c r="H76" s="866"/>
      <c r="I76" s="866"/>
      <c r="J76" s="866"/>
      <c r="K76" s="135"/>
    </row>
    <row r="77" spans="2:11" ht="15.75" customHeight="1" x14ac:dyDescent="0.25">
      <c r="B77" s="871"/>
      <c r="C77" s="866"/>
      <c r="D77" s="866"/>
      <c r="E77" s="866"/>
      <c r="F77" s="866"/>
      <c r="G77" s="866"/>
      <c r="H77" s="866"/>
      <c r="I77" s="866"/>
      <c r="J77" s="866"/>
      <c r="K77" s="135"/>
    </row>
    <row r="78" spans="2:11" ht="15.75" customHeight="1" x14ac:dyDescent="0.25">
      <c r="B78" s="871"/>
      <c r="C78" s="866"/>
      <c r="D78" s="866"/>
      <c r="E78" s="866"/>
      <c r="F78" s="866"/>
      <c r="G78" s="866"/>
      <c r="H78" s="866"/>
      <c r="I78" s="866"/>
      <c r="J78" s="866"/>
      <c r="K78" s="135"/>
    </row>
    <row r="79" spans="2:11" ht="15.75" customHeight="1" x14ac:dyDescent="0.25">
      <c r="B79" s="871"/>
      <c r="C79" s="866"/>
      <c r="D79" s="866"/>
      <c r="E79" s="866"/>
      <c r="F79" s="866"/>
      <c r="G79" s="866"/>
      <c r="H79" s="866"/>
      <c r="I79" s="866"/>
      <c r="J79" s="866"/>
      <c r="K79" s="135"/>
    </row>
    <row r="80" spans="2:11" ht="15.75" customHeight="1" x14ac:dyDescent="0.25">
      <c r="B80" s="871"/>
      <c r="C80" s="866"/>
      <c r="D80" s="866"/>
      <c r="E80" s="866"/>
      <c r="F80" s="866"/>
      <c r="G80" s="866"/>
      <c r="H80" s="866"/>
      <c r="I80" s="866"/>
      <c r="J80" s="866"/>
      <c r="K80" s="135"/>
    </row>
    <row r="81" spans="2:71" ht="15.75" customHeight="1" x14ac:dyDescent="0.25">
      <c r="B81" s="871"/>
      <c r="C81" s="866"/>
      <c r="D81" s="866"/>
      <c r="E81" s="866"/>
      <c r="F81" s="866"/>
      <c r="G81" s="25"/>
      <c r="H81" s="25"/>
      <c r="J81" s="135"/>
      <c r="K81" s="135"/>
    </row>
    <row r="82" spans="2:71" ht="15.75" customHeight="1" x14ac:dyDescent="0.25">
      <c r="B82" s="871"/>
      <c r="C82" s="865"/>
      <c r="D82" s="865"/>
      <c r="E82" s="865"/>
      <c r="F82" s="865"/>
      <c r="G82" s="25"/>
      <c r="H82" s="25"/>
      <c r="J82" s="135"/>
      <c r="K82" s="135"/>
    </row>
    <row r="83" spans="2:71" ht="15.75" customHeight="1" x14ac:dyDescent="0.25">
      <c r="B83" s="871"/>
      <c r="C83" s="871"/>
      <c r="D83" s="871"/>
      <c r="E83" s="871"/>
      <c r="F83" s="871"/>
      <c r="J83" s="135"/>
      <c r="K83" s="135"/>
    </row>
    <row r="84" spans="2:71" ht="15.75" customHeight="1" x14ac:dyDescent="0.25">
      <c r="B84" s="871"/>
      <c r="C84" s="871"/>
      <c r="D84" s="871"/>
      <c r="E84" s="871"/>
      <c r="F84" s="871"/>
      <c r="J84" s="135"/>
      <c r="K84" s="135"/>
    </row>
    <row r="85" spans="2:71" ht="15.75" customHeight="1" x14ac:dyDescent="0.25">
      <c r="B85" s="871"/>
      <c r="C85" s="865"/>
      <c r="D85" s="865"/>
      <c r="E85" s="865"/>
      <c r="F85" s="865"/>
      <c r="G85" s="25"/>
      <c r="H85" s="25"/>
      <c r="J85" s="135"/>
      <c r="K85" s="135"/>
      <c r="BR85" s="30"/>
      <c r="BS85" s="30"/>
    </row>
    <row r="86" spans="2:71" ht="15.75" customHeight="1" x14ac:dyDescent="0.25">
      <c r="B86" s="871"/>
      <c r="C86" s="893"/>
      <c r="D86" s="893"/>
      <c r="E86" s="893"/>
      <c r="F86" s="893"/>
      <c r="G86" s="495"/>
      <c r="H86" s="495"/>
      <c r="J86" s="135"/>
      <c r="K86" s="135"/>
    </row>
    <row r="87" spans="2:71" ht="15.75" customHeight="1" x14ac:dyDescent="0.25">
      <c r="B87" s="871"/>
      <c r="C87" s="865"/>
      <c r="D87" s="865"/>
      <c r="E87" s="865"/>
      <c r="F87" s="865"/>
      <c r="G87" s="25"/>
      <c r="H87" s="25"/>
      <c r="J87" s="135"/>
      <c r="K87" s="135"/>
    </row>
    <row r="88" spans="2:71" ht="15.75" customHeight="1" x14ac:dyDescent="0.25">
      <c r="B88" s="871"/>
      <c r="C88" s="883"/>
      <c r="D88" s="883"/>
      <c r="E88" s="883"/>
      <c r="F88" s="883"/>
      <c r="G88" s="28"/>
      <c r="H88" s="28"/>
      <c r="J88" s="135"/>
      <c r="K88" s="135"/>
    </row>
    <row r="89" spans="2:71" ht="15.75" customHeight="1" x14ac:dyDescent="0.25">
      <c r="B89" s="871"/>
      <c r="C89" s="870"/>
      <c r="D89" s="870"/>
      <c r="E89" s="870"/>
      <c r="F89" s="870"/>
      <c r="G89" s="32"/>
      <c r="H89" s="32"/>
      <c r="J89" s="135"/>
      <c r="K89" s="135"/>
    </row>
    <row r="90" spans="2:71" ht="15.75" customHeight="1" x14ac:dyDescent="0.25">
      <c r="B90" s="871"/>
      <c r="C90" s="870"/>
      <c r="D90" s="870"/>
      <c r="E90" s="870"/>
      <c r="F90" s="870"/>
      <c r="G90" s="32"/>
      <c r="H90" s="32"/>
      <c r="J90" s="135"/>
      <c r="K90" s="135"/>
    </row>
    <row r="91" spans="2:71" ht="15.75" customHeight="1" x14ac:dyDescent="0.25">
      <c r="B91" s="871"/>
      <c r="C91" s="865"/>
      <c r="D91" s="865"/>
      <c r="E91" s="865"/>
      <c r="F91" s="865"/>
      <c r="G91" s="25"/>
      <c r="H91" s="25"/>
      <c r="J91" s="135"/>
      <c r="K91" s="135"/>
    </row>
    <row r="92" spans="2:71" ht="15.75" customHeight="1" x14ac:dyDescent="0.25">
      <c r="B92" s="871"/>
      <c r="C92" s="865"/>
      <c r="D92" s="865"/>
      <c r="E92" s="865"/>
      <c r="F92" s="865"/>
      <c r="G92" s="25"/>
      <c r="H92" s="25"/>
      <c r="J92" s="135"/>
      <c r="K92" s="135"/>
    </row>
    <row r="93" spans="2:71" ht="15.75" customHeight="1" x14ac:dyDescent="0.25">
      <c r="B93" s="871"/>
      <c r="C93" s="865"/>
      <c r="D93" s="865"/>
      <c r="E93" s="865"/>
      <c r="F93" s="865"/>
      <c r="G93" s="25"/>
      <c r="H93" s="25"/>
      <c r="J93" s="135"/>
      <c r="K93" s="135"/>
    </row>
    <row r="94" spans="2:71" ht="15.75" customHeight="1" x14ac:dyDescent="0.25">
      <c r="B94" s="871"/>
      <c r="C94" s="871"/>
      <c r="D94" s="865"/>
      <c r="E94" s="865"/>
      <c r="F94" s="865"/>
      <c r="G94" s="25"/>
      <c r="H94" s="25"/>
      <c r="J94" s="135"/>
      <c r="K94" s="135"/>
    </row>
    <row r="95" spans="2:71" ht="15.75" customHeight="1" x14ac:dyDescent="0.25">
      <c r="B95" s="871"/>
      <c r="C95" s="871"/>
      <c r="D95" s="865"/>
      <c r="E95" s="865"/>
      <c r="F95" s="865"/>
      <c r="G95" s="25"/>
      <c r="H95" s="25"/>
      <c r="J95" s="135"/>
      <c r="K95" s="135"/>
    </row>
    <row r="96" spans="2:71" ht="15.75" customHeight="1" x14ac:dyDescent="0.25">
      <c r="B96" s="871"/>
      <c r="C96" s="871"/>
      <c r="D96" s="865"/>
      <c r="E96" s="865"/>
      <c r="F96" s="865"/>
      <c r="G96" s="25"/>
      <c r="H96" s="25"/>
      <c r="J96" s="135"/>
      <c r="K96" s="135"/>
    </row>
    <row r="97" spans="2:11" ht="15.75" customHeight="1" x14ac:dyDescent="0.25">
      <c r="B97" s="871"/>
      <c r="C97" s="871"/>
      <c r="D97" s="865"/>
      <c r="E97" s="865"/>
      <c r="F97" s="865"/>
      <c r="G97" s="25"/>
      <c r="H97" s="25"/>
      <c r="J97" s="135"/>
      <c r="K97" s="135"/>
    </row>
    <row r="98" spans="2:11" ht="15.75" customHeight="1" x14ac:dyDescent="0.25">
      <c r="B98" s="871"/>
      <c r="C98" s="871"/>
      <c r="D98" s="865"/>
      <c r="E98" s="865"/>
      <c r="F98" s="865"/>
      <c r="G98" s="25"/>
      <c r="H98" s="25"/>
      <c r="J98" s="135"/>
      <c r="K98" s="135"/>
    </row>
    <row r="99" spans="2:11" ht="15.75" customHeight="1" x14ac:dyDescent="0.25">
      <c r="B99" s="871"/>
      <c r="C99" s="871"/>
      <c r="D99" s="871"/>
      <c r="E99" s="871"/>
      <c r="F99" s="871"/>
      <c r="G99" s="491"/>
      <c r="H99" s="491"/>
      <c r="J99" s="135"/>
      <c r="K99" s="135"/>
    </row>
    <row r="100" spans="2:11" ht="15.75" customHeight="1" x14ac:dyDescent="0.25">
      <c r="B100" s="871"/>
      <c r="C100" s="871"/>
      <c r="D100" s="871"/>
      <c r="E100" s="871"/>
      <c r="F100" s="871"/>
      <c r="G100" s="491"/>
      <c r="H100" s="491"/>
      <c r="J100" s="135"/>
      <c r="K100" s="135"/>
    </row>
    <row r="101" spans="2:11" ht="15.75" customHeight="1" x14ac:dyDescent="0.25">
      <c r="B101" s="871"/>
      <c r="C101" s="871"/>
      <c r="D101" s="529"/>
      <c r="E101" s="529"/>
      <c r="F101" s="529"/>
      <c r="G101" s="491"/>
      <c r="H101" s="491"/>
      <c r="J101" s="135"/>
      <c r="K101" s="135"/>
    </row>
    <row r="102" spans="2:11" ht="15.75" customHeight="1" x14ac:dyDescent="0.25">
      <c r="B102" s="871"/>
      <c r="C102" s="871"/>
      <c r="D102" s="865"/>
      <c r="E102" s="865"/>
      <c r="F102" s="865"/>
      <c r="G102" s="25"/>
      <c r="H102" s="25"/>
      <c r="J102" s="135"/>
      <c r="K102" s="135"/>
    </row>
    <row r="103" spans="2:11" ht="15.75" customHeight="1" x14ac:dyDescent="0.25">
      <c r="B103" s="871"/>
      <c r="C103" s="871"/>
      <c r="D103" s="865"/>
      <c r="E103" s="865"/>
      <c r="F103" s="865"/>
      <c r="G103" s="25"/>
      <c r="H103" s="25"/>
      <c r="J103" s="135"/>
      <c r="K103" s="135"/>
    </row>
    <row r="104" spans="2:11" ht="15.75" customHeight="1" x14ac:dyDescent="0.25">
      <c r="B104" s="871"/>
      <c r="C104" s="871"/>
      <c r="D104" s="865"/>
      <c r="E104" s="865"/>
      <c r="F104" s="865"/>
      <c r="G104" s="25"/>
      <c r="H104" s="25"/>
      <c r="J104" s="135"/>
      <c r="K104" s="135"/>
    </row>
    <row r="105" spans="2:11" ht="15.75" customHeight="1" x14ac:dyDescent="0.25">
      <c r="B105" s="871"/>
      <c r="C105" s="871"/>
      <c r="D105" s="865"/>
      <c r="E105" s="865"/>
      <c r="F105" s="865"/>
      <c r="G105" s="25"/>
      <c r="H105" s="25"/>
      <c r="J105" s="135"/>
      <c r="K105" s="135"/>
    </row>
    <row r="106" spans="2:11" ht="15.75" customHeight="1" x14ac:dyDescent="0.25">
      <c r="B106" s="871"/>
      <c r="C106" s="871"/>
      <c r="D106" s="865"/>
      <c r="E106" s="865"/>
      <c r="F106" s="865"/>
      <c r="G106" s="25"/>
      <c r="H106" s="25"/>
      <c r="J106" s="135"/>
      <c r="K106" s="135"/>
    </row>
    <row r="107" spans="2:11" ht="15.75" customHeight="1" x14ac:dyDescent="0.25">
      <c r="B107" s="871"/>
      <c r="C107" s="871"/>
      <c r="D107" s="865"/>
      <c r="E107" s="865"/>
      <c r="F107" s="865"/>
      <c r="G107" s="25"/>
      <c r="H107" s="25"/>
      <c r="J107" s="135"/>
      <c r="K107" s="135"/>
    </row>
    <row r="108" spans="2:11" ht="15.75" customHeight="1" x14ac:dyDescent="0.25">
      <c r="B108" s="871"/>
      <c r="C108" s="871"/>
      <c r="D108" s="865"/>
      <c r="E108" s="865"/>
      <c r="F108" s="865"/>
      <c r="G108" s="25"/>
      <c r="H108" s="25"/>
      <c r="J108" s="135"/>
      <c r="K108" s="135"/>
    </row>
    <row r="109" spans="2:11" ht="15.75" customHeight="1" x14ac:dyDescent="0.25">
      <c r="B109" s="871"/>
      <c r="C109" s="871"/>
      <c r="D109" s="865"/>
      <c r="E109" s="865"/>
      <c r="F109" s="865"/>
      <c r="G109" s="25"/>
      <c r="H109" s="25"/>
      <c r="J109" s="135"/>
      <c r="K109" s="135"/>
    </row>
    <row r="110" spans="2:11" ht="15.75" customHeight="1" x14ac:dyDescent="0.25">
      <c r="B110" s="871"/>
      <c r="C110" s="871"/>
      <c r="D110" s="865"/>
      <c r="E110" s="865"/>
      <c r="F110" s="865"/>
      <c r="G110" s="25"/>
      <c r="H110" s="25"/>
      <c r="J110" s="135"/>
      <c r="K110" s="135"/>
    </row>
    <row r="111" spans="2:11" ht="15.75" customHeight="1" x14ac:dyDescent="0.25">
      <c r="B111" s="871"/>
      <c r="C111" s="871"/>
      <c r="D111" s="865"/>
      <c r="E111" s="865"/>
      <c r="F111" s="865"/>
      <c r="G111" s="25"/>
      <c r="H111" s="25"/>
      <c r="J111" s="135"/>
      <c r="K111" s="135"/>
    </row>
    <row r="112" spans="2:11" ht="15.75" customHeight="1" x14ac:dyDescent="0.25">
      <c r="B112" s="871"/>
      <c r="C112" s="871"/>
      <c r="D112" s="865"/>
      <c r="E112" s="865"/>
      <c r="F112" s="865"/>
      <c r="G112" s="25"/>
      <c r="H112" s="25"/>
      <c r="J112" s="135"/>
      <c r="K112" s="135"/>
    </row>
    <row r="113" spans="2:11" ht="15.75" customHeight="1" x14ac:dyDescent="0.25">
      <c r="B113" s="871"/>
      <c r="C113" s="871"/>
      <c r="D113" s="865"/>
      <c r="E113" s="865"/>
      <c r="F113" s="865"/>
      <c r="G113" s="25"/>
      <c r="H113" s="25"/>
      <c r="J113" s="135"/>
      <c r="K113" s="135"/>
    </row>
    <row r="114" spans="2:11" ht="15.75" customHeight="1" x14ac:dyDescent="0.25">
      <c r="B114" s="871"/>
      <c r="C114" s="865"/>
      <c r="D114" s="865"/>
      <c r="E114" s="865"/>
      <c r="F114" s="865"/>
      <c r="G114" s="25"/>
      <c r="H114" s="25"/>
      <c r="J114" s="135"/>
      <c r="K114" s="13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45" t="s">
        <v>83</v>
      </c>
      <c r="D1" s="746"/>
      <c r="E1" s="714"/>
      <c r="I1" s="73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7" t="s">
        <v>84</v>
      </c>
      <c r="K1" s="739"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4"/>
      <c r="J2" s="747"/>
      <c r="K2" s="739"/>
    </row>
    <row r="3" spans="1:11" ht="16.5" customHeight="1" x14ac:dyDescent="0.25">
      <c r="A3" t="s">
        <v>85</v>
      </c>
      <c r="B3" s="238" t="s">
        <v>740</v>
      </c>
      <c r="C3" s="237" t="s">
        <v>731</v>
      </c>
      <c r="D3" s="22"/>
      <c r="I3" s="714"/>
      <c r="J3" s="231"/>
      <c r="K3" s="739"/>
    </row>
    <row r="4" spans="1:11" x14ac:dyDescent="0.25">
      <c r="A4" t="s">
        <v>86</v>
      </c>
      <c r="B4" s="236" t="s">
        <v>741</v>
      </c>
      <c r="C4" s="239" t="s">
        <v>731</v>
      </c>
      <c r="D4" s="22"/>
      <c r="I4" s="714"/>
      <c r="K4" s="739"/>
    </row>
    <row r="5" spans="1:11" ht="16.5" x14ac:dyDescent="0.3">
      <c r="A5" t="s">
        <v>87</v>
      </c>
      <c r="B5" s="226"/>
      <c r="C5" s="227"/>
      <c r="D5" s="22"/>
      <c r="I5" s="714"/>
      <c r="K5" s="739"/>
    </row>
    <row r="6" spans="1:11" ht="15" customHeight="1" thickBot="1" x14ac:dyDescent="0.3">
      <c r="A6" t="s">
        <v>88</v>
      </c>
      <c r="B6" s="228"/>
      <c r="C6" s="229"/>
      <c r="D6" s="22"/>
      <c r="I6" s="714"/>
      <c r="K6" s="739"/>
    </row>
    <row r="7" spans="1:11" x14ac:dyDescent="0.25">
      <c r="I7" s="714"/>
      <c r="K7" s="739"/>
    </row>
    <row r="8" spans="1:11" x14ac:dyDescent="0.25">
      <c r="I8" s="714"/>
      <c r="K8" s="739"/>
    </row>
    <row r="9" spans="1:11" x14ac:dyDescent="0.25">
      <c r="A9" s="15" t="s">
        <v>89</v>
      </c>
      <c r="B9" s="15" t="s">
        <v>90</v>
      </c>
      <c r="C9" s="15"/>
      <c r="I9" s="714"/>
      <c r="K9" s="739"/>
    </row>
    <row r="10" spans="1:11" x14ac:dyDescent="0.25">
      <c r="B10" s="748" t="s">
        <v>91</v>
      </c>
      <c r="C10" s="749"/>
      <c r="D10" s="749"/>
      <c r="E10" s="749"/>
      <c r="F10" s="749"/>
      <c r="G10" s="749"/>
      <c r="I10" s="714"/>
      <c r="K10" s="739"/>
    </row>
    <row r="11" spans="1:11" x14ac:dyDescent="0.25">
      <c r="B11" s="714"/>
      <c r="C11" s="714"/>
      <c r="D11" s="714"/>
      <c r="E11" s="714"/>
      <c r="F11" s="714"/>
      <c r="G11" s="714"/>
      <c r="I11" s="714"/>
      <c r="K11" s="739"/>
    </row>
    <row r="12" spans="1:11" x14ac:dyDescent="0.25">
      <c r="F12" s="738" t="s">
        <v>92</v>
      </c>
      <c r="I12" s="714"/>
      <c r="K12" s="739"/>
    </row>
    <row r="13" spans="1:11" ht="15.75" thickBot="1" x14ac:dyDescent="0.3">
      <c r="B13" s="31" t="s">
        <v>93</v>
      </c>
      <c r="C13" s="224" t="s">
        <v>94</v>
      </c>
      <c r="D13" s="31" t="s">
        <v>95</v>
      </c>
      <c r="E13" s="31"/>
      <c r="F13" s="588"/>
      <c r="G13" s="31" t="s">
        <v>96</v>
      </c>
      <c r="I13" s="714"/>
      <c r="K13" s="739"/>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714"/>
      <c r="K14" s="739"/>
    </row>
    <row r="15" spans="1:11" ht="16.5" thickTop="1" thickBot="1" x14ac:dyDescent="0.3">
      <c r="C15" s="195"/>
      <c r="D15" s="196" t="s">
        <v>97</v>
      </c>
      <c r="E15" s="197">
        <f>+Profit!$K$49</f>
        <v>-30966.117597900007</v>
      </c>
      <c r="H15" s="225"/>
      <c r="K15" s="739"/>
    </row>
    <row r="16" spans="1:11" ht="16.5" thickTop="1" thickBot="1" x14ac:dyDescent="0.3">
      <c r="C16" s="195"/>
      <c r="D16" s="198" t="s">
        <v>98</v>
      </c>
      <c r="E16" s="199">
        <f>+G14/E15</f>
        <v>0.59152208358668179</v>
      </c>
      <c r="F16" s="233">
        <v>0.1</v>
      </c>
      <c r="H16" s="225" t="s">
        <v>99</v>
      </c>
      <c r="I16" s="73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39"/>
    </row>
    <row r="17" spans="1:13" ht="15.75" thickTop="1" x14ac:dyDescent="0.25">
      <c r="C17" s="195"/>
      <c r="D17" s="198" t="s">
        <v>100</v>
      </c>
      <c r="E17" s="199">
        <f>+G14/(F14+G14)</f>
        <v>1.3256823928597607</v>
      </c>
      <c r="F17" t="s">
        <v>101</v>
      </c>
      <c r="I17" s="739"/>
      <c r="K17" s="739"/>
    </row>
    <row r="18" spans="1:13" x14ac:dyDescent="0.25">
      <c r="I18" s="739"/>
      <c r="K18" s="739"/>
    </row>
    <row r="19" spans="1:13" ht="15.75" thickBot="1" x14ac:dyDescent="0.3">
      <c r="A19" s="15" t="s">
        <v>102</v>
      </c>
      <c r="B19" s="15" t="s">
        <v>103</v>
      </c>
      <c r="D19" s="15" t="s">
        <v>104</v>
      </c>
      <c r="H19">
        <f>IF(H20="X",1,0)</f>
        <v>0</v>
      </c>
      <c r="K19" s="739"/>
    </row>
    <row r="20" spans="1:13" ht="15" customHeight="1" thickTop="1" thickBot="1" x14ac:dyDescent="0.3">
      <c r="B20" t="s">
        <v>105</v>
      </c>
      <c r="H20" s="225"/>
      <c r="I20" s="73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39"/>
    </row>
    <row r="21" spans="1:13" ht="15.75" thickTop="1" x14ac:dyDescent="0.25">
      <c r="B21" t="s">
        <v>106</v>
      </c>
      <c r="I21" s="739"/>
      <c r="J21" s="222"/>
      <c r="K21" s="739"/>
      <c r="L21" s="221"/>
      <c r="M21" s="221"/>
    </row>
    <row r="22" spans="1:13" ht="30" x14ac:dyDescent="0.25">
      <c r="F22" s="61" t="s">
        <v>107</v>
      </c>
      <c r="I22" s="739"/>
      <c r="J22" s="221"/>
      <c r="K22" s="739"/>
      <c r="L22" s="221"/>
      <c r="M22" s="221"/>
    </row>
    <row r="23" spans="1:13" ht="15.75" thickBot="1" x14ac:dyDescent="0.3">
      <c r="B23" s="31" t="s">
        <v>108</v>
      </c>
      <c r="C23" s="741"/>
      <c r="D23" s="742"/>
      <c r="E23" s="742"/>
      <c r="F23" s="742"/>
      <c r="G23" s="31" t="s">
        <v>96</v>
      </c>
      <c r="I23" s="740"/>
      <c r="J23" s="221"/>
      <c r="K23" s="739"/>
      <c r="L23" s="221"/>
      <c r="M23" s="221"/>
    </row>
    <row r="24" spans="1:13" ht="16.5" thickTop="1" thickBot="1" x14ac:dyDescent="0.3">
      <c r="B24" s="232">
        <f>+SUM(Profit!C19:'Profit'!C20)</f>
        <v>5000</v>
      </c>
      <c r="C24" s="743" t="s">
        <v>109</v>
      </c>
      <c r="D24" s="744"/>
      <c r="E24" s="744"/>
      <c r="F24" s="10">
        <f>+B24</f>
        <v>5000</v>
      </c>
      <c r="G24" s="200">
        <f>+Profit!K62</f>
        <v>149081.32179919883</v>
      </c>
      <c r="I24" s="714"/>
      <c r="K24" s="739"/>
    </row>
    <row r="25" spans="1:13" ht="15.4" customHeight="1" thickTop="1" thickBot="1" x14ac:dyDescent="0.3">
      <c r="C25" s="195"/>
      <c r="D25" s="196" t="s">
        <v>97</v>
      </c>
      <c r="E25" s="197">
        <f>+Profit!$K$49</f>
        <v>-30966.117597900007</v>
      </c>
      <c r="H25">
        <f>IF(H26="X",1+H19,H19)</f>
        <v>1</v>
      </c>
      <c r="K25" s="739"/>
    </row>
    <row r="26" spans="1:13" ht="15" customHeight="1" thickTop="1" thickBot="1" x14ac:dyDescent="0.3">
      <c r="C26" s="195"/>
      <c r="D26" s="198" t="s">
        <v>98</v>
      </c>
      <c r="E26" s="199">
        <f>+G24/E25</f>
        <v>-4.8143368740971555</v>
      </c>
      <c r="H26" s="225" t="s">
        <v>110</v>
      </c>
      <c r="I26" s="73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39"/>
    </row>
    <row r="27" spans="1:13" ht="15" customHeight="1" thickTop="1" x14ac:dyDescent="0.25">
      <c r="C27" s="195"/>
      <c r="D27" s="198" t="s">
        <v>100</v>
      </c>
      <c r="E27" s="199">
        <f>+G24/(F24+G24)</f>
        <v>0.96754960340672524</v>
      </c>
      <c r="I27" s="739"/>
      <c r="K27" s="739"/>
    </row>
    <row r="28" spans="1:13" ht="15" customHeight="1" x14ac:dyDescent="0.25">
      <c r="I28" s="739"/>
      <c r="K28" s="739"/>
    </row>
    <row r="29" spans="1:13" x14ac:dyDescent="0.25">
      <c r="A29" s="15"/>
      <c r="B29" s="15"/>
      <c r="I29" s="740"/>
      <c r="K29" s="739"/>
    </row>
    <row r="30" spans="1:13" x14ac:dyDescent="0.25">
      <c r="A30" s="15" t="s">
        <v>111</v>
      </c>
      <c r="B30" s="15" t="s">
        <v>112</v>
      </c>
      <c r="D30" t="s">
        <v>113</v>
      </c>
      <c r="I30" s="714"/>
      <c r="K30" s="739"/>
    </row>
    <row r="31" spans="1:13" ht="25.5" x14ac:dyDescent="0.25">
      <c r="B31" t="s">
        <v>105</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39"/>
    </row>
    <row r="32" spans="1:13" ht="15.75" thickBot="1" x14ac:dyDescent="0.3">
      <c r="B32" t="s">
        <v>106</v>
      </c>
      <c r="H32">
        <f>IF(H33="X",H25+1,H25)</f>
        <v>2</v>
      </c>
      <c r="K32" s="739"/>
    </row>
    <row r="33" spans="1:13" ht="15" customHeight="1" thickTop="1" thickBot="1" x14ac:dyDescent="0.3">
      <c r="H33" s="225" t="s">
        <v>110</v>
      </c>
      <c r="I33" s="73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39"/>
    </row>
    <row r="34" spans="1:13" ht="16.5" thickTop="1" thickBot="1" x14ac:dyDescent="0.3">
      <c r="C34" s="2" t="s">
        <v>114</v>
      </c>
      <c r="D34" s="3" t="s">
        <v>115</v>
      </c>
      <c r="F34" s="3" t="s">
        <v>116</v>
      </c>
      <c r="I34" s="739"/>
      <c r="K34" s="739"/>
    </row>
    <row r="35" spans="1:13" ht="16.5" thickTop="1" thickBot="1" x14ac:dyDescent="0.3">
      <c r="B35" s="230" t="s">
        <v>117</v>
      </c>
      <c r="C35" s="203">
        <v>10400</v>
      </c>
      <c r="D35" s="194">
        <v>60</v>
      </c>
      <c r="F35" s="738" t="s">
        <v>107</v>
      </c>
      <c r="I35" s="739"/>
      <c r="K35" s="739"/>
    </row>
    <row r="36" spans="1:13" ht="16.5" thickTop="1" thickBot="1" x14ac:dyDescent="0.3">
      <c r="B36" s="31" t="s">
        <v>118</v>
      </c>
      <c r="C36" s="31" t="s">
        <v>119</v>
      </c>
      <c r="D36" s="31" t="s">
        <v>120</v>
      </c>
      <c r="E36" s="31" t="s">
        <v>121</v>
      </c>
      <c r="F36" s="588"/>
      <c r="G36" s="31" t="s">
        <v>96</v>
      </c>
      <c r="I36" s="739"/>
      <c r="K36" s="739"/>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135941.32179919883</v>
      </c>
      <c r="I37" s="739"/>
      <c r="K37" s="739"/>
    </row>
    <row r="38" spans="1:13" ht="16.5" thickTop="1" thickBot="1" x14ac:dyDescent="0.3">
      <c r="B38" s="205">
        <v>0.34</v>
      </c>
      <c r="C38" s="220">
        <f>1-B38</f>
        <v>0.65999999999999992</v>
      </c>
      <c r="D38" s="10"/>
      <c r="E38" s="36"/>
      <c r="F38" s="10"/>
      <c r="G38" s="10"/>
      <c r="I38" s="739"/>
      <c r="K38" s="739"/>
    </row>
    <row r="39" spans="1:13" ht="15.4" customHeight="1" thickTop="1" x14ac:dyDescent="0.25">
      <c r="B39" s="10"/>
      <c r="C39" s="200"/>
      <c r="D39" s="196" t="s">
        <v>97</v>
      </c>
      <c r="E39" s="197">
        <f>+Profit!$K$49-C37+C35</f>
        <v>-34266.117597900011</v>
      </c>
      <c r="F39" s="10"/>
      <c r="G39" s="10"/>
      <c r="I39" s="739"/>
      <c r="K39" s="739"/>
    </row>
    <row r="40" spans="1:13" x14ac:dyDescent="0.25">
      <c r="C40" s="195"/>
      <c r="D40" s="198" t="s">
        <v>98</v>
      </c>
      <c r="E40" s="199">
        <f>+G37/E39</f>
        <v>-3.9672227649020257</v>
      </c>
      <c r="I40" s="739"/>
      <c r="K40" s="739"/>
    </row>
    <row r="41" spans="1:13" ht="15" customHeight="1" thickBot="1" x14ac:dyDescent="0.3">
      <c r="C41" s="195"/>
      <c r="D41" s="198" t="s">
        <v>100</v>
      </c>
      <c r="E41" s="199">
        <f>+G37/(F37+G37)</f>
        <v>0.88226996115959899</v>
      </c>
      <c r="H41">
        <f>IF(H42="X",H32+1,H32)</f>
        <v>2</v>
      </c>
      <c r="K41" s="739"/>
    </row>
    <row r="42" spans="1:13" ht="16.5" thickTop="1" thickBot="1" x14ac:dyDescent="0.3">
      <c r="A42" s="15" t="s">
        <v>122</v>
      </c>
      <c r="B42" s="15" t="s">
        <v>123</v>
      </c>
      <c r="H42" s="225"/>
      <c r="I42" s="73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$118,295.33   *    Expected 3% appreciation per year
                          Expected Value:                    $128,295.33    ** After 60 months.</v>
      </c>
      <c r="K42" s="739"/>
    </row>
    <row r="43" spans="1:13" ht="15.75" thickTop="1" x14ac:dyDescent="0.25">
      <c r="B43" t="s">
        <v>105</v>
      </c>
      <c r="I43" s="739"/>
      <c r="K43" s="714"/>
      <c r="M43" s="207"/>
    </row>
    <row r="44" spans="1:13" x14ac:dyDescent="0.25">
      <c r="B44" t="s">
        <v>106</v>
      </c>
      <c r="I44" s="739"/>
      <c r="K44" s="714"/>
    </row>
    <row r="45" spans="1:13" ht="15" customHeight="1" x14ac:dyDescent="0.25">
      <c r="B45" t="s">
        <v>124</v>
      </c>
      <c r="I45" s="739"/>
      <c r="K45" s="714"/>
    </row>
    <row r="46" spans="1:13" x14ac:dyDescent="0.25">
      <c r="B46" t="s">
        <v>125</v>
      </c>
      <c r="I46" s="739"/>
      <c r="K46" s="714"/>
    </row>
    <row r="47" spans="1:13" x14ac:dyDescent="0.25">
      <c r="F47" s="3" t="s">
        <v>126</v>
      </c>
      <c r="I47" s="739"/>
      <c r="K47" s="714"/>
    </row>
    <row r="48" spans="1:13" x14ac:dyDescent="0.25">
      <c r="C48" s="738" t="s">
        <v>127</v>
      </c>
      <c r="D48" s="738" t="s">
        <v>128</v>
      </c>
      <c r="E48" s="738" t="s">
        <v>129</v>
      </c>
      <c r="F48" s="738" t="s">
        <v>107</v>
      </c>
      <c r="I48" s="739"/>
      <c r="K48" s="714"/>
    </row>
    <row r="49" spans="1:11" ht="15.75" thickBot="1" x14ac:dyDescent="0.3">
      <c r="B49" s="3" t="s">
        <v>118</v>
      </c>
      <c r="C49" s="588" t="s">
        <v>127</v>
      </c>
      <c r="D49" s="588" t="s">
        <v>128</v>
      </c>
      <c r="E49" s="588" t="s">
        <v>130</v>
      </c>
      <c r="F49" s="588"/>
      <c r="G49" s="31" t="s">
        <v>96</v>
      </c>
      <c r="I49" s="739"/>
      <c r="K49" s="714"/>
    </row>
    <row r="50" spans="1:11" ht="16.5" thickTop="1" thickBot="1" x14ac:dyDescent="0.3">
      <c r="B50" s="203">
        <v>10000</v>
      </c>
      <c r="C50" s="8">
        <f>+Profit!$K$62+Profit!C20-B50+(Profit!K7*Profit!C50/12*Profit!B4)</f>
        <v>168993.32179919883</v>
      </c>
      <c r="D50" s="193">
        <v>0.7</v>
      </c>
      <c r="E50" s="10">
        <f>+D50*C50</f>
        <v>118295.32525943918</v>
      </c>
      <c r="F50" s="10">
        <f>+B50+E50</f>
        <v>128295.32525943918</v>
      </c>
      <c r="G50" s="200">
        <f>(1-D50)*C50</f>
        <v>50697.996539759661</v>
      </c>
      <c r="I50" s="739"/>
      <c r="K50" s="714"/>
    </row>
    <row r="51" spans="1:11" ht="15.75" thickTop="1" x14ac:dyDescent="0.25">
      <c r="D51" s="15" t="s">
        <v>131</v>
      </c>
      <c r="I51" s="223"/>
      <c r="K51" s="714"/>
    </row>
    <row r="52" spans="1:11" x14ac:dyDescent="0.25">
      <c r="C52" s="195"/>
      <c r="D52" s="196" t="s">
        <v>97</v>
      </c>
      <c r="E52" s="197">
        <f>+Profit!$K$49-B24+B50</f>
        <v>-25966.117597900011</v>
      </c>
      <c r="H52" t="s">
        <v>99</v>
      </c>
      <c r="I52" s="73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4"/>
    </row>
    <row r="53" spans="1:11" ht="15" customHeight="1" x14ac:dyDescent="0.25">
      <c r="C53" s="195"/>
      <c r="D53" s="198" t="s">
        <v>98</v>
      </c>
      <c r="E53" s="199">
        <f>+G50/E52</f>
        <v>-1.9524673393553382</v>
      </c>
      <c r="I53" s="714"/>
      <c r="K53" s="714"/>
    </row>
    <row r="54" spans="1:11" x14ac:dyDescent="0.25">
      <c r="C54" s="195"/>
      <c r="D54" s="198" t="s">
        <v>100</v>
      </c>
      <c r="E54" s="199">
        <f>+G50/(F50+G50)</f>
        <v>0.28323959816017324</v>
      </c>
      <c r="I54" s="714"/>
      <c r="K54" s="714"/>
    </row>
    <row r="55" spans="1:11" ht="15" customHeight="1" x14ac:dyDescent="0.25">
      <c r="I55" s="714"/>
      <c r="K55" s="714"/>
    </row>
    <row r="56" spans="1:11" ht="15.75" thickBot="1" x14ac:dyDescent="0.3">
      <c r="B56" s="15" t="s">
        <v>132</v>
      </c>
      <c r="D56" t="s">
        <v>133</v>
      </c>
      <c r="I56" s="714"/>
      <c r="K56" s="714"/>
    </row>
    <row r="57" spans="1:11" x14ac:dyDescent="0.25">
      <c r="A57" s="72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0"/>
      <c r="C57" s="730"/>
      <c r="D57" s="730"/>
      <c r="E57" s="730"/>
      <c r="F57" s="730"/>
      <c r="G57" s="731"/>
      <c r="I57" s="714"/>
      <c r="K57" s="714"/>
    </row>
    <row r="58" spans="1:11" x14ac:dyDescent="0.25">
      <c r="A58" s="732"/>
      <c r="B58" s="733"/>
      <c r="C58" s="733"/>
      <c r="D58" s="733"/>
      <c r="E58" s="733"/>
      <c r="F58" s="733"/>
      <c r="G58" s="734"/>
      <c r="I58" s="714"/>
      <c r="K58" s="714"/>
    </row>
    <row r="59" spans="1:11" x14ac:dyDescent="0.25">
      <c r="A59" s="732"/>
      <c r="B59" s="733"/>
      <c r="C59" s="733"/>
      <c r="D59" s="733"/>
      <c r="E59" s="733"/>
      <c r="F59" s="733"/>
      <c r="G59" s="734"/>
      <c r="K59" s="714"/>
    </row>
    <row r="60" spans="1:11" x14ac:dyDescent="0.25">
      <c r="A60" s="732"/>
      <c r="B60" s="733"/>
      <c r="C60" s="733"/>
      <c r="D60" s="733"/>
      <c r="E60" s="733"/>
      <c r="F60" s="733"/>
      <c r="G60" s="734"/>
      <c r="K60" s="714"/>
    </row>
    <row r="61" spans="1:11" x14ac:dyDescent="0.25">
      <c r="A61" s="732"/>
      <c r="B61" s="733"/>
      <c r="C61" s="733"/>
      <c r="D61" s="733"/>
      <c r="E61" s="733"/>
      <c r="F61" s="733"/>
      <c r="G61" s="734"/>
      <c r="H61" t="s">
        <v>99</v>
      </c>
      <c r="I61" s="739"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4"/>
    </row>
    <row r="62" spans="1:11" x14ac:dyDescent="0.25">
      <c r="A62" s="732"/>
      <c r="B62" s="733"/>
      <c r="C62" s="733"/>
      <c r="D62" s="733"/>
      <c r="E62" s="733"/>
      <c r="F62" s="733"/>
      <c r="G62" s="734"/>
      <c r="I62" s="714"/>
      <c r="K62" s="714"/>
    </row>
    <row r="63" spans="1:11" x14ac:dyDescent="0.25">
      <c r="A63" s="732"/>
      <c r="B63" s="733"/>
      <c r="C63" s="733"/>
      <c r="D63" s="733"/>
      <c r="E63" s="733"/>
      <c r="F63" s="733"/>
      <c r="G63" s="734"/>
      <c r="I63" s="714"/>
      <c r="K63" s="714"/>
    </row>
    <row r="64" spans="1:11" x14ac:dyDescent="0.25">
      <c r="A64" s="732"/>
      <c r="B64" s="733"/>
      <c r="C64" s="733"/>
      <c r="D64" s="733"/>
      <c r="E64" s="733"/>
      <c r="F64" s="733"/>
      <c r="G64" s="734"/>
      <c r="I64" s="714"/>
      <c r="K64" s="714"/>
    </row>
    <row r="65" spans="1:11" x14ac:dyDescent="0.25">
      <c r="A65" s="732"/>
      <c r="B65" s="733"/>
      <c r="C65" s="733"/>
      <c r="D65" s="733"/>
      <c r="E65" s="733"/>
      <c r="F65" s="733"/>
      <c r="G65" s="734"/>
      <c r="I65" s="714"/>
      <c r="K65" s="714"/>
    </row>
    <row r="66" spans="1:11" x14ac:dyDescent="0.25">
      <c r="A66" s="732"/>
      <c r="B66" s="733"/>
      <c r="C66" s="733"/>
      <c r="D66" s="733"/>
      <c r="E66" s="733"/>
      <c r="F66" s="733"/>
      <c r="G66" s="734"/>
      <c r="I66" s="714"/>
      <c r="K66" s="714"/>
    </row>
    <row r="67" spans="1:11" x14ac:dyDescent="0.25">
      <c r="A67" s="732"/>
      <c r="B67" s="733"/>
      <c r="C67" s="733"/>
      <c r="D67" s="733"/>
      <c r="E67" s="733"/>
      <c r="F67" s="733"/>
      <c r="G67" s="734"/>
      <c r="I67" s="714"/>
      <c r="K67" s="714"/>
    </row>
    <row r="68" spans="1:11" x14ac:dyDescent="0.25">
      <c r="A68" s="732"/>
      <c r="B68" s="733"/>
      <c r="C68" s="733"/>
      <c r="D68" s="733"/>
      <c r="E68" s="733"/>
      <c r="F68" s="733"/>
      <c r="G68" s="734"/>
      <c r="I68" s="714"/>
    </row>
    <row r="69" spans="1:11" x14ac:dyDescent="0.25">
      <c r="A69" s="732"/>
      <c r="B69" s="733"/>
      <c r="C69" s="733"/>
      <c r="D69" s="733"/>
      <c r="E69" s="733"/>
      <c r="F69" s="733"/>
      <c r="G69" s="734"/>
      <c r="I69" s="714"/>
    </row>
    <row r="70" spans="1:11" x14ac:dyDescent="0.25">
      <c r="A70" s="732"/>
      <c r="B70" s="733"/>
      <c r="C70" s="733"/>
      <c r="D70" s="733"/>
      <c r="E70" s="733"/>
      <c r="F70" s="733"/>
      <c r="G70" s="734"/>
      <c r="I70" s="714"/>
    </row>
    <row r="71" spans="1:11" x14ac:dyDescent="0.25">
      <c r="A71" s="732"/>
      <c r="B71" s="733"/>
      <c r="C71" s="733"/>
      <c r="D71" s="733"/>
      <c r="E71" s="733"/>
      <c r="F71" s="733"/>
      <c r="G71" s="734"/>
      <c r="I71" s="714"/>
    </row>
    <row r="72" spans="1:11" x14ac:dyDescent="0.25">
      <c r="A72" s="732"/>
      <c r="B72" s="733"/>
      <c r="C72" s="733"/>
      <c r="D72" s="733"/>
      <c r="E72" s="733"/>
      <c r="F72" s="733"/>
      <c r="G72" s="734"/>
      <c r="I72" s="714"/>
    </row>
    <row r="73" spans="1:11" x14ac:dyDescent="0.25">
      <c r="A73" s="732"/>
      <c r="B73" s="733"/>
      <c r="C73" s="733"/>
      <c r="D73" s="733"/>
      <c r="E73" s="733"/>
      <c r="F73" s="733"/>
      <c r="G73" s="734"/>
    </row>
    <row r="74" spans="1:11" x14ac:dyDescent="0.25">
      <c r="A74" s="732"/>
      <c r="B74" s="733"/>
      <c r="C74" s="733"/>
      <c r="D74" s="733"/>
      <c r="E74" s="733"/>
      <c r="F74" s="733"/>
      <c r="G74" s="734"/>
      <c r="H74" t="s">
        <v>99</v>
      </c>
      <c r="I74" s="206" t="str">
        <f>"Sincerely,
Wes Browning"</f>
        <v>Sincerely,
Wes Browning</v>
      </c>
    </row>
    <row r="75" spans="1:11" ht="15" customHeight="1" x14ac:dyDescent="0.25">
      <c r="A75" s="732"/>
      <c r="B75" s="733"/>
      <c r="C75" s="733"/>
      <c r="D75" s="733"/>
      <c r="E75" s="733"/>
      <c r="F75" s="733"/>
      <c r="G75" s="734"/>
      <c r="I75" s="206"/>
    </row>
    <row r="76" spans="1:11" x14ac:dyDescent="0.25">
      <c r="A76" s="732"/>
      <c r="B76" s="733"/>
      <c r="C76" s="733"/>
      <c r="D76" s="733"/>
      <c r="E76" s="733"/>
      <c r="F76" s="733"/>
      <c r="G76" s="734"/>
      <c r="I76" s="206"/>
    </row>
    <row r="77" spans="1:11" x14ac:dyDescent="0.25">
      <c r="A77" s="732"/>
      <c r="B77" s="733"/>
      <c r="C77" s="733"/>
      <c r="D77" s="733"/>
      <c r="E77" s="733"/>
      <c r="F77" s="733"/>
      <c r="G77" s="734"/>
    </row>
    <row r="78" spans="1:11" x14ac:dyDescent="0.25">
      <c r="A78" s="732"/>
      <c r="B78" s="733"/>
      <c r="C78" s="733"/>
      <c r="D78" s="733"/>
      <c r="E78" s="733"/>
      <c r="F78" s="733"/>
      <c r="G78" s="734"/>
    </row>
    <row r="79" spans="1:11" ht="15.75" thickBot="1" x14ac:dyDescent="0.3">
      <c r="A79" s="735"/>
      <c r="B79" s="736"/>
      <c r="C79" s="736"/>
      <c r="D79" s="736"/>
      <c r="E79" s="736"/>
      <c r="F79" s="736"/>
      <c r="G79" s="737"/>
    </row>
    <row r="80" spans="1:11" x14ac:dyDescent="0.25">
      <c r="A80" s="206"/>
      <c r="B80" s="206"/>
      <c r="C80" s="206"/>
      <c r="D80" s="206"/>
      <c r="E80" s="206"/>
      <c r="F80" s="206"/>
      <c r="G80" s="206"/>
    </row>
    <row r="81" spans="1:9" x14ac:dyDescent="0.25">
      <c r="A81" s="206"/>
      <c r="B81" s="206"/>
      <c r="C81" s="206"/>
      <c r="D81" s="206"/>
      <c r="E81" s="206"/>
      <c r="F81" s="206"/>
      <c r="G81" s="2" t="s">
        <v>134</v>
      </c>
      <c r="I81" s="206" t="s">
        <v>135</v>
      </c>
    </row>
    <row r="82" spans="1:9" x14ac:dyDescent="0.25">
      <c r="G82" s="2" t="s">
        <v>136</v>
      </c>
      <c r="H82" t="s">
        <v>99</v>
      </c>
      <c r="I82" s="206" t="s">
        <v>137</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152</v>
      </c>
      <c r="E2" s="27"/>
    </row>
    <row r="3" spans="1:9" x14ac:dyDescent="0.25">
      <c r="C3" s="28"/>
    </row>
    <row r="4" spans="1:9" ht="16.5" x14ac:dyDescent="0.3">
      <c r="A4" s="2" t="s">
        <v>820</v>
      </c>
      <c r="B4" s="334"/>
      <c r="C4" s="28"/>
      <c r="D4" s="25" t="s">
        <v>821</v>
      </c>
      <c r="E4" s="12"/>
    </row>
    <row r="5" spans="1:9" x14ac:dyDescent="0.25">
      <c r="C5" s="28"/>
      <c r="D5" s="25" t="s">
        <v>949</v>
      </c>
      <c r="E5" s="12"/>
    </row>
    <row r="6" spans="1:9" x14ac:dyDescent="0.25">
      <c r="A6" s="2" t="s">
        <v>904</v>
      </c>
      <c r="B6" s="43" t="s">
        <v>905</v>
      </c>
      <c r="D6" s="495" t="s">
        <v>906</v>
      </c>
      <c r="E6" s="27" t="s">
        <v>907</v>
      </c>
    </row>
    <row r="7" spans="1:9" x14ac:dyDescent="0.25">
      <c r="A7" s="25" t="s">
        <v>170</v>
      </c>
      <c r="B7" s="43"/>
      <c r="E7" s="248" t="s">
        <v>908</v>
      </c>
    </row>
    <row r="8" spans="1:9" x14ac:dyDescent="0.25">
      <c r="A8" s="44"/>
      <c r="B8" s="45"/>
      <c r="D8" s="46"/>
      <c r="E8" s="27"/>
      <c r="F8" s="19"/>
    </row>
    <row r="9" spans="1:9" x14ac:dyDescent="0.25">
      <c r="A9" s="44"/>
      <c r="B9" s="45" t="s">
        <v>948</v>
      </c>
      <c r="D9" s="46"/>
      <c r="E9" s="27" t="s">
        <v>947</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951</v>
      </c>
      <c r="D16" s="214" t="s">
        <v>950</v>
      </c>
      <c r="E16" s="25" t="s">
        <v>954</v>
      </c>
    </row>
    <row r="17" spans="1:25" x14ac:dyDescent="0.25">
      <c r="B17" s="2" t="s">
        <v>953</v>
      </c>
      <c r="D17" s="214" t="s">
        <v>952</v>
      </c>
      <c r="E17" s="19"/>
    </row>
    <row r="19" spans="1:25" x14ac:dyDescent="0.25">
      <c r="V19" t="s">
        <v>171</v>
      </c>
      <c r="W19" t="s">
        <v>172</v>
      </c>
      <c r="X19" t="s">
        <v>173</v>
      </c>
      <c r="Y19" t="s">
        <v>174</v>
      </c>
    </row>
    <row r="20" spans="1:25" x14ac:dyDescent="0.25">
      <c r="E20" s="27"/>
      <c r="F20" s="19"/>
      <c r="V20" t="s">
        <v>175</v>
      </c>
      <c r="W20" s="210">
        <v>0.4458333333333333</v>
      </c>
      <c r="X20" t="s">
        <v>176</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55" t="s">
        <v>909</v>
      </c>
      <c r="B1" s="756"/>
      <c r="C1" s="757"/>
      <c r="D1" s="755" t="s">
        <v>478</v>
      </c>
      <c r="E1" s="756"/>
      <c r="F1" s="757"/>
      <c r="G1" s="755" t="s">
        <v>592</v>
      </c>
      <c r="H1" s="756"/>
      <c r="I1" s="757"/>
      <c r="J1" s="755" t="s">
        <v>955</v>
      </c>
      <c r="K1" s="756"/>
      <c r="L1" s="757"/>
      <c r="M1" s="755" t="s">
        <v>479</v>
      </c>
      <c r="N1" s="756"/>
      <c r="O1" s="757"/>
      <c r="P1" s="755" t="s">
        <v>956</v>
      </c>
      <c r="Q1" s="756"/>
      <c r="R1" s="757"/>
      <c r="S1" s="755" t="s">
        <v>957</v>
      </c>
      <c r="T1" s="756"/>
      <c r="U1" s="757"/>
      <c r="V1" s="755" t="s">
        <v>591</v>
      </c>
      <c r="W1" s="756"/>
      <c r="X1" s="757"/>
      <c r="Y1" s="755" t="s">
        <v>658</v>
      </c>
      <c r="Z1" s="756"/>
      <c r="AA1" s="757"/>
      <c r="AB1" s="755" t="s">
        <v>958</v>
      </c>
      <c r="AC1" s="756"/>
      <c r="AD1" s="757"/>
      <c r="AE1" s="755" t="s">
        <v>959</v>
      </c>
      <c r="AF1" s="756"/>
      <c r="AG1" s="757"/>
      <c r="AH1" s="61"/>
      <c r="AI1" s="758"/>
      <c r="AJ1" s="746"/>
      <c r="AK1" s="746"/>
      <c r="AL1" s="746"/>
      <c r="AM1" s="746"/>
      <c r="AN1" s="746"/>
      <c r="AO1" s="746"/>
      <c r="AP1" s="746"/>
      <c r="AQ1" s="746"/>
      <c r="AR1" s="746"/>
      <c r="AS1" s="746"/>
    </row>
    <row r="2" spans="1:45" ht="15" customHeight="1" x14ac:dyDescent="0.25">
      <c r="C2" s="321"/>
      <c r="F2" s="321"/>
      <c r="I2" s="321"/>
      <c r="L2" s="321"/>
      <c r="O2" s="321"/>
      <c r="R2" s="321"/>
      <c r="U2" s="321"/>
      <c r="X2" s="321"/>
      <c r="AA2" s="752" t="s">
        <v>1107</v>
      </c>
      <c r="AD2" s="321"/>
      <c r="AG2" s="321"/>
      <c r="AI2" t="s">
        <v>960</v>
      </c>
      <c r="AJ2" t="s">
        <v>961</v>
      </c>
      <c r="AK2" t="s">
        <v>257</v>
      </c>
      <c r="AL2" t="s">
        <v>164</v>
      </c>
      <c r="AM2" t="s">
        <v>212</v>
      </c>
      <c r="AN2" t="s">
        <v>962</v>
      </c>
      <c r="AO2" t="s">
        <v>963</v>
      </c>
      <c r="AP2" t="s">
        <v>964</v>
      </c>
      <c r="AQ2" t="s">
        <v>965</v>
      </c>
      <c r="AR2" t="s">
        <v>966</v>
      </c>
      <c r="AS2" t="s">
        <v>138</v>
      </c>
    </row>
    <row r="3" spans="1:45" ht="15" customHeight="1" x14ac:dyDescent="0.25">
      <c r="A3" s="3" t="s">
        <v>257</v>
      </c>
      <c r="B3" s="13" t="s">
        <v>962</v>
      </c>
      <c r="C3" s="323"/>
      <c r="D3" s="3" t="s">
        <v>257</v>
      </c>
      <c r="E3" s="13" t="s">
        <v>1106</v>
      </c>
      <c r="F3" s="323"/>
      <c r="G3" s="3" t="s">
        <v>257</v>
      </c>
      <c r="H3" s="13" t="s">
        <v>1106</v>
      </c>
      <c r="I3" s="323"/>
      <c r="J3" s="3" t="s">
        <v>257</v>
      </c>
      <c r="K3" s="13" t="s">
        <v>1106</v>
      </c>
      <c r="L3" s="321"/>
      <c r="M3" s="3" t="s">
        <v>257</v>
      </c>
      <c r="N3" s="13" t="s">
        <v>1106</v>
      </c>
      <c r="O3" s="321"/>
      <c r="P3" s="3" t="s">
        <v>257</v>
      </c>
      <c r="Q3" s="13" t="s">
        <v>1106</v>
      </c>
      <c r="R3" s="321"/>
      <c r="S3" s="3" t="s">
        <v>257</v>
      </c>
      <c r="T3" s="13" t="s">
        <v>1106</v>
      </c>
      <c r="U3" s="321"/>
      <c r="V3" t="s">
        <v>257</v>
      </c>
      <c r="W3" t="s">
        <v>1106</v>
      </c>
      <c r="X3" s="321"/>
      <c r="Y3" t="s">
        <v>257</v>
      </c>
      <c r="Z3" t="s">
        <v>1106</v>
      </c>
      <c r="AA3" s="753"/>
      <c r="AB3" s="3" t="s">
        <v>257</v>
      </c>
      <c r="AC3" s="13" t="s">
        <v>1106</v>
      </c>
      <c r="AD3" s="321"/>
      <c r="AE3" s="3" t="s">
        <v>257</v>
      </c>
      <c r="AF3" s="13" t="s">
        <v>1106</v>
      </c>
      <c r="AG3" s="321"/>
      <c r="AI3" t="s">
        <v>3</v>
      </c>
      <c r="AJ3" t="s">
        <v>909</v>
      </c>
      <c r="AK3" s="12">
        <v>45805</v>
      </c>
      <c r="AM3" t="s">
        <v>970</v>
      </c>
      <c r="AN3" s="5">
        <v>60.23</v>
      </c>
      <c r="AO3" t="s">
        <v>967</v>
      </c>
      <c r="AP3" s="135" t="s">
        <v>249</v>
      </c>
      <c r="AQ3" t="s">
        <v>971</v>
      </c>
      <c r="AR3" t="s">
        <v>968</v>
      </c>
      <c r="AS3" t="s">
        <v>972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6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0"/>
      <c r="AH4" s="561"/>
      <c r="AI4" t="s">
        <v>3</v>
      </c>
      <c r="AJ4" t="s">
        <v>909</v>
      </c>
      <c r="AK4" s="12">
        <v>45814</v>
      </c>
      <c r="AM4" t="s">
        <v>970</v>
      </c>
      <c r="AN4" s="5">
        <v>-8.61</v>
      </c>
      <c r="AO4" t="s">
        <v>967</v>
      </c>
      <c r="AP4" s="135" t="s">
        <v>249</v>
      </c>
      <c r="AQ4" t="s">
        <v>971</v>
      </c>
      <c r="AR4" t="s">
        <v>968</v>
      </c>
      <c r="AS4" t="s">
        <v>973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6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0"/>
      <c r="AH5" s="561"/>
      <c r="AI5" t="s">
        <v>3</v>
      </c>
      <c r="AJ5" t="s">
        <v>909</v>
      </c>
      <c r="AK5" s="12">
        <v>45838</v>
      </c>
      <c r="AM5" t="s">
        <v>970</v>
      </c>
      <c r="AN5" s="5">
        <v>38.33</v>
      </c>
      <c r="AO5" t="s">
        <v>967</v>
      </c>
      <c r="AP5" s="135" t="s">
        <v>249</v>
      </c>
      <c r="AQ5" t="s">
        <v>971</v>
      </c>
      <c r="AR5" t="s">
        <v>968</v>
      </c>
      <c r="AS5" t="s">
        <v>974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6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0"/>
      <c r="AH6" s="561"/>
      <c r="AI6" t="s">
        <v>3</v>
      </c>
      <c r="AJ6" t="s">
        <v>909</v>
      </c>
      <c r="AK6" s="12">
        <v>45868.42</v>
      </c>
      <c r="AM6" t="s">
        <v>970</v>
      </c>
      <c r="AN6" s="5"/>
      <c r="AO6" t="s">
        <v>967</v>
      </c>
      <c r="AP6" s="135" t="s">
        <v>249</v>
      </c>
      <c r="AQ6" t="s">
        <v>971</v>
      </c>
      <c r="AR6" t="s">
        <v>968</v>
      </c>
      <c r="AS6" t="s">
        <v>975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6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0"/>
      <c r="AH7" s="561"/>
      <c r="AI7" t="s">
        <v>3</v>
      </c>
      <c r="AJ7" t="s">
        <v>909</v>
      </c>
      <c r="AK7" s="12">
        <v>45898.84</v>
      </c>
      <c r="AM7" t="s">
        <v>970</v>
      </c>
      <c r="AN7" s="5" t="s">
        <v>152</v>
      </c>
      <c r="AO7" t="s">
        <v>967</v>
      </c>
      <c r="AP7" s="135" t="s">
        <v>249</v>
      </c>
      <c r="AQ7" t="s">
        <v>971</v>
      </c>
      <c r="AR7" t="s">
        <v>968</v>
      </c>
      <c r="AS7" t="s">
        <v>976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6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0"/>
      <c r="AH8" s="561"/>
      <c r="AI8" t="s">
        <v>3</v>
      </c>
      <c r="AJ8" t="s">
        <v>909</v>
      </c>
      <c r="AK8" s="12">
        <v>45929.259999999995</v>
      </c>
      <c r="AM8" t="s">
        <v>970</v>
      </c>
      <c r="AN8" s="5" t="s">
        <v>152</v>
      </c>
      <c r="AO8" t="s">
        <v>967</v>
      </c>
      <c r="AP8" s="135" t="s">
        <v>249</v>
      </c>
      <c r="AQ8" t="s">
        <v>971</v>
      </c>
      <c r="AR8" t="s">
        <v>968</v>
      </c>
      <c r="AS8" t="s">
        <v>977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6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0"/>
      <c r="AH9" s="561"/>
      <c r="AI9" t="s">
        <v>3</v>
      </c>
      <c r="AJ9" t="s">
        <v>909</v>
      </c>
      <c r="AK9" s="12">
        <v>45959.679999999993</v>
      </c>
      <c r="AM9" t="s">
        <v>970</v>
      </c>
      <c r="AN9" s="5" t="s">
        <v>152</v>
      </c>
      <c r="AO9" t="s">
        <v>967</v>
      </c>
      <c r="AP9" s="135" t="s">
        <v>249</v>
      </c>
      <c r="AQ9" t="s">
        <v>971</v>
      </c>
      <c r="AR9" t="s">
        <v>968</v>
      </c>
      <c r="AS9" t="s">
        <v>978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6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0"/>
      <c r="AH10" s="561"/>
      <c r="AI10" t="s">
        <v>3</v>
      </c>
      <c r="AJ10" t="s">
        <v>909</v>
      </c>
      <c r="AK10" s="12">
        <v>45990.099999999991</v>
      </c>
      <c r="AM10" t="s">
        <v>970</v>
      </c>
      <c r="AN10" s="5">
        <v>0</v>
      </c>
      <c r="AO10" t="s">
        <v>967</v>
      </c>
      <c r="AP10" s="135" t="s">
        <v>249</v>
      </c>
      <c r="AQ10" t="s">
        <v>971</v>
      </c>
      <c r="AR10" t="s">
        <v>968</v>
      </c>
      <c r="AS10" t="s">
        <v>979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6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0"/>
      <c r="AH11" s="561"/>
      <c r="AI11" t="s">
        <v>3</v>
      </c>
      <c r="AJ11" t="s">
        <v>909</v>
      </c>
      <c r="AK11" s="12">
        <v>46020.51999999999</v>
      </c>
      <c r="AM11" t="s">
        <v>970</v>
      </c>
      <c r="AN11" s="5">
        <v>0</v>
      </c>
      <c r="AO11" t="s">
        <v>967</v>
      </c>
      <c r="AP11" s="135" t="s">
        <v>249</v>
      </c>
      <c r="AQ11" t="s">
        <v>971</v>
      </c>
      <c r="AR11" t="s">
        <v>968</v>
      </c>
      <c r="AS11" t="s">
        <v>980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6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0"/>
      <c r="AH12" s="561"/>
      <c r="AI12" t="s">
        <v>3</v>
      </c>
      <c r="AJ12" t="s">
        <v>909</v>
      </c>
      <c r="AK12" s="12">
        <v>46050.939999999988</v>
      </c>
      <c r="AM12" t="s">
        <v>970</v>
      </c>
      <c r="AN12" s="5">
        <v>0</v>
      </c>
      <c r="AO12" t="s">
        <v>967</v>
      </c>
      <c r="AP12" s="135" t="s">
        <v>249</v>
      </c>
      <c r="AQ12" t="s">
        <v>971</v>
      </c>
      <c r="AR12" t="s">
        <v>968</v>
      </c>
      <c r="AS12" t="s">
        <v>981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6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0"/>
      <c r="AH13" s="561"/>
      <c r="AI13" t="s">
        <v>3</v>
      </c>
      <c r="AJ13" t="s">
        <v>909</v>
      </c>
      <c r="AK13" s="12">
        <v>46081.359999999986</v>
      </c>
      <c r="AM13" t="s">
        <v>970</v>
      </c>
      <c r="AN13" s="5">
        <v>0</v>
      </c>
      <c r="AO13" t="s">
        <v>967</v>
      </c>
      <c r="AP13" s="135" t="s">
        <v>249</v>
      </c>
      <c r="AQ13" t="s">
        <v>971</v>
      </c>
      <c r="AR13" t="s">
        <v>968</v>
      </c>
      <c r="AS13" t="s">
        <v>982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6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0"/>
      <c r="AH14" s="561"/>
      <c r="AI14" t="s">
        <v>3</v>
      </c>
      <c r="AJ14" t="s">
        <v>909</v>
      </c>
      <c r="AK14" s="12">
        <v>46111.779999999984</v>
      </c>
      <c r="AM14" t="s">
        <v>970</v>
      </c>
      <c r="AN14" s="5">
        <v>0</v>
      </c>
      <c r="AO14" t="s">
        <v>967</v>
      </c>
      <c r="AP14" s="135" t="s">
        <v>249</v>
      </c>
      <c r="AQ14" t="s">
        <v>971</v>
      </c>
      <c r="AR14" t="s">
        <v>968</v>
      </c>
      <c r="AS14" t="s">
        <v>983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6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0"/>
      <c r="AH15" s="561"/>
      <c r="AI15" t="s">
        <v>3</v>
      </c>
      <c r="AJ15" t="s">
        <v>909</v>
      </c>
      <c r="AK15" s="12">
        <v>46142.199999999983</v>
      </c>
      <c r="AM15" t="s">
        <v>970</v>
      </c>
      <c r="AN15" s="5">
        <v>0</v>
      </c>
      <c r="AO15" t="s">
        <v>967</v>
      </c>
      <c r="AP15" s="135" t="s">
        <v>249</v>
      </c>
      <c r="AQ15" t="s">
        <v>971</v>
      </c>
      <c r="AR15" t="s">
        <v>968</v>
      </c>
      <c r="AS15" t="s">
        <v>984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0"/>
      <c r="AH16" s="561"/>
      <c r="AI16" t="s">
        <v>3</v>
      </c>
      <c r="AJ16" t="s">
        <v>909</v>
      </c>
      <c r="AK16" s="12">
        <v>46172.619999999981</v>
      </c>
      <c r="AM16" t="s">
        <v>970</v>
      </c>
      <c r="AN16" s="5">
        <v>0</v>
      </c>
      <c r="AO16" t="s">
        <v>967</v>
      </c>
      <c r="AP16" s="135" t="s">
        <v>249</v>
      </c>
      <c r="AQ16" t="s">
        <v>971</v>
      </c>
      <c r="AR16" t="s">
        <v>968</v>
      </c>
      <c r="AS16" t="s">
        <v>985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0"/>
      <c r="AH17" s="561"/>
      <c r="AI17" t="s">
        <v>3</v>
      </c>
      <c r="AJ17" t="s">
        <v>909</v>
      </c>
      <c r="AK17" s="12">
        <v>46203.039999999979</v>
      </c>
      <c r="AM17" t="s">
        <v>970</v>
      </c>
      <c r="AN17" s="5">
        <v>0</v>
      </c>
      <c r="AO17" t="s">
        <v>967</v>
      </c>
      <c r="AP17" s="135" t="s">
        <v>249</v>
      </c>
      <c r="AQ17" t="s">
        <v>971</v>
      </c>
      <c r="AR17" t="s">
        <v>968</v>
      </c>
      <c r="AS17" t="s">
        <v>986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0"/>
      <c r="AH18" s="561"/>
      <c r="AI18" t="s">
        <v>3</v>
      </c>
      <c r="AJ18" t="s">
        <v>909</v>
      </c>
      <c r="AK18" s="12">
        <v>46233.459999999977</v>
      </c>
      <c r="AM18" t="s">
        <v>970</v>
      </c>
      <c r="AN18" s="5">
        <v>0</v>
      </c>
      <c r="AO18" t="s">
        <v>967</v>
      </c>
      <c r="AP18" s="135" t="s">
        <v>249</v>
      </c>
      <c r="AQ18" t="s">
        <v>971</v>
      </c>
      <c r="AR18" t="s">
        <v>968</v>
      </c>
      <c r="AS18" t="s">
        <v>987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0"/>
      <c r="AH19" s="561"/>
      <c r="AI19" t="s">
        <v>3</v>
      </c>
      <c r="AJ19" t="s">
        <v>909</v>
      </c>
      <c r="AK19" s="12">
        <v>46263.879999999976</v>
      </c>
      <c r="AM19" t="s">
        <v>970</v>
      </c>
      <c r="AN19" s="5">
        <v>0</v>
      </c>
      <c r="AO19" t="s">
        <v>967</v>
      </c>
      <c r="AP19" s="135" t="s">
        <v>249</v>
      </c>
      <c r="AQ19" t="s">
        <v>971</v>
      </c>
      <c r="AR19" t="s">
        <v>968</v>
      </c>
      <c r="AS19" t="s">
        <v>988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0"/>
      <c r="AH20" s="561"/>
      <c r="AI20" t="s">
        <v>3</v>
      </c>
      <c r="AJ20" t="s">
        <v>909</v>
      </c>
      <c r="AK20" s="12">
        <v>46294.299999999974</v>
      </c>
      <c r="AM20" t="s">
        <v>970</v>
      </c>
      <c r="AN20" s="5">
        <v>0</v>
      </c>
      <c r="AO20" t="s">
        <v>967</v>
      </c>
      <c r="AP20" s="135" t="s">
        <v>249</v>
      </c>
      <c r="AQ20" t="s">
        <v>971</v>
      </c>
      <c r="AR20" t="s">
        <v>968</v>
      </c>
      <c r="AS20" t="s">
        <v>989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0"/>
      <c r="AH21" s="561"/>
      <c r="AI21" t="s">
        <v>3</v>
      </c>
      <c r="AJ21" t="s">
        <v>909</v>
      </c>
      <c r="AK21" s="12">
        <v>46324.719999999972</v>
      </c>
      <c r="AM21" t="s">
        <v>970</v>
      </c>
      <c r="AN21" s="5">
        <v>0</v>
      </c>
      <c r="AO21" t="s">
        <v>967</v>
      </c>
      <c r="AP21" s="135" t="s">
        <v>249</v>
      </c>
      <c r="AQ21" t="s">
        <v>971</v>
      </c>
      <c r="AR21" t="s">
        <v>968</v>
      </c>
      <c r="AS21" t="s">
        <v>990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0"/>
      <c r="AH22" s="561"/>
      <c r="AI22" t="s">
        <v>3</v>
      </c>
      <c r="AJ22" t="s">
        <v>969</v>
      </c>
      <c r="AK22" s="12">
        <v>45805</v>
      </c>
      <c r="AM22" t="s">
        <v>970</v>
      </c>
      <c r="AN22" s="5">
        <v>660.59</v>
      </c>
      <c r="AO22" t="s">
        <v>967</v>
      </c>
      <c r="AP22" s="135" t="s">
        <v>249</v>
      </c>
      <c r="AQ22" t="s">
        <v>971</v>
      </c>
      <c r="AR22" t="s">
        <v>968</v>
      </c>
      <c r="AS22" t="s">
        <v>991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0"/>
      <c r="AH23" s="561"/>
      <c r="AI23" t="s">
        <v>3</v>
      </c>
      <c r="AJ23" t="s">
        <v>969</v>
      </c>
      <c r="AK23" s="12">
        <v>45835.42</v>
      </c>
      <c r="AM23" t="s">
        <v>970</v>
      </c>
      <c r="AN23" s="5">
        <v>660.59</v>
      </c>
      <c r="AO23" t="s">
        <v>967</v>
      </c>
      <c r="AP23" s="135" t="s">
        <v>249</v>
      </c>
      <c r="AQ23" t="s">
        <v>971</v>
      </c>
      <c r="AR23" t="s">
        <v>968</v>
      </c>
      <c r="AS23" t="s">
        <v>992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6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2"/>
      <c r="AH24" s="561"/>
      <c r="AI24" t="s">
        <v>3</v>
      </c>
      <c r="AJ24" t="s">
        <v>969</v>
      </c>
      <c r="AK24" s="12">
        <v>45865.84</v>
      </c>
      <c r="AM24" t="s">
        <v>970</v>
      </c>
      <c r="AN24" s="5">
        <v>660.59</v>
      </c>
      <c r="AO24" t="s">
        <v>967</v>
      </c>
      <c r="AP24" s="135" t="s">
        <v>249</v>
      </c>
      <c r="AQ24" t="s">
        <v>971</v>
      </c>
      <c r="AR24" t="s">
        <v>968</v>
      </c>
      <c r="AS24" t="s">
        <v>993</v>
      </c>
    </row>
    <row r="25" spans="1:45" ht="15.75" customHeight="1" thickBot="1" x14ac:dyDescent="0.3">
      <c r="A25" s="23"/>
      <c r="B25" s="750">
        <f>SUMIFS(tblCarryingExpenses[Amount],tblCarryingExpenses[Category],IF(A1="Mortgage Payment paid after Reinstatement","Mortgage Payment",A1),tblCarryingExpenses[Include],"Yes")</f>
        <v>89.949999999999989</v>
      </c>
      <c r="C25" s="751"/>
      <c r="D25" s="23"/>
      <c r="E25" s="750">
        <f>SUMIFS(tblCarryingExpenses[Amount],tblCarryingExpenses[Category],IF(D1="Mortgage Payment paid after Reinstatement","Mortgage Payment",D1),tblCarryingExpenses[Include],"Yes")</f>
        <v>3302.9500000000003</v>
      </c>
      <c r="F25" s="754"/>
      <c r="G25" s="563"/>
      <c r="H25" s="750">
        <f>SUMIFS(tblCarryingExpenses[Amount],tblCarryingExpenses[Category],IF(G1="Mortgage Payment paid after Reinstatement","Mortgage Payment",G1),tblCarryingExpenses[Include],"Yes")</f>
        <v>1832.74</v>
      </c>
      <c r="I25" s="751"/>
      <c r="J25" s="563"/>
      <c r="K25" s="750">
        <f>SUMIFS(tblCarryingExpenses[Amount],tblCarryingExpenses[Category],IF(J1="Mortgage Payment paid after Reinstatement","Mortgage Payment",J1),tblCarryingExpenses[Include],"Yes")</f>
        <v>0</v>
      </c>
      <c r="L25" s="751"/>
      <c r="M25" s="563"/>
      <c r="N25" s="750">
        <f>SUMIFS(tblCarryingExpenses[Amount],tblCarryingExpenses[Category],IF(M1="Mortgage Payment paid after Reinstatement","Mortgage Payment",M1),tblCarryingExpenses[Include],"Yes")</f>
        <v>0</v>
      </c>
      <c r="O25" s="751"/>
      <c r="P25" s="563"/>
      <c r="Q25" s="750">
        <f>SUMIFS(tblCarryingExpenses[Amount],tblCarryingExpenses[Category],IF(P1="Mortgage Payment paid after Reinstatement","Mortgage Payment",P1),tblCarryingExpenses[Include],"Yes")</f>
        <v>277.64</v>
      </c>
      <c r="R25" s="751"/>
      <c r="S25" s="563"/>
      <c r="T25" s="750">
        <f>SUMIFS(tblCarryingExpenses[Amount],tblCarryingExpenses[Category],IF(S1="Mortgage Payment paid after Reinstatement","Mortgage Payment",S1),tblCarryingExpenses[Include],"Yes")</f>
        <v>0</v>
      </c>
      <c r="U25" s="751"/>
      <c r="V25" s="563"/>
      <c r="W25" s="750">
        <f>SUMIFS(tblCarryingExpenses[Amount],tblCarryingExpenses[Category],IF(V1="Mortgage Payment paid after Reinstatement","Mortgage Payment",V1),tblCarryingExpenses[Include],"Yes")</f>
        <v>0</v>
      </c>
      <c r="X25" s="751"/>
      <c r="Y25" s="563"/>
      <c r="Z25" s="750">
        <f>SUM(Z4:AA23)</f>
        <v>0</v>
      </c>
      <c r="AA25" s="751"/>
      <c r="AB25" s="563"/>
      <c r="AC25" s="750">
        <f>SUMIFS(tblCarryingExpenses[Amount],tblCarryingExpenses[Category],IF(AB1="Mortgage Payment paid after Reinstatement","Mortgage Payment",AB1),tblCarryingExpenses[Include],"Yes")</f>
        <v>0</v>
      </c>
      <c r="AD25" s="751"/>
      <c r="AE25" s="563"/>
      <c r="AF25" s="750">
        <f>SUMIFS(tblCarryingExpenses[Amount],tblCarryingExpenses[Category],IF(AE1="Mortgage Payment paid after Reinstatement","Mortgage Payment",AE1),tblCarryingExpenses[Include],"Yes")</f>
        <v>0</v>
      </c>
      <c r="AG25" s="751"/>
      <c r="AH25" s="5"/>
      <c r="AI25" t="s">
        <v>3</v>
      </c>
      <c r="AJ25" t="s">
        <v>969</v>
      </c>
      <c r="AK25" s="12">
        <v>45896.259999999995</v>
      </c>
      <c r="AM25" t="s">
        <v>970</v>
      </c>
      <c r="AN25" s="5">
        <v>660.59</v>
      </c>
      <c r="AO25" t="s">
        <v>967</v>
      </c>
      <c r="AP25" s="135" t="s">
        <v>249</v>
      </c>
      <c r="AQ25" t="s">
        <v>971</v>
      </c>
      <c r="AR25" t="s">
        <v>968</v>
      </c>
      <c r="AS25" t="s">
        <v>994</v>
      </c>
    </row>
    <row r="26" spans="1:45" ht="15" customHeight="1" x14ac:dyDescent="0.25">
      <c r="AI26" t="s">
        <v>3</v>
      </c>
      <c r="AJ26" t="s">
        <v>969</v>
      </c>
      <c r="AK26" s="12">
        <v>45926.679999999993</v>
      </c>
      <c r="AM26" t="s">
        <v>970</v>
      </c>
      <c r="AN26" s="5">
        <v>660.59</v>
      </c>
      <c r="AO26" t="s">
        <v>967</v>
      </c>
      <c r="AP26" s="135" t="s">
        <v>249</v>
      </c>
      <c r="AQ26" t="s">
        <v>971</v>
      </c>
      <c r="AR26" t="s">
        <v>968</v>
      </c>
      <c r="AS26" t="s">
        <v>995</v>
      </c>
    </row>
    <row r="27" spans="1:45" ht="15" customHeight="1" x14ac:dyDescent="0.25">
      <c r="AI27" t="s">
        <v>3</v>
      </c>
      <c r="AJ27" t="s">
        <v>969</v>
      </c>
      <c r="AK27" s="12">
        <v>45957.099999999991</v>
      </c>
      <c r="AM27" t="s">
        <v>970</v>
      </c>
      <c r="AN27" s="5">
        <v>0</v>
      </c>
      <c r="AO27" t="s">
        <v>967</v>
      </c>
      <c r="AP27" s="135" t="s">
        <v>249</v>
      </c>
      <c r="AQ27" t="s">
        <v>971</v>
      </c>
      <c r="AR27" t="s">
        <v>968</v>
      </c>
      <c r="AS27" t="s">
        <v>996</v>
      </c>
    </row>
    <row r="28" spans="1:45" ht="15" customHeight="1" x14ac:dyDescent="0.25">
      <c r="AI28" t="s">
        <v>3</v>
      </c>
      <c r="AJ28" t="s">
        <v>969</v>
      </c>
      <c r="AK28" s="12">
        <v>45987.51999999999</v>
      </c>
      <c r="AM28" t="s">
        <v>970</v>
      </c>
      <c r="AN28" s="5">
        <v>0</v>
      </c>
      <c r="AO28" t="s">
        <v>967</v>
      </c>
      <c r="AP28" s="135" t="s">
        <v>249</v>
      </c>
      <c r="AQ28" t="s">
        <v>971</v>
      </c>
      <c r="AR28" t="s">
        <v>968</v>
      </c>
      <c r="AS28" t="s">
        <v>997</v>
      </c>
    </row>
    <row r="29" spans="1:45" ht="15" customHeight="1" x14ac:dyDescent="0.25">
      <c r="AI29" t="s">
        <v>3</v>
      </c>
      <c r="AJ29" t="s">
        <v>969</v>
      </c>
      <c r="AK29" s="12">
        <v>46017.939999999988</v>
      </c>
      <c r="AM29" t="s">
        <v>970</v>
      </c>
      <c r="AN29" s="5">
        <v>0</v>
      </c>
      <c r="AO29" t="s">
        <v>967</v>
      </c>
      <c r="AP29" s="135" t="s">
        <v>249</v>
      </c>
      <c r="AQ29" t="s">
        <v>971</v>
      </c>
      <c r="AR29" t="s">
        <v>968</v>
      </c>
      <c r="AS29" t="s">
        <v>998</v>
      </c>
    </row>
    <row r="30" spans="1:45" ht="15" customHeight="1" x14ac:dyDescent="0.25">
      <c r="AI30" t="s">
        <v>3</v>
      </c>
      <c r="AJ30" t="s">
        <v>969</v>
      </c>
      <c r="AK30" s="12">
        <v>46048.359999999986</v>
      </c>
      <c r="AM30" t="s">
        <v>970</v>
      </c>
      <c r="AN30" s="5">
        <v>0</v>
      </c>
      <c r="AO30" t="s">
        <v>967</v>
      </c>
      <c r="AP30" s="135" t="s">
        <v>249</v>
      </c>
      <c r="AQ30" t="s">
        <v>971</v>
      </c>
      <c r="AR30" t="s">
        <v>968</v>
      </c>
      <c r="AS30" t="s">
        <v>999</v>
      </c>
    </row>
    <row r="31" spans="1:45" ht="15" customHeight="1" x14ac:dyDescent="0.25">
      <c r="AI31" t="s">
        <v>3</v>
      </c>
      <c r="AJ31" t="s">
        <v>969</v>
      </c>
      <c r="AK31" s="12">
        <v>46078.779999999984</v>
      </c>
      <c r="AM31" t="s">
        <v>970</v>
      </c>
      <c r="AN31" s="5">
        <v>0</v>
      </c>
      <c r="AO31" t="s">
        <v>967</v>
      </c>
      <c r="AP31" s="135" t="s">
        <v>249</v>
      </c>
      <c r="AQ31" t="s">
        <v>971</v>
      </c>
      <c r="AR31" t="s">
        <v>968</v>
      </c>
      <c r="AS31" t="s">
        <v>1000</v>
      </c>
    </row>
    <row r="32" spans="1:45" ht="15" customHeight="1" x14ac:dyDescent="0.25">
      <c r="AI32" t="s">
        <v>3</v>
      </c>
      <c r="AJ32" t="s">
        <v>969</v>
      </c>
      <c r="AK32" s="12">
        <v>46109.199999999983</v>
      </c>
      <c r="AM32" t="s">
        <v>970</v>
      </c>
      <c r="AN32" s="5">
        <v>0</v>
      </c>
      <c r="AO32" t="s">
        <v>967</v>
      </c>
      <c r="AP32" s="135" t="s">
        <v>249</v>
      </c>
      <c r="AQ32" t="s">
        <v>971</v>
      </c>
      <c r="AR32" t="s">
        <v>968</v>
      </c>
      <c r="AS32" t="s">
        <v>1001</v>
      </c>
    </row>
    <row r="33" spans="35:45" ht="15" customHeight="1" x14ac:dyDescent="0.25">
      <c r="AI33" t="s">
        <v>3</v>
      </c>
      <c r="AJ33" t="s">
        <v>969</v>
      </c>
      <c r="AK33" s="12">
        <v>46139.619999999981</v>
      </c>
      <c r="AM33" t="s">
        <v>970</v>
      </c>
      <c r="AN33" s="5">
        <v>0</v>
      </c>
      <c r="AO33" t="s">
        <v>967</v>
      </c>
      <c r="AP33" s="135" t="s">
        <v>249</v>
      </c>
      <c r="AQ33" t="s">
        <v>971</v>
      </c>
      <c r="AR33" t="s">
        <v>968</v>
      </c>
      <c r="AS33" t="s">
        <v>1002</v>
      </c>
    </row>
    <row r="34" spans="35:45" ht="15" customHeight="1" x14ac:dyDescent="0.25">
      <c r="AI34" t="s">
        <v>3</v>
      </c>
      <c r="AJ34" t="s">
        <v>969</v>
      </c>
      <c r="AK34" s="12">
        <v>46170.039999999979</v>
      </c>
      <c r="AM34" t="s">
        <v>970</v>
      </c>
      <c r="AN34" s="5">
        <v>0</v>
      </c>
      <c r="AO34" t="s">
        <v>967</v>
      </c>
      <c r="AP34" s="135" t="s">
        <v>249</v>
      </c>
      <c r="AQ34" t="s">
        <v>971</v>
      </c>
      <c r="AR34" t="s">
        <v>968</v>
      </c>
      <c r="AS34" t="s">
        <v>1003</v>
      </c>
    </row>
    <row r="35" spans="35:45" ht="15" customHeight="1" x14ac:dyDescent="0.25">
      <c r="AI35" t="s">
        <v>3</v>
      </c>
      <c r="AJ35" t="s">
        <v>969</v>
      </c>
      <c r="AK35" s="12">
        <v>46200.459999999977</v>
      </c>
      <c r="AM35" t="s">
        <v>970</v>
      </c>
      <c r="AN35" s="5">
        <v>0</v>
      </c>
      <c r="AO35" t="s">
        <v>967</v>
      </c>
      <c r="AP35" s="135" t="s">
        <v>249</v>
      </c>
      <c r="AQ35" t="s">
        <v>971</v>
      </c>
      <c r="AR35" t="s">
        <v>968</v>
      </c>
      <c r="AS35" t="s">
        <v>1004</v>
      </c>
    </row>
    <row r="36" spans="35:45" ht="15" customHeight="1" x14ac:dyDescent="0.25">
      <c r="AI36" t="s">
        <v>3</v>
      </c>
      <c r="AJ36" t="s">
        <v>969</v>
      </c>
      <c r="AK36" s="12">
        <v>46230.879999999976</v>
      </c>
      <c r="AM36" t="s">
        <v>970</v>
      </c>
      <c r="AN36" s="5">
        <v>0</v>
      </c>
      <c r="AO36" t="s">
        <v>967</v>
      </c>
      <c r="AP36" s="135" t="s">
        <v>249</v>
      </c>
      <c r="AQ36" t="s">
        <v>971</v>
      </c>
      <c r="AR36" t="s">
        <v>968</v>
      </c>
      <c r="AS36" t="s">
        <v>1005</v>
      </c>
    </row>
    <row r="37" spans="35:45" ht="15" customHeight="1" x14ac:dyDescent="0.25">
      <c r="AI37" t="s">
        <v>3</v>
      </c>
      <c r="AJ37" t="s">
        <v>969</v>
      </c>
      <c r="AK37" s="12">
        <v>46261.299999999974</v>
      </c>
      <c r="AM37" t="s">
        <v>970</v>
      </c>
      <c r="AN37" s="5">
        <v>0</v>
      </c>
      <c r="AO37" t="s">
        <v>967</v>
      </c>
      <c r="AP37" s="135" t="s">
        <v>249</v>
      </c>
      <c r="AQ37" t="s">
        <v>971</v>
      </c>
      <c r="AR37" t="s">
        <v>968</v>
      </c>
      <c r="AS37" t="s">
        <v>1006</v>
      </c>
    </row>
    <row r="38" spans="35:45" ht="15" customHeight="1" x14ac:dyDescent="0.25">
      <c r="AI38" t="s">
        <v>3</v>
      </c>
      <c r="AJ38" t="s">
        <v>969</v>
      </c>
      <c r="AK38" s="12">
        <v>46291.719999999972</v>
      </c>
      <c r="AM38" t="s">
        <v>970</v>
      </c>
      <c r="AN38" s="5">
        <v>0</v>
      </c>
      <c r="AO38" t="s">
        <v>967</v>
      </c>
      <c r="AP38" s="135" t="s">
        <v>249</v>
      </c>
      <c r="AQ38" t="s">
        <v>971</v>
      </c>
      <c r="AR38" t="s">
        <v>968</v>
      </c>
      <c r="AS38" t="s">
        <v>1007</v>
      </c>
    </row>
    <row r="39" spans="35:45" ht="15" customHeight="1" x14ac:dyDescent="0.25">
      <c r="AI39" t="s">
        <v>3</v>
      </c>
      <c r="AJ39" t="s">
        <v>969</v>
      </c>
      <c r="AK39" s="12">
        <v>46322.13999999997</v>
      </c>
      <c r="AM39" t="s">
        <v>970</v>
      </c>
      <c r="AN39" s="5">
        <v>0</v>
      </c>
      <c r="AO39" t="s">
        <v>967</v>
      </c>
      <c r="AP39" s="135" t="s">
        <v>249</v>
      </c>
      <c r="AQ39" t="s">
        <v>971</v>
      </c>
      <c r="AR39" t="s">
        <v>968</v>
      </c>
      <c r="AS39" t="s">
        <v>1008</v>
      </c>
    </row>
    <row r="40" spans="35:45" ht="15" customHeight="1" x14ac:dyDescent="0.25">
      <c r="AI40" t="s">
        <v>3</v>
      </c>
      <c r="AJ40" t="s">
        <v>969</v>
      </c>
      <c r="AK40" s="12">
        <v>46352.559999999969</v>
      </c>
      <c r="AM40" t="s">
        <v>970</v>
      </c>
      <c r="AN40" s="5">
        <v>0</v>
      </c>
      <c r="AO40" t="s">
        <v>967</v>
      </c>
      <c r="AP40" s="135" t="s">
        <v>249</v>
      </c>
      <c r="AQ40" t="s">
        <v>971</v>
      </c>
      <c r="AR40" t="s">
        <v>968</v>
      </c>
      <c r="AS40" t="s">
        <v>1009</v>
      </c>
    </row>
    <row r="41" spans="35:45" ht="15" customHeight="1" x14ac:dyDescent="0.25">
      <c r="AI41" t="s">
        <v>3</v>
      </c>
      <c r="AJ41" t="s">
        <v>592</v>
      </c>
      <c r="AK41" s="12">
        <v>45805</v>
      </c>
      <c r="AM41" t="s">
        <v>970</v>
      </c>
      <c r="AN41" s="5">
        <v>0</v>
      </c>
      <c r="AO41" t="s">
        <v>967</v>
      </c>
      <c r="AP41" s="135" t="s">
        <v>249</v>
      </c>
      <c r="AQ41" t="s">
        <v>971</v>
      </c>
      <c r="AR41" t="s">
        <v>968</v>
      </c>
      <c r="AS41" t="s">
        <v>1010</v>
      </c>
    </row>
    <row r="42" spans="35:45" ht="15" customHeight="1" x14ac:dyDescent="0.25">
      <c r="AI42" t="s">
        <v>3</v>
      </c>
      <c r="AJ42" t="s">
        <v>592</v>
      </c>
      <c r="AK42" s="12">
        <v>45835.42</v>
      </c>
      <c r="AM42" t="s">
        <v>970</v>
      </c>
      <c r="AN42" s="5">
        <v>0</v>
      </c>
      <c r="AO42" t="s">
        <v>967</v>
      </c>
      <c r="AP42" s="135" t="s">
        <v>249</v>
      </c>
      <c r="AQ42" t="s">
        <v>971</v>
      </c>
      <c r="AR42" t="s">
        <v>968</v>
      </c>
      <c r="AS42" t="s">
        <v>1011</v>
      </c>
    </row>
    <row r="43" spans="35:45" ht="15" customHeight="1" x14ac:dyDescent="0.25">
      <c r="AI43" t="s">
        <v>3</v>
      </c>
      <c r="AJ43" t="s">
        <v>592</v>
      </c>
      <c r="AK43" s="12">
        <v>45865.84</v>
      </c>
      <c r="AM43" t="s">
        <v>970</v>
      </c>
      <c r="AN43" s="5">
        <v>0</v>
      </c>
      <c r="AO43" t="s">
        <v>967</v>
      </c>
      <c r="AP43" s="135" t="s">
        <v>249</v>
      </c>
      <c r="AQ43" t="s">
        <v>971</v>
      </c>
      <c r="AR43" t="s">
        <v>968</v>
      </c>
      <c r="AS43" t="s">
        <v>1012</v>
      </c>
    </row>
    <row r="44" spans="35:45" ht="15" customHeight="1" x14ac:dyDescent="0.25">
      <c r="AI44" t="s">
        <v>3</v>
      </c>
      <c r="AJ44" t="s">
        <v>592</v>
      </c>
      <c r="AK44" s="12">
        <v>45896.259999999995</v>
      </c>
      <c r="AM44" t="s">
        <v>970</v>
      </c>
      <c r="AN44" s="5">
        <v>0</v>
      </c>
      <c r="AO44" t="s">
        <v>967</v>
      </c>
      <c r="AP44" s="135" t="s">
        <v>249</v>
      </c>
      <c r="AQ44" t="s">
        <v>971</v>
      </c>
      <c r="AR44" t="s">
        <v>968</v>
      </c>
      <c r="AS44" t="s">
        <v>1013</v>
      </c>
    </row>
    <row r="45" spans="35:45" ht="15" customHeight="1" x14ac:dyDescent="0.25">
      <c r="AI45" t="s">
        <v>3</v>
      </c>
      <c r="AJ45" t="s">
        <v>592</v>
      </c>
      <c r="AK45" s="12">
        <v>45931</v>
      </c>
      <c r="AM45" t="s">
        <v>970</v>
      </c>
      <c r="AN45" s="5">
        <v>916.37</v>
      </c>
      <c r="AO45" t="s">
        <v>967</v>
      </c>
      <c r="AP45" s="135" t="s">
        <v>249</v>
      </c>
      <c r="AQ45" t="s">
        <v>971</v>
      </c>
      <c r="AR45" t="s">
        <v>968</v>
      </c>
      <c r="AS45" t="s">
        <v>1014</v>
      </c>
    </row>
    <row r="46" spans="35:45" ht="15" customHeight="1" x14ac:dyDescent="0.25">
      <c r="AI46" t="s">
        <v>3</v>
      </c>
      <c r="AJ46" t="s">
        <v>592</v>
      </c>
      <c r="AK46" s="12">
        <v>45961.42</v>
      </c>
      <c r="AM46" t="s">
        <v>970</v>
      </c>
      <c r="AN46" s="5">
        <v>916.37</v>
      </c>
      <c r="AO46" t="s">
        <v>967</v>
      </c>
      <c r="AP46" s="135" t="s">
        <v>249</v>
      </c>
      <c r="AQ46" t="s">
        <v>971</v>
      </c>
      <c r="AR46" t="s">
        <v>968</v>
      </c>
      <c r="AS46" t="s">
        <v>1015</v>
      </c>
    </row>
    <row r="47" spans="35:45" ht="15" customHeight="1" x14ac:dyDescent="0.25">
      <c r="AI47" t="s">
        <v>3</v>
      </c>
      <c r="AJ47" t="s">
        <v>592</v>
      </c>
      <c r="AK47" s="12">
        <v>45991.839999999997</v>
      </c>
      <c r="AM47" t="s">
        <v>970</v>
      </c>
      <c r="AN47" s="5"/>
      <c r="AO47" t="s">
        <v>967</v>
      </c>
      <c r="AP47" s="135" t="s">
        <v>249</v>
      </c>
      <c r="AQ47" t="s">
        <v>971</v>
      </c>
      <c r="AR47" t="s">
        <v>968</v>
      </c>
      <c r="AS47" t="s">
        <v>1016</v>
      </c>
    </row>
    <row r="48" spans="35:45" ht="15" customHeight="1" x14ac:dyDescent="0.25">
      <c r="AI48" t="s">
        <v>3</v>
      </c>
      <c r="AJ48" t="s">
        <v>592</v>
      </c>
      <c r="AK48" s="12">
        <v>46022.259999999995</v>
      </c>
      <c r="AM48" t="s">
        <v>970</v>
      </c>
      <c r="AN48" s="5"/>
      <c r="AO48" t="s">
        <v>967</v>
      </c>
      <c r="AP48" s="135" t="s">
        <v>249</v>
      </c>
      <c r="AQ48" t="s">
        <v>971</v>
      </c>
      <c r="AR48" t="s">
        <v>968</v>
      </c>
      <c r="AS48" t="s">
        <v>1017</v>
      </c>
    </row>
    <row r="49" spans="35:45" ht="15" customHeight="1" x14ac:dyDescent="0.25">
      <c r="AI49" t="s">
        <v>3</v>
      </c>
      <c r="AJ49" t="s">
        <v>592</v>
      </c>
      <c r="AK49" s="12">
        <v>46052.679999999993</v>
      </c>
      <c r="AM49" t="s">
        <v>970</v>
      </c>
      <c r="AN49" s="5"/>
      <c r="AO49" t="s">
        <v>967</v>
      </c>
      <c r="AP49" s="135" t="s">
        <v>249</v>
      </c>
      <c r="AQ49" t="s">
        <v>971</v>
      </c>
      <c r="AR49" t="s">
        <v>968</v>
      </c>
      <c r="AS49" t="s">
        <v>1018</v>
      </c>
    </row>
    <row r="50" spans="35:45" ht="15" customHeight="1" x14ac:dyDescent="0.25">
      <c r="AI50" t="s">
        <v>3</v>
      </c>
      <c r="AJ50" t="s">
        <v>592</v>
      </c>
      <c r="AK50" s="12">
        <v>46083.099999999991</v>
      </c>
      <c r="AM50" t="s">
        <v>970</v>
      </c>
      <c r="AN50" s="5"/>
      <c r="AO50" t="s">
        <v>967</v>
      </c>
      <c r="AP50" s="135" t="s">
        <v>249</v>
      </c>
      <c r="AQ50" t="s">
        <v>971</v>
      </c>
      <c r="AR50" t="s">
        <v>968</v>
      </c>
      <c r="AS50" t="s">
        <v>1019</v>
      </c>
    </row>
    <row r="51" spans="35:45" ht="15" customHeight="1" x14ac:dyDescent="0.25">
      <c r="AI51" t="s">
        <v>3</v>
      </c>
      <c r="AJ51" t="s">
        <v>592</v>
      </c>
      <c r="AK51" s="12">
        <v>46113.51999999999</v>
      </c>
      <c r="AM51" t="s">
        <v>970</v>
      </c>
      <c r="AN51" s="5"/>
      <c r="AO51" t="s">
        <v>967</v>
      </c>
      <c r="AP51" s="135" t="s">
        <v>249</v>
      </c>
      <c r="AQ51" t="s">
        <v>971</v>
      </c>
      <c r="AR51" t="s">
        <v>968</v>
      </c>
      <c r="AS51" t="s">
        <v>1020</v>
      </c>
    </row>
    <row r="52" spans="35:45" ht="15" customHeight="1" x14ac:dyDescent="0.25">
      <c r="AI52" t="s">
        <v>3</v>
      </c>
      <c r="AJ52" t="s">
        <v>592</v>
      </c>
      <c r="AK52" s="12">
        <v>46143.939999999988</v>
      </c>
      <c r="AM52" t="s">
        <v>970</v>
      </c>
      <c r="AN52" s="5"/>
      <c r="AO52" t="s">
        <v>967</v>
      </c>
      <c r="AP52" s="135" t="s">
        <v>249</v>
      </c>
      <c r="AQ52" t="s">
        <v>971</v>
      </c>
      <c r="AR52" t="s">
        <v>968</v>
      </c>
      <c r="AS52" t="s">
        <v>1021</v>
      </c>
    </row>
    <row r="53" spans="35:45" ht="15" customHeight="1" x14ac:dyDescent="0.25">
      <c r="AI53" t="s">
        <v>3</v>
      </c>
      <c r="AJ53" t="s">
        <v>592</v>
      </c>
      <c r="AK53" s="12">
        <v>46174.359999999986</v>
      </c>
      <c r="AM53" t="s">
        <v>970</v>
      </c>
      <c r="AN53" s="5"/>
      <c r="AO53" t="s">
        <v>967</v>
      </c>
      <c r="AP53" s="135" t="s">
        <v>249</v>
      </c>
      <c r="AQ53" t="s">
        <v>971</v>
      </c>
      <c r="AR53" t="s">
        <v>968</v>
      </c>
      <c r="AS53" t="s">
        <v>1022</v>
      </c>
    </row>
    <row r="54" spans="35:45" ht="15" customHeight="1" x14ac:dyDescent="0.25">
      <c r="AI54" t="s">
        <v>3</v>
      </c>
      <c r="AJ54" t="s">
        <v>592</v>
      </c>
      <c r="AK54" s="12">
        <v>46204.779999999984</v>
      </c>
      <c r="AM54" t="s">
        <v>970</v>
      </c>
      <c r="AN54" s="5"/>
      <c r="AO54" t="s">
        <v>967</v>
      </c>
      <c r="AP54" s="135" t="s">
        <v>249</v>
      </c>
      <c r="AQ54" t="s">
        <v>971</v>
      </c>
      <c r="AR54" t="s">
        <v>968</v>
      </c>
      <c r="AS54" t="s">
        <v>1023</v>
      </c>
    </row>
    <row r="55" spans="35:45" ht="15" customHeight="1" x14ac:dyDescent="0.25">
      <c r="AI55" t="s">
        <v>3</v>
      </c>
      <c r="AJ55" t="s">
        <v>592</v>
      </c>
      <c r="AK55" s="12">
        <v>46235.199999999983</v>
      </c>
      <c r="AM55" t="s">
        <v>970</v>
      </c>
      <c r="AN55" s="5"/>
      <c r="AO55" t="s">
        <v>967</v>
      </c>
      <c r="AP55" s="135" t="s">
        <v>249</v>
      </c>
      <c r="AQ55" t="s">
        <v>971</v>
      </c>
      <c r="AR55" t="s">
        <v>968</v>
      </c>
      <c r="AS55" t="s">
        <v>1024</v>
      </c>
    </row>
    <row r="56" spans="35:45" ht="15" customHeight="1" x14ac:dyDescent="0.25">
      <c r="AI56" t="s">
        <v>3</v>
      </c>
      <c r="AJ56" t="s">
        <v>592</v>
      </c>
      <c r="AK56" s="12">
        <v>46265.619999999981</v>
      </c>
      <c r="AM56" t="s">
        <v>970</v>
      </c>
      <c r="AN56" s="5"/>
      <c r="AO56" t="s">
        <v>967</v>
      </c>
      <c r="AP56" s="135" t="s">
        <v>249</v>
      </c>
      <c r="AQ56" t="s">
        <v>971</v>
      </c>
      <c r="AR56" t="s">
        <v>968</v>
      </c>
      <c r="AS56" t="s">
        <v>1025</v>
      </c>
    </row>
    <row r="57" spans="35:45" ht="15" customHeight="1" x14ac:dyDescent="0.25">
      <c r="AI57" t="s">
        <v>3</v>
      </c>
      <c r="AJ57" t="s">
        <v>592</v>
      </c>
      <c r="AK57" s="12">
        <v>46296.039999999979</v>
      </c>
      <c r="AM57" t="s">
        <v>970</v>
      </c>
      <c r="AN57" s="5"/>
      <c r="AO57" t="s">
        <v>967</v>
      </c>
      <c r="AP57" s="135" t="s">
        <v>249</v>
      </c>
      <c r="AQ57" t="s">
        <v>971</v>
      </c>
      <c r="AR57" t="s">
        <v>968</v>
      </c>
      <c r="AS57" t="s">
        <v>1026</v>
      </c>
    </row>
    <row r="58" spans="35:45" ht="15" customHeight="1" x14ac:dyDescent="0.25">
      <c r="AI58" t="s">
        <v>3</v>
      </c>
      <c r="AJ58" t="s">
        <v>592</v>
      </c>
      <c r="AK58" s="12">
        <v>46326.459999999977</v>
      </c>
      <c r="AM58" t="s">
        <v>970</v>
      </c>
      <c r="AN58" s="5"/>
      <c r="AO58" t="s">
        <v>967</v>
      </c>
      <c r="AP58" s="135" t="s">
        <v>249</v>
      </c>
      <c r="AQ58" t="s">
        <v>971</v>
      </c>
      <c r="AR58" t="s">
        <v>968</v>
      </c>
      <c r="AS58" t="s">
        <v>1027</v>
      </c>
    </row>
    <row r="59" spans="35:45" ht="15" customHeight="1" x14ac:dyDescent="0.25">
      <c r="AI59" t="s">
        <v>3</v>
      </c>
      <c r="AJ59" t="s">
        <v>592</v>
      </c>
      <c r="AK59" s="12">
        <v>46356.879999999976</v>
      </c>
      <c r="AM59" t="s">
        <v>970</v>
      </c>
      <c r="AN59" s="5"/>
      <c r="AO59" t="s">
        <v>967</v>
      </c>
      <c r="AP59" s="135" t="s">
        <v>249</v>
      </c>
      <c r="AQ59" t="s">
        <v>971</v>
      </c>
      <c r="AR59" t="s">
        <v>968</v>
      </c>
      <c r="AS59" t="s">
        <v>1028</v>
      </c>
    </row>
    <row r="60" spans="35:45" ht="15" customHeight="1" x14ac:dyDescent="0.25">
      <c r="AI60" t="s">
        <v>3</v>
      </c>
      <c r="AJ60" t="s">
        <v>479</v>
      </c>
      <c r="AK60" s="12">
        <v>45805</v>
      </c>
      <c r="AM60" t="s">
        <v>970</v>
      </c>
      <c r="AN60" s="5">
        <v>0</v>
      </c>
      <c r="AO60" t="s">
        <v>967</v>
      </c>
      <c r="AP60" s="135" t="s">
        <v>249</v>
      </c>
      <c r="AQ60" t="s">
        <v>971</v>
      </c>
      <c r="AR60" t="s">
        <v>968</v>
      </c>
      <c r="AS60" t="s">
        <v>1029</v>
      </c>
    </row>
    <row r="61" spans="35:45" ht="15" customHeight="1" x14ac:dyDescent="0.25">
      <c r="AI61" t="s">
        <v>3</v>
      </c>
      <c r="AJ61" t="s">
        <v>479</v>
      </c>
      <c r="AK61" s="12">
        <v>45835.42</v>
      </c>
      <c r="AM61" t="s">
        <v>970</v>
      </c>
      <c r="AN61" s="5">
        <v>0</v>
      </c>
      <c r="AO61" t="s">
        <v>967</v>
      </c>
      <c r="AP61" s="135" t="s">
        <v>249</v>
      </c>
      <c r="AQ61" t="s">
        <v>971</v>
      </c>
      <c r="AR61" t="s">
        <v>968</v>
      </c>
      <c r="AS61" t="s">
        <v>1030</v>
      </c>
    </row>
    <row r="62" spans="35:45" ht="15" customHeight="1" x14ac:dyDescent="0.25">
      <c r="AI62" t="s">
        <v>3</v>
      </c>
      <c r="AJ62" t="s">
        <v>479</v>
      </c>
      <c r="AK62" s="12">
        <v>45865.84</v>
      </c>
      <c r="AM62" t="s">
        <v>970</v>
      </c>
      <c r="AN62" s="5">
        <v>0</v>
      </c>
      <c r="AO62" t="s">
        <v>967</v>
      </c>
      <c r="AP62" s="135" t="s">
        <v>249</v>
      </c>
      <c r="AQ62" t="s">
        <v>971</v>
      </c>
      <c r="AR62" t="s">
        <v>968</v>
      </c>
      <c r="AS62" t="s">
        <v>1031</v>
      </c>
    </row>
    <row r="63" spans="35:45" ht="15" customHeight="1" x14ac:dyDescent="0.25">
      <c r="AI63" t="s">
        <v>3</v>
      </c>
      <c r="AJ63" t="s">
        <v>479</v>
      </c>
      <c r="AK63" s="12">
        <v>45896.259999999995</v>
      </c>
      <c r="AM63" t="s">
        <v>970</v>
      </c>
      <c r="AN63" s="5">
        <v>0</v>
      </c>
      <c r="AO63" t="s">
        <v>967</v>
      </c>
      <c r="AP63" s="135" t="s">
        <v>249</v>
      </c>
      <c r="AQ63" t="s">
        <v>971</v>
      </c>
      <c r="AR63" t="s">
        <v>968</v>
      </c>
      <c r="AS63" t="s">
        <v>1032</v>
      </c>
    </row>
    <row r="64" spans="35:45" ht="15" customHeight="1" x14ac:dyDescent="0.25">
      <c r="AI64" t="s">
        <v>3</v>
      </c>
      <c r="AJ64" t="s">
        <v>479</v>
      </c>
      <c r="AK64" s="12">
        <v>45926.679999999993</v>
      </c>
      <c r="AM64" t="s">
        <v>970</v>
      </c>
      <c r="AN64" s="5">
        <v>0</v>
      </c>
      <c r="AO64" t="s">
        <v>967</v>
      </c>
      <c r="AP64" s="135" t="s">
        <v>249</v>
      </c>
      <c r="AQ64" t="s">
        <v>971</v>
      </c>
      <c r="AR64" t="s">
        <v>968</v>
      </c>
      <c r="AS64" t="s">
        <v>1033</v>
      </c>
    </row>
    <row r="65" spans="35:45" ht="15" customHeight="1" x14ac:dyDescent="0.25">
      <c r="AI65" t="s">
        <v>3</v>
      </c>
      <c r="AJ65" t="s">
        <v>479</v>
      </c>
      <c r="AK65" s="12">
        <v>45957.099999999991</v>
      </c>
      <c r="AM65" t="s">
        <v>970</v>
      </c>
      <c r="AN65" s="5">
        <v>0</v>
      </c>
      <c r="AO65" t="s">
        <v>967</v>
      </c>
      <c r="AP65" s="135" t="s">
        <v>249</v>
      </c>
      <c r="AQ65" t="s">
        <v>971</v>
      </c>
      <c r="AR65" t="s">
        <v>968</v>
      </c>
      <c r="AS65" t="s">
        <v>1034</v>
      </c>
    </row>
    <row r="66" spans="35:45" ht="15" customHeight="1" x14ac:dyDescent="0.25">
      <c r="AI66" t="s">
        <v>3</v>
      </c>
      <c r="AJ66" t="s">
        <v>479</v>
      </c>
      <c r="AK66" s="12">
        <v>45987.51999999999</v>
      </c>
      <c r="AM66" t="s">
        <v>970</v>
      </c>
      <c r="AN66" s="5">
        <v>0</v>
      </c>
      <c r="AO66" t="s">
        <v>967</v>
      </c>
      <c r="AP66" s="135" t="s">
        <v>249</v>
      </c>
      <c r="AQ66" t="s">
        <v>971</v>
      </c>
      <c r="AR66" t="s">
        <v>968</v>
      </c>
      <c r="AS66" t="s">
        <v>1035</v>
      </c>
    </row>
    <row r="67" spans="35:45" ht="15" customHeight="1" x14ac:dyDescent="0.25">
      <c r="AI67" t="s">
        <v>3</v>
      </c>
      <c r="AJ67" t="s">
        <v>479</v>
      </c>
      <c r="AK67" s="12">
        <v>46017.939999999988</v>
      </c>
      <c r="AM67" t="s">
        <v>970</v>
      </c>
      <c r="AN67" s="5">
        <v>0</v>
      </c>
      <c r="AO67" t="s">
        <v>967</v>
      </c>
      <c r="AP67" s="135" t="s">
        <v>249</v>
      </c>
      <c r="AQ67" t="s">
        <v>971</v>
      </c>
      <c r="AR67" t="s">
        <v>968</v>
      </c>
      <c r="AS67" t="s">
        <v>1036</v>
      </c>
    </row>
    <row r="68" spans="35:45" ht="15" customHeight="1" x14ac:dyDescent="0.25">
      <c r="AI68" t="s">
        <v>3</v>
      </c>
      <c r="AJ68" t="s">
        <v>479</v>
      </c>
      <c r="AK68" s="12">
        <v>46048.359999999986</v>
      </c>
      <c r="AM68" t="s">
        <v>970</v>
      </c>
      <c r="AN68" s="5">
        <v>0</v>
      </c>
      <c r="AO68" t="s">
        <v>967</v>
      </c>
      <c r="AP68" s="135" t="s">
        <v>249</v>
      </c>
      <c r="AQ68" t="s">
        <v>971</v>
      </c>
      <c r="AR68" t="s">
        <v>968</v>
      </c>
      <c r="AS68" t="s">
        <v>1037</v>
      </c>
    </row>
    <row r="69" spans="35:45" ht="15" customHeight="1" x14ac:dyDescent="0.25">
      <c r="AI69" t="s">
        <v>3</v>
      </c>
      <c r="AJ69" t="s">
        <v>479</v>
      </c>
      <c r="AK69" s="12">
        <v>46078.779999999984</v>
      </c>
      <c r="AM69" t="s">
        <v>970</v>
      </c>
      <c r="AN69" s="5">
        <v>0</v>
      </c>
      <c r="AO69" t="s">
        <v>967</v>
      </c>
      <c r="AP69" s="135" t="s">
        <v>249</v>
      </c>
      <c r="AQ69" t="s">
        <v>971</v>
      </c>
      <c r="AR69" t="s">
        <v>968</v>
      </c>
      <c r="AS69" t="s">
        <v>1038</v>
      </c>
    </row>
    <row r="70" spans="35:45" ht="15" customHeight="1" x14ac:dyDescent="0.25">
      <c r="AI70" t="s">
        <v>3</v>
      </c>
      <c r="AJ70" t="s">
        <v>479</v>
      </c>
      <c r="AK70" s="12">
        <v>46109.199999999983</v>
      </c>
      <c r="AM70" t="s">
        <v>970</v>
      </c>
      <c r="AN70" s="5">
        <v>0</v>
      </c>
      <c r="AO70" t="s">
        <v>967</v>
      </c>
      <c r="AP70" s="135" t="s">
        <v>249</v>
      </c>
      <c r="AQ70" t="s">
        <v>971</v>
      </c>
      <c r="AR70" t="s">
        <v>968</v>
      </c>
      <c r="AS70" t="s">
        <v>1039</v>
      </c>
    </row>
    <row r="71" spans="35:45" ht="15" customHeight="1" x14ac:dyDescent="0.25">
      <c r="AI71" t="s">
        <v>3</v>
      </c>
      <c r="AJ71" t="s">
        <v>479</v>
      </c>
      <c r="AK71" s="12">
        <v>46139.619999999981</v>
      </c>
      <c r="AM71" t="s">
        <v>970</v>
      </c>
      <c r="AN71" s="5">
        <v>0</v>
      </c>
      <c r="AO71" t="s">
        <v>967</v>
      </c>
      <c r="AP71" s="135" t="s">
        <v>249</v>
      </c>
      <c r="AQ71" t="s">
        <v>971</v>
      </c>
      <c r="AR71" t="s">
        <v>968</v>
      </c>
      <c r="AS71" t="s">
        <v>1040</v>
      </c>
    </row>
    <row r="72" spans="35:45" ht="15" customHeight="1" x14ac:dyDescent="0.25">
      <c r="AI72" t="s">
        <v>3</v>
      </c>
      <c r="AJ72" t="s">
        <v>479</v>
      </c>
      <c r="AK72" s="12">
        <v>46170.039999999979</v>
      </c>
      <c r="AM72" t="s">
        <v>970</v>
      </c>
      <c r="AN72" s="5">
        <v>0</v>
      </c>
      <c r="AO72" t="s">
        <v>967</v>
      </c>
      <c r="AP72" s="135" t="s">
        <v>249</v>
      </c>
      <c r="AQ72" t="s">
        <v>971</v>
      </c>
      <c r="AR72" t="s">
        <v>968</v>
      </c>
      <c r="AS72" t="s">
        <v>1041</v>
      </c>
    </row>
    <row r="73" spans="35:45" ht="15" customHeight="1" x14ac:dyDescent="0.25">
      <c r="AI73" t="s">
        <v>3</v>
      </c>
      <c r="AJ73" t="s">
        <v>479</v>
      </c>
      <c r="AK73" s="12">
        <v>46200.459999999977</v>
      </c>
      <c r="AM73" t="s">
        <v>970</v>
      </c>
      <c r="AN73" s="5">
        <v>0</v>
      </c>
      <c r="AO73" t="s">
        <v>967</v>
      </c>
      <c r="AP73" s="135" t="s">
        <v>249</v>
      </c>
      <c r="AQ73" t="s">
        <v>971</v>
      </c>
      <c r="AR73" t="s">
        <v>968</v>
      </c>
      <c r="AS73" t="s">
        <v>1042</v>
      </c>
    </row>
    <row r="74" spans="35:45" ht="15" customHeight="1" x14ac:dyDescent="0.25">
      <c r="AI74" t="s">
        <v>3</v>
      </c>
      <c r="AJ74" t="s">
        <v>479</v>
      </c>
      <c r="AK74" s="12">
        <v>46230.879999999976</v>
      </c>
      <c r="AM74" t="s">
        <v>970</v>
      </c>
      <c r="AN74" s="5">
        <v>0</v>
      </c>
      <c r="AO74" t="s">
        <v>967</v>
      </c>
      <c r="AP74" s="135" t="s">
        <v>249</v>
      </c>
      <c r="AQ74" t="s">
        <v>971</v>
      </c>
      <c r="AR74" t="s">
        <v>968</v>
      </c>
      <c r="AS74" t="s">
        <v>1043</v>
      </c>
    </row>
    <row r="75" spans="35:45" ht="15" customHeight="1" x14ac:dyDescent="0.25">
      <c r="AI75" t="s">
        <v>3</v>
      </c>
      <c r="AJ75" t="s">
        <v>479</v>
      </c>
      <c r="AK75" s="12">
        <v>46261.299999999974</v>
      </c>
      <c r="AM75" t="s">
        <v>970</v>
      </c>
      <c r="AN75" s="5">
        <v>0</v>
      </c>
      <c r="AO75" t="s">
        <v>967</v>
      </c>
      <c r="AP75" s="135" t="s">
        <v>249</v>
      </c>
      <c r="AQ75" t="s">
        <v>971</v>
      </c>
      <c r="AR75" t="s">
        <v>968</v>
      </c>
      <c r="AS75" t="s">
        <v>1044</v>
      </c>
    </row>
    <row r="76" spans="35:45" ht="15" customHeight="1" x14ac:dyDescent="0.25">
      <c r="AI76" t="s">
        <v>3</v>
      </c>
      <c r="AJ76" t="s">
        <v>479</v>
      </c>
      <c r="AK76" s="12">
        <v>46291.719999999972</v>
      </c>
      <c r="AM76" t="s">
        <v>970</v>
      </c>
      <c r="AN76" s="5">
        <v>0</v>
      </c>
      <c r="AO76" t="s">
        <v>967</v>
      </c>
      <c r="AP76" s="135" t="s">
        <v>249</v>
      </c>
      <c r="AQ76" t="s">
        <v>971</v>
      </c>
      <c r="AR76" t="s">
        <v>968</v>
      </c>
      <c r="AS76" t="s">
        <v>1045</v>
      </c>
    </row>
    <row r="77" spans="35:45" ht="15" customHeight="1" x14ac:dyDescent="0.25">
      <c r="AI77" t="s">
        <v>3</v>
      </c>
      <c r="AJ77" t="s">
        <v>479</v>
      </c>
      <c r="AK77" s="12">
        <v>46322.13999999997</v>
      </c>
      <c r="AM77" t="s">
        <v>970</v>
      </c>
      <c r="AN77" s="5">
        <v>0</v>
      </c>
      <c r="AO77" t="s">
        <v>967</v>
      </c>
      <c r="AP77" s="135" t="s">
        <v>249</v>
      </c>
      <c r="AQ77" t="s">
        <v>971</v>
      </c>
      <c r="AR77" t="s">
        <v>968</v>
      </c>
      <c r="AS77" t="s">
        <v>1046</v>
      </c>
    </row>
    <row r="78" spans="35:45" ht="15" customHeight="1" x14ac:dyDescent="0.25">
      <c r="AI78" t="s">
        <v>3</v>
      </c>
      <c r="AJ78" t="s">
        <v>479</v>
      </c>
      <c r="AK78" s="12">
        <v>46352.559999999969</v>
      </c>
      <c r="AM78" t="s">
        <v>970</v>
      </c>
      <c r="AN78" s="5">
        <v>0</v>
      </c>
      <c r="AO78" t="s">
        <v>967</v>
      </c>
      <c r="AP78" s="135" t="s">
        <v>249</v>
      </c>
      <c r="AQ78" t="s">
        <v>971</v>
      </c>
      <c r="AR78" t="s">
        <v>968</v>
      </c>
      <c r="AS78" t="s">
        <v>1047</v>
      </c>
    </row>
    <row r="79" spans="35:45" ht="15" customHeight="1" x14ac:dyDescent="0.25">
      <c r="AI79" t="s">
        <v>3</v>
      </c>
      <c r="AJ79" t="s">
        <v>956</v>
      </c>
      <c r="AK79" s="12">
        <v>45751</v>
      </c>
      <c r="AM79" t="s">
        <v>970</v>
      </c>
      <c r="AN79" s="5">
        <v>50</v>
      </c>
      <c r="AO79" t="s">
        <v>967</v>
      </c>
      <c r="AP79" s="135" t="s">
        <v>249</v>
      </c>
      <c r="AQ79" t="s">
        <v>971</v>
      </c>
      <c r="AR79" t="s">
        <v>968</v>
      </c>
      <c r="AS79" t="s">
        <v>1048</v>
      </c>
    </row>
    <row r="80" spans="35:45" ht="15" customHeight="1" x14ac:dyDescent="0.25">
      <c r="AI80" t="s">
        <v>3</v>
      </c>
      <c r="AJ80" t="s">
        <v>956</v>
      </c>
      <c r="AK80" s="12">
        <v>45751</v>
      </c>
      <c r="AM80" t="s">
        <v>970</v>
      </c>
      <c r="AN80" s="5">
        <v>47.9</v>
      </c>
      <c r="AO80" t="s">
        <v>967</v>
      </c>
      <c r="AP80" s="135" t="s">
        <v>249</v>
      </c>
      <c r="AQ80" t="s">
        <v>971</v>
      </c>
      <c r="AR80" t="s">
        <v>968</v>
      </c>
      <c r="AS80" t="s">
        <v>1049</v>
      </c>
    </row>
    <row r="81" spans="35:45" ht="15" customHeight="1" x14ac:dyDescent="0.25">
      <c r="AI81" t="s">
        <v>3</v>
      </c>
      <c r="AJ81" t="s">
        <v>956</v>
      </c>
      <c r="AK81" s="12">
        <v>45781.42</v>
      </c>
      <c r="AM81" t="s">
        <v>970</v>
      </c>
      <c r="AN81" s="5">
        <v>53.51</v>
      </c>
      <c r="AO81" t="s">
        <v>967</v>
      </c>
      <c r="AP81" s="135" t="s">
        <v>249</v>
      </c>
      <c r="AQ81" t="s">
        <v>971</v>
      </c>
      <c r="AR81" t="s">
        <v>968</v>
      </c>
      <c r="AS81" t="s">
        <v>1050</v>
      </c>
    </row>
    <row r="82" spans="35:45" ht="15" customHeight="1" x14ac:dyDescent="0.25">
      <c r="AI82" t="s">
        <v>3</v>
      </c>
      <c r="AJ82" t="s">
        <v>956</v>
      </c>
      <c r="AK82" s="12">
        <v>45811.839999999997</v>
      </c>
      <c r="AM82" t="s">
        <v>970</v>
      </c>
      <c r="AN82" s="5">
        <v>61.43</v>
      </c>
      <c r="AO82" t="s">
        <v>967</v>
      </c>
      <c r="AP82" s="135" t="s">
        <v>249</v>
      </c>
      <c r="AQ82" t="s">
        <v>971</v>
      </c>
      <c r="AR82" t="s">
        <v>968</v>
      </c>
      <c r="AS82" t="s">
        <v>1051</v>
      </c>
    </row>
    <row r="83" spans="35:45" ht="15" customHeight="1" x14ac:dyDescent="0.25">
      <c r="AI83" t="s">
        <v>3</v>
      </c>
      <c r="AJ83" t="s">
        <v>956</v>
      </c>
      <c r="AK83" s="12">
        <v>45842.259999999995</v>
      </c>
      <c r="AM83" t="s">
        <v>970</v>
      </c>
      <c r="AN83" s="5">
        <v>64.8</v>
      </c>
      <c r="AO83" t="s">
        <v>967</v>
      </c>
      <c r="AP83" s="135" t="s">
        <v>249</v>
      </c>
      <c r="AQ83" t="s">
        <v>971</v>
      </c>
      <c r="AR83" t="s">
        <v>968</v>
      </c>
      <c r="AS83" t="s">
        <v>1052</v>
      </c>
    </row>
    <row r="84" spans="35:45" ht="15" customHeight="1" x14ac:dyDescent="0.25">
      <c r="AI84" t="s">
        <v>3</v>
      </c>
      <c r="AJ84" t="s">
        <v>956</v>
      </c>
      <c r="AK84" s="12">
        <v>45872.679999999993</v>
      </c>
      <c r="AM84" t="s">
        <v>970</v>
      </c>
      <c r="AN84" s="5">
        <v>0</v>
      </c>
      <c r="AO84" t="s">
        <v>967</v>
      </c>
      <c r="AP84" s="135" t="s">
        <v>249</v>
      </c>
      <c r="AQ84" t="s">
        <v>971</v>
      </c>
      <c r="AR84" t="s">
        <v>968</v>
      </c>
      <c r="AS84" t="s">
        <v>1053</v>
      </c>
    </row>
    <row r="85" spans="35:45" ht="15" customHeight="1" x14ac:dyDescent="0.25">
      <c r="AI85" t="s">
        <v>3</v>
      </c>
      <c r="AJ85" t="s">
        <v>956</v>
      </c>
      <c r="AK85" s="12">
        <v>45903.099999999991</v>
      </c>
      <c r="AM85" t="s">
        <v>970</v>
      </c>
      <c r="AN85" s="5">
        <v>0</v>
      </c>
      <c r="AO85" t="s">
        <v>967</v>
      </c>
      <c r="AP85" s="135" t="s">
        <v>249</v>
      </c>
      <c r="AQ85" t="s">
        <v>971</v>
      </c>
      <c r="AR85" t="s">
        <v>968</v>
      </c>
      <c r="AS85" t="s">
        <v>1054</v>
      </c>
    </row>
    <row r="86" spans="35:45" ht="15" customHeight="1" x14ac:dyDescent="0.25">
      <c r="AI86" t="s">
        <v>3</v>
      </c>
      <c r="AJ86" t="s">
        <v>956</v>
      </c>
      <c r="AK86" s="12">
        <v>45933.51999999999</v>
      </c>
      <c r="AM86" t="s">
        <v>970</v>
      </c>
      <c r="AN86" s="5">
        <v>0</v>
      </c>
      <c r="AO86" t="s">
        <v>967</v>
      </c>
      <c r="AP86" s="135" t="s">
        <v>249</v>
      </c>
      <c r="AQ86" t="s">
        <v>971</v>
      </c>
      <c r="AR86" t="s">
        <v>968</v>
      </c>
      <c r="AS86" t="s">
        <v>1055</v>
      </c>
    </row>
    <row r="87" spans="35:45" ht="15" customHeight="1" x14ac:dyDescent="0.25">
      <c r="AI87" t="s">
        <v>3</v>
      </c>
      <c r="AJ87" t="s">
        <v>956</v>
      </c>
      <c r="AK87" s="12">
        <v>45963.939999999988</v>
      </c>
      <c r="AM87" t="s">
        <v>970</v>
      </c>
      <c r="AN87" s="5">
        <v>0</v>
      </c>
      <c r="AO87" t="s">
        <v>967</v>
      </c>
      <c r="AP87" s="135" t="s">
        <v>249</v>
      </c>
      <c r="AQ87" t="s">
        <v>971</v>
      </c>
      <c r="AR87" t="s">
        <v>968</v>
      </c>
      <c r="AS87" t="s">
        <v>1056</v>
      </c>
    </row>
    <row r="88" spans="35:45" ht="15" customHeight="1" x14ac:dyDescent="0.25">
      <c r="AI88" t="s">
        <v>3</v>
      </c>
      <c r="AJ88" t="s">
        <v>956</v>
      </c>
      <c r="AK88" s="12">
        <v>45994.359999999986</v>
      </c>
      <c r="AM88" t="s">
        <v>970</v>
      </c>
      <c r="AN88" s="5">
        <v>0</v>
      </c>
      <c r="AO88" t="s">
        <v>967</v>
      </c>
      <c r="AP88" s="135" t="s">
        <v>249</v>
      </c>
      <c r="AQ88" t="s">
        <v>971</v>
      </c>
      <c r="AR88" t="s">
        <v>968</v>
      </c>
      <c r="AS88" t="s">
        <v>1057</v>
      </c>
    </row>
    <row r="89" spans="35:45" ht="15" customHeight="1" x14ac:dyDescent="0.25">
      <c r="AI89" t="s">
        <v>3</v>
      </c>
      <c r="AJ89" t="s">
        <v>956</v>
      </c>
      <c r="AK89" s="12">
        <v>46024.779999999984</v>
      </c>
      <c r="AM89" t="s">
        <v>970</v>
      </c>
      <c r="AN89" s="5">
        <v>0</v>
      </c>
      <c r="AO89" t="s">
        <v>967</v>
      </c>
      <c r="AP89" s="135" t="s">
        <v>249</v>
      </c>
      <c r="AQ89" t="s">
        <v>971</v>
      </c>
      <c r="AR89" t="s">
        <v>968</v>
      </c>
      <c r="AS89" t="s">
        <v>1058</v>
      </c>
    </row>
    <row r="90" spans="35:45" ht="15" customHeight="1" x14ac:dyDescent="0.25">
      <c r="AI90" t="s">
        <v>3</v>
      </c>
      <c r="AJ90" t="s">
        <v>956</v>
      </c>
      <c r="AK90" s="12">
        <v>46055.199999999983</v>
      </c>
      <c r="AM90" t="s">
        <v>970</v>
      </c>
      <c r="AN90" s="5">
        <v>0</v>
      </c>
      <c r="AO90" t="s">
        <v>967</v>
      </c>
      <c r="AP90" s="135" t="s">
        <v>249</v>
      </c>
      <c r="AQ90" t="s">
        <v>971</v>
      </c>
      <c r="AR90" t="s">
        <v>968</v>
      </c>
      <c r="AS90" t="s">
        <v>1059</v>
      </c>
    </row>
    <row r="91" spans="35:45" ht="15" customHeight="1" x14ac:dyDescent="0.25">
      <c r="AI91" t="s">
        <v>3</v>
      </c>
      <c r="AJ91" t="s">
        <v>956</v>
      </c>
      <c r="AK91" s="12">
        <v>46085.619999999981</v>
      </c>
      <c r="AM91" t="s">
        <v>970</v>
      </c>
      <c r="AN91" s="5">
        <v>0</v>
      </c>
      <c r="AO91" t="s">
        <v>967</v>
      </c>
      <c r="AP91" s="135" t="s">
        <v>249</v>
      </c>
      <c r="AQ91" t="s">
        <v>971</v>
      </c>
      <c r="AR91" t="s">
        <v>968</v>
      </c>
      <c r="AS91" t="s">
        <v>1060</v>
      </c>
    </row>
    <row r="92" spans="35:45" ht="15" customHeight="1" x14ac:dyDescent="0.25">
      <c r="AI92" t="s">
        <v>3</v>
      </c>
      <c r="AJ92" t="s">
        <v>956</v>
      </c>
      <c r="AK92" s="12">
        <v>46116.039999999979</v>
      </c>
      <c r="AM92" t="s">
        <v>970</v>
      </c>
      <c r="AN92" s="5">
        <v>0</v>
      </c>
      <c r="AO92" t="s">
        <v>967</v>
      </c>
      <c r="AP92" s="135" t="s">
        <v>249</v>
      </c>
      <c r="AQ92" t="s">
        <v>971</v>
      </c>
      <c r="AR92" t="s">
        <v>968</v>
      </c>
      <c r="AS92" t="s">
        <v>1061</v>
      </c>
    </row>
    <row r="93" spans="35:45" x14ac:dyDescent="0.25">
      <c r="AI93" t="s">
        <v>3</v>
      </c>
      <c r="AJ93" t="s">
        <v>956</v>
      </c>
      <c r="AK93" s="12">
        <v>46146.459999999977</v>
      </c>
      <c r="AM93" t="s">
        <v>970</v>
      </c>
      <c r="AN93" s="5">
        <v>0</v>
      </c>
      <c r="AO93" t="s">
        <v>967</v>
      </c>
      <c r="AP93" s="135" t="s">
        <v>249</v>
      </c>
      <c r="AQ93" t="s">
        <v>971</v>
      </c>
      <c r="AR93" t="s">
        <v>968</v>
      </c>
      <c r="AS93" t="s">
        <v>1062</v>
      </c>
    </row>
    <row r="94" spans="35:45" x14ac:dyDescent="0.25">
      <c r="AI94" t="s">
        <v>3</v>
      </c>
      <c r="AJ94" t="s">
        <v>956</v>
      </c>
      <c r="AK94" s="12">
        <v>46176.879999999976</v>
      </c>
      <c r="AM94" t="s">
        <v>970</v>
      </c>
      <c r="AN94" s="5">
        <v>0</v>
      </c>
      <c r="AO94" t="s">
        <v>967</v>
      </c>
      <c r="AP94" s="135" t="s">
        <v>249</v>
      </c>
      <c r="AQ94" t="s">
        <v>971</v>
      </c>
      <c r="AR94" t="s">
        <v>968</v>
      </c>
      <c r="AS94" t="s">
        <v>1063</v>
      </c>
    </row>
    <row r="95" spans="35:45" x14ac:dyDescent="0.25">
      <c r="AI95" t="s">
        <v>3</v>
      </c>
      <c r="AJ95" t="s">
        <v>956</v>
      </c>
      <c r="AK95" s="12">
        <v>46207.299999999974</v>
      </c>
      <c r="AM95" t="s">
        <v>970</v>
      </c>
      <c r="AN95" s="5">
        <v>0</v>
      </c>
      <c r="AO95" t="s">
        <v>967</v>
      </c>
      <c r="AP95" s="135" t="s">
        <v>249</v>
      </c>
      <c r="AQ95" t="s">
        <v>971</v>
      </c>
      <c r="AR95" t="s">
        <v>968</v>
      </c>
      <c r="AS95" t="s">
        <v>1064</v>
      </c>
    </row>
    <row r="96" spans="35:45" x14ac:dyDescent="0.25">
      <c r="AI96" t="s">
        <v>3</v>
      </c>
      <c r="AJ96" t="s">
        <v>956</v>
      </c>
      <c r="AK96" s="12">
        <v>46237.719999999972</v>
      </c>
      <c r="AM96" t="s">
        <v>970</v>
      </c>
      <c r="AN96" s="5">
        <v>0</v>
      </c>
      <c r="AO96" t="s">
        <v>967</v>
      </c>
      <c r="AP96" s="135" t="s">
        <v>249</v>
      </c>
      <c r="AQ96" t="s">
        <v>971</v>
      </c>
      <c r="AR96" t="s">
        <v>968</v>
      </c>
      <c r="AS96" t="s">
        <v>1065</v>
      </c>
    </row>
    <row r="97" spans="35:45" x14ac:dyDescent="0.25">
      <c r="AI97" t="s">
        <v>3</v>
      </c>
      <c r="AJ97" t="s">
        <v>956</v>
      </c>
      <c r="AK97" s="12">
        <v>46268.13999999997</v>
      </c>
      <c r="AM97" t="s">
        <v>970</v>
      </c>
      <c r="AN97" s="5">
        <v>0</v>
      </c>
      <c r="AO97" t="s">
        <v>967</v>
      </c>
      <c r="AP97" s="135" t="s">
        <v>249</v>
      </c>
      <c r="AQ97" t="s">
        <v>971</v>
      </c>
      <c r="AR97" t="s">
        <v>968</v>
      </c>
      <c r="AS97" t="s">
        <v>1066</v>
      </c>
    </row>
    <row r="98" spans="35:45" x14ac:dyDescent="0.25">
      <c r="AI98" t="s">
        <v>3</v>
      </c>
      <c r="AJ98" t="s">
        <v>956</v>
      </c>
      <c r="AK98" s="12">
        <v>46298.559999999969</v>
      </c>
      <c r="AM98" t="s">
        <v>970</v>
      </c>
      <c r="AN98" s="5">
        <v>0</v>
      </c>
      <c r="AO98" t="s">
        <v>967</v>
      </c>
      <c r="AP98" s="135" t="s">
        <v>249</v>
      </c>
      <c r="AQ98" t="s">
        <v>971</v>
      </c>
      <c r="AR98" t="s">
        <v>968</v>
      </c>
      <c r="AS98" t="s">
        <v>1067</v>
      </c>
    </row>
    <row r="99" spans="35:45" x14ac:dyDescent="0.25">
      <c r="AI99" t="s">
        <v>3</v>
      </c>
      <c r="AJ99" t="s">
        <v>591</v>
      </c>
      <c r="AK99" s="12">
        <v>45751</v>
      </c>
      <c r="AM99" t="s">
        <v>970</v>
      </c>
      <c r="AN99" s="5"/>
      <c r="AO99" t="s">
        <v>967</v>
      </c>
      <c r="AP99" s="135" t="s">
        <v>249</v>
      </c>
      <c r="AQ99" t="s">
        <v>971</v>
      </c>
      <c r="AR99" t="s">
        <v>968</v>
      </c>
      <c r="AS99" t="s">
        <v>1068</v>
      </c>
    </row>
    <row r="100" spans="35:45" x14ac:dyDescent="0.25">
      <c r="AI100" t="s">
        <v>3</v>
      </c>
      <c r="AJ100" t="s">
        <v>591</v>
      </c>
      <c r="AK100" s="12">
        <v>45781.42</v>
      </c>
      <c r="AM100" t="s">
        <v>970</v>
      </c>
      <c r="AN100" s="5" t="s">
        <v>152</v>
      </c>
      <c r="AO100" t="s">
        <v>967</v>
      </c>
      <c r="AP100" s="135" t="s">
        <v>249</v>
      </c>
      <c r="AQ100" t="s">
        <v>971</v>
      </c>
      <c r="AR100" t="s">
        <v>968</v>
      </c>
      <c r="AS100" t="s">
        <v>1069</v>
      </c>
    </row>
    <row r="101" spans="35:45" x14ac:dyDescent="0.25">
      <c r="AI101" t="s">
        <v>3</v>
      </c>
      <c r="AJ101" t="s">
        <v>591</v>
      </c>
      <c r="AK101" s="12">
        <v>45811.839999999997</v>
      </c>
      <c r="AM101" t="s">
        <v>970</v>
      </c>
      <c r="AN101" s="5" t="s">
        <v>152</v>
      </c>
      <c r="AO101" t="s">
        <v>967</v>
      </c>
      <c r="AP101" s="135" t="s">
        <v>249</v>
      </c>
      <c r="AQ101" t="s">
        <v>971</v>
      </c>
      <c r="AR101" t="s">
        <v>968</v>
      </c>
      <c r="AS101" t="s">
        <v>1070</v>
      </c>
    </row>
    <row r="102" spans="35:45" x14ac:dyDescent="0.25">
      <c r="AI102" t="s">
        <v>3</v>
      </c>
      <c r="AJ102" t="s">
        <v>591</v>
      </c>
      <c r="AK102" s="12">
        <v>45842.259999999995</v>
      </c>
      <c r="AM102" t="s">
        <v>970</v>
      </c>
      <c r="AN102" s="5" t="s">
        <v>152</v>
      </c>
      <c r="AO102" t="s">
        <v>967</v>
      </c>
      <c r="AP102" s="135" t="s">
        <v>249</v>
      </c>
      <c r="AQ102" t="s">
        <v>971</v>
      </c>
      <c r="AR102" t="s">
        <v>968</v>
      </c>
      <c r="AS102" t="s">
        <v>1071</v>
      </c>
    </row>
    <row r="103" spans="35:45" x14ac:dyDescent="0.25">
      <c r="AI103" t="s">
        <v>3</v>
      </c>
      <c r="AJ103" t="s">
        <v>591</v>
      </c>
      <c r="AK103" s="12">
        <v>45872.679999999993</v>
      </c>
      <c r="AM103" t="s">
        <v>970</v>
      </c>
      <c r="AN103" s="5" t="s">
        <v>152</v>
      </c>
      <c r="AO103" t="s">
        <v>967</v>
      </c>
      <c r="AP103" s="135" t="s">
        <v>249</v>
      </c>
      <c r="AQ103" t="s">
        <v>971</v>
      </c>
      <c r="AR103" t="s">
        <v>968</v>
      </c>
      <c r="AS103" t="s">
        <v>1072</v>
      </c>
    </row>
    <row r="104" spans="35:45" x14ac:dyDescent="0.25">
      <c r="AI104" t="s">
        <v>3</v>
      </c>
      <c r="AJ104" t="s">
        <v>591</v>
      </c>
      <c r="AK104" s="12">
        <v>45903.099999999991</v>
      </c>
      <c r="AM104" t="s">
        <v>970</v>
      </c>
      <c r="AN104" s="5" t="s">
        <v>152</v>
      </c>
      <c r="AO104" t="s">
        <v>967</v>
      </c>
      <c r="AP104" s="135" t="s">
        <v>249</v>
      </c>
      <c r="AQ104" t="s">
        <v>971</v>
      </c>
      <c r="AR104" t="s">
        <v>968</v>
      </c>
      <c r="AS104" t="s">
        <v>1073</v>
      </c>
    </row>
    <row r="105" spans="35:45" x14ac:dyDescent="0.25">
      <c r="AI105" t="s">
        <v>3</v>
      </c>
      <c r="AJ105" t="s">
        <v>591</v>
      </c>
      <c r="AK105" s="12">
        <v>45933.51999999999</v>
      </c>
      <c r="AM105" t="s">
        <v>970</v>
      </c>
      <c r="AN105" s="5">
        <v>0</v>
      </c>
      <c r="AO105" t="s">
        <v>967</v>
      </c>
      <c r="AP105" s="135" t="s">
        <v>249</v>
      </c>
      <c r="AQ105" t="s">
        <v>971</v>
      </c>
      <c r="AR105" t="s">
        <v>968</v>
      </c>
      <c r="AS105" t="s">
        <v>1074</v>
      </c>
    </row>
    <row r="106" spans="35:45" x14ac:dyDescent="0.25">
      <c r="AI106" t="s">
        <v>3</v>
      </c>
      <c r="AJ106" t="s">
        <v>591</v>
      </c>
      <c r="AK106" s="12">
        <v>45963.939999999988</v>
      </c>
      <c r="AM106" t="s">
        <v>970</v>
      </c>
      <c r="AN106" s="5">
        <v>0</v>
      </c>
      <c r="AO106" t="s">
        <v>967</v>
      </c>
      <c r="AP106" s="135" t="s">
        <v>249</v>
      </c>
      <c r="AQ106" t="s">
        <v>971</v>
      </c>
      <c r="AR106" t="s">
        <v>968</v>
      </c>
      <c r="AS106" t="s">
        <v>1075</v>
      </c>
    </row>
    <row r="107" spans="35:45" x14ac:dyDescent="0.25">
      <c r="AI107" t="s">
        <v>3</v>
      </c>
      <c r="AJ107" t="s">
        <v>591</v>
      </c>
      <c r="AK107" s="12">
        <v>45994.359999999986</v>
      </c>
      <c r="AM107" t="s">
        <v>970</v>
      </c>
      <c r="AN107" s="5">
        <v>0</v>
      </c>
      <c r="AO107" t="s">
        <v>967</v>
      </c>
      <c r="AP107" s="135" t="s">
        <v>249</v>
      </c>
      <c r="AQ107" t="s">
        <v>971</v>
      </c>
      <c r="AR107" t="s">
        <v>968</v>
      </c>
      <c r="AS107" t="s">
        <v>1076</v>
      </c>
    </row>
    <row r="108" spans="35:45" x14ac:dyDescent="0.25">
      <c r="AI108" t="s">
        <v>3</v>
      </c>
      <c r="AJ108" t="s">
        <v>591</v>
      </c>
      <c r="AK108" s="12">
        <v>46024.779999999984</v>
      </c>
      <c r="AM108" t="s">
        <v>970</v>
      </c>
      <c r="AN108" s="5">
        <v>0</v>
      </c>
      <c r="AO108" t="s">
        <v>967</v>
      </c>
      <c r="AP108" s="135" t="s">
        <v>249</v>
      </c>
      <c r="AQ108" t="s">
        <v>971</v>
      </c>
      <c r="AR108" t="s">
        <v>968</v>
      </c>
      <c r="AS108" t="s">
        <v>1077</v>
      </c>
    </row>
    <row r="109" spans="35:45" x14ac:dyDescent="0.25">
      <c r="AI109" t="s">
        <v>3</v>
      </c>
      <c r="AJ109" t="s">
        <v>591</v>
      </c>
      <c r="AK109" s="12">
        <v>46055.199999999983</v>
      </c>
      <c r="AM109" t="s">
        <v>970</v>
      </c>
      <c r="AN109" s="5">
        <v>0</v>
      </c>
      <c r="AO109" t="s">
        <v>967</v>
      </c>
      <c r="AP109" s="135" t="s">
        <v>249</v>
      </c>
      <c r="AQ109" t="s">
        <v>971</v>
      </c>
      <c r="AR109" t="s">
        <v>968</v>
      </c>
      <c r="AS109" t="s">
        <v>1078</v>
      </c>
    </row>
    <row r="110" spans="35:45" x14ac:dyDescent="0.25">
      <c r="AI110" t="s">
        <v>3</v>
      </c>
      <c r="AJ110" t="s">
        <v>591</v>
      </c>
      <c r="AK110" s="12">
        <v>46085.619999999981</v>
      </c>
      <c r="AM110" t="s">
        <v>970</v>
      </c>
      <c r="AN110" s="5">
        <v>0</v>
      </c>
      <c r="AO110" t="s">
        <v>967</v>
      </c>
      <c r="AP110" s="135" t="s">
        <v>249</v>
      </c>
      <c r="AQ110" t="s">
        <v>971</v>
      </c>
      <c r="AR110" t="s">
        <v>968</v>
      </c>
      <c r="AS110" t="s">
        <v>1079</v>
      </c>
    </row>
    <row r="111" spans="35:45" x14ac:dyDescent="0.25">
      <c r="AI111" t="s">
        <v>3</v>
      </c>
      <c r="AJ111" t="s">
        <v>591</v>
      </c>
      <c r="AK111" s="12">
        <v>46116.039999999979</v>
      </c>
      <c r="AM111" t="s">
        <v>970</v>
      </c>
      <c r="AN111" s="5">
        <v>0</v>
      </c>
      <c r="AO111" t="s">
        <v>967</v>
      </c>
      <c r="AP111" s="135" t="s">
        <v>249</v>
      </c>
      <c r="AQ111" t="s">
        <v>971</v>
      </c>
      <c r="AR111" t="s">
        <v>968</v>
      </c>
      <c r="AS111" t="s">
        <v>1080</v>
      </c>
    </row>
    <row r="112" spans="35:45" x14ac:dyDescent="0.25">
      <c r="AI112" t="s">
        <v>3</v>
      </c>
      <c r="AJ112" t="s">
        <v>591</v>
      </c>
      <c r="AK112" s="12">
        <v>46146.459999999977</v>
      </c>
      <c r="AM112" t="s">
        <v>970</v>
      </c>
      <c r="AN112" s="5">
        <v>0</v>
      </c>
      <c r="AO112" t="s">
        <v>967</v>
      </c>
      <c r="AP112" s="135" t="s">
        <v>249</v>
      </c>
      <c r="AQ112" t="s">
        <v>971</v>
      </c>
      <c r="AR112" t="s">
        <v>968</v>
      </c>
      <c r="AS112" t="s">
        <v>1081</v>
      </c>
    </row>
    <row r="113" spans="35:45" x14ac:dyDescent="0.25">
      <c r="AI113" t="s">
        <v>3</v>
      </c>
      <c r="AJ113" t="s">
        <v>591</v>
      </c>
      <c r="AK113" s="12">
        <v>46176.879999999976</v>
      </c>
      <c r="AM113" t="s">
        <v>970</v>
      </c>
      <c r="AN113" s="5">
        <v>0</v>
      </c>
      <c r="AO113" t="s">
        <v>967</v>
      </c>
      <c r="AP113" s="135" t="s">
        <v>249</v>
      </c>
      <c r="AQ113" t="s">
        <v>971</v>
      </c>
      <c r="AR113" t="s">
        <v>968</v>
      </c>
      <c r="AS113" t="s">
        <v>1082</v>
      </c>
    </row>
    <row r="114" spans="35:45" x14ac:dyDescent="0.25">
      <c r="AI114" t="s">
        <v>3</v>
      </c>
      <c r="AJ114" t="s">
        <v>591</v>
      </c>
      <c r="AK114" s="12">
        <v>46207.299999999974</v>
      </c>
      <c r="AM114" t="s">
        <v>970</v>
      </c>
      <c r="AN114" s="5">
        <v>0</v>
      </c>
      <c r="AO114" t="s">
        <v>967</v>
      </c>
      <c r="AP114" s="135" t="s">
        <v>249</v>
      </c>
      <c r="AQ114" t="s">
        <v>971</v>
      </c>
      <c r="AR114" t="s">
        <v>968</v>
      </c>
      <c r="AS114" t="s">
        <v>1083</v>
      </c>
    </row>
    <row r="115" spans="35:45" x14ac:dyDescent="0.25">
      <c r="AI115" t="s">
        <v>3</v>
      </c>
      <c r="AJ115" t="s">
        <v>591</v>
      </c>
      <c r="AK115" s="12">
        <v>46237.719999999972</v>
      </c>
      <c r="AM115" t="s">
        <v>970</v>
      </c>
      <c r="AN115" s="5">
        <v>0</v>
      </c>
      <c r="AO115" t="s">
        <v>967</v>
      </c>
      <c r="AP115" s="135" t="s">
        <v>249</v>
      </c>
      <c r="AQ115" t="s">
        <v>971</v>
      </c>
      <c r="AR115" t="s">
        <v>968</v>
      </c>
      <c r="AS115" t="s">
        <v>1084</v>
      </c>
    </row>
    <row r="116" spans="35:45" x14ac:dyDescent="0.25">
      <c r="AI116" t="s">
        <v>3</v>
      </c>
      <c r="AJ116" t="s">
        <v>591</v>
      </c>
      <c r="AK116" s="12">
        <v>46268.13999999997</v>
      </c>
      <c r="AM116" t="s">
        <v>970</v>
      </c>
      <c r="AN116" s="5">
        <v>0</v>
      </c>
      <c r="AO116" t="s">
        <v>967</v>
      </c>
      <c r="AP116" s="135" t="s">
        <v>249</v>
      </c>
      <c r="AQ116" t="s">
        <v>971</v>
      </c>
      <c r="AR116" t="s">
        <v>968</v>
      </c>
      <c r="AS116" t="s">
        <v>1085</v>
      </c>
    </row>
    <row r="117" spans="35:45" x14ac:dyDescent="0.25">
      <c r="AI117" t="s">
        <v>3</v>
      </c>
      <c r="AJ117" t="s">
        <v>591</v>
      </c>
      <c r="AK117" s="12">
        <v>46298.559999999969</v>
      </c>
      <c r="AM117" t="s">
        <v>970</v>
      </c>
      <c r="AN117" s="5">
        <v>0</v>
      </c>
      <c r="AO117" t="s">
        <v>967</v>
      </c>
      <c r="AP117" s="135" t="s">
        <v>249</v>
      </c>
      <c r="AQ117" t="s">
        <v>971</v>
      </c>
      <c r="AR117" t="s">
        <v>968</v>
      </c>
      <c r="AS117" t="s">
        <v>1086</v>
      </c>
    </row>
    <row r="118" spans="35:45" x14ac:dyDescent="0.25">
      <c r="AI118" t="s">
        <v>3</v>
      </c>
      <c r="AJ118" t="s">
        <v>658</v>
      </c>
      <c r="AK118" s="12">
        <v>45170</v>
      </c>
      <c r="AM118" t="s">
        <v>970</v>
      </c>
      <c r="AN118" s="5">
        <v>893</v>
      </c>
      <c r="AO118" t="s">
        <v>967</v>
      </c>
      <c r="AP118" s="135" t="s">
        <v>249</v>
      </c>
      <c r="AQ118" t="s">
        <v>971</v>
      </c>
      <c r="AR118" t="s">
        <v>968</v>
      </c>
      <c r="AS118" t="s">
        <v>1087</v>
      </c>
    </row>
    <row r="119" spans="35:45" x14ac:dyDescent="0.25">
      <c r="AI119" t="s">
        <v>3</v>
      </c>
      <c r="AJ119" t="s">
        <v>658</v>
      </c>
      <c r="AK119" s="12">
        <v>45536</v>
      </c>
      <c r="AM119" t="s">
        <v>970</v>
      </c>
      <c r="AN119" s="5">
        <v>2453</v>
      </c>
      <c r="AO119" t="s">
        <v>967</v>
      </c>
      <c r="AP119" s="135" t="s">
        <v>249</v>
      </c>
      <c r="AQ119" t="s">
        <v>971</v>
      </c>
      <c r="AR119" t="s">
        <v>968</v>
      </c>
      <c r="AS119" t="s">
        <v>1088</v>
      </c>
    </row>
    <row r="120" spans="35:45" x14ac:dyDescent="0.25">
      <c r="AI120" t="s">
        <v>3</v>
      </c>
      <c r="AJ120" t="s">
        <v>658</v>
      </c>
      <c r="AK120" s="12">
        <v>45901</v>
      </c>
      <c r="AM120" t="s">
        <v>970</v>
      </c>
      <c r="AN120" s="5">
        <v>2557.71</v>
      </c>
      <c r="AO120" t="s">
        <v>967</v>
      </c>
      <c r="AP120" s="135" t="s">
        <v>249</v>
      </c>
      <c r="AQ120" t="s">
        <v>971</v>
      </c>
      <c r="AR120" t="s">
        <v>968</v>
      </c>
      <c r="AS120" t="s">
        <v>1089</v>
      </c>
    </row>
    <row r="121" spans="35:45" x14ac:dyDescent="0.25">
      <c r="AI121" t="s">
        <v>3</v>
      </c>
      <c r="AJ121" t="s">
        <v>658</v>
      </c>
      <c r="AK121" s="12">
        <v>46266</v>
      </c>
      <c r="AM121" t="s">
        <v>970</v>
      </c>
      <c r="AN121" s="5">
        <v>0</v>
      </c>
      <c r="AO121" t="s">
        <v>967</v>
      </c>
      <c r="AP121" s="135" t="s">
        <v>249</v>
      </c>
      <c r="AQ121" t="s">
        <v>971</v>
      </c>
      <c r="AR121" t="s">
        <v>968</v>
      </c>
      <c r="AS121" t="s">
        <v>1090</v>
      </c>
    </row>
    <row r="122" spans="35:45" x14ac:dyDescent="0.25">
      <c r="AI122" t="s">
        <v>3</v>
      </c>
      <c r="AJ122" t="s">
        <v>658</v>
      </c>
      <c r="AK122" s="12">
        <v>46631</v>
      </c>
      <c r="AM122" t="s">
        <v>970</v>
      </c>
      <c r="AN122" s="5">
        <v>0</v>
      </c>
      <c r="AO122" t="s">
        <v>967</v>
      </c>
      <c r="AP122" s="135" t="s">
        <v>249</v>
      </c>
      <c r="AQ122" t="s">
        <v>971</v>
      </c>
      <c r="AR122" t="s">
        <v>968</v>
      </c>
      <c r="AS122" t="s">
        <v>1091</v>
      </c>
    </row>
    <row r="123" spans="35:45" x14ac:dyDescent="0.25">
      <c r="AI123" t="s">
        <v>3</v>
      </c>
      <c r="AJ123" t="s">
        <v>658</v>
      </c>
      <c r="AK123" s="12">
        <v>46996</v>
      </c>
      <c r="AM123" t="s">
        <v>970</v>
      </c>
      <c r="AN123" s="5">
        <v>0</v>
      </c>
      <c r="AO123" t="s">
        <v>967</v>
      </c>
      <c r="AP123" s="135" t="s">
        <v>249</v>
      </c>
      <c r="AQ123" t="s">
        <v>971</v>
      </c>
      <c r="AR123" t="s">
        <v>968</v>
      </c>
      <c r="AS123" t="s">
        <v>1092</v>
      </c>
    </row>
    <row r="124" spans="35:45" x14ac:dyDescent="0.25">
      <c r="AI124" t="s">
        <v>3</v>
      </c>
      <c r="AJ124" t="s">
        <v>658</v>
      </c>
      <c r="AK124" s="12">
        <v>47361</v>
      </c>
      <c r="AM124" t="s">
        <v>970</v>
      </c>
      <c r="AN124" s="5">
        <v>0</v>
      </c>
      <c r="AO124" t="s">
        <v>967</v>
      </c>
      <c r="AP124" s="135" t="s">
        <v>249</v>
      </c>
      <c r="AQ124" t="s">
        <v>971</v>
      </c>
      <c r="AR124" t="s">
        <v>968</v>
      </c>
      <c r="AS124" t="s">
        <v>1093</v>
      </c>
    </row>
    <row r="125" spans="35:45" x14ac:dyDescent="0.25">
      <c r="AI125" t="s">
        <v>3</v>
      </c>
      <c r="AJ125" t="s">
        <v>658</v>
      </c>
      <c r="AK125" s="12">
        <v>47726</v>
      </c>
      <c r="AM125" t="s">
        <v>970</v>
      </c>
      <c r="AN125" s="5">
        <v>0</v>
      </c>
      <c r="AO125" t="s">
        <v>967</v>
      </c>
      <c r="AP125" s="135" t="s">
        <v>249</v>
      </c>
      <c r="AQ125" t="s">
        <v>971</v>
      </c>
      <c r="AR125" t="s">
        <v>968</v>
      </c>
      <c r="AS125" t="s">
        <v>1094</v>
      </c>
    </row>
    <row r="126" spans="35:45" x14ac:dyDescent="0.25">
      <c r="AI126" t="s">
        <v>3</v>
      </c>
      <c r="AJ126" t="s">
        <v>658</v>
      </c>
      <c r="AK126" s="12">
        <v>48091</v>
      </c>
      <c r="AM126" t="s">
        <v>970</v>
      </c>
      <c r="AN126" s="5">
        <v>0</v>
      </c>
      <c r="AO126" t="s">
        <v>967</v>
      </c>
      <c r="AP126" s="135" t="s">
        <v>249</v>
      </c>
      <c r="AQ126" t="s">
        <v>971</v>
      </c>
      <c r="AR126" t="s">
        <v>968</v>
      </c>
      <c r="AS126" t="s">
        <v>1095</v>
      </c>
    </row>
    <row r="127" spans="35:45" x14ac:dyDescent="0.25">
      <c r="AI127" t="s">
        <v>3</v>
      </c>
      <c r="AJ127" t="s">
        <v>658</v>
      </c>
      <c r="AK127" s="12">
        <v>48456</v>
      </c>
      <c r="AM127" t="s">
        <v>970</v>
      </c>
      <c r="AN127" s="5">
        <v>0</v>
      </c>
      <c r="AO127" t="s">
        <v>967</v>
      </c>
      <c r="AP127" s="135" t="s">
        <v>249</v>
      </c>
      <c r="AQ127" t="s">
        <v>971</v>
      </c>
      <c r="AR127" t="s">
        <v>968</v>
      </c>
      <c r="AS127" t="s">
        <v>1096</v>
      </c>
    </row>
    <row r="128" spans="35:45" x14ac:dyDescent="0.25">
      <c r="AI128" t="s">
        <v>3</v>
      </c>
      <c r="AJ128" t="s">
        <v>658</v>
      </c>
      <c r="AK128" s="12">
        <v>48821</v>
      </c>
      <c r="AM128" t="s">
        <v>970</v>
      </c>
      <c r="AN128" s="5">
        <v>0</v>
      </c>
      <c r="AO128" t="s">
        <v>967</v>
      </c>
      <c r="AP128" s="135" t="s">
        <v>249</v>
      </c>
      <c r="AQ128" t="s">
        <v>971</v>
      </c>
      <c r="AR128" t="s">
        <v>968</v>
      </c>
      <c r="AS128" t="s">
        <v>1097</v>
      </c>
    </row>
    <row r="129" spans="35:45" x14ac:dyDescent="0.25">
      <c r="AI129" t="s">
        <v>3</v>
      </c>
      <c r="AJ129" t="s">
        <v>658</v>
      </c>
      <c r="AK129" s="12">
        <v>49186</v>
      </c>
      <c r="AM129" t="s">
        <v>970</v>
      </c>
      <c r="AN129" s="5">
        <v>0</v>
      </c>
      <c r="AO129" t="s">
        <v>967</v>
      </c>
      <c r="AP129" s="135" t="s">
        <v>249</v>
      </c>
      <c r="AQ129" t="s">
        <v>971</v>
      </c>
      <c r="AR129" t="s">
        <v>968</v>
      </c>
      <c r="AS129" t="s">
        <v>1098</v>
      </c>
    </row>
    <row r="130" spans="35:45" x14ac:dyDescent="0.25">
      <c r="AI130" t="s">
        <v>3</v>
      </c>
      <c r="AJ130" t="s">
        <v>658</v>
      </c>
      <c r="AK130" s="12">
        <v>49551</v>
      </c>
      <c r="AM130" t="s">
        <v>970</v>
      </c>
      <c r="AN130" s="5">
        <v>0</v>
      </c>
      <c r="AO130" t="s">
        <v>967</v>
      </c>
      <c r="AP130" s="135" t="s">
        <v>249</v>
      </c>
      <c r="AQ130" t="s">
        <v>971</v>
      </c>
      <c r="AR130" t="s">
        <v>968</v>
      </c>
      <c r="AS130" t="s">
        <v>1099</v>
      </c>
    </row>
    <row r="131" spans="35:45" x14ac:dyDescent="0.25">
      <c r="AI131" t="s">
        <v>3</v>
      </c>
      <c r="AJ131" t="s">
        <v>658</v>
      </c>
      <c r="AK131" s="12">
        <v>49916</v>
      </c>
      <c r="AM131" t="s">
        <v>970</v>
      </c>
      <c r="AN131" s="5">
        <v>0</v>
      </c>
      <c r="AO131" t="s">
        <v>967</v>
      </c>
      <c r="AP131" s="135" t="s">
        <v>249</v>
      </c>
      <c r="AQ131" t="s">
        <v>971</v>
      </c>
      <c r="AR131" t="s">
        <v>968</v>
      </c>
      <c r="AS131" t="s">
        <v>1100</v>
      </c>
    </row>
    <row r="132" spans="35:45" x14ac:dyDescent="0.25">
      <c r="AI132" t="s">
        <v>3</v>
      </c>
      <c r="AJ132" t="s">
        <v>658</v>
      </c>
      <c r="AK132" s="12">
        <v>50281</v>
      </c>
      <c r="AM132" t="s">
        <v>970</v>
      </c>
      <c r="AN132" s="5">
        <v>0</v>
      </c>
      <c r="AO132" t="s">
        <v>967</v>
      </c>
      <c r="AP132" s="135" t="s">
        <v>249</v>
      </c>
      <c r="AQ132" t="s">
        <v>971</v>
      </c>
      <c r="AR132" t="s">
        <v>968</v>
      </c>
      <c r="AS132" t="s">
        <v>1101</v>
      </c>
    </row>
    <row r="133" spans="35:45" x14ac:dyDescent="0.25">
      <c r="AI133" t="s">
        <v>3</v>
      </c>
      <c r="AJ133" t="s">
        <v>658</v>
      </c>
      <c r="AK133" s="12">
        <v>50646</v>
      </c>
      <c r="AM133" t="s">
        <v>970</v>
      </c>
      <c r="AN133" s="5">
        <v>0</v>
      </c>
      <c r="AO133" t="s">
        <v>967</v>
      </c>
      <c r="AP133" s="135" t="s">
        <v>249</v>
      </c>
      <c r="AQ133" t="s">
        <v>971</v>
      </c>
      <c r="AR133" t="s">
        <v>968</v>
      </c>
      <c r="AS133" t="s">
        <v>1102</v>
      </c>
    </row>
    <row r="134" spans="35:45" x14ac:dyDescent="0.25">
      <c r="AI134" t="s">
        <v>3</v>
      </c>
      <c r="AJ134" t="s">
        <v>658</v>
      </c>
      <c r="AK134" s="12">
        <v>51011</v>
      </c>
      <c r="AM134" t="s">
        <v>970</v>
      </c>
      <c r="AN134" s="5">
        <v>0</v>
      </c>
      <c r="AO134" t="s">
        <v>967</v>
      </c>
      <c r="AP134" s="135" t="s">
        <v>249</v>
      </c>
      <c r="AQ134" t="s">
        <v>971</v>
      </c>
      <c r="AR134" t="s">
        <v>968</v>
      </c>
      <c r="AS134" t="s">
        <v>1103</v>
      </c>
    </row>
    <row r="135" spans="35:45" x14ac:dyDescent="0.25">
      <c r="AI135" t="s">
        <v>3</v>
      </c>
      <c r="AJ135" t="s">
        <v>658</v>
      </c>
      <c r="AK135" s="12">
        <v>51376</v>
      </c>
      <c r="AM135" t="s">
        <v>970</v>
      </c>
      <c r="AN135" s="5">
        <v>0</v>
      </c>
      <c r="AO135" t="s">
        <v>967</v>
      </c>
      <c r="AP135" s="135" t="s">
        <v>249</v>
      </c>
      <c r="AQ135" t="s">
        <v>971</v>
      </c>
      <c r="AR135" t="s">
        <v>968</v>
      </c>
      <c r="AS135" t="s">
        <v>1104</v>
      </c>
    </row>
    <row r="136" spans="35:45" x14ac:dyDescent="0.25">
      <c r="AI136" t="s">
        <v>3</v>
      </c>
      <c r="AJ136" t="s">
        <v>658</v>
      </c>
      <c r="AK136" s="12">
        <v>51741</v>
      </c>
      <c r="AM136" t="s">
        <v>970</v>
      </c>
      <c r="AN136" s="5">
        <v>0</v>
      </c>
      <c r="AO136" t="s">
        <v>967</v>
      </c>
      <c r="AP136" s="135" t="s">
        <v>249</v>
      </c>
      <c r="AQ136" t="s">
        <v>971</v>
      </c>
      <c r="AR136" t="s">
        <v>968</v>
      </c>
      <c r="AS136" t="s">
        <v>1105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759" t="str">
        <f>"Preassigned Rows Indicating Payment or Scheduling by " &amp;Profit!E1&amp;" Your Home"</f>
        <v>Preassigned Rows Indicating Payment or Scheduling by  Your Home</v>
      </c>
      <c r="C2" s="760"/>
      <c r="E2" s="54"/>
    </row>
    <row r="3" spans="1:13" ht="15.75" hidden="1" thickBot="1" x14ac:dyDescent="0.3">
      <c r="B3" s="761"/>
      <c r="C3" s="762"/>
      <c r="E3" s="54"/>
    </row>
    <row r="4" spans="1:13" hidden="1" x14ac:dyDescent="0.25">
      <c r="B4" s="767" t="s">
        <v>177</v>
      </c>
      <c r="C4" s="768"/>
      <c r="E4" s="54"/>
    </row>
    <row r="5" spans="1:13" ht="15.75" hidden="1" thickBot="1" x14ac:dyDescent="0.3">
      <c r="B5" s="769"/>
      <c r="C5" s="770"/>
      <c r="E5" s="54"/>
    </row>
    <row r="6" spans="1:13" hidden="1" x14ac:dyDescent="0.25">
      <c r="B6" s="763" t="s">
        <v>178</v>
      </c>
      <c r="C6" s="764"/>
      <c r="E6" s="54"/>
    </row>
    <row r="7" spans="1:13" ht="15.75" hidden="1" thickBot="1" x14ac:dyDescent="0.3">
      <c r="B7" s="765"/>
      <c r="C7" s="766"/>
    </row>
    <row r="8" spans="1:13" hidden="1" x14ac:dyDescent="0.25">
      <c r="B8" s="771" t="s">
        <v>179</v>
      </c>
      <c r="C8" s="772"/>
    </row>
    <row r="9" spans="1:13" ht="15.75" hidden="1" thickBot="1" x14ac:dyDescent="0.3">
      <c r="B9" s="773"/>
      <c r="C9" s="774"/>
    </row>
    <row r="10" spans="1:13" hidden="1" x14ac:dyDescent="0.25"/>
    <row r="11" spans="1:13" s="48" customFormat="1" ht="15.75" thickBot="1" x14ac:dyDescent="0.3">
      <c r="A11" s="47" t="s">
        <v>180</v>
      </c>
      <c r="B11" s="47" t="s">
        <v>181</v>
      </c>
      <c r="C11" s="47" t="s">
        <v>182</v>
      </c>
      <c r="D11" s="64" t="s">
        <v>183</v>
      </c>
      <c r="E11" s="65" t="s">
        <v>184</v>
      </c>
      <c r="G11" s="54"/>
      <c r="H11" s="54"/>
      <c r="I11" s="54"/>
      <c r="J11" s="54"/>
      <c r="K11" s="54"/>
      <c r="L11" s="54"/>
      <c r="M11" s="54"/>
    </row>
    <row r="12" spans="1:13" s="48" customFormat="1" ht="15.75" thickTop="1" x14ac:dyDescent="0.25">
      <c r="A12" s="50" t="s">
        <v>185</v>
      </c>
      <c r="B12" s="50" t="s">
        <v>185</v>
      </c>
      <c r="C12" s="50" t="s">
        <v>186</v>
      </c>
      <c r="D12" s="62">
        <v>0</v>
      </c>
      <c r="E12" s="63"/>
      <c r="G12" s="54"/>
      <c r="H12" s="54"/>
      <c r="I12" s="54"/>
      <c r="J12" s="54"/>
      <c r="K12" s="54"/>
      <c r="L12" s="54"/>
      <c r="M12" s="54"/>
    </row>
    <row r="13" spans="1:13" s="48" customFormat="1" x14ac:dyDescent="0.25">
      <c r="A13" s="50" t="s">
        <v>187</v>
      </c>
      <c r="B13" s="50" t="s">
        <v>188</v>
      </c>
      <c r="C13" s="50" t="s">
        <v>189</v>
      </c>
      <c r="D13" s="62">
        <v>0</v>
      </c>
      <c r="E13" s="63"/>
      <c r="G13" s="54"/>
      <c r="H13" s="54"/>
      <c r="I13" s="54"/>
      <c r="J13" s="54"/>
      <c r="K13" s="54"/>
      <c r="L13" s="54"/>
      <c r="M13" s="54"/>
    </row>
    <row r="14" spans="1:13" s="48" customFormat="1" x14ac:dyDescent="0.25">
      <c r="A14" s="50" t="s">
        <v>187</v>
      </c>
      <c r="B14" s="50" t="s">
        <v>190</v>
      </c>
      <c r="C14" s="50" t="s">
        <v>190</v>
      </c>
      <c r="D14" s="62">
        <v>0</v>
      </c>
      <c r="E14" s="63"/>
      <c r="G14" s="54"/>
      <c r="H14" s="54"/>
      <c r="I14" s="54"/>
      <c r="J14" s="54"/>
      <c r="K14" s="54"/>
      <c r="L14" s="54"/>
      <c r="M14" s="54"/>
    </row>
    <row r="15" spans="1:13" s="48" customFormat="1" x14ac:dyDescent="0.25">
      <c r="A15" s="50"/>
      <c r="B15" s="50" t="s">
        <v>191</v>
      </c>
      <c r="C15" s="50" t="s">
        <v>192</v>
      </c>
      <c r="D15" s="62">
        <v>6</v>
      </c>
      <c r="E15" s="63"/>
      <c r="G15" s="54"/>
      <c r="H15" s="54"/>
      <c r="I15" s="54"/>
      <c r="J15" s="54"/>
      <c r="K15" s="54"/>
      <c r="L15" s="54"/>
      <c r="M15" s="54"/>
    </row>
    <row r="16" spans="1:13" s="48" customFormat="1" x14ac:dyDescent="0.25">
      <c r="A16" s="51" t="s">
        <v>193</v>
      </c>
      <c r="B16" s="51" t="s">
        <v>194</v>
      </c>
      <c r="C16" s="51" t="s">
        <v>498</v>
      </c>
      <c r="D16" s="52">
        <v>0</v>
      </c>
      <c r="E16" s="53">
        <v>0</v>
      </c>
      <c r="G16" s="54"/>
      <c r="H16" s="54"/>
      <c r="I16" s="54"/>
      <c r="J16" s="54"/>
      <c r="K16" s="54"/>
      <c r="L16" s="54"/>
      <c r="M16" s="54"/>
    </row>
    <row r="17" spans="1:13" s="48" customFormat="1" x14ac:dyDescent="0.25">
      <c r="A17" s="51" t="s">
        <v>195</v>
      </c>
      <c r="B17" s="51" t="s">
        <v>194</v>
      </c>
      <c r="C17" s="51" t="s">
        <v>493</v>
      </c>
      <c r="D17" s="52">
        <v>0</v>
      </c>
      <c r="E17" s="53">
        <v>0</v>
      </c>
      <c r="G17" s="54"/>
      <c r="H17" s="54"/>
      <c r="I17" s="54"/>
      <c r="J17" s="54"/>
      <c r="K17" s="54"/>
      <c r="L17" s="54"/>
      <c r="M17" s="54"/>
    </row>
    <row r="18" spans="1:13" s="48" customFormat="1" x14ac:dyDescent="0.25">
      <c r="A18" s="51" t="s">
        <v>196</v>
      </c>
      <c r="B18" s="51" t="s">
        <v>194</v>
      </c>
      <c r="C18" s="51" t="s">
        <v>494</v>
      </c>
      <c r="D18" s="52">
        <v>0</v>
      </c>
      <c r="E18" s="53">
        <v>0</v>
      </c>
      <c r="G18" s="54"/>
      <c r="H18" s="54"/>
      <c r="I18" s="54"/>
      <c r="J18" s="54"/>
      <c r="K18" s="54"/>
      <c r="L18" s="54"/>
      <c r="M18" s="54"/>
    </row>
    <row r="19" spans="1:13" s="48" customFormat="1" x14ac:dyDescent="0.25">
      <c r="A19" s="51" t="s">
        <v>198</v>
      </c>
      <c r="B19" s="51" t="s">
        <v>194</v>
      </c>
      <c r="C19" s="51" t="s">
        <v>495</v>
      </c>
      <c r="D19" s="52">
        <v>0</v>
      </c>
      <c r="E19" s="53">
        <v>0</v>
      </c>
      <c r="G19" s="54"/>
      <c r="H19" s="54"/>
      <c r="I19" s="54"/>
      <c r="J19" s="54"/>
      <c r="K19" s="54"/>
      <c r="L19" s="54"/>
      <c r="M19" s="54"/>
    </row>
    <row r="20" spans="1:13" s="48" customFormat="1" x14ac:dyDescent="0.25">
      <c r="A20" s="51" t="s">
        <v>199</v>
      </c>
      <c r="B20" s="51" t="s">
        <v>194</v>
      </c>
      <c r="C20" s="51" t="s">
        <v>496</v>
      </c>
      <c r="D20" s="52">
        <v>0</v>
      </c>
      <c r="E20" s="53">
        <v>0</v>
      </c>
      <c r="G20" s="49"/>
    </row>
    <row r="21" spans="1:13" x14ac:dyDescent="0.25">
      <c r="A21" s="240"/>
      <c r="B21" s="240"/>
      <c r="C21" s="545" t="s">
        <v>823</v>
      </c>
      <c r="D21" s="547">
        <v>1</v>
      </c>
      <c r="E21" s="261">
        <v>155</v>
      </c>
    </row>
    <row r="22" spans="1:13" x14ac:dyDescent="0.25">
      <c r="A22" s="244"/>
      <c r="B22" s="244"/>
      <c r="C22" s="244" t="s">
        <v>822</v>
      </c>
      <c r="D22" s="547">
        <v>1</v>
      </c>
      <c r="E22" s="246">
        <v>45</v>
      </c>
    </row>
    <row r="23" spans="1:13" x14ac:dyDescent="0.25">
      <c r="A23" s="244"/>
      <c r="B23" s="240"/>
      <c r="C23" s="240" t="s">
        <v>836</v>
      </c>
      <c r="D23" s="260">
        <v>1</v>
      </c>
      <c r="E23" s="261">
        <v>25</v>
      </c>
    </row>
    <row r="24" spans="1:13" x14ac:dyDescent="0.25">
      <c r="A24" s="240"/>
      <c r="B24" s="240"/>
      <c r="C24" s="240" t="s">
        <v>824</v>
      </c>
      <c r="D24" s="547">
        <v>1</v>
      </c>
      <c r="E24" s="261">
        <v>85</v>
      </c>
    </row>
    <row r="25" spans="1:13" x14ac:dyDescent="0.25">
      <c r="A25" s="240"/>
      <c r="B25" s="240"/>
      <c r="C25" s="240" t="s">
        <v>825</v>
      </c>
      <c r="D25" s="547">
        <v>1</v>
      </c>
      <c r="E25" s="261">
        <v>25</v>
      </c>
    </row>
    <row r="26" spans="1:13" x14ac:dyDescent="0.25">
      <c r="A26" s="240"/>
      <c r="B26" s="240"/>
      <c r="C26" s="240" t="s">
        <v>826</v>
      </c>
      <c r="D26" s="260">
        <v>2</v>
      </c>
      <c r="E26" s="261">
        <v>35</v>
      </c>
    </row>
    <row r="27" spans="1:13" x14ac:dyDescent="0.25">
      <c r="A27" s="240"/>
      <c r="B27" s="240"/>
      <c r="C27" s="240" t="s">
        <v>827</v>
      </c>
      <c r="D27" s="547">
        <v>1</v>
      </c>
      <c r="E27" s="261">
        <v>350</v>
      </c>
    </row>
    <row r="28" spans="1:13" x14ac:dyDescent="0.25">
      <c r="A28" s="240"/>
      <c r="B28" s="240"/>
      <c r="C28" s="240" t="s">
        <v>828</v>
      </c>
      <c r="D28" s="547">
        <v>1</v>
      </c>
      <c r="E28" s="261">
        <v>1200</v>
      </c>
    </row>
    <row r="29" spans="1:13" x14ac:dyDescent="0.25">
      <c r="A29" s="240"/>
      <c r="B29" s="240"/>
      <c r="C29" s="240" t="s">
        <v>829</v>
      </c>
      <c r="D29" s="547">
        <v>1</v>
      </c>
      <c r="E29" s="261">
        <v>110</v>
      </c>
    </row>
    <row r="30" spans="1:13" x14ac:dyDescent="0.25">
      <c r="A30" s="240"/>
      <c r="B30" s="240"/>
      <c r="C30" s="240" t="s">
        <v>830</v>
      </c>
      <c r="D30" s="547">
        <v>1</v>
      </c>
      <c r="E30" s="261">
        <v>215</v>
      </c>
    </row>
    <row r="31" spans="1:13" x14ac:dyDescent="0.25">
      <c r="A31" s="240"/>
      <c r="B31" s="240"/>
      <c r="C31" s="240" t="s">
        <v>831</v>
      </c>
      <c r="D31" s="547">
        <v>1</v>
      </c>
      <c r="E31" s="261">
        <v>1300.0999999999999</v>
      </c>
    </row>
    <row r="32" spans="1:13" x14ac:dyDescent="0.25">
      <c r="A32" s="240"/>
      <c r="B32" s="240"/>
      <c r="C32" s="240" t="s">
        <v>832</v>
      </c>
      <c r="D32" s="547">
        <v>1</v>
      </c>
      <c r="E32" s="261">
        <v>95</v>
      </c>
    </row>
    <row r="33" spans="1:7" x14ac:dyDescent="0.25">
      <c r="A33" s="240"/>
      <c r="B33" s="240"/>
      <c r="C33" s="240" t="s">
        <v>833</v>
      </c>
      <c r="D33" s="547">
        <v>1</v>
      </c>
      <c r="E33" s="261">
        <v>65</v>
      </c>
    </row>
    <row r="34" spans="1:7" x14ac:dyDescent="0.25">
      <c r="A34" s="240"/>
      <c r="B34" s="240"/>
      <c r="C34" s="244" t="s">
        <v>834</v>
      </c>
      <c r="D34" s="547">
        <v>1</v>
      </c>
      <c r="E34" s="261">
        <v>95</v>
      </c>
    </row>
    <row r="35" spans="1:7" x14ac:dyDescent="0.25">
      <c r="A35" s="546"/>
      <c r="B35" s="546"/>
      <c r="C35" s="546" t="s">
        <v>835</v>
      </c>
      <c r="D35" s="547">
        <v>0</v>
      </c>
      <c r="E35" s="549">
        <v>95</v>
      </c>
    </row>
    <row r="36" spans="1:7" x14ac:dyDescent="0.25">
      <c r="A36" s="546"/>
      <c r="B36" s="546"/>
      <c r="C36" s="546" t="s">
        <v>826</v>
      </c>
      <c r="D36" s="547">
        <v>1</v>
      </c>
      <c r="E36" s="549">
        <v>35</v>
      </c>
    </row>
    <row r="37" spans="1:7" x14ac:dyDescent="0.25">
      <c r="A37" s="546"/>
      <c r="B37" s="546"/>
      <c r="C37" s="546" t="s">
        <v>837</v>
      </c>
      <c r="D37" s="547">
        <v>1</v>
      </c>
      <c r="E37" s="549">
        <v>0</v>
      </c>
    </row>
    <row r="38" spans="1:7" x14ac:dyDescent="0.25">
      <c r="A38" s="546"/>
      <c r="B38" s="546"/>
      <c r="C38" s="546" t="s">
        <v>839</v>
      </c>
      <c r="D38" s="547">
        <v>1</v>
      </c>
      <c r="E38" s="549">
        <v>45</v>
      </c>
    </row>
    <row r="39" spans="1:7" x14ac:dyDescent="0.25">
      <c r="A39" s="546"/>
      <c r="B39" s="546"/>
      <c r="C39" s="546" t="s">
        <v>840</v>
      </c>
      <c r="D39" s="547">
        <v>1</v>
      </c>
      <c r="E39" s="549">
        <v>95</v>
      </c>
    </row>
    <row r="40" spans="1:7" x14ac:dyDescent="0.25">
      <c r="A40" s="546"/>
      <c r="B40" s="546"/>
      <c r="C40" s="546" t="s">
        <v>841</v>
      </c>
      <c r="D40" s="547">
        <v>1</v>
      </c>
      <c r="E40" s="549">
        <v>95</v>
      </c>
    </row>
    <row r="41" spans="1:7" x14ac:dyDescent="0.25">
      <c r="A41" s="546"/>
      <c r="B41" s="546"/>
      <c r="C41" s="546" t="s">
        <v>845</v>
      </c>
      <c r="D41" s="547">
        <v>8</v>
      </c>
      <c r="E41" s="549">
        <v>25</v>
      </c>
    </row>
    <row r="42" spans="1:7" x14ac:dyDescent="0.25">
      <c r="A42" s="546"/>
      <c r="B42" s="546"/>
      <c r="C42" s="546" t="s">
        <v>842</v>
      </c>
      <c r="D42" s="547">
        <v>8</v>
      </c>
      <c r="E42" s="549">
        <v>10</v>
      </c>
    </row>
    <row r="43" spans="1:7" x14ac:dyDescent="0.25">
      <c r="A43" s="546"/>
      <c r="B43" s="546"/>
      <c r="C43" s="546" t="s">
        <v>843</v>
      </c>
      <c r="D43" s="547">
        <v>3</v>
      </c>
      <c r="E43" s="549">
        <v>10</v>
      </c>
    </row>
    <row r="44" spans="1:7" x14ac:dyDescent="0.25">
      <c r="A44" s="546"/>
      <c r="B44" s="546"/>
      <c r="C44" s="546" t="s">
        <v>844</v>
      </c>
      <c r="D44" s="547">
        <v>2</v>
      </c>
      <c r="E44" s="549">
        <v>35</v>
      </c>
    </row>
    <row r="45" spans="1:7" x14ac:dyDescent="0.25">
      <c r="A45" s="546"/>
      <c r="B45" s="546"/>
      <c r="C45" s="546" t="s">
        <v>838</v>
      </c>
      <c r="D45" s="547">
        <v>1</v>
      </c>
      <c r="E45" s="549">
        <v>95</v>
      </c>
    </row>
    <row r="46" spans="1:7" x14ac:dyDescent="0.25">
      <c r="A46" s="546"/>
      <c r="B46" s="546"/>
      <c r="C46" s="546" t="s">
        <v>846</v>
      </c>
      <c r="D46" s="547">
        <v>1</v>
      </c>
      <c r="E46" s="549">
        <v>50</v>
      </c>
    </row>
    <row r="47" spans="1:7" s="48" customFormat="1" x14ac:dyDescent="0.25">
      <c r="A47" s="546"/>
      <c r="B47" s="546"/>
      <c r="C47" s="546" t="s">
        <v>902</v>
      </c>
      <c r="D47" s="548">
        <v>1</v>
      </c>
      <c r="E47" s="550">
        <v>48</v>
      </c>
      <c r="G47" s="49"/>
    </row>
    <row r="48" spans="1:7" x14ac:dyDescent="0.25">
      <c r="A48" s="546"/>
      <c r="B48" s="546"/>
      <c r="C48" s="546" t="s">
        <v>903</v>
      </c>
      <c r="D48" s="547">
        <v>1</v>
      </c>
      <c r="E48" s="549">
        <v>80</v>
      </c>
    </row>
    <row r="49" spans="1:5" x14ac:dyDescent="0.25">
      <c r="A49" s="546"/>
      <c r="B49" s="546"/>
      <c r="C49" s="240" t="s">
        <v>924</v>
      </c>
      <c r="D49" s="547">
        <v>1</v>
      </c>
      <c r="E49" s="549">
        <v>139.47</v>
      </c>
    </row>
    <row r="50" spans="1:5" x14ac:dyDescent="0.25">
      <c r="A50" s="546"/>
      <c r="B50" s="546"/>
      <c r="C50" s="546"/>
      <c r="D50" s="547"/>
      <c r="E50" s="549"/>
    </row>
    <row r="51" spans="1:5" x14ac:dyDescent="0.25">
      <c r="A51" s="546"/>
      <c r="B51" s="546"/>
      <c r="C51" s="545"/>
      <c r="D51" s="547"/>
      <c r="E51" s="549"/>
    </row>
    <row r="52" spans="1:5" x14ac:dyDescent="0.25">
      <c r="A52" s="546"/>
      <c r="B52" s="546"/>
      <c r="C52" s="546"/>
      <c r="D52" s="547"/>
      <c r="E52" s="549"/>
    </row>
    <row r="53" spans="1:5" x14ac:dyDescent="0.25">
      <c r="A53" s="546"/>
      <c r="B53" s="546"/>
      <c r="C53" s="546"/>
      <c r="D53" s="547"/>
      <c r="E53" s="549"/>
    </row>
    <row r="54" spans="1:5" x14ac:dyDescent="0.25">
      <c r="A54" s="546"/>
      <c r="B54" s="546"/>
      <c r="C54" s="546"/>
      <c r="D54" s="547"/>
      <c r="E54" s="549"/>
    </row>
    <row r="55" spans="1:5" x14ac:dyDescent="0.25">
      <c r="A55" s="546"/>
      <c r="B55" s="546"/>
      <c r="C55" s="546"/>
      <c r="D55" s="547"/>
      <c r="E55" s="549"/>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784" t="s">
        <v>201</v>
      </c>
      <c r="B1" s="785"/>
      <c r="C1" s="785"/>
      <c r="D1" s="785"/>
      <c r="E1" s="785"/>
      <c r="F1" s="785"/>
      <c r="G1" s="785"/>
      <c r="H1" s="786"/>
      <c r="I1" s="775" t="s">
        <v>202</v>
      </c>
      <c r="J1" s="776"/>
      <c r="K1" s="776"/>
      <c r="L1" s="776"/>
      <c r="M1" s="776"/>
      <c r="N1" s="777"/>
      <c r="P1" s="30" t="s">
        <v>203</v>
      </c>
      <c r="Q1" s="15">
        <v>1</v>
      </c>
      <c r="R1" s="59" t="s">
        <v>204</v>
      </c>
      <c r="S1" s="15">
        <v>4</v>
      </c>
    </row>
    <row r="2" spans="1:19" x14ac:dyDescent="0.25">
      <c r="A2" s="787"/>
      <c r="B2" s="714"/>
      <c r="C2" s="714"/>
      <c r="D2" s="714"/>
      <c r="E2" s="714"/>
      <c r="F2" s="714"/>
      <c r="G2" s="714"/>
      <c r="H2" s="788"/>
      <c r="I2" s="778"/>
      <c r="J2" s="779"/>
      <c r="K2" s="779"/>
      <c r="L2" s="779"/>
      <c r="M2" s="779"/>
      <c r="N2" s="780"/>
      <c r="P2" s="30" t="s">
        <v>205</v>
      </c>
      <c r="Q2" s="15">
        <v>2</v>
      </c>
      <c r="R2" s="30" t="s">
        <v>206</v>
      </c>
      <c r="S2" s="15">
        <v>0</v>
      </c>
    </row>
    <row r="3" spans="1:19" ht="15.75" thickBot="1" x14ac:dyDescent="0.3">
      <c r="A3" s="789"/>
      <c r="B3" s="790"/>
      <c r="C3" s="790"/>
      <c r="D3" s="790"/>
      <c r="E3" s="790"/>
      <c r="F3" s="790"/>
      <c r="G3" s="790"/>
      <c r="H3" s="791"/>
      <c r="I3" s="781"/>
      <c r="J3" s="782"/>
      <c r="K3" s="782"/>
      <c r="L3" s="782"/>
      <c r="M3" s="782"/>
      <c r="N3" s="783"/>
      <c r="P3" s="30" t="s">
        <v>497</v>
      </c>
      <c r="Q3" s="15">
        <v>3</v>
      </c>
      <c r="R3" s="15" t="s">
        <v>207</v>
      </c>
      <c r="S3" s="15">
        <v>5</v>
      </c>
    </row>
    <row r="4" spans="1:19" s="61" customFormat="1" ht="30.75" thickTop="1" x14ac:dyDescent="0.25">
      <c r="A4" s="108" t="s">
        <v>208</v>
      </c>
      <c r="B4" s="109" t="s">
        <v>209</v>
      </c>
      <c r="C4" s="108" t="s">
        <v>210</v>
      </c>
      <c r="D4" s="108" t="s">
        <v>211</v>
      </c>
      <c r="E4" s="108" t="s">
        <v>212</v>
      </c>
      <c r="F4" s="108" t="s">
        <v>183</v>
      </c>
      <c r="G4" s="110" t="s">
        <v>184</v>
      </c>
      <c r="H4" s="110" t="s">
        <v>213</v>
      </c>
      <c r="I4" s="241" t="s">
        <v>214</v>
      </c>
      <c r="J4" s="67" t="s">
        <v>215</v>
      </c>
      <c r="K4" s="255" t="s">
        <v>216</v>
      </c>
      <c r="L4" s="67" t="s">
        <v>217</v>
      </c>
      <c r="M4" s="67" t="s">
        <v>218</v>
      </c>
      <c r="N4" s="67" t="s">
        <v>138</v>
      </c>
    </row>
    <row r="5" spans="1:19" x14ac:dyDescent="0.25">
      <c r="A5" s="72" t="str">
        <f>+IF(FromProposal[[#This Row],[Cost Code]]&lt;&gt;0,+'Gnatt Chart'!$A$2,"")</f>
        <v xml:space="preserve">Tim Flemming </v>
      </c>
      <c r="B5" s="70">
        <v>1</v>
      </c>
      <c r="C5" s="72" t="s">
        <v>185</v>
      </c>
      <c r="D5" s="72" t="s">
        <v>185</v>
      </c>
      <c r="E5" s="72" t="s">
        <v>186</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187</v>
      </c>
      <c r="D6" s="72" t="s">
        <v>188</v>
      </c>
      <c r="E6" s="72" t="s">
        <v>189</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187</v>
      </c>
      <c r="D7" s="72" t="s">
        <v>190</v>
      </c>
      <c r="E7" s="72" t="s">
        <v>190</v>
      </c>
      <c r="F7" s="72">
        <v>0</v>
      </c>
      <c r="G7" s="294"/>
      <c r="H7" s="294"/>
      <c r="I7" s="242"/>
      <c r="J7" s="68">
        <v>4</v>
      </c>
      <c r="K7" s="259"/>
      <c r="L7" s="68"/>
      <c r="M7" s="258"/>
      <c r="N7" s="69"/>
    </row>
    <row r="8" spans="1:19" x14ac:dyDescent="0.25">
      <c r="A8" s="72" t="str">
        <f>+IF(FromProposal[[#This Row],[Cost Code]]&lt;&gt;0,+'Gnatt Chart'!$A$2,"")</f>
        <v/>
      </c>
      <c r="B8" s="70">
        <v>4</v>
      </c>
      <c r="D8" s="72" t="s">
        <v>191</v>
      </c>
      <c r="E8" s="72" t="s">
        <v>192</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193</v>
      </c>
      <c r="D9" s="72" t="s">
        <v>194</v>
      </c>
      <c r="E9" s="72" t="s">
        <v>498</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195</v>
      </c>
      <c r="D10" s="72" t="s">
        <v>194</v>
      </c>
      <c r="E10" s="72" t="s">
        <v>493</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196</v>
      </c>
      <c r="D11" s="72" t="s">
        <v>194</v>
      </c>
      <c r="E11" s="72" t="s">
        <v>494</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198</v>
      </c>
      <c r="D12" s="72" t="s">
        <v>194</v>
      </c>
      <c r="E12" s="72" t="s">
        <v>495</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199</v>
      </c>
      <c r="D13" s="72" t="s">
        <v>194</v>
      </c>
      <c r="E13" s="72" t="s">
        <v>496</v>
      </c>
      <c r="F13" s="72">
        <v>0</v>
      </c>
      <c r="G13" s="294">
        <v>0</v>
      </c>
      <c r="H13" s="294">
        <v>0</v>
      </c>
      <c r="I13" s="242"/>
      <c r="J13" s="68"/>
      <c r="K13" s="259"/>
      <c r="L13" s="68"/>
      <c r="M13" s="258"/>
      <c r="N13" s="69"/>
    </row>
    <row r="14" spans="1:19" x14ac:dyDescent="0.25">
      <c r="A14" s="72" t="str">
        <f>+IF(FromProposal[[#This Row],[Cost Code]]&lt;&gt;0,+'Gnatt Chart'!$A$2,"")</f>
        <v/>
      </c>
      <c r="B14" s="70">
        <v>10</v>
      </c>
      <c r="E14" s="72" t="s">
        <v>823</v>
      </c>
      <c r="F14" s="72">
        <v>1</v>
      </c>
      <c r="G14" s="293">
        <v>155</v>
      </c>
      <c r="H14" s="293">
        <v>155</v>
      </c>
      <c r="I14" s="242" t="s">
        <v>32</v>
      </c>
      <c r="J14" s="68"/>
      <c r="K14" s="259"/>
      <c r="L14" s="68"/>
      <c r="M14" s="258"/>
      <c r="N14" s="69"/>
    </row>
    <row r="15" spans="1:19" x14ac:dyDescent="0.25">
      <c r="A15" s="72" t="str">
        <f>+IF(FromProposal[[#This Row],[Cost Code]]&lt;&gt;0,+'Gnatt Chart'!$A$2,"")</f>
        <v/>
      </c>
      <c r="B15" s="70">
        <v>11</v>
      </c>
      <c r="E15" s="72" t="s">
        <v>822</v>
      </c>
      <c r="F15" s="72">
        <v>1</v>
      </c>
      <c r="G15" s="294">
        <v>45</v>
      </c>
      <c r="H15" s="294">
        <v>45</v>
      </c>
      <c r="I15" s="242" t="s">
        <v>32</v>
      </c>
      <c r="J15" s="68"/>
      <c r="K15" s="259"/>
      <c r="L15" s="68"/>
      <c r="M15" s="258"/>
      <c r="N15" s="69"/>
    </row>
    <row r="16" spans="1:19" x14ac:dyDescent="0.25">
      <c r="A16" s="72" t="str">
        <f>+IF(FromProposal[[#This Row],[Cost Code]]&lt;&gt;0,+'Gnatt Chart'!$A$2,"")</f>
        <v/>
      </c>
      <c r="B16" s="70">
        <v>12</v>
      </c>
      <c r="E16" s="72" t="s">
        <v>836</v>
      </c>
      <c r="F16" s="72">
        <v>1</v>
      </c>
      <c r="G16" s="294">
        <v>25</v>
      </c>
      <c r="H16" s="294">
        <v>25</v>
      </c>
      <c r="I16" s="242" t="s">
        <v>32</v>
      </c>
      <c r="J16" s="68"/>
      <c r="K16" s="259"/>
      <c r="L16" s="68"/>
      <c r="M16" s="258"/>
      <c r="N16" s="69"/>
    </row>
    <row r="17" spans="1:14" x14ac:dyDescent="0.25">
      <c r="A17" s="72" t="str">
        <f>+IF(FromProposal[[#This Row],[Cost Code]]&lt;&gt;0,+'Gnatt Chart'!$A$2,"")</f>
        <v/>
      </c>
      <c r="B17" s="70">
        <v>13</v>
      </c>
      <c r="E17" s="72" t="s">
        <v>824</v>
      </c>
      <c r="F17" s="72">
        <v>1</v>
      </c>
      <c r="G17" s="294">
        <v>85</v>
      </c>
      <c r="H17" s="294">
        <v>85</v>
      </c>
      <c r="I17" s="242" t="s">
        <v>32</v>
      </c>
      <c r="J17" s="68"/>
      <c r="K17" s="259"/>
      <c r="L17" s="68"/>
      <c r="M17" s="258"/>
      <c r="N17" s="69"/>
    </row>
    <row r="18" spans="1:14" x14ac:dyDescent="0.25">
      <c r="A18" s="72" t="str">
        <f>+IF(FromProposal[[#This Row],[Cost Code]]&lt;&gt;0,+'Gnatt Chart'!$A$2,"")</f>
        <v/>
      </c>
      <c r="B18" s="70">
        <v>14</v>
      </c>
      <c r="E18" s="72" t="s">
        <v>825</v>
      </c>
      <c r="F18" s="72">
        <v>1</v>
      </c>
      <c r="G18" s="294">
        <v>25</v>
      </c>
      <c r="H18" s="294">
        <v>25</v>
      </c>
      <c r="I18" s="242" t="s">
        <v>32</v>
      </c>
      <c r="J18" s="68"/>
      <c r="K18" s="259"/>
      <c r="L18" s="68"/>
      <c r="M18" s="258"/>
      <c r="N18" s="69"/>
    </row>
    <row r="19" spans="1:14" x14ac:dyDescent="0.25">
      <c r="A19" s="72" t="str">
        <f>+IF(FromProposal[[#This Row],[Cost Code]]&lt;&gt;0,+'Gnatt Chart'!$A$2,"")</f>
        <v/>
      </c>
      <c r="B19" s="70">
        <v>15</v>
      </c>
      <c r="E19" s="72" t="s">
        <v>826</v>
      </c>
      <c r="F19" s="72">
        <v>2</v>
      </c>
      <c r="G19" s="294">
        <v>35</v>
      </c>
      <c r="H19" s="294">
        <v>70</v>
      </c>
      <c r="I19" s="242" t="s">
        <v>32</v>
      </c>
      <c r="J19" s="68"/>
      <c r="K19" s="259"/>
      <c r="L19" s="68"/>
      <c r="M19" s="258"/>
      <c r="N19" s="69"/>
    </row>
    <row r="20" spans="1:14" x14ac:dyDescent="0.25">
      <c r="A20" s="72" t="str">
        <f>+IF(FromProposal[[#This Row],[Cost Code]]&lt;&gt;0,+'Gnatt Chart'!$A$2,"")</f>
        <v/>
      </c>
      <c r="B20" s="70">
        <v>16</v>
      </c>
      <c r="E20" s="72" t="s">
        <v>827</v>
      </c>
      <c r="F20" s="72">
        <v>1</v>
      </c>
      <c r="G20" s="294">
        <v>350</v>
      </c>
      <c r="H20" s="294">
        <v>350</v>
      </c>
      <c r="I20" s="242" t="s">
        <v>32</v>
      </c>
      <c r="J20" s="68"/>
      <c r="K20" s="259"/>
      <c r="L20" s="68"/>
      <c r="M20" s="258"/>
      <c r="N20" s="69"/>
    </row>
    <row r="21" spans="1:14" x14ac:dyDescent="0.25">
      <c r="A21" s="72" t="str">
        <f>+IF(FromProposal[[#This Row],[Cost Code]]&lt;&gt;0,+'Gnatt Chart'!$A$2,"")</f>
        <v/>
      </c>
      <c r="B21" s="70">
        <v>17</v>
      </c>
      <c r="E21" s="72" t="s">
        <v>828</v>
      </c>
      <c r="F21" s="72">
        <v>1</v>
      </c>
      <c r="G21" s="294">
        <v>1200</v>
      </c>
      <c r="H21" s="294">
        <v>1200</v>
      </c>
      <c r="I21" s="242" t="s">
        <v>32</v>
      </c>
      <c r="J21" s="68"/>
      <c r="K21" s="259"/>
      <c r="L21" s="68"/>
      <c r="M21" s="258"/>
      <c r="N21" s="69"/>
    </row>
    <row r="22" spans="1:14" x14ac:dyDescent="0.25">
      <c r="A22" s="72" t="str">
        <f>+IF(FromProposal[[#This Row],[Cost Code]]&lt;&gt;0,+'Gnatt Chart'!$A$2,"")</f>
        <v/>
      </c>
      <c r="B22" s="70">
        <v>18</v>
      </c>
      <c r="E22" s="72" t="s">
        <v>829</v>
      </c>
      <c r="F22" s="72">
        <v>1</v>
      </c>
      <c r="G22" s="294">
        <v>110</v>
      </c>
      <c r="H22" s="294">
        <v>110</v>
      </c>
      <c r="I22" s="242" t="s">
        <v>32</v>
      </c>
      <c r="J22" s="68"/>
      <c r="K22" s="259"/>
      <c r="L22" s="68"/>
      <c r="M22" s="258"/>
      <c r="N22" s="69" t="s">
        <v>524</v>
      </c>
    </row>
    <row r="23" spans="1:14" x14ac:dyDescent="0.25">
      <c r="A23" s="72" t="str">
        <f>+IF(FromProposal[[#This Row],[Cost Code]]&lt;&gt;0,+'Gnatt Chart'!$A$2,"")</f>
        <v/>
      </c>
      <c r="B23" s="70">
        <v>19</v>
      </c>
      <c r="E23" s="72" t="s">
        <v>830</v>
      </c>
      <c r="F23" s="72">
        <v>1</v>
      </c>
      <c r="G23" s="294">
        <v>215</v>
      </c>
      <c r="H23" s="294">
        <v>215</v>
      </c>
      <c r="I23" s="242" t="s">
        <v>32</v>
      </c>
      <c r="J23" s="68"/>
      <c r="K23" s="259"/>
      <c r="L23" s="68"/>
      <c r="M23" s="258"/>
      <c r="N23" s="69"/>
    </row>
    <row r="24" spans="1:14" x14ac:dyDescent="0.25">
      <c r="A24" s="72" t="str">
        <f>+IF(FromProposal[[#This Row],[Cost Code]]&lt;&gt;0,+'Gnatt Chart'!$A$2,"")</f>
        <v/>
      </c>
      <c r="B24" s="70">
        <v>20</v>
      </c>
      <c r="E24" s="72" t="s">
        <v>831</v>
      </c>
      <c r="F24" s="72">
        <v>1</v>
      </c>
      <c r="G24" s="294">
        <v>1300.0999999999999</v>
      </c>
      <c r="H24" s="294">
        <v>1300.0999999999999</v>
      </c>
      <c r="I24" s="242" t="s">
        <v>32</v>
      </c>
      <c r="J24" s="68"/>
      <c r="K24" s="259"/>
      <c r="L24" s="68"/>
      <c r="M24" s="258"/>
      <c r="N24" s="69"/>
    </row>
    <row r="25" spans="1:14" x14ac:dyDescent="0.25">
      <c r="A25" s="72" t="str">
        <f>+IF(FromProposal[[#This Row],[Cost Code]]&lt;&gt;0,+'Gnatt Chart'!$A$2,"")</f>
        <v/>
      </c>
      <c r="B25" s="70">
        <v>21</v>
      </c>
      <c r="E25" s="72" t="s">
        <v>832</v>
      </c>
      <c r="F25" s="72">
        <v>1</v>
      </c>
      <c r="G25" s="294">
        <v>95</v>
      </c>
      <c r="H25" s="294">
        <v>95</v>
      </c>
      <c r="I25" s="242" t="s">
        <v>32</v>
      </c>
      <c r="J25" s="68"/>
      <c r="K25" s="259"/>
      <c r="L25" s="68"/>
      <c r="M25" s="258"/>
      <c r="N25" s="69"/>
    </row>
    <row r="26" spans="1:14" x14ac:dyDescent="0.25">
      <c r="A26" s="72" t="str">
        <f>+IF(FromProposal[[#This Row],[Cost Code]]&lt;&gt;0,+'Gnatt Chart'!$A$2,"")</f>
        <v/>
      </c>
      <c r="B26" s="70">
        <v>22</v>
      </c>
      <c r="E26" s="271" t="s">
        <v>833</v>
      </c>
      <c r="F26" s="271">
        <v>1</v>
      </c>
      <c r="G26" s="295">
        <v>65</v>
      </c>
      <c r="H26" s="295">
        <v>65</v>
      </c>
      <c r="I26" s="242" t="s">
        <v>32</v>
      </c>
      <c r="J26" s="68"/>
      <c r="K26" s="259"/>
      <c r="L26" s="68"/>
      <c r="M26" s="258"/>
      <c r="N26" s="69"/>
    </row>
    <row r="27" spans="1:14" x14ac:dyDescent="0.25">
      <c r="A27" s="72" t="str">
        <f>+IF(FromProposal[[#This Row],[Cost Code]]&lt;&gt;0,+'Gnatt Chart'!$A$2,"")</f>
        <v/>
      </c>
      <c r="B27" s="70">
        <v>23</v>
      </c>
      <c r="E27" s="72" t="s">
        <v>834</v>
      </c>
      <c r="F27" s="72">
        <v>1</v>
      </c>
      <c r="G27" s="294">
        <v>95</v>
      </c>
      <c r="H27" s="294">
        <v>95</v>
      </c>
      <c r="I27" s="242" t="s">
        <v>32</v>
      </c>
      <c r="J27" s="68"/>
      <c r="K27" s="259"/>
      <c r="L27" s="68"/>
      <c r="M27" s="258"/>
      <c r="N27" s="69"/>
    </row>
    <row r="28" spans="1:14" x14ac:dyDescent="0.25">
      <c r="A28" s="72" t="str">
        <f>+IF(FromProposal[[#This Row],[Cost Code]]&lt;&gt;0,+'Gnatt Chart'!$A$2,"")</f>
        <v/>
      </c>
      <c r="B28" s="70">
        <v>24</v>
      </c>
      <c r="E28" s="72" t="s">
        <v>835</v>
      </c>
      <c r="F28" s="72">
        <v>0</v>
      </c>
      <c r="G28" s="294">
        <v>95</v>
      </c>
      <c r="H28" s="294">
        <v>0</v>
      </c>
      <c r="I28" s="242"/>
      <c r="J28" s="68"/>
      <c r="K28" s="259"/>
      <c r="L28" s="68"/>
      <c r="M28" s="258"/>
      <c r="N28" s="69"/>
    </row>
    <row r="29" spans="1:14" x14ac:dyDescent="0.25">
      <c r="A29" s="72" t="str">
        <f>+IF(FromProposal[[#This Row],[Cost Code]]&lt;&gt;0,+'Gnatt Chart'!$A$2,"")</f>
        <v/>
      </c>
      <c r="B29" s="70">
        <v>25</v>
      </c>
      <c r="E29" s="72" t="s">
        <v>826</v>
      </c>
      <c r="F29" s="72">
        <v>1</v>
      </c>
      <c r="G29" s="294">
        <v>35</v>
      </c>
      <c r="H29" s="294">
        <v>35</v>
      </c>
      <c r="I29" s="242" t="s">
        <v>32</v>
      </c>
      <c r="J29" s="68"/>
      <c r="K29" s="259"/>
      <c r="L29" s="68"/>
      <c r="M29" s="258"/>
      <c r="N29" s="69"/>
    </row>
    <row r="30" spans="1:14" x14ac:dyDescent="0.25">
      <c r="A30" s="72" t="str">
        <f>+IF(FromProposal[[#This Row],[Cost Code]]&lt;&gt;0,+'Gnatt Chart'!$A$2,"")</f>
        <v/>
      </c>
      <c r="B30" s="70">
        <v>26</v>
      </c>
      <c r="E30" s="72" t="s">
        <v>837</v>
      </c>
      <c r="F30" s="72">
        <v>1</v>
      </c>
      <c r="G30" s="294">
        <v>0</v>
      </c>
      <c r="H30" s="294">
        <v>0</v>
      </c>
      <c r="I30" s="242"/>
      <c r="J30" s="68"/>
      <c r="K30" s="259"/>
      <c r="L30" s="68"/>
      <c r="M30" s="258"/>
      <c r="N30" s="69"/>
    </row>
    <row r="31" spans="1:14" x14ac:dyDescent="0.25">
      <c r="A31" s="72" t="str">
        <f>+IF(FromProposal[[#This Row],[Cost Code]]&lt;&gt;0,+'Gnatt Chart'!$A$2,"")</f>
        <v/>
      </c>
      <c r="B31" s="70">
        <v>27</v>
      </c>
      <c r="E31" s="72" t="s">
        <v>839</v>
      </c>
      <c r="F31" s="72">
        <v>1</v>
      </c>
      <c r="G31" s="294">
        <v>45</v>
      </c>
      <c r="H31" s="294">
        <v>45</v>
      </c>
      <c r="I31" s="242" t="s">
        <v>32</v>
      </c>
      <c r="J31" s="68"/>
      <c r="K31" s="259"/>
      <c r="L31" s="68"/>
      <c r="M31" s="258"/>
      <c r="N31" s="69"/>
    </row>
    <row r="32" spans="1:14" x14ac:dyDescent="0.25">
      <c r="A32" s="72" t="str">
        <f>+IF(FromProposal[[#This Row],[Cost Code]]&lt;&gt;0,+'Gnatt Chart'!$A$2,"")</f>
        <v/>
      </c>
      <c r="B32" s="70">
        <v>28</v>
      </c>
      <c r="E32" s="72" t="s">
        <v>840</v>
      </c>
      <c r="F32" s="72">
        <v>1</v>
      </c>
      <c r="G32" s="294">
        <v>95</v>
      </c>
      <c r="H32" s="294">
        <v>95</v>
      </c>
      <c r="I32" s="242" t="s">
        <v>32</v>
      </c>
      <c r="J32" s="68"/>
      <c r="K32" s="259"/>
      <c r="L32" s="68"/>
      <c r="M32" s="258"/>
      <c r="N32" s="69"/>
    </row>
    <row r="33" spans="1:14" x14ac:dyDescent="0.25">
      <c r="A33" s="72" t="str">
        <f>+IF(FromProposal[[#This Row],[Cost Code]]&lt;&gt;0,+'Gnatt Chart'!$A$2,"")</f>
        <v/>
      </c>
      <c r="B33" s="70">
        <v>29</v>
      </c>
      <c r="E33" s="72" t="s">
        <v>841</v>
      </c>
      <c r="F33" s="72">
        <v>1</v>
      </c>
      <c r="G33" s="294">
        <v>95</v>
      </c>
      <c r="H33" s="294">
        <v>95</v>
      </c>
      <c r="I33" s="242" t="s">
        <v>32</v>
      </c>
      <c r="J33" s="68"/>
      <c r="K33" s="259"/>
      <c r="L33" s="68"/>
      <c r="M33" s="258"/>
      <c r="N33" s="69"/>
    </row>
    <row r="34" spans="1:14" x14ac:dyDescent="0.25">
      <c r="A34" s="72" t="str">
        <f>+IF(FromProposal[[#This Row],[Cost Code]]&lt;&gt;0,+'Gnatt Chart'!$A$2,"")</f>
        <v/>
      </c>
      <c r="B34" s="70">
        <v>30</v>
      </c>
      <c r="E34" s="72" t="s">
        <v>845</v>
      </c>
      <c r="F34" s="72">
        <v>8</v>
      </c>
      <c r="G34" s="294">
        <v>25</v>
      </c>
      <c r="H34" s="294">
        <v>200</v>
      </c>
      <c r="I34" s="242" t="s">
        <v>32</v>
      </c>
      <c r="J34" s="68"/>
      <c r="K34" s="259"/>
      <c r="L34" s="68"/>
      <c r="M34" s="258"/>
      <c r="N34" s="69"/>
    </row>
    <row r="35" spans="1:14" x14ac:dyDescent="0.25">
      <c r="A35" s="72" t="str">
        <f>+IF(FromProposal[[#This Row],[Cost Code]]&lt;&gt;0,+'Gnatt Chart'!$A$2,"")</f>
        <v/>
      </c>
      <c r="B35" s="70">
        <v>31</v>
      </c>
      <c r="E35" s="72" t="s">
        <v>842</v>
      </c>
      <c r="F35" s="72">
        <v>8</v>
      </c>
      <c r="G35" s="294">
        <v>10</v>
      </c>
      <c r="H35" s="294">
        <v>80</v>
      </c>
      <c r="I35" s="242" t="s">
        <v>32</v>
      </c>
      <c r="J35" s="68"/>
      <c r="K35" s="259"/>
      <c r="L35" s="68"/>
      <c r="M35" s="258"/>
      <c r="N35" s="69"/>
    </row>
    <row r="36" spans="1:14" x14ac:dyDescent="0.25">
      <c r="A36" s="72" t="str">
        <f>+IF(FromProposal[[#This Row],[Cost Code]]&lt;&gt;0,+'Gnatt Chart'!$A$2,"")</f>
        <v/>
      </c>
      <c r="B36" s="70">
        <v>32</v>
      </c>
      <c r="E36" s="72" t="s">
        <v>843</v>
      </c>
      <c r="F36" s="72">
        <v>3</v>
      </c>
      <c r="G36" s="294">
        <v>10</v>
      </c>
      <c r="H36" s="294">
        <v>30</v>
      </c>
      <c r="I36" s="242" t="s">
        <v>32</v>
      </c>
      <c r="J36" s="68"/>
      <c r="K36" s="259"/>
      <c r="L36" s="68"/>
      <c r="M36" s="258"/>
      <c r="N36" s="69"/>
    </row>
    <row r="37" spans="1:14" x14ac:dyDescent="0.25">
      <c r="A37" s="72" t="str">
        <f>+IF(FromProposal[[#This Row],[Cost Code]]&lt;&gt;0,+'Gnatt Chart'!$A$2,"")</f>
        <v/>
      </c>
      <c r="B37" s="70">
        <v>33</v>
      </c>
      <c r="E37" s="72" t="s">
        <v>844</v>
      </c>
      <c r="F37" s="72">
        <v>2</v>
      </c>
      <c r="G37" s="294">
        <v>35</v>
      </c>
      <c r="H37" s="294">
        <v>70</v>
      </c>
      <c r="I37" s="242" t="s">
        <v>32</v>
      </c>
      <c r="J37" s="68"/>
      <c r="K37" s="259"/>
      <c r="L37" s="68"/>
      <c r="M37" s="258"/>
      <c r="N37" s="69"/>
    </row>
    <row r="38" spans="1:14" x14ac:dyDescent="0.25">
      <c r="A38" s="72" t="str">
        <f>+IF(FromProposal[[#This Row],[Cost Code]]&lt;&gt;0,+'Gnatt Chart'!$A$2,"")</f>
        <v/>
      </c>
      <c r="B38" s="70">
        <v>34</v>
      </c>
      <c r="E38" s="72" t="s">
        <v>838</v>
      </c>
      <c r="F38" s="72">
        <v>1</v>
      </c>
      <c r="G38" s="294">
        <v>95</v>
      </c>
      <c r="H38" s="294">
        <v>95</v>
      </c>
      <c r="I38" s="242" t="s">
        <v>32</v>
      </c>
      <c r="J38" s="68"/>
      <c r="K38" s="259"/>
      <c r="L38" s="68"/>
      <c r="M38" s="258"/>
      <c r="N38" s="69"/>
    </row>
    <row r="39" spans="1:14" x14ac:dyDescent="0.25">
      <c r="A39" s="72" t="str">
        <f>+IF(FromProposal[[#This Row],[Cost Code]]&lt;&gt;0,+'Gnatt Chart'!$A$2,"")</f>
        <v/>
      </c>
      <c r="B39" s="70">
        <v>35</v>
      </c>
      <c r="E39" s="72" t="s">
        <v>846</v>
      </c>
      <c r="F39" s="72">
        <v>1</v>
      </c>
      <c r="G39" s="294">
        <v>50</v>
      </c>
      <c r="H39" s="294">
        <v>50</v>
      </c>
      <c r="I39" s="242" t="s">
        <v>32</v>
      </c>
      <c r="J39" s="68"/>
      <c r="K39" s="259"/>
      <c r="L39" s="68"/>
      <c r="M39" s="258"/>
      <c r="N39" s="69"/>
    </row>
    <row r="40" spans="1:14" x14ac:dyDescent="0.25">
      <c r="A40" s="72" t="str">
        <f>+IF(FromProposal[[#This Row],[Cost Code]]&lt;&gt;0,+'Gnatt Chart'!$A$2,"")</f>
        <v/>
      </c>
      <c r="B40" s="70">
        <v>36</v>
      </c>
      <c r="E40" s="72" t="s">
        <v>902</v>
      </c>
      <c r="F40" s="72">
        <v>1</v>
      </c>
      <c r="G40" s="294">
        <v>48</v>
      </c>
      <c r="H40" s="294">
        <v>48</v>
      </c>
      <c r="I40" s="242" t="s">
        <v>32</v>
      </c>
      <c r="J40" s="68"/>
      <c r="K40" s="259"/>
      <c r="L40" s="68"/>
      <c r="M40" s="258"/>
      <c r="N40" s="69"/>
    </row>
    <row r="41" spans="1:14" x14ac:dyDescent="0.25">
      <c r="A41" s="72" t="str">
        <f>+IF(FromProposal[[#This Row],[Cost Code]]&lt;&gt;0,+'Gnatt Chart'!$A$2,"")</f>
        <v/>
      </c>
      <c r="B41" s="70">
        <v>37</v>
      </c>
      <c r="E41" s="72" t="s">
        <v>903</v>
      </c>
      <c r="F41" s="72">
        <v>1</v>
      </c>
      <c r="G41" s="294">
        <v>80</v>
      </c>
      <c r="H41" s="294">
        <v>80</v>
      </c>
      <c r="I41" s="242" t="s">
        <v>32</v>
      </c>
      <c r="J41" s="68"/>
      <c r="K41" s="259"/>
      <c r="L41" s="68"/>
      <c r="M41" s="258"/>
      <c r="N41" s="69"/>
    </row>
    <row r="42" spans="1:14" x14ac:dyDescent="0.25">
      <c r="A42" s="72" t="str">
        <f>+IF(FromProposal[[#This Row],[Cost Code]]&lt;&gt;0,+'Gnatt Chart'!$A$2,"")</f>
        <v/>
      </c>
      <c r="B42" s="70">
        <v>38</v>
      </c>
      <c r="E42" s="72" t="s">
        <v>924</v>
      </c>
      <c r="F42" s="72">
        <v>1</v>
      </c>
      <c r="G42" s="294">
        <v>139.47</v>
      </c>
      <c r="H42" s="294">
        <v>139.47</v>
      </c>
      <c r="I42" s="242" t="s">
        <v>32</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796" t="s">
        <v>219</v>
      </c>
      <c r="K1" s="796"/>
      <c r="L1" s="162"/>
      <c r="M1" s="792" t="s">
        <v>220</v>
      </c>
      <c r="N1" s="793"/>
      <c r="O1" s="272" t="s">
        <v>221</v>
      </c>
    </row>
    <row r="2" spans="1:125" ht="30" customHeight="1" thickBot="1" x14ac:dyDescent="0.35">
      <c r="A2" s="825" t="s">
        <v>492</v>
      </c>
      <c r="B2" s="711"/>
      <c r="C2" s="823" t="str">
        <f>Profit!E1&amp; " Your Home"</f>
        <v xml:space="preserve"> Your Home</v>
      </c>
      <c r="D2" s="824"/>
      <c r="E2" s="171" t="s">
        <v>222</v>
      </c>
      <c r="F2" s="821">
        <f>+MIN(ProposalToGnatt[Start Date])</f>
        <v>45363</v>
      </c>
      <c r="G2" s="822"/>
      <c r="H2" s="799" t="s">
        <v>223</v>
      </c>
      <c r="I2" s="800"/>
      <c r="J2" s="810">
        <f>+SUM(H8:H20)</f>
        <v>20549.104910999999</v>
      </c>
      <c r="K2" s="814"/>
      <c r="L2" s="163"/>
      <c r="M2" s="810">
        <f>+SUM(N8:N20)-SUM(M8:M20)</f>
        <v>0</v>
      </c>
      <c r="N2" s="806"/>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11"/>
      <c r="B3" s="812"/>
      <c r="C3" s="812"/>
      <c r="D3" s="812"/>
      <c r="E3" s="172"/>
      <c r="G3" s="34"/>
      <c r="H3" s="801" t="s">
        <v>224</v>
      </c>
      <c r="I3" s="802"/>
      <c r="J3" s="809">
        <f>SUM(H22:H25)</f>
        <v>0</v>
      </c>
      <c r="K3" s="817"/>
      <c r="L3" s="164"/>
      <c r="M3" s="809">
        <f>+J3-SUM(M22:M25)</f>
        <v>0</v>
      </c>
      <c r="N3" s="806"/>
      <c r="O3" s="274">
        <f>+SUM(H22:H25)-SUM(M22:M25)</f>
        <v>0</v>
      </c>
      <c r="AP3" s="15"/>
      <c r="AQ3" s="15"/>
      <c r="AR3" s="15"/>
    </row>
    <row r="4" spans="1:125" ht="30" customHeight="1" x14ac:dyDescent="0.3">
      <c r="A4" s="811" t="str">
        <f>+Profit!B2</f>
        <v>4121 Tensity Dr</v>
      </c>
      <c r="B4" s="812" t="str">
        <f>+Profit!B2</f>
        <v>4121 Tensity Dr</v>
      </c>
      <c r="C4" s="812"/>
      <c r="D4" s="812"/>
      <c r="E4" s="797" t="s">
        <v>225</v>
      </c>
      <c r="F4" s="798"/>
      <c r="G4" s="76">
        <v>1</v>
      </c>
      <c r="H4" s="803" t="str">
        <f>+A2 &amp; "Total:"</f>
        <v>Tim Flemming Total:</v>
      </c>
      <c r="I4" s="804"/>
      <c r="J4" s="805">
        <f>SUM(ProposalToGnatt[Price])</f>
        <v>4897.5700000000006</v>
      </c>
      <c r="K4" s="818"/>
      <c r="L4" s="165"/>
      <c r="M4" s="805" cm="1">
        <f t="array" ref="M4">+SUM(ProposalToGnatt[Due]-ProposalToGnatt[Paid])</f>
        <v>1.9895196601282805E-13</v>
      </c>
      <c r="N4" s="806"/>
      <c r="O4" s="275">
        <f>+SUM(ProposalToGnatt[Price])-SUM(ProposalToGnatt[Paid])</f>
        <v>0</v>
      </c>
      <c r="AP4" s="15"/>
      <c r="AQ4" s="15"/>
      <c r="AR4" s="15"/>
    </row>
    <row r="5" spans="1:125" ht="18" customHeight="1" thickBot="1" x14ac:dyDescent="0.3">
      <c r="A5" s="166"/>
      <c r="B5" s="167" t="s">
        <v>226</v>
      </c>
      <c r="C5" s="168"/>
      <c r="D5" s="169"/>
      <c r="E5" s="815" t="s">
        <v>227</v>
      </c>
      <c r="F5" s="816"/>
      <c r="G5" s="170">
        <v>2</v>
      </c>
      <c r="H5" s="813" t="s">
        <v>228</v>
      </c>
      <c r="I5" s="813"/>
      <c r="J5" s="819">
        <f>+SUM(J2:K4)</f>
        <v>25446.674910999998</v>
      </c>
      <c r="K5" s="820"/>
      <c r="L5" s="24"/>
      <c r="M5" s="807">
        <f>+SUM(M2:M4)</f>
        <v>1.9895196601282805E-13</v>
      </c>
      <c r="N5" s="808"/>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229</v>
      </c>
      <c r="B7" s="78" t="s">
        <v>230</v>
      </c>
      <c r="C7" s="79" t="s">
        <v>210</v>
      </c>
      <c r="D7" s="77" t="s">
        <v>211</v>
      </c>
      <c r="E7" s="77" t="s">
        <v>212</v>
      </c>
      <c r="F7" s="77" t="s">
        <v>183</v>
      </c>
      <c r="G7" s="81" t="s">
        <v>184</v>
      </c>
      <c r="H7" s="81" t="s">
        <v>213</v>
      </c>
      <c r="I7" s="77" t="s">
        <v>214</v>
      </c>
      <c r="J7" s="77" t="s">
        <v>215</v>
      </c>
      <c r="K7" s="82" t="s">
        <v>216</v>
      </c>
      <c r="L7" s="77" t="s">
        <v>217</v>
      </c>
      <c r="M7" s="77" t="s">
        <v>218</v>
      </c>
      <c r="N7" s="77" t="s">
        <v>220</v>
      </c>
      <c r="O7" s="77" t="s">
        <v>138</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231</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232</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233</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234</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235</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236</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237</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238</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482</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239</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240</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241</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243</v>
      </c>
      <c r="B22" s="96">
        <f>+B20+1</f>
        <v>13</v>
      </c>
      <c r="C22" s="97"/>
      <c r="D22" s="98"/>
      <c r="E22" s="99" t="s">
        <v>244</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794" t="s">
        <v>245</v>
      </c>
      <c r="AB22" s="795"/>
      <c r="AC22" s="795"/>
      <c r="AD22" s="795"/>
      <c r="AE22" s="795"/>
      <c r="AF22" s="795"/>
      <c r="AG22" s="795"/>
      <c r="AH22" s="795"/>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243</v>
      </c>
      <c r="B23" s="96">
        <f>+B22+1</f>
        <v>14</v>
      </c>
      <c r="C23" s="97"/>
      <c r="D23" s="98"/>
      <c r="E23" s="99" t="s">
        <v>244</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795"/>
      <c r="AB23" s="795"/>
      <c r="AC23" s="795"/>
      <c r="AD23" s="795"/>
      <c r="AE23" s="795"/>
      <c r="AF23" s="795"/>
      <c r="AG23" s="795"/>
      <c r="AH23" s="795"/>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246</v>
      </c>
      <c r="B24" s="96">
        <f>+B23+1</f>
        <v>15</v>
      </c>
      <c r="C24" s="97"/>
      <c r="D24" s="98"/>
      <c r="E24" s="99" t="s">
        <v>247</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246</v>
      </c>
      <c r="B25" s="96">
        <f>+B24+1</f>
        <v>16</v>
      </c>
      <c r="C25" s="97"/>
      <c r="D25" s="98"/>
      <c r="E25" s="99" t="s">
        <v>248</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208</v>
      </c>
      <c r="B27" s="257" t="s">
        <v>209</v>
      </c>
      <c r="C27" s="257" t="s">
        <v>210</v>
      </c>
      <c r="D27" s="257" t="s">
        <v>211</v>
      </c>
      <c r="E27" s="257" t="s">
        <v>212</v>
      </c>
      <c r="F27" s="257" t="s">
        <v>183</v>
      </c>
      <c r="G27" s="276" t="s">
        <v>184</v>
      </c>
      <c r="H27" s="276" t="s">
        <v>213</v>
      </c>
      <c r="I27" s="257" t="s">
        <v>214</v>
      </c>
      <c r="J27" s="257" t="s">
        <v>215</v>
      </c>
      <c r="K27" s="277" t="s">
        <v>216</v>
      </c>
      <c r="L27" s="257" t="s">
        <v>217</v>
      </c>
      <c r="M27" s="257" t="s">
        <v>218</v>
      </c>
      <c r="N27" s="22" t="s">
        <v>220</v>
      </c>
      <c r="O27" s="22" t="s">
        <v>138</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492</v>
      </c>
      <c r="B28">
        <v>1</v>
      </c>
      <c r="C28" t="s">
        <v>185</v>
      </c>
      <c r="D28" t="s">
        <v>185</v>
      </c>
      <c r="E28" t="s">
        <v>186</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492</v>
      </c>
      <c r="B29">
        <v>2</v>
      </c>
      <c r="C29" t="s">
        <v>187</v>
      </c>
      <c r="D29" t="s">
        <v>188</v>
      </c>
      <c r="E29" t="s">
        <v>189</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492</v>
      </c>
      <c r="B30">
        <v>3</v>
      </c>
      <c r="C30" t="s">
        <v>187</v>
      </c>
      <c r="D30" t="s">
        <v>190</v>
      </c>
      <c r="E30" t="s">
        <v>190</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249</v>
      </c>
      <c r="B31">
        <v>4</v>
      </c>
      <c r="C31"/>
      <c r="D31" t="s">
        <v>191</v>
      </c>
      <c r="E31" t="s">
        <v>192</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492</v>
      </c>
      <c r="B32">
        <v>5</v>
      </c>
      <c r="C32" t="s">
        <v>193</v>
      </c>
      <c r="D32" t="s">
        <v>194</v>
      </c>
      <c r="E32" t="s">
        <v>498</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492</v>
      </c>
      <c r="B33">
        <v>6</v>
      </c>
      <c r="C33" t="s">
        <v>195</v>
      </c>
      <c r="D33" t="s">
        <v>194</v>
      </c>
      <c r="E33" t="s">
        <v>493</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492</v>
      </c>
      <c r="B34">
        <v>7</v>
      </c>
      <c r="C34" t="s">
        <v>196</v>
      </c>
      <c r="D34" t="s">
        <v>194</v>
      </c>
      <c r="E34" t="s">
        <v>494</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492</v>
      </c>
      <c r="B35">
        <v>8</v>
      </c>
      <c r="C35" t="s">
        <v>198</v>
      </c>
      <c r="D35" t="s">
        <v>194</v>
      </c>
      <c r="E35" t="s">
        <v>495</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492</v>
      </c>
      <c r="B36">
        <v>9</v>
      </c>
      <c r="C36" t="s">
        <v>199</v>
      </c>
      <c r="D36" t="s">
        <v>194</v>
      </c>
      <c r="E36" t="s">
        <v>496</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249</v>
      </c>
      <c r="B37">
        <v>10</v>
      </c>
      <c r="C37"/>
      <c r="D37"/>
      <c r="E37" t="s">
        <v>823</v>
      </c>
      <c r="F37">
        <v>1</v>
      </c>
      <c r="G37" s="14">
        <v>155</v>
      </c>
      <c r="H37" s="14">
        <v>155</v>
      </c>
      <c r="I37" t="s">
        <v>32</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249</v>
      </c>
      <c r="B38">
        <v>11</v>
      </c>
      <c r="C38"/>
      <c r="D38"/>
      <c r="E38" t="s">
        <v>822</v>
      </c>
      <c r="F38">
        <v>1</v>
      </c>
      <c r="G38" s="14">
        <v>45</v>
      </c>
      <c r="H38" s="14">
        <v>45</v>
      </c>
      <c r="I38" t="s">
        <v>32</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249</v>
      </c>
      <c r="B39">
        <v>12</v>
      </c>
      <c r="C39"/>
      <c r="D39"/>
      <c r="E39" t="s">
        <v>836</v>
      </c>
      <c r="F39">
        <v>1</v>
      </c>
      <c r="G39" s="14">
        <v>25</v>
      </c>
      <c r="H39" s="14">
        <v>25</v>
      </c>
      <c r="I39" t="s">
        <v>32</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249</v>
      </c>
      <c r="B40">
        <v>13</v>
      </c>
      <c r="C40"/>
      <c r="D40"/>
      <c r="E40" t="s">
        <v>824</v>
      </c>
      <c r="F40">
        <v>1</v>
      </c>
      <c r="G40" s="14">
        <v>85</v>
      </c>
      <c r="H40" s="14">
        <v>85</v>
      </c>
      <c r="I40" t="s">
        <v>32</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249</v>
      </c>
      <c r="B41">
        <v>14</v>
      </c>
      <c r="C41"/>
      <c r="D41"/>
      <c r="E41" t="s">
        <v>825</v>
      </c>
      <c r="F41">
        <v>1</v>
      </c>
      <c r="G41" s="14">
        <v>25</v>
      </c>
      <c r="H41" s="14">
        <v>25</v>
      </c>
      <c r="I41" t="s">
        <v>32</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249</v>
      </c>
      <c r="B42">
        <v>15</v>
      </c>
      <c r="C42"/>
      <c r="D42"/>
      <c r="E42" t="s">
        <v>826</v>
      </c>
      <c r="F42">
        <v>2</v>
      </c>
      <c r="G42" s="14">
        <v>35</v>
      </c>
      <c r="H42" s="14">
        <v>70</v>
      </c>
      <c r="I42" t="s">
        <v>32</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249</v>
      </c>
      <c r="B43">
        <v>16</v>
      </c>
      <c r="C43"/>
      <c r="D43"/>
      <c r="E43" t="s">
        <v>827</v>
      </c>
      <c r="F43">
        <v>1</v>
      </c>
      <c r="G43" s="14">
        <v>350</v>
      </c>
      <c r="H43" s="14">
        <v>350</v>
      </c>
      <c r="I43" t="s">
        <v>32</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249</v>
      </c>
      <c r="B44">
        <v>17</v>
      </c>
      <c r="C44"/>
      <c r="D44"/>
      <c r="E44" t="s">
        <v>828</v>
      </c>
      <c r="F44">
        <v>1</v>
      </c>
      <c r="G44" s="14">
        <v>1200</v>
      </c>
      <c r="H44" s="14">
        <v>1200</v>
      </c>
      <c r="I44" t="s">
        <v>32</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249</v>
      </c>
      <c r="B45">
        <v>18</v>
      </c>
      <c r="C45"/>
      <c r="D45"/>
      <c r="E45" t="s">
        <v>829</v>
      </c>
      <c r="F45">
        <v>1</v>
      </c>
      <c r="G45" s="14">
        <v>110</v>
      </c>
      <c r="H45" s="14">
        <v>110</v>
      </c>
      <c r="I45" t="s">
        <v>32</v>
      </c>
      <c r="J45"/>
      <c r="K45" s="245"/>
      <c r="L45"/>
      <c r="M45" s="14"/>
      <c r="N45" s="297">
        <v>110</v>
      </c>
      <c r="O45" s="279" t="s">
        <v>524</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249</v>
      </c>
      <c r="B46">
        <v>19</v>
      </c>
      <c r="C46"/>
      <c r="D46"/>
      <c r="E46" t="s">
        <v>830</v>
      </c>
      <c r="F46">
        <v>1</v>
      </c>
      <c r="G46" s="14">
        <v>215</v>
      </c>
      <c r="H46" s="14">
        <v>215</v>
      </c>
      <c r="I46" t="s">
        <v>32</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249</v>
      </c>
      <c r="B47">
        <v>20</v>
      </c>
      <c r="C47"/>
      <c r="D47"/>
      <c r="E47" t="s">
        <v>831</v>
      </c>
      <c r="F47">
        <v>1</v>
      </c>
      <c r="G47" s="14">
        <v>1300.0999999999999</v>
      </c>
      <c r="H47" s="14">
        <v>1300.0999999999999</v>
      </c>
      <c r="I47" t="s">
        <v>32</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249</v>
      </c>
      <c r="B48">
        <v>21</v>
      </c>
      <c r="C48"/>
      <c r="D48"/>
      <c r="E48" t="s">
        <v>832</v>
      </c>
      <c r="F48">
        <v>1</v>
      </c>
      <c r="G48" s="14">
        <v>95</v>
      </c>
      <c r="H48" s="14">
        <v>95</v>
      </c>
      <c r="I48" t="s">
        <v>32</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249</v>
      </c>
      <c r="B49">
        <v>22</v>
      </c>
      <c r="C49"/>
      <c r="D49"/>
      <c r="E49" t="s">
        <v>833</v>
      </c>
      <c r="F49">
        <v>1</v>
      </c>
      <c r="G49" s="14">
        <v>65</v>
      </c>
      <c r="H49" s="14">
        <v>65</v>
      </c>
      <c r="I49" t="s">
        <v>32</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249</v>
      </c>
      <c r="B50">
        <v>23</v>
      </c>
      <c r="C50"/>
      <c r="D50"/>
      <c r="E50" t="s">
        <v>834</v>
      </c>
      <c r="F50">
        <v>1</v>
      </c>
      <c r="G50" s="14">
        <v>95</v>
      </c>
      <c r="H50" s="14">
        <v>95</v>
      </c>
      <c r="I50" t="s">
        <v>32</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249</v>
      </c>
      <c r="B51">
        <v>24</v>
      </c>
      <c r="C51"/>
      <c r="D51"/>
      <c r="E51" t="s">
        <v>835</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249</v>
      </c>
      <c r="B52">
        <v>25</v>
      </c>
      <c r="C52"/>
      <c r="D52"/>
      <c r="E52" t="s">
        <v>826</v>
      </c>
      <c r="F52">
        <v>1</v>
      </c>
      <c r="G52" s="14">
        <v>35</v>
      </c>
      <c r="H52" s="14">
        <v>35</v>
      </c>
      <c r="I52" t="s">
        <v>32</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249</v>
      </c>
      <c r="B53">
        <v>26</v>
      </c>
      <c r="C53"/>
      <c r="D53"/>
      <c r="E53" t="s">
        <v>837</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249</v>
      </c>
      <c r="B54">
        <v>27</v>
      </c>
      <c r="C54"/>
      <c r="D54"/>
      <c r="E54" t="s">
        <v>839</v>
      </c>
      <c r="F54">
        <v>1</v>
      </c>
      <c r="G54" s="14">
        <v>45</v>
      </c>
      <c r="H54" s="14">
        <v>45</v>
      </c>
      <c r="I54" t="s">
        <v>32</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249</v>
      </c>
      <c r="B55">
        <v>28</v>
      </c>
      <c r="C55"/>
      <c r="D55"/>
      <c r="E55" t="s">
        <v>840</v>
      </c>
      <c r="F55">
        <v>1</v>
      </c>
      <c r="G55" s="14">
        <v>95</v>
      </c>
      <c r="H55" s="14">
        <v>95</v>
      </c>
      <c r="I55" t="s">
        <v>32</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249</v>
      </c>
      <c r="B56">
        <v>29</v>
      </c>
      <c r="C56"/>
      <c r="D56"/>
      <c r="E56" t="s">
        <v>841</v>
      </c>
      <c r="F56">
        <v>1</v>
      </c>
      <c r="G56" s="14">
        <v>95</v>
      </c>
      <c r="H56" s="14">
        <v>95</v>
      </c>
      <c r="I56" t="s">
        <v>32</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249</v>
      </c>
      <c r="B57">
        <v>30</v>
      </c>
      <c r="C57"/>
      <c r="D57"/>
      <c r="E57" t="s">
        <v>845</v>
      </c>
      <c r="F57">
        <v>8</v>
      </c>
      <c r="G57" s="14">
        <v>25</v>
      </c>
      <c r="H57" s="14">
        <v>200</v>
      </c>
      <c r="I57" t="s">
        <v>32</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249</v>
      </c>
      <c r="B58">
        <v>31</v>
      </c>
      <c r="C58"/>
      <c r="D58"/>
      <c r="E58" t="s">
        <v>842</v>
      </c>
      <c r="F58">
        <v>8</v>
      </c>
      <c r="G58" s="14">
        <v>10</v>
      </c>
      <c r="H58" s="14">
        <v>80</v>
      </c>
      <c r="I58" t="s">
        <v>32</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249</v>
      </c>
      <c r="B59">
        <v>32</v>
      </c>
      <c r="C59"/>
      <c r="D59"/>
      <c r="E59" t="s">
        <v>843</v>
      </c>
      <c r="F59">
        <v>3</v>
      </c>
      <c r="G59" s="14">
        <v>10</v>
      </c>
      <c r="H59" s="14">
        <v>30</v>
      </c>
      <c r="I59" t="s">
        <v>32</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249</v>
      </c>
      <c r="B60">
        <v>33</v>
      </c>
      <c r="C60"/>
      <c r="D60"/>
      <c r="E60" t="s">
        <v>844</v>
      </c>
      <c r="F60">
        <v>2</v>
      </c>
      <c r="G60" s="14">
        <v>35</v>
      </c>
      <c r="H60" s="14">
        <v>70</v>
      </c>
      <c r="I60" t="s">
        <v>32</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249</v>
      </c>
      <c r="B61">
        <v>34</v>
      </c>
      <c r="C61"/>
      <c r="D61"/>
      <c r="E61" t="s">
        <v>838</v>
      </c>
      <c r="F61">
        <v>1</v>
      </c>
      <c r="G61" s="14">
        <v>95</v>
      </c>
      <c r="H61" s="14">
        <v>95</v>
      </c>
      <c r="I61" t="s">
        <v>32</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249</v>
      </c>
      <c r="B62">
        <v>35</v>
      </c>
      <c r="C62"/>
      <c r="D62"/>
      <c r="E62" t="s">
        <v>846</v>
      </c>
      <c r="F62">
        <v>1</v>
      </c>
      <c r="G62" s="14">
        <v>50</v>
      </c>
      <c r="H62" s="14">
        <v>50</v>
      </c>
      <c r="I62" t="s">
        <v>32</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249</v>
      </c>
      <c r="B63">
        <v>36</v>
      </c>
      <c r="C63"/>
      <c r="D63"/>
      <c r="E63" t="s">
        <v>902</v>
      </c>
      <c r="F63">
        <v>1</v>
      </c>
      <c r="G63" s="14">
        <v>48</v>
      </c>
      <c r="H63" s="14">
        <v>48</v>
      </c>
      <c r="I63" t="s">
        <v>32</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249</v>
      </c>
      <c r="B64">
        <v>37</v>
      </c>
      <c r="C64"/>
      <c r="D64"/>
      <c r="E64" t="s">
        <v>903</v>
      </c>
      <c r="F64">
        <v>1</v>
      </c>
      <c r="G64" s="14">
        <v>80</v>
      </c>
      <c r="H64" s="14">
        <v>80</v>
      </c>
      <c r="I64" t="s">
        <v>32</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249</v>
      </c>
      <c r="B65">
        <v>38</v>
      </c>
      <c r="C65"/>
      <c r="D65"/>
      <c r="E65" t="s">
        <v>924</v>
      </c>
      <c r="F65">
        <v>1</v>
      </c>
      <c r="G65" s="14">
        <v>139.47</v>
      </c>
      <c r="H65" s="14">
        <v>139.47</v>
      </c>
      <c r="I65" t="s">
        <v>32</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249</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249</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249</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249</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249</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249</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919</v>
      </c>
      <c r="D1" s="104"/>
      <c r="E1" s="104"/>
      <c r="F1" s="104"/>
      <c r="G1" s="104"/>
      <c r="H1" s="104"/>
    </row>
    <row r="2" spans="1:8" ht="30" x14ac:dyDescent="0.25">
      <c r="A2" s="257" t="s">
        <v>208</v>
      </c>
      <c r="B2" s="257" t="s">
        <v>209</v>
      </c>
      <c r="C2" s="257" t="s">
        <v>212</v>
      </c>
      <c r="D2" s="257" t="s">
        <v>183</v>
      </c>
      <c r="E2" s="276" t="s">
        <v>184</v>
      </c>
      <c r="F2" s="276" t="s">
        <v>213</v>
      </c>
      <c r="G2" s="257" t="s">
        <v>214</v>
      </c>
      <c r="H2" s="22" t="s">
        <v>220</v>
      </c>
    </row>
    <row r="3" spans="1:8" x14ac:dyDescent="0.25">
      <c r="A3" t="s">
        <v>492</v>
      </c>
      <c r="B3">
        <v>1</v>
      </c>
      <c r="C3" t="s">
        <v>186</v>
      </c>
      <c r="D3">
        <v>0</v>
      </c>
      <c r="E3" s="14"/>
      <c r="F3" s="14"/>
      <c r="H3" s="297"/>
    </row>
    <row r="4" spans="1:8" x14ac:dyDescent="0.25">
      <c r="A4" t="s">
        <v>492</v>
      </c>
      <c r="B4">
        <v>2</v>
      </c>
      <c r="C4" t="s">
        <v>189</v>
      </c>
      <c r="D4">
        <v>0</v>
      </c>
      <c r="E4" s="14"/>
      <c r="F4" s="14"/>
      <c r="H4" s="297"/>
    </row>
    <row r="5" spans="1:8" x14ac:dyDescent="0.25">
      <c r="A5" t="s">
        <v>492</v>
      </c>
      <c r="B5">
        <v>3</v>
      </c>
      <c r="C5" t="s">
        <v>190</v>
      </c>
      <c r="D5">
        <v>0</v>
      </c>
      <c r="E5" s="14"/>
      <c r="F5" s="14"/>
      <c r="H5" s="297"/>
    </row>
    <row r="6" spans="1:8" x14ac:dyDescent="0.25">
      <c r="A6" t="s">
        <v>249</v>
      </c>
      <c r="B6">
        <v>4</v>
      </c>
      <c r="C6" t="s">
        <v>192</v>
      </c>
      <c r="D6">
        <v>6</v>
      </c>
      <c r="E6" s="14"/>
      <c r="F6" s="14"/>
      <c r="H6" s="297"/>
    </row>
    <row r="7" spans="1:8" x14ac:dyDescent="0.25">
      <c r="A7" t="s">
        <v>492</v>
      </c>
      <c r="B7">
        <v>5</v>
      </c>
      <c r="C7" t="s">
        <v>498</v>
      </c>
      <c r="D7">
        <v>0</v>
      </c>
      <c r="E7" s="14">
        <v>0</v>
      </c>
      <c r="F7" s="14">
        <v>0</v>
      </c>
      <c r="H7" s="297"/>
    </row>
    <row r="8" spans="1:8" x14ac:dyDescent="0.25">
      <c r="A8" t="s">
        <v>492</v>
      </c>
      <c r="B8">
        <v>6</v>
      </c>
      <c r="C8" t="s">
        <v>493</v>
      </c>
      <c r="D8">
        <v>0</v>
      </c>
      <c r="E8" s="14">
        <v>0</v>
      </c>
      <c r="F8" s="14">
        <v>0</v>
      </c>
      <c r="H8" s="297"/>
    </row>
    <row r="9" spans="1:8" x14ac:dyDescent="0.25">
      <c r="A9" t="s">
        <v>492</v>
      </c>
      <c r="B9">
        <v>7</v>
      </c>
      <c r="C9" t="s">
        <v>494</v>
      </c>
      <c r="D9">
        <v>0</v>
      </c>
      <c r="E9" s="14">
        <v>0</v>
      </c>
      <c r="F9" s="14">
        <v>0</v>
      </c>
      <c r="H9" s="297"/>
    </row>
    <row r="10" spans="1:8" x14ac:dyDescent="0.25">
      <c r="A10" t="s">
        <v>492</v>
      </c>
      <c r="B10">
        <v>8</v>
      </c>
      <c r="C10" t="s">
        <v>495</v>
      </c>
      <c r="D10">
        <v>0</v>
      </c>
      <c r="E10" s="14">
        <v>0</v>
      </c>
      <c r="F10" s="14">
        <v>0</v>
      </c>
      <c r="H10" s="297"/>
    </row>
    <row r="11" spans="1:8" x14ac:dyDescent="0.25">
      <c r="A11" t="s">
        <v>492</v>
      </c>
      <c r="B11">
        <v>9</v>
      </c>
      <c r="C11" t="s">
        <v>496</v>
      </c>
      <c r="D11">
        <v>0</v>
      </c>
      <c r="E11" s="14">
        <v>0</v>
      </c>
      <c r="F11" s="14">
        <v>0</v>
      </c>
      <c r="H11" s="297"/>
    </row>
    <row r="12" spans="1:8" x14ac:dyDescent="0.25">
      <c r="A12" t="s">
        <v>249</v>
      </c>
      <c r="B12">
        <v>10</v>
      </c>
      <c r="C12" t="s">
        <v>823</v>
      </c>
      <c r="D12">
        <v>1</v>
      </c>
      <c r="E12" s="14">
        <v>155</v>
      </c>
      <c r="F12" s="14">
        <v>155</v>
      </c>
      <c r="G12" t="s">
        <v>32</v>
      </c>
      <c r="H12" s="297">
        <v>155</v>
      </c>
    </row>
    <row r="13" spans="1:8" x14ac:dyDescent="0.25">
      <c r="A13" t="s">
        <v>249</v>
      </c>
      <c r="B13">
        <v>11</v>
      </c>
      <c r="C13" t="s">
        <v>822</v>
      </c>
      <c r="D13">
        <v>1</v>
      </c>
      <c r="E13" s="14">
        <v>45</v>
      </c>
      <c r="F13" s="14">
        <v>45</v>
      </c>
      <c r="G13" t="s">
        <v>32</v>
      </c>
      <c r="H13" s="297">
        <v>45</v>
      </c>
    </row>
    <row r="14" spans="1:8" x14ac:dyDescent="0.25">
      <c r="A14" t="s">
        <v>249</v>
      </c>
      <c r="B14">
        <v>12</v>
      </c>
      <c r="C14" t="s">
        <v>836</v>
      </c>
      <c r="D14">
        <v>1</v>
      </c>
      <c r="E14" s="14">
        <v>25</v>
      </c>
      <c r="F14" s="14">
        <v>25</v>
      </c>
      <c r="G14" t="s">
        <v>32</v>
      </c>
      <c r="H14" s="297">
        <v>25</v>
      </c>
    </row>
    <row r="15" spans="1:8" x14ac:dyDescent="0.25">
      <c r="A15" t="s">
        <v>249</v>
      </c>
      <c r="B15">
        <v>13</v>
      </c>
      <c r="C15" t="s">
        <v>824</v>
      </c>
      <c r="D15">
        <v>1</v>
      </c>
      <c r="E15" s="14">
        <v>85</v>
      </c>
      <c r="F15" s="14">
        <v>85</v>
      </c>
      <c r="G15" t="s">
        <v>32</v>
      </c>
      <c r="H15" s="297">
        <v>85</v>
      </c>
    </row>
    <row r="16" spans="1:8" x14ac:dyDescent="0.25">
      <c r="A16" t="s">
        <v>249</v>
      </c>
      <c r="B16">
        <v>14</v>
      </c>
      <c r="C16" t="s">
        <v>825</v>
      </c>
      <c r="D16">
        <v>1</v>
      </c>
      <c r="E16" s="14">
        <v>25</v>
      </c>
      <c r="F16" s="14">
        <v>25</v>
      </c>
      <c r="G16" t="s">
        <v>32</v>
      </c>
      <c r="H16" s="297">
        <v>25</v>
      </c>
    </row>
    <row r="17" spans="1:8" x14ac:dyDescent="0.25">
      <c r="A17" t="s">
        <v>249</v>
      </c>
      <c r="B17">
        <v>15</v>
      </c>
      <c r="C17" t="s">
        <v>826</v>
      </c>
      <c r="D17">
        <v>2</v>
      </c>
      <c r="E17" s="14">
        <v>35</v>
      </c>
      <c r="F17" s="14">
        <v>70</v>
      </c>
      <c r="G17" t="s">
        <v>32</v>
      </c>
      <c r="H17" s="297">
        <v>70</v>
      </c>
    </row>
    <row r="18" spans="1:8" x14ac:dyDescent="0.25">
      <c r="A18" t="s">
        <v>249</v>
      </c>
      <c r="B18">
        <v>16</v>
      </c>
      <c r="C18" t="s">
        <v>827</v>
      </c>
      <c r="D18">
        <v>1</v>
      </c>
      <c r="E18" s="14">
        <v>350</v>
      </c>
      <c r="F18" s="14">
        <v>350</v>
      </c>
      <c r="G18" t="s">
        <v>32</v>
      </c>
      <c r="H18" s="297">
        <v>350</v>
      </c>
    </row>
    <row r="19" spans="1:8" x14ac:dyDescent="0.25">
      <c r="A19" t="s">
        <v>249</v>
      </c>
      <c r="B19">
        <v>17</v>
      </c>
      <c r="C19" t="s">
        <v>828</v>
      </c>
      <c r="D19">
        <v>1</v>
      </c>
      <c r="E19" s="14">
        <v>1200</v>
      </c>
      <c r="F19" s="14">
        <v>1200</v>
      </c>
      <c r="G19" t="s">
        <v>32</v>
      </c>
      <c r="H19" s="297">
        <v>1200</v>
      </c>
    </row>
    <row r="20" spans="1:8" x14ac:dyDescent="0.25">
      <c r="A20" t="s">
        <v>249</v>
      </c>
      <c r="B20">
        <v>18</v>
      </c>
      <c r="C20" t="s">
        <v>829</v>
      </c>
      <c r="D20">
        <v>1</v>
      </c>
      <c r="E20" s="14">
        <v>110</v>
      </c>
      <c r="F20" s="14">
        <v>110</v>
      </c>
      <c r="G20" t="s">
        <v>32</v>
      </c>
      <c r="H20" s="297">
        <v>110</v>
      </c>
    </row>
    <row r="21" spans="1:8" x14ac:dyDescent="0.25">
      <c r="A21" t="s">
        <v>249</v>
      </c>
      <c r="B21">
        <v>19</v>
      </c>
      <c r="C21" t="s">
        <v>830</v>
      </c>
      <c r="D21">
        <v>1</v>
      </c>
      <c r="E21" s="14">
        <v>215</v>
      </c>
      <c r="F21" s="14">
        <v>215</v>
      </c>
      <c r="G21" t="s">
        <v>32</v>
      </c>
      <c r="H21" s="297">
        <v>215</v>
      </c>
    </row>
    <row r="22" spans="1:8" x14ac:dyDescent="0.25">
      <c r="A22" t="s">
        <v>249</v>
      </c>
      <c r="B22">
        <v>20</v>
      </c>
      <c r="C22" t="s">
        <v>831</v>
      </c>
      <c r="D22">
        <v>1</v>
      </c>
      <c r="E22" s="14">
        <v>1300.0999999999999</v>
      </c>
      <c r="F22" s="14">
        <v>1300.0999999999999</v>
      </c>
      <c r="G22" t="s">
        <v>32</v>
      </c>
      <c r="H22" s="297">
        <v>1300.0999999999999</v>
      </c>
    </row>
    <row r="23" spans="1:8" x14ac:dyDescent="0.25">
      <c r="A23" t="s">
        <v>249</v>
      </c>
      <c r="B23">
        <v>21</v>
      </c>
      <c r="C23" t="s">
        <v>832</v>
      </c>
      <c r="D23">
        <v>1</v>
      </c>
      <c r="E23" s="14">
        <v>95</v>
      </c>
      <c r="F23" s="14">
        <v>95</v>
      </c>
      <c r="G23" t="s">
        <v>32</v>
      </c>
      <c r="H23" s="297">
        <v>95</v>
      </c>
    </row>
    <row r="24" spans="1:8" x14ac:dyDescent="0.25">
      <c r="A24" t="s">
        <v>249</v>
      </c>
      <c r="B24">
        <v>22</v>
      </c>
      <c r="C24" t="s">
        <v>833</v>
      </c>
      <c r="D24">
        <v>1</v>
      </c>
      <c r="E24" s="14">
        <v>65</v>
      </c>
      <c r="F24" s="14">
        <v>65</v>
      </c>
      <c r="G24" t="s">
        <v>32</v>
      </c>
      <c r="H24" s="297">
        <v>65</v>
      </c>
    </row>
    <row r="25" spans="1:8" x14ac:dyDescent="0.25">
      <c r="A25" t="s">
        <v>249</v>
      </c>
      <c r="B25">
        <v>23</v>
      </c>
      <c r="C25" t="s">
        <v>834</v>
      </c>
      <c r="D25">
        <v>1</v>
      </c>
      <c r="E25" s="14">
        <v>95</v>
      </c>
      <c r="F25" s="14">
        <v>95</v>
      </c>
      <c r="G25" t="s">
        <v>32</v>
      </c>
      <c r="H25" s="297">
        <v>95</v>
      </c>
    </row>
    <row r="26" spans="1:8" x14ac:dyDescent="0.25">
      <c r="A26" t="s">
        <v>249</v>
      </c>
      <c r="B26">
        <v>24</v>
      </c>
      <c r="C26" t="s">
        <v>835</v>
      </c>
      <c r="D26">
        <v>0</v>
      </c>
      <c r="E26" s="14">
        <v>95</v>
      </c>
      <c r="F26" s="14">
        <v>0</v>
      </c>
      <c r="H26" s="297"/>
    </row>
    <row r="27" spans="1:8" x14ac:dyDescent="0.25">
      <c r="A27" t="s">
        <v>249</v>
      </c>
      <c r="B27">
        <v>25</v>
      </c>
      <c r="C27" t="s">
        <v>826</v>
      </c>
      <c r="D27">
        <v>1</v>
      </c>
      <c r="E27" s="14">
        <v>35</v>
      </c>
      <c r="F27" s="14">
        <v>35</v>
      </c>
      <c r="G27" t="s">
        <v>32</v>
      </c>
      <c r="H27" s="297">
        <v>35</v>
      </c>
    </row>
    <row r="28" spans="1:8" x14ac:dyDescent="0.25">
      <c r="A28" t="s">
        <v>249</v>
      </c>
      <c r="B28">
        <v>26</v>
      </c>
      <c r="C28" t="s">
        <v>837</v>
      </c>
      <c r="D28">
        <v>1</v>
      </c>
      <c r="E28" s="14">
        <v>0</v>
      </c>
      <c r="F28" s="14">
        <v>0</v>
      </c>
      <c r="H28" s="297"/>
    </row>
    <row r="29" spans="1:8" x14ac:dyDescent="0.25">
      <c r="A29" t="s">
        <v>249</v>
      </c>
      <c r="B29">
        <v>27</v>
      </c>
      <c r="C29" t="s">
        <v>839</v>
      </c>
      <c r="D29">
        <v>1</v>
      </c>
      <c r="E29" s="14">
        <v>45</v>
      </c>
      <c r="F29" s="14">
        <v>45</v>
      </c>
      <c r="G29" t="s">
        <v>32</v>
      </c>
      <c r="H29" s="297">
        <v>45</v>
      </c>
    </row>
    <row r="30" spans="1:8" x14ac:dyDescent="0.25">
      <c r="A30" t="s">
        <v>249</v>
      </c>
      <c r="B30">
        <v>28</v>
      </c>
      <c r="C30" t="s">
        <v>840</v>
      </c>
      <c r="D30">
        <v>1</v>
      </c>
      <c r="E30" s="14">
        <v>95</v>
      </c>
      <c r="F30" s="14">
        <v>95</v>
      </c>
      <c r="G30" t="s">
        <v>32</v>
      </c>
      <c r="H30" s="297">
        <v>95</v>
      </c>
    </row>
    <row r="31" spans="1:8" x14ac:dyDescent="0.25">
      <c r="A31" t="s">
        <v>249</v>
      </c>
      <c r="B31">
        <v>29</v>
      </c>
      <c r="C31" t="s">
        <v>841</v>
      </c>
      <c r="D31">
        <v>1</v>
      </c>
      <c r="E31" s="14">
        <v>95</v>
      </c>
      <c r="F31" s="14">
        <v>95</v>
      </c>
      <c r="G31" t="s">
        <v>32</v>
      </c>
      <c r="H31" s="297">
        <v>95</v>
      </c>
    </row>
    <row r="32" spans="1:8" x14ac:dyDescent="0.25">
      <c r="A32" t="s">
        <v>249</v>
      </c>
      <c r="B32">
        <v>30</v>
      </c>
      <c r="C32" t="s">
        <v>845</v>
      </c>
      <c r="D32">
        <v>8</v>
      </c>
      <c r="E32" s="14">
        <v>25</v>
      </c>
      <c r="F32" s="14">
        <v>200</v>
      </c>
      <c r="G32" t="s">
        <v>32</v>
      </c>
      <c r="H32" s="297">
        <v>200</v>
      </c>
    </row>
    <row r="33" spans="1:8" x14ac:dyDescent="0.25">
      <c r="A33" t="s">
        <v>249</v>
      </c>
      <c r="B33">
        <v>31</v>
      </c>
      <c r="C33" t="s">
        <v>842</v>
      </c>
      <c r="D33">
        <v>8</v>
      </c>
      <c r="E33" s="14">
        <v>10</v>
      </c>
      <c r="F33" s="14">
        <v>80</v>
      </c>
      <c r="G33" t="s">
        <v>32</v>
      </c>
      <c r="H33" s="297">
        <v>80</v>
      </c>
    </row>
    <row r="34" spans="1:8" x14ac:dyDescent="0.25">
      <c r="A34" t="s">
        <v>249</v>
      </c>
      <c r="B34">
        <v>32</v>
      </c>
      <c r="C34" t="s">
        <v>843</v>
      </c>
      <c r="D34">
        <v>3</v>
      </c>
      <c r="E34" s="14">
        <v>10</v>
      </c>
      <c r="F34" s="14">
        <v>30</v>
      </c>
      <c r="G34" t="s">
        <v>32</v>
      </c>
      <c r="H34" s="297">
        <v>30</v>
      </c>
    </row>
    <row r="35" spans="1:8" x14ac:dyDescent="0.25">
      <c r="A35" t="s">
        <v>249</v>
      </c>
      <c r="B35">
        <v>33</v>
      </c>
      <c r="C35" t="s">
        <v>844</v>
      </c>
      <c r="D35">
        <v>2</v>
      </c>
      <c r="E35" s="14">
        <v>35</v>
      </c>
      <c r="F35" s="14">
        <v>70</v>
      </c>
      <c r="G35" t="s">
        <v>32</v>
      </c>
      <c r="H35" s="297">
        <v>70</v>
      </c>
    </row>
    <row r="36" spans="1:8" x14ac:dyDescent="0.25">
      <c r="A36" t="s">
        <v>249</v>
      </c>
      <c r="B36">
        <v>34</v>
      </c>
      <c r="C36" t="s">
        <v>838</v>
      </c>
      <c r="D36">
        <v>1</v>
      </c>
      <c r="E36" s="14">
        <v>95</v>
      </c>
      <c r="F36" s="14">
        <v>95</v>
      </c>
      <c r="G36" t="s">
        <v>32</v>
      </c>
      <c r="H36" s="297">
        <v>95</v>
      </c>
    </row>
    <row r="37" spans="1:8" x14ac:dyDescent="0.25">
      <c r="A37" t="s">
        <v>249</v>
      </c>
      <c r="B37">
        <v>35</v>
      </c>
      <c r="C37" t="s">
        <v>846</v>
      </c>
      <c r="D37">
        <v>1</v>
      </c>
      <c r="E37" s="14">
        <v>50</v>
      </c>
      <c r="F37" s="14">
        <v>50</v>
      </c>
      <c r="G37" t="s">
        <v>32</v>
      </c>
      <c r="H37" s="297">
        <v>50</v>
      </c>
    </row>
    <row r="38" spans="1:8" x14ac:dyDescent="0.25">
      <c r="A38" t="s">
        <v>249</v>
      </c>
      <c r="B38">
        <v>36</v>
      </c>
      <c r="C38" t="s">
        <v>902</v>
      </c>
      <c r="D38">
        <v>1</v>
      </c>
      <c r="E38" s="14">
        <v>48</v>
      </c>
      <c r="F38" s="14">
        <v>48</v>
      </c>
      <c r="G38" t="s">
        <v>32</v>
      </c>
      <c r="H38" s="297">
        <v>48</v>
      </c>
    </row>
    <row r="39" spans="1:8" x14ac:dyDescent="0.25">
      <c r="A39" t="s">
        <v>249</v>
      </c>
      <c r="B39">
        <v>37</v>
      </c>
      <c r="C39" t="s">
        <v>903</v>
      </c>
      <c r="D39">
        <v>1</v>
      </c>
      <c r="E39" s="14">
        <v>80</v>
      </c>
      <c r="F39" s="14">
        <v>80</v>
      </c>
      <c r="G39" t="s">
        <v>32</v>
      </c>
      <c r="H39" s="297">
        <v>80</v>
      </c>
    </row>
    <row r="41" spans="1:8" x14ac:dyDescent="0.25">
      <c r="F41" t="s">
        <v>920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40" t="s">
        <v>250</v>
      </c>
      <c r="B1" s="841"/>
      <c r="C1" s="814"/>
      <c r="D1" s="814"/>
      <c r="E1" s="814"/>
      <c r="F1" s="814"/>
      <c r="G1" s="714"/>
      <c r="I1" s="836" t="s">
        <v>251</v>
      </c>
      <c r="J1" s="837"/>
      <c r="K1" s="838"/>
      <c r="L1" s="839"/>
      <c r="M1"/>
      <c r="N1" s="826" t="s">
        <v>252</v>
      </c>
      <c r="O1" s="827"/>
      <c r="P1" s="827"/>
      <c r="Q1" s="827"/>
      <c r="R1" s="827"/>
      <c r="S1" s="828"/>
      <c r="W1"/>
    </row>
    <row r="2" spans="1:23" ht="15.75" thickBot="1" x14ac:dyDescent="0.3">
      <c r="A2" s="840" t="s">
        <v>253</v>
      </c>
      <c r="B2" s="841"/>
      <c r="C2" s="814"/>
      <c r="D2" s="814"/>
      <c r="E2" s="814"/>
      <c r="F2" s="814"/>
      <c r="G2" s="714"/>
      <c r="I2" s="832" t="s">
        <v>254</v>
      </c>
      <c r="J2" s="833"/>
      <c r="K2" s="834"/>
      <c r="L2" s="835"/>
      <c r="M2"/>
      <c r="N2" s="829" t="str">
        <f>"Recap Summary Table - " &amp; +Profit!B2</f>
        <v>Recap Summary Table - 4121 Tensity Dr</v>
      </c>
      <c r="O2" s="830"/>
      <c r="P2" s="830"/>
      <c r="Q2" s="830"/>
      <c r="R2" s="830"/>
      <c r="S2" s="831"/>
      <c r="W2"/>
    </row>
    <row r="4" spans="1:23" s="61" customFormat="1" x14ac:dyDescent="0.25">
      <c r="A4" s="61" t="s">
        <v>209</v>
      </c>
      <c r="B4" s="22" t="s">
        <v>211</v>
      </c>
      <c r="C4" s="61" t="s">
        <v>212</v>
      </c>
      <c r="D4" s="3" t="s">
        <v>255</v>
      </c>
      <c r="E4" s="283" t="s">
        <v>216</v>
      </c>
      <c r="F4" s="3" t="s">
        <v>213</v>
      </c>
      <c r="G4" s="61" t="s">
        <v>214</v>
      </c>
      <c r="I4" s="61" t="s">
        <v>209</v>
      </c>
      <c r="J4" s="61" t="s">
        <v>256</v>
      </c>
      <c r="K4" s="284" t="s">
        <v>257</v>
      </c>
      <c r="L4" s="61" t="s">
        <v>214</v>
      </c>
      <c r="N4" s="3" t="s">
        <v>209</v>
      </c>
      <c r="O4" s="22" t="s">
        <v>211</v>
      </c>
      <c r="P4" s="3" t="s">
        <v>212</v>
      </c>
      <c r="Q4" s="3" t="s">
        <v>256</v>
      </c>
      <c r="R4" s="3" t="s">
        <v>257</v>
      </c>
      <c r="S4" s="3" t="s">
        <v>214</v>
      </c>
    </row>
    <row r="5" spans="1:23" x14ac:dyDescent="0.25">
      <c r="A5">
        <v>5</v>
      </c>
      <c r="B5" t="s">
        <v>194</v>
      </c>
      <c r="C5" t="s">
        <v>498</v>
      </c>
      <c r="F5" s="285">
        <v>0</v>
      </c>
      <c r="G5"/>
      <c r="H5"/>
      <c r="I5"/>
      <c r="K5" s="245"/>
      <c r="M5"/>
      <c r="R5" s="245"/>
      <c r="W5"/>
    </row>
    <row r="6" spans="1:23" x14ac:dyDescent="0.25">
      <c r="A6">
        <v>6</v>
      </c>
      <c r="B6" t="s">
        <v>194</v>
      </c>
      <c r="C6" t="s">
        <v>493</v>
      </c>
      <c r="F6" s="285">
        <v>0</v>
      </c>
      <c r="G6"/>
      <c r="H6"/>
      <c r="I6"/>
      <c r="K6" s="245"/>
      <c r="M6"/>
      <c r="W6"/>
    </row>
    <row r="7" spans="1:23" x14ac:dyDescent="0.25">
      <c r="A7">
        <v>7</v>
      </c>
      <c r="B7" t="s">
        <v>194</v>
      </c>
      <c r="C7" t="s">
        <v>494</v>
      </c>
      <c r="F7" s="285">
        <v>0</v>
      </c>
      <c r="G7"/>
      <c r="H7"/>
      <c r="I7"/>
      <c r="K7" s="245"/>
      <c r="M7"/>
      <c r="W7"/>
    </row>
    <row r="8" spans="1:23" x14ac:dyDescent="0.25">
      <c r="A8">
        <v>8</v>
      </c>
      <c r="B8" t="s">
        <v>194</v>
      </c>
      <c r="C8" t="s">
        <v>495</v>
      </c>
      <c r="F8" s="285">
        <v>0</v>
      </c>
      <c r="G8"/>
      <c r="H8"/>
      <c r="I8"/>
      <c r="K8" s="245"/>
      <c r="M8"/>
      <c r="W8"/>
    </row>
    <row r="9" spans="1:23" x14ac:dyDescent="0.25">
      <c r="A9">
        <v>9</v>
      </c>
      <c r="B9" t="s">
        <v>194</v>
      </c>
      <c r="C9" t="s">
        <v>496</v>
      </c>
      <c r="F9" s="285">
        <v>0</v>
      </c>
      <c r="G9"/>
      <c r="H9"/>
      <c r="I9"/>
      <c r="K9" s="245"/>
      <c r="M9"/>
      <c r="W9"/>
    </row>
    <row r="10" spans="1:23" x14ac:dyDescent="0.25">
      <c r="A10">
        <v>24</v>
      </c>
      <c r="C10" t="s">
        <v>835</v>
      </c>
      <c r="F10" s="285">
        <v>0</v>
      </c>
      <c r="G10"/>
      <c r="H10"/>
      <c r="I10"/>
      <c r="K10" s="245"/>
      <c r="M10"/>
      <c r="W10"/>
    </row>
    <row r="11" spans="1:23" x14ac:dyDescent="0.25">
      <c r="A11">
        <v>26</v>
      </c>
      <c r="C11" t="s">
        <v>837</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190</v>
      </c>
      <c r="C18" t="s">
        <v>190</v>
      </c>
      <c r="D18">
        <v>4</v>
      </c>
      <c r="F18" s="285"/>
      <c r="G18"/>
      <c r="H18"/>
      <c r="I18"/>
      <c r="K18" s="245"/>
      <c r="M18"/>
      <c r="U18" s="245"/>
      <c r="W18"/>
    </row>
    <row r="19" spans="1:23" x14ac:dyDescent="0.25">
      <c r="A19">
        <v>1</v>
      </c>
      <c r="B19" t="s">
        <v>185</v>
      </c>
      <c r="C19" t="s">
        <v>186</v>
      </c>
      <c r="D19">
        <v>4</v>
      </c>
      <c r="E19" s="254">
        <v>45363</v>
      </c>
      <c r="F19" s="285"/>
      <c r="G19"/>
      <c r="H19"/>
      <c r="I19"/>
      <c r="K19" s="245"/>
      <c r="M19"/>
      <c r="U19" s="245"/>
      <c r="W19"/>
    </row>
    <row r="20" spans="1:23" x14ac:dyDescent="0.25">
      <c r="A20">
        <v>2</v>
      </c>
      <c r="B20" t="s">
        <v>189</v>
      </c>
      <c r="C20" t="s">
        <v>189</v>
      </c>
      <c r="D20">
        <v>4</v>
      </c>
      <c r="E20" s="254">
        <v>45823</v>
      </c>
      <c r="F20" s="285"/>
      <c r="G20"/>
      <c r="H20"/>
      <c r="I20"/>
      <c r="K20" s="245"/>
      <c r="M20"/>
      <c r="U20" s="245"/>
      <c r="W20"/>
    </row>
    <row r="21" spans="1:23" x14ac:dyDescent="0.25">
      <c r="A21">
        <v>4</v>
      </c>
      <c r="B21" t="s">
        <v>191</v>
      </c>
      <c r="C21" t="s">
        <v>192</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483</v>
      </c>
    </row>
    <row r="2" spans="1:11" x14ac:dyDescent="0.25">
      <c r="I2" s="844" t="s">
        <v>2</v>
      </c>
      <c r="J2" s="844" t="str">
        <f>IF(Profit!$Q$6,IF(K2="No","No","Yes"),"No")</f>
        <v>No</v>
      </c>
      <c r="K2" s="846"/>
    </row>
    <row r="3" spans="1:11" s="3" customFormat="1" ht="15.75" thickBot="1" x14ac:dyDescent="0.3">
      <c r="A3" s="3" t="s">
        <v>309</v>
      </c>
      <c r="B3" s="3" t="s">
        <v>257</v>
      </c>
      <c r="C3" s="13" t="s">
        <v>310</v>
      </c>
      <c r="D3" s="3" t="s">
        <v>311</v>
      </c>
      <c r="E3" s="13" t="s">
        <v>312</v>
      </c>
      <c r="F3" s="3" t="s">
        <v>313</v>
      </c>
      <c r="I3" s="845"/>
      <c r="J3" s="845"/>
      <c r="K3" s="847"/>
    </row>
    <row r="4" spans="1:11" s="3" customFormat="1" x14ac:dyDescent="0.25">
      <c r="C4" s="13"/>
      <c r="E4" s="13"/>
    </row>
    <row r="5" spans="1:11" s="3" customFormat="1" x14ac:dyDescent="0.25">
      <c r="A5" s="2" t="s">
        <v>480</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480</v>
      </c>
      <c r="B10" s="12">
        <v>45316</v>
      </c>
      <c r="C10" s="311"/>
      <c r="D10">
        <v>0</v>
      </c>
      <c r="E10" s="14">
        <v>35</v>
      </c>
      <c r="F10" s="14">
        <f t="shared" si="0"/>
        <v>0</v>
      </c>
      <c r="G10"/>
      <c r="H10" s="3"/>
      <c r="I10" s="3"/>
    </row>
    <row r="11" spans="1:11" x14ac:dyDescent="0.25">
      <c r="A11" s="2" t="s">
        <v>480</v>
      </c>
      <c r="B11" s="12">
        <v>45322</v>
      </c>
      <c r="C11" s="311"/>
      <c r="D11">
        <v>0</v>
      </c>
      <c r="E11" s="14">
        <v>55</v>
      </c>
      <c r="F11" s="14">
        <f t="shared" si="0"/>
        <v>0</v>
      </c>
    </row>
    <row r="12" spans="1:11" x14ac:dyDescent="0.25">
      <c r="A12" s="2" t="s">
        <v>481</v>
      </c>
      <c r="B12" s="12"/>
      <c r="C12" s="311"/>
      <c r="D12">
        <v>0</v>
      </c>
      <c r="E12" s="14"/>
      <c r="F12" s="14">
        <f t="shared" si="0"/>
        <v>0</v>
      </c>
    </row>
    <row r="13" spans="1:11" x14ac:dyDescent="0.25">
      <c r="A13" s="2" t="s">
        <v>526</v>
      </c>
      <c r="B13" s="12">
        <v>45315</v>
      </c>
      <c r="C13" s="311"/>
      <c r="D13">
        <v>0</v>
      </c>
      <c r="E13" s="14">
        <v>201.25</v>
      </c>
      <c r="F13" s="14">
        <f>+D13*E13</f>
        <v>0</v>
      </c>
    </row>
    <row r="14" spans="1:11" x14ac:dyDescent="0.25">
      <c r="A14" s="2" t="s">
        <v>527</v>
      </c>
      <c r="B14" s="12">
        <v>45322</v>
      </c>
      <c r="C14" s="311"/>
      <c r="D14">
        <v>0</v>
      </c>
      <c r="E14" s="14">
        <v>46</v>
      </c>
      <c r="F14" s="14">
        <f>+D14*E14</f>
        <v>0</v>
      </c>
    </row>
    <row r="15" spans="1:11" x14ac:dyDescent="0.25">
      <c r="A15" s="2" t="s">
        <v>528</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42"/>
      <c r="D28" s="843"/>
      <c r="E28" s="843"/>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259</v>
      </c>
      <c r="B1" s="7" t="s">
        <v>260</v>
      </c>
    </row>
    <row r="2" spans="1:5" x14ac:dyDescent="0.25">
      <c r="A2" s="3" t="s">
        <v>261</v>
      </c>
      <c r="B2" s="6"/>
      <c r="C2" s="4"/>
    </row>
    <row r="4" spans="1:5" x14ac:dyDescent="0.25">
      <c r="A4" s="2" t="s">
        <v>262</v>
      </c>
      <c r="B4" s="1">
        <v>0</v>
      </c>
      <c r="C4" s="1">
        <v>0</v>
      </c>
    </row>
    <row r="5" spans="1:5" x14ac:dyDescent="0.25">
      <c r="A5" s="2" t="s">
        <v>263</v>
      </c>
      <c r="B5" s="1">
        <v>33</v>
      </c>
      <c r="C5"/>
      <c r="D5" s="1"/>
    </row>
    <row r="6" spans="1:5" ht="15.75" thickBot="1" x14ac:dyDescent="0.3">
      <c r="A6" s="2" t="s">
        <v>264</v>
      </c>
      <c r="B6" s="20">
        <v>0</v>
      </c>
      <c r="C6" s="20">
        <f>B5*B6</f>
        <v>0</v>
      </c>
      <c r="D6" s="29"/>
    </row>
    <row r="7" spans="1:5" x14ac:dyDescent="0.25">
      <c r="C7" s="9" t="s">
        <v>265</v>
      </c>
      <c r="D7" s="1">
        <f>SUM(C4:C6)</f>
        <v>0</v>
      </c>
    </row>
    <row r="8" spans="1:5" x14ac:dyDescent="0.25">
      <c r="D8" s="1"/>
    </row>
    <row r="10" spans="1:5" ht="15.75" thickBot="1" x14ac:dyDescent="0.3">
      <c r="D10" s="29"/>
    </row>
    <row r="11" spans="1:5" x14ac:dyDescent="0.25">
      <c r="D11" s="30" t="s">
        <v>266</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267</v>
      </c>
    </row>
    <row r="2" spans="1:7" s="3" customFormat="1" x14ac:dyDescent="0.25">
      <c r="B2" s="3" t="s">
        <v>268</v>
      </c>
      <c r="C2" s="3" t="s">
        <v>269</v>
      </c>
      <c r="D2" s="8" t="s">
        <v>270</v>
      </c>
      <c r="E2" s="3" t="s">
        <v>271</v>
      </c>
      <c r="F2" s="8" t="s">
        <v>258</v>
      </c>
      <c r="G2" s="3" t="s">
        <v>272</v>
      </c>
    </row>
    <row r="3" spans="1:7" x14ac:dyDescent="0.25">
      <c r="A3" s="184" t="s">
        <v>273</v>
      </c>
      <c r="B3" s="184"/>
      <c r="C3" s="185">
        <v>0</v>
      </c>
      <c r="D3" s="186">
        <v>0</v>
      </c>
      <c r="E3">
        <f>+C3*D3</f>
        <v>0</v>
      </c>
      <c r="F3" s="26">
        <f t="shared" ref="F3:F44" si="0">+E3*0.0725</f>
        <v>0</v>
      </c>
    </row>
    <row r="4" spans="1:7" x14ac:dyDescent="0.25">
      <c r="A4" s="184" t="s">
        <v>274</v>
      </c>
      <c r="B4" s="184"/>
      <c r="C4" s="185">
        <v>0</v>
      </c>
      <c r="D4" s="186">
        <v>0</v>
      </c>
      <c r="E4">
        <f t="shared" ref="E4:E61" si="1">+C4*D4</f>
        <v>0</v>
      </c>
      <c r="F4" s="26">
        <f t="shared" si="0"/>
        <v>0</v>
      </c>
    </row>
    <row r="5" spans="1:7" x14ac:dyDescent="0.25">
      <c r="A5" s="184" t="s">
        <v>275</v>
      </c>
      <c r="B5" s="184"/>
      <c r="C5" s="185">
        <v>0</v>
      </c>
      <c r="D5" s="186">
        <v>0</v>
      </c>
      <c r="E5">
        <f t="shared" si="1"/>
        <v>0</v>
      </c>
      <c r="F5" s="26">
        <f t="shared" si="0"/>
        <v>0</v>
      </c>
    </row>
    <row r="6" spans="1:7" x14ac:dyDescent="0.25">
      <c r="A6" s="184" t="s">
        <v>276</v>
      </c>
      <c r="B6" s="184"/>
      <c r="C6" s="185">
        <v>0</v>
      </c>
      <c r="D6" s="186">
        <v>0</v>
      </c>
      <c r="E6">
        <f t="shared" si="1"/>
        <v>0</v>
      </c>
      <c r="F6" s="26">
        <f t="shared" si="0"/>
        <v>0</v>
      </c>
    </row>
    <row r="7" spans="1:7" x14ac:dyDescent="0.25">
      <c r="A7" s="184" t="s">
        <v>277</v>
      </c>
      <c r="B7" s="184"/>
      <c r="C7" s="185">
        <v>0</v>
      </c>
      <c r="D7" s="186">
        <v>0</v>
      </c>
      <c r="E7">
        <f t="shared" si="1"/>
        <v>0</v>
      </c>
      <c r="F7" s="26">
        <f t="shared" si="0"/>
        <v>0</v>
      </c>
    </row>
    <row r="8" spans="1:7" x14ac:dyDescent="0.25">
      <c r="A8" s="184" t="s">
        <v>278</v>
      </c>
      <c r="B8" s="184"/>
      <c r="C8" s="185">
        <v>0</v>
      </c>
      <c r="D8" s="186">
        <v>0</v>
      </c>
      <c r="E8">
        <f t="shared" si="1"/>
        <v>0</v>
      </c>
      <c r="F8" s="26">
        <f t="shared" si="0"/>
        <v>0</v>
      </c>
    </row>
    <row r="9" spans="1:7" x14ac:dyDescent="0.25">
      <c r="A9" s="184" t="s">
        <v>279</v>
      </c>
      <c r="B9" s="184"/>
      <c r="C9" s="185">
        <v>0</v>
      </c>
      <c r="D9" s="186">
        <v>0</v>
      </c>
      <c r="E9">
        <f t="shared" si="1"/>
        <v>0</v>
      </c>
      <c r="F9" s="26">
        <f t="shared" si="0"/>
        <v>0</v>
      </c>
    </row>
    <row r="10" spans="1:7" x14ac:dyDescent="0.25">
      <c r="A10" s="184" t="s">
        <v>152</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280</v>
      </c>
      <c r="B12" s="184"/>
      <c r="C12" s="185">
        <v>0</v>
      </c>
      <c r="D12" s="186">
        <v>0</v>
      </c>
      <c r="E12">
        <f t="shared" si="1"/>
        <v>0</v>
      </c>
      <c r="F12" s="26">
        <f t="shared" si="0"/>
        <v>0</v>
      </c>
    </row>
    <row r="13" spans="1:7" x14ac:dyDescent="0.25">
      <c r="A13" s="184" t="s">
        <v>281</v>
      </c>
      <c r="B13" s="184"/>
      <c r="C13" s="185">
        <v>0</v>
      </c>
      <c r="D13" s="186">
        <v>0</v>
      </c>
      <c r="E13">
        <f t="shared" si="1"/>
        <v>0</v>
      </c>
      <c r="F13" s="26">
        <f t="shared" si="0"/>
        <v>0</v>
      </c>
    </row>
    <row r="14" spans="1:7" x14ac:dyDescent="0.25">
      <c r="A14" s="184" t="s">
        <v>282</v>
      </c>
      <c r="B14" s="184"/>
      <c r="C14" s="185">
        <v>0</v>
      </c>
      <c r="D14" s="186">
        <v>0</v>
      </c>
      <c r="E14">
        <f t="shared" si="1"/>
        <v>0</v>
      </c>
      <c r="F14" s="26">
        <f t="shared" si="0"/>
        <v>0</v>
      </c>
    </row>
    <row r="15" spans="1:7" x14ac:dyDescent="0.25">
      <c r="A15" s="184" t="s">
        <v>283</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284</v>
      </c>
      <c r="B17" s="184"/>
      <c r="C17" s="185">
        <v>0</v>
      </c>
      <c r="D17" s="186">
        <v>0</v>
      </c>
      <c r="E17">
        <f t="shared" si="1"/>
        <v>0</v>
      </c>
      <c r="F17" s="26">
        <f t="shared" si="0"/>
        <v>0</v>
      </c>
    </row>
    <row r="18" spans="1:6" x14ac:dyDescent="0.25">
      <c r="A18" s="184" t="s">
        <v>285</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286</v>
      </c>
      <c r="B20" s="184"/>
      <c r="C20" s="185">
        <v>0</v>
      </c>
      <c r="D20" s="186">
        <v>0</v>
      </c>
      <c r="E20">
        <f t="shared" si="1"/>
        <v>0</v>
      </c>
      <c r="F20" s="26">
        <f t="shared" si="0"/>
        <v>0</v>
      </c>
    </row>
    <row r="21" spans="1:6" x14ac:dyDescent="0.25">
      <c r="A21" s="184" t="s">
        <v>287</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288</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289</v>
      </c>
      <c r="B26" s="184"/>
      <c r="C26" s="185">
        <v>0</v>
      </c>
      <c r="D26" s="186">
        <v>0</v>
      </c>
      <c r="E26">
        <f t="shared" si="1"/>
        <v>0</v>
      </c>
      <c r="F26" s="26">
        <f t="shared" si="0"/>
        <v>0</v>
      </c>
    </row>
    <row r="27" spans="1:6" x14ac:dyDescent="0.25">
      <c r="A27" s="184" t="s">
        <v>290</v>
      </c>
      <c r="B27" s="184"/>
      <c r="C27" s="185">
        <v>0</v>
      </c>
      <c r="D27" s="186">
        <v>0</v>
      </c>
      <c r="E27">
        <f t="shared" si="1"/>
        <v>0</v>
      </c>
      <c r="F27" s="26">
        <f t="shared" si="0"/>
        <v>0</v>
      </c>
    </row>
    <row r="28" spans="1:6" x14ac:dyDescent="0.25">
      <c r="A28" s="184" t="s">
        <v>291</v>
      </c>
      <c r="B28" s="184"/>
      <c r="C28" s="185">
        <v>0</v>
      </c>
      <c r="D28" s="186">
        <v>0</v>
      </c>
      <c r="E28">
        <f t="shared" si="1"/>
        <v>0</v>
      </c>
      <c r="F28" s="26">
        <f t="shared" si="0"/>
        <v>0</v>
      </c>
    </row>
    <row r="29" spans="1:6" x14ac:dyDescent="0.25">
      <c r="A29" s="184" t="s">
        <v>292</v>
      </c>
      <c r="B29" s="184"/>
      <c r="C29" s="185">
        <v>0</v>
      </c>
      <c r="D29" s="186">
        <v>0</v>
      </c>
      <c r="E29">
        <f t="shared" si="1"/>
        <v>0</v>
      </c>
      <c r="F29" s="26">
        <f t="shared" si="0"/>
        <v>0</v>
      </c>
    </row>
    <row r="30" spans="1:6" x14ac:dyDescent="0.25">
      <c r="A30" s="184" t="s">
        <v>293</v>
      </c>
      <c r="B30" s="184"/>
      <c r="C30" s="185">
        <v>0</v>
      </c>
      <c r="D30" s="186">
        <v>0</v>
      </c>
      <c r="E30">
        <f t="shared" si="1"/>
        <v>0</v>
      </c>
      <c r="F30" s="26">
        <f t="shared" si="0"/>
        <v>0</v>
      </c>
    </row>
    <row r="31" spans="1:6" x14ac:dyDescent="0.25">
      <c r="A31" s="184" t="s">
        <v>294</v>
      </c>
      <c r="B31" s="184"/>
      <c r="C31" s="185">
        <v>0</v>
      </c>
      <c r="D31" s="186">
        <v>0</v>
      </c>
      <c r="E31">
        <f t="shared" si="1"/>
        <v>0</v>
      </c>
      <c r="F31" s="26">
        <f t="shared" si="0"/>
        <v>0</v>
      </c>
    </row>
    <row r="32" spans="1:6" x14ac:dyDescent="0.25">
      <c r="A32" s="184" t="s">
        <v>295</v>
      </c>
      <c r="B32" s="184"/>
      <c r="C32" s="185">
        <v>0</v>
      </c>
      <c r="D32" s="186">
        <v>0</v>
      </c>
      <c r="E32">
        <f t="shared" si="1"/>
        <v>0</v>
      </c>
      <c r="F32" s="26">
        <f t="shared" si="0"/>
        <v>0</v>
      </c>
    </row>
    <row r="33" spans="1:6" x14ac:dyDescent="0.25">
      <c r="A33" s="184" t="s">
        <v>296</v>
      </c>
      <c r="B33" s="184"/>
      <c r="C33" s="185">
        <v>0</v>
      </c>
      <c r="D33" s="186">
        <v>0</v>
      </c>
      <c r="E33">
        <f t="shared" si="1"/>
        <v>0</v>
      </c>
      <c r="F33" s="26">
        <f t="shared" si="0"/>
        <v>0</v>
      </c>
    </row>
    <row r="34" spans="1:6" x14ac:dyDescent="0.25">
      <c r="A34" s="184" t="s">
        <v>297</v>
      </c>
      <c r="B34" s="184"/>
      <c r="C34" s="185">
        <v>0</v>
      </c>
      <c r="D34" s="186">
        <v>0</v>
      </c>
      <c r="E34">
        <f t="shared" si="1"/>
        <v>0</v>
      </c>
      <c r="F34" s="26">
        <f t="shared" si="0"/>
        <v>0</v>
      </c>
    </row>
    <row r="35" spans="1:6" x14ac:dyDescent="0.25">
      <c r="A35" s="184" t="s">
        <v>298</v>
      </c>
      <c r="B35" s="184"/>
      <c r="C35" s="185">
        <v>0</v>
      </c>
      <c r="D35" s="186">
        <v>0</v>
      </c>
      <c r="E35">
        <f t="shared" si="1"/>
        <v>0</v>
      </c>
      <c r="F35" s="26">
        <f t="shared" si="0"/>
        <v>0</v>
      </c>
    </row>
    <row r="36" spans="1:6" x14ac:dyDescent="0.25">
      <c r="A36" s="184" t="s">
        <v>299</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300</v>
      </c>
      <c r="B38" s="184"/>
      <c r="C38" s="185">
        <v>0</v>
      </c>
      <c r="D38" s="186">
        <v>0</v>
      </c>
      <c r="E38">
        <f t="shared" si="1"/>
        <v>0</v>
      </c>
      <c r="F38" s="26">
        <f t="shared" si="0"/>
        <v>0</v>
      </c>
    </row>
    <row r="39" spans="1:6" x14ac:dyDescent="0.25">
      <c r="A39" s="184" t="s">
        <v>301</v>
      </c>
      <c r="B39" s="184"/>
      <c r="C39" s="185">
        <v>0</v>
      </c>
      <c r="D39" s="186">
        <v>0</v>
      </c>
      <c r="E39">
        <f t="shared" si="1"/>
        <v>0</v>
      </c>
      <c r="F39" s="26">
        <f t="shared" si="0"/>
        <v>0</v>
      </c>
    </row>
    <row r="40" spans="1:6" x14ac:dyDescent="0.25">
      <c r="A40" s="184" t="s">
        <v>302</v>
      </c>
      <c r="B40" s="184"/>
      <c r="C40" s="185">
        <v>0</v>
      </c>
      <c r="D40" s="186">
        <v>0</v>
      </c>
      <c r="E40">
        <f t="shared" si="1"/>
        <v>0</v>
      </c>
      <c r="F40" s="26">
        <f t="shared" si="0"/>
        <v>0</v>
      </c>
    </row>
    <row r="41" spans="1:6" x14ac:dyDescent="0.25">
      <c r="A41" s="184" t="s">
        <v>303</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304</v>
      </c>
      <c r="B43" s="184"/>
      <c r="C43" s="185">
        <v>0</v>
      </c>
      <c r="D43" s="186">
        <v>0</v>
      </c>
      <c r="E43">
        <f t="shared" ref="E43:E57" si="2">+C43*D43</f>
        <v>0</v>
      </c>
      <c r="F43" s="26">
        <f t="shared" si="0"/>
        <v>0</v>
      </c>
    </row>
    <row r="44" spans="1:6" x14ac:dyDescent="0.25">
      <c r="A44" s="184" t="s">
        <v>305</v>
      </c>
      <c r="B44" s="184"/>
      <c r="C44" s="185">
        <v>0</v>
      </c>
      <c r="D44" s="186">
        <v>0</v>
      </c>
      <c r="E44">
        <f t="shared" si="2"/>
        <v>0</v>
      </c>
      <c r="F44" s="26">
        <f t="shared" si="0"/>
        <v>0</v>
      </c>
    </row>
    <row r="45" spans="1:6" x14ac:dyDescent="0.25">
      <c r="A45" s="184" t="s">
        <v>306</v>
      </c>
      <c r="B45" s="184">
        <v>6973242570225</v>
      </c>
      <c r="C45" s="185">
        <v>0</v>
      </c>
      <c r="D45" s="186">
        <v>49.97</v>
      </c>
      <c r="E45">
        <f t="shared" si="2"/>
        <v>0</v>
      </c>
      <c r="F45" s="26">
        <f>+E45*0.0725</f>
        <v>0</v>
      </c>
    </row>
    <row r="46" spans="1:6" x14ac:dyDescent="0.25">
      <c r="A46" s="184" t="s">
        <v>307</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308</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309</v>
      </c>
      <c r="B1" s="3" t="s">
        <v>257</v>
      </c>
      <c r="C1" s="13" t="s">
        <v>310</v>
      </c>
      <c r="D1" s="3" t="s">
        <v>311</v>
      </c>
      <c r="E1" s="13" t="s">
        <v>312</v>
      </c>
      <c r="F1" s="3" t="s">
        <v>313</v>
      </c>
    </row>
    <row r="2" spans="1:10" ht="15.75" thickBot="1" x14ac:dyDescent="0.3">
      <c r="A2" s="435" t="s">
        <v>636</v>
      </c>
      <c r="B2" s="436"/>
      <c r="C2" s="437"/>
      <c r="D2" s="436"/>
      <c r="E2" s="437"/>
      <c r="F2" s="437">
        <v>0</v>
      </c>
    </row>
    <row r="3" spans="1:10" x14ac:dyDescent="0.25">
      <c r="A3" s="435" t="s">
        <v>314</v>
      </c>
      <c r="B3" s="438"/>
      <c r="C3" s="437" t="s">
        <v>595</v>
      </c>
      <c r="D3" s="436">
        <v>0</v>
      </c>
      <c r="E3" s="437">
        <v>75</v>
      </c>
      <c r="F3" s="437">
        <f>IF($I$3="Yes",+D3*E3,0)</f>
        <v>0</v>
      </c>
      <c r="H3" s="844" t="s">
        <v>2</v>
      </c>
      <c r="I3" s="844" t="str">
        <f>IF(Profit!$Q$6,IF(J3,"Yes","N0"),"no")</f>
        <v>no</v>
      </c>
      <c r="J3" s="848" t="b">
        <v>1</v>
      </c>
    </row>
    <row r="4" spans="1:10" ht="15.75" thickBot="1" x14ac:dyDescent="0.3">
      <c r="A4" s="435" t="s">
        <v>314</v>
      </c>
      <c r="B4" s="439"/>
      <c r="C4" s="437" t="s">
        <v>315</v>
      </c>
      <c r="D4" s="436">
        <v>0</v>
      </c>
      <c r="E4" s="437">
        <v>325</v>
      </c>
      <c r="F4" s="437">
        <f t="shared" ref="F4:F5" si="0">IF($I$3="Yes",+D4*E4,0)</f>
        <v>0</v>
      </c>
      <c r="H4" s="845"/>
      <c r="I4" s="845"/>
      <c r="J4" s="849"/>
    </row>
    <row r="5" spans="1:10" x14ac:dyDescent="0.25">
      <c r="A5" s="435" t="s">
        <v>314</v>
      </c>
      <c r="B5" s="436"/>
      <c r="C5" s="437" t="s">
        <v>316</v>
      </c>
      <c r="D5" s="436">
        <v>0</v>
      </c>
      <c r="E5" s="437">
        <v>104</v>
      </c>
      <c r="F5" s="437">
        <f t="shared" si="0"/>
        <v>0</v>
      </c>
      <c r="G5">
        <f>IF(I3="yes",+SUM(F2:F5),0)</f>
        <v>0</v>
      </c>
    </row>
    <row r="6" spans="1:10" s="22" customFormat="1" x14ac:dyDescent="0.25">
      <c r="A6" s="147" t="s">
        <v>314</v>
      </c>
      <c r="B6" s="470">
        <v>45579</v>
      </c>
      <c r="C6" s="471" t="s">
        <v>595</v>
      </c>
      <c r="D6" s="262">
        <v>0</v>
      </c>
      <c r="E6" s="471">
        <v>75</v>
      </c>
      <c r="F6" s="471">
        <f>IF($I$3="Yes",0,+D6*E6)</f>
        <v>0</v>
      </c>
      <c r="G6"/>
    </row>
    <row r="7" spans="1:10" x14ac:dyDescent="0.25">
      <c r="A7" s="147" t="s">
        <v>314</v>
      </c>
      <c r="B7" s="472">
        <v>45211</v>
      </c>
      <c r="C7" s="471" t="s">
        <v>315</v>
      </c>
      <c r="D7" s="262">
        <v>0</v>
      </c>
      <c r="E7" s="471">
        <v>325</v>
      </c>
      <c r="F7" s="471">
        <f t="shared" ref="F7:F19" si="1">IF($I$3="Yes",0,+D7*E7)</f>
        <v>0</v>
      </c>
    </row>
    <row r="8" spans="1:10" x14ac:dyDescent="0.25">
      <c r="A8" s="147" t="s">
        <v>314</v>
      </c>
      <c r="B8" s="262"/>
      <c r="C8" s="471" t="s">
        <v>316</v>
      </c>
      <c r="D8" s="262">
        <v>0</v>
      </c>
      <c r="E8" s="471">
        <v>104</v>
      </c>
      <c r="F8" s="471">
        <f t="shared" si="1"/>
        <v>0</v>
      </c>
    </row>
    <row r="9" spans="1:10" x14ac:dyDescent="0.25">
      <c r="A9" s="147" t="s">
        <v>314</v>
      </c>
      <c r="B9" s="262"/>
      <c r="C9" s="471" t="s">
        <v>317</v>
      </c>
      <c r="D9" s="262">
        <v>0</v>
      </c>
      <c r="E9" s="471">
        <f>+(12.13+31.46+41.63)/3</f>
        <v>28.406666666666666</v>
      </c>
      <c r="F9" s="471">
        <f t="shared" si="1"/>
        <v>0</v>
      </c>
    </row>
    <row r="10" spans="1:10" x14ac:dyDescent="0.25">
      <c r="A10" s="147" t="s">
        <v>314</v>
      </c>
      <c r="B10" s="262"/>
      <c r="C10" s="471" t="s">
        <v>318</v>
      </c>
      <c r="D10" s="262">
        <v>0</v>
      </c>
      <c r="E10" s="471">
        <v>6.35</v>
      </c>
      <c r="F10" s="471">
        <f t="shared" si="1"/>
        <v>0</v>
      </c>
    </row>
    <row r="11" spans="1:10" x14ac:dyDescent="0.25">
      <c r="A11" s="147" t="s">
        <v>314</v>
      </c>
      <c r="B11" s="262"/>
      <c r="C11" s="471" t="s">
        <v>319</v>
      </c>
      <c r="D11" s="262"/>
      <c r="E11" s="471">
        <v>2.5</v>
      </c>
      <c r="F11" s="471">
        <f t="shared" si="1"/>
        <v>0</v>
      </c>
    </row>
    <row r="12" spans="1:10" x14ac:dyDescent="0.25">
      <c r="A12" s="147" t="s">
        <v>314</v>
      </c>
      <c r="B12" s="262"/>
      <c r="C12" s="471" t="s">
        <v>320</v>
      </c>
      <c r="D12" s="262">
        <v>0</v>
      </c>
      <c r="E12" s="471">
        <f>(8.5+10+17.34)/3</f>
        <v>11.946666666666667</v>
      </c>
      <c r="F12" s="471">
        <f t="shared" si="1"/>
        <v>0</v>
      </c>
    </row>
    <row r="13" spans="1:10" x14ac:dyDescent="0.25">
      <c r="A13" s="147" t="s">
        <v>314</v>
      </c>
      <c r="B13" s="472"/>
      <c r="C13" s="471" t="s">
        <v>321</v>
      </c>
      <c r="D13" s="262">
        <v>0</v>
      </c>
      <c r="E13" s="471">
        <v>73.13</v>
      </c>
      <c r="F13" s="471">
        <f t="shared" si="1"/>
        <v>0</v>
      </c>
    </row>
    <row r="14" spans="1:10" x14ac:dyDescent="0.25">
      <c r="A14" s="147" t="s">
        <v>314</v>
      </c>
      <c r="B14" s="472"/>
      <c r="C14" s="471" t="s">
        <v>322</v>
      </c>
      <c r="D14" s="262">
        <v>0</v>
      </c>
      <c r="E14" s="471">
        <v>472</v>
      </c>
      <c r="F14" s="471">
        <f t="shared" si="1"/>
        <v>0</v>
      </c>
    </row>
    <row r="15" spans="1:10" x14ac:dyDescent="0.25">
      <c r="A15" s="147" t="s">
        <v>323</v>
      </c>
      <c r="B15" s="472">
        <v>45737</v>
      </c>
      <c r="C15" s="471"/>
      <c r="D15" s="262">
        <v>1</v>
      </c>
      <c r="E15" s="471">
        <v>1350</v>
      </c>
      <c r="F15" s="471">
        <f t="shared" si="1"/>
        <v>1350</v>
      </c>
    </row>
    <row r="16" spans="1:10" x14ac:dyDescent="0.25">
      <c r="A16" s="147" t="s">
        <v>847</v>
      </c>
      <c r="B16" s="472">
        <v>45757</v>
      </c>
      <c r="C16" s="147" t="s">
        <v>523</v>
      </c>
      <c r="D16" s="262">
        <v>1</v>
      </c>
      <c r="E16" s="471">
        <v>250</v>
      </c>
      <c r="F16" s="471">
        <f t="shared" si="1"/>
        <v>250</v>
      </c>
    </row>
    <row r="17" spans="1:10" x14ac:dyDescent="0.25">
      <c r="A17" s="147" t="s">
        <v>847</v>
      </c>
      <c r="B17" s="473">
        <v>45810</v>
      </c>
      <c r="C17" s="147" t="s">
        <v>922</v>
      </c>
      <c r="D17" s="262">
        <v>1</v>
      </c>
      <c r="E17" s="471">
        <v>350</v>
      </c>
      <c r="F17" s="471">
        <f t="shared" si="1"/>
        <v>350</v>
      </c>
    </row>
    <row r="18" spans="1:10" x14ac:dyDescent="0.25">
      <c r="A18" s="147" t="s">
        <v>323</v>
      </c>
      <c r="B18" s="472"/>
      <c r="C18" s="471" t="s">
        <v>554</v>
      </c>
      <c r="D18" s="262">
        <v>0</v>
      </c>
      <c r="E18" s="471">
        <v>100</v>
      </c>
      <c r="F18" s="471">
        <f t="shared" si="1"/>
        <v>0</v>
      </c>
      <c r="I18" s="3"/>
    </row>
    <row r="19" spans="1:10" x14ac:dyDescent="0.25">
      <c r="A19" s="147" t="s">
        <v>323</v>
      </c>
      <c r="B19" s="472"/>
      <c r="C19" s="471" t="s">
        <v>555</v>
      </c>
      <c r="D19" s="262">
        <v>0</v>
      </c>
      <c r="E19" s="471">
        <v>150</v>
      </c>
      <c r="F19" s="471">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324</v>
      </c>
      <c r="B1" s="3"/>
      <c r="D1" s="5"/>
      <c r="E1" s="14"/>
      <c r="F1" s="14"/>
      <c r="G1" s="14"/>
    </row>
    <row r="2" spans="1:11" x14ac:dyDescent="0.25">
      <c r="A2" s="2"/>
      <c r="B2" s="2"/>
      <c r="C2" s="3"/>
      <c r="D2" s="8"/>
      <c r="E2" s="13"/>
      <c r="F2" s="13"/>
      <c r="G2" s="13"/>
    </row>
    <row r="3" spans="1:11" ht="15.75" thickBot="1" x14ac:dyDescent="0.3">
      <c r="A3" s="3" t="s">
        <v>212</v>
      </c>
      <c r="B3" s="3" t="s">
        <v>325</v>
      </c>
      <c r="C3" s="3" t="s">
        <v>269</v>
      </c>
      <c r="D3" s="8" t="s">
        <v>270</v>
      </c>
      <c r="E3" s="13" t="s">
        <v>271</v>
      </c>
      <c r="F3" s="13" t="s">
        <v>258</v>
      </c>
      <c r="G3" s="13" t="s">
        <v>272</v>
      </c>
    </row>
    <row r="4" spans="1:11" x14ac:dyDescent="0.25">
      <c r="A4" s="440" t="s">
        <v>639</v>
      </c>
      <c r="B4" s="440"/>
      <c r="C4" s="440"/>
      <c r="D4" s="441"/>
      <c r="E4" s="442"/>
      <c r="F4" s="442"/>
      <c r="G4" s="442"/>
      <c r="I4" s="844" t="s">
        <v>2</v>
      </c>
      <c r="J4" s="844" t="str">
        <f>IF(Profit!$Q$6,IF(K4,"Yes","N0"),"no")</f>
        <v>no</v>
      </c>
      <c r="K4" s="848" t="b">
        <v>0</v>
      </c>
    </row>
    <row r="5" spans="1:11" ht="15.75" thickBot="1" x14ac:dyDescent="0.3">
      <c r="A5" s="435" t="s">
        <v>642</v>
      </c>
      <c r="B5" s="435">
        <v>977057</v>
      </c>
      <c r="C5" s="436">
        <v>0</v>
      </c>
      <c r="D5" s="443">
        <v>149</v>
      </c>
      <c r="E5" s="437">
        <f>+C5*D5</f>
        <v>0</v>
      </c>
      <c r="F5" s="444">
        <f>+E5*0.0725</f>
        <v>0</v>
      </c>
      <c r="G5" s="442"/>
      <c r="I5" s="845"/>
      <c r="J5" s="845"/>
      <c r="K5" s="849"/>
    </row>
    <row r="6" spans="1:11" x14ac:dyDescent="0.25">
      <c r="A6" s="435" t="s">
        <v>641</v>
      </c>
      <c r="B6" s="435">
        <v>3648606</v>
      </c>
      <c r="C6" s="436">
        <v>0</v>
      </c>
      <c r="D6" s="443">
        <v>700</v>
      </c>
      <c r="E6" s="437">
        <f>+C6*D6</f>
        <v>0</v>
      </c>
      <c r="F6" s="444">
        <f t="shared" ref="F6" si="0">+E6*0.0725</f>
        <v>0</v>
      </c>
      <c r="G6" s="442"/>
    </row>
    <row r="7" spans="1:11" ht="15.75" thickBot="1" x14ac:dyDescent="0.3">
      <c r="A7" s="435" t="s">
        <v>640</v>
      </c>
      <c r="B7" s="435">
        <v>1654366</v>
      </c>
      <c r="C7" s="436">
        <v>0</v>
      </c>
      <c r="D7" s="443">
        <v>450</v>
      </c>
      <c r="E7" s="437">
        <f>+C7*D7</f>
        <v>0</v>
      </c>
      <c r="F7" s="444">
        <f t="shared" ref="F7" si="1">+E7*0.0725</f>
        <v>0</v>
      </c>
      <c r="G7" s="445"/>
    </row>
    <row r="8" spans="1:11" x14ac:dyDescent="0.25">
      <c r="A8" s="440"/>
      <c r="B8" s="440"/>
      <c r="C8" s="440"/>
      <c r="D8" s="234" t="s">
        <v>638</v>
      </c>
      <c r="E8" s="437"/>
      <c r="F8" s="437"/>
      <c r="G8" s="437">
        <f>IF(J4="yes",+SUM(E5:E7)+SUM(F5:F7),0)</f>
        <v>0</v>
      </c>
    </row>
    <row r="9" spans="1:11" x14ac:dyDescent="0.25">
      <c r="A9" s="147" t="s">
        <v>326</v>
      </c>
      <c r="B9" s="147">
        <v>977057</v>
      </c>
      <c r="C9" s="262">
        <v>0</v>
      </c>
      <c r="D9" s="249">
        <v>149</v>
      </c>
      <c r="E9" s="14">
        <f>+C9*D9</f>
        <v>0</v>
      </c>
      <c r="F9" s="26">
        <f>+E9*0.0725</f>
        <v>0</v>
      </c>
      <c r="G9" s="13"/>
    </row>
    <row r="10" spans="1:11" x14ac:dyDescent="0.25">
      <c r="A10" s="147" t="s">
        <v>327</v>
      </c>
      <c r="B10" s="147"/>
      <c r="C10" s="262">
        <v>0</v>
      </c>
      <c r="D10" s="249">
        <v>500</v>
      </c>
      <c r="E10" s="14">
        <f>+C10*D10</f>
        <v>0</v>
      </c>
      <c r="F10" s="26">
        <f>+E10*0.0725</f>
        <v>0</v>
      </c>
      <c r="G10" s="14"/>
    </row>
    <row r="11" spans="1:11" x14ac:dyDescent="0.25">
      <c r="A11" s="147" t="s">
        <v>328</v>
      </c>
      <c r="B11" s="147">
        <v>1008246199</v>
      </c>
      <c r="C11" s="262">
        <v>0</v>
      </c>
      <c r="D11" s="249">
        <v>448</v>
      </c>
      <c r="E11" s="14">
        <f>+C11*D11</f>
        <v>0</v>
      </c>
      <c r="F11" s="26">
        <f>+E11*0.0725</f>
        <v>0</v>
      </c>
      <c r="G11" s="14"/>
    </row>
    <row r="12" spans="1:11" ht="15.75" thickBot="1" x14ac:dyDescent="0.3">
      <c r="A12" s="147" t="s">
        <v>556</v>
      </c>
      <c r="B12" s="147">
        <v>205954</v>
      </c>
      <c r="C12" s="262">
        <v>0</v>
      </c>
      <c r="D12" s="249">
        <v>0</v>
      </c>
      <c r="E12" s="21"/>
      <c r="F12" s="21"/>
      <c r="G12" s="21"/>
    </row>
    <row r="13" spans="1:11" x14ac:dyDescent="0.25">
      <c r="A13" s="147"/>
      <c r="B13" s="147"/>
      <c r="C13" s="262"/>
      <c r="D13" s="263" t="s">
        <v>329</v>
      </c>
      <c r="E13" s="14"/>
      <c r="F13" s="14"/>
      <c r="G13" s="14">
        <f>IF(J4="yes",0,+SUM(E9:E12)+SUM(F9:F12))</f>
        <v>0</v>
      </c>
    </row>
    <row r="14" spans="1:11" x14ac:dyDescent="0.25">
      <c r="A14" s="147" t="s">
        <v>330</v>
      </c>
      <c r="B14" s="147">
        <v>206436</v>
      </c>
      <c r="C14" s="262">
        <v>0</v>
      </c>
      <c r="D14" s="263">
        <v>12.98</v>
      </c>
      <c r="E14" s="14">
        <v>0</v>
      </c>
      <c r="F14" s="26">
        <f>+E14*0.0725</f>
        <v>0</v>
      </c>
      <c r="G14" s="14">
        <v>0</v>
      </c>
    </row>
    <row r="15" spans="1:11" x14ac:dyDescent="0.25">
      <c r="A15" s="147" t="s">
        <v>557</v>
      </c>
      <c r="B15" s="147">
        <v>1006760329</v>
      </c>
      <c r="C15" s="262">
        <v>0</v>
      </c>
      <c r="D15" s="249">
        <v>698</v>
      </c>
      <c r="E15" s="14" t="s">
        <v>152</v>
      </c>
      <c r="F15" s="14"/>
      <c r="G15" s="14"/>
    </row>
    <row r="16" spans="1:11" x14ac:dyDescent="0.25">
      <c r="A16" s="147" t="s">
        <v>330</v>
      </c>
      <c r="B16" s="147">
        <v>1630551</v>
      </c>
      <c r="C16" s="262">
        <v>0</v>
      </c>
      <c r="D16" s="249">
        <v>32.979999999999997</v>
      </c>
      <c r="E16" s="14">
        <f>+C16*D16</f>
        <v>0</v>
      </c>
      <c r="F16" s="26">
        <f>+E16*0.0725</f>
        <v>0</v>
      </c>
      <c r="G16" s="14"/>
    </row>
    <row r="17" spans="1:8" x14ac:dyDescent="0.25">
      <c r="A17" s="147" t="s">
        <v>637</v>
      </c>
      <c r="B17" s="147">
        <v>3648606</v>
      </c>
      <c r="C17" s="262">
        <v>0</v>
      </c>
      <c r="D17" s="249">
        <v>700</v>
      </c>
      <c r="E17" s="14">
        <f>+C17*D17</f>
        <v>0</v>
      </c>
      <c r="F17" s="26">
        <f t="shared" ref="F17:F29" si="2">+E17*0.0725</f>
        <v>0</v>
      </c>
      <c r="G17" s="14"/>
    </row>
    <row r="18" spans="1:8" x14ac:dyDescent="0.25">
      <c r="A18" s="147" t="s">
        <v>331</v>
      </c>
      <c r="B18" s="147">
        <v>1654366</v>
      </c>
      <c r="C18" s="262">
        <v>0</v>
      </c>
      <c r="D18" s="249">
        <v>374.29</v>
      </c>
      <c r="E18" s="14">
        <f>+C18*D18</f>
        <v>0</v>
      </c>
      <c r="F18" s="26">
        <f t="shared" si="2"/>
        <v>0</v>
      </c>
      <c r="G18" s="14"/>
    </row>
    <row r="19" spans="1:8" x14ac:dyDescent="0.25">
      <c r="A19" s="147" t="s">
        <v>332</v>
      </c>
      <c r="B19" s="147">
        <v>118694</v>
      </c>
      <c r="C19" s="262">
        <v>0</v>
      </c>
      <c r="D19" s="249">
        <v>39.28</v>
      </c>
      <c r="E19" s="14">
        <f>+C19*D19</f>
        <v>0</v>
      </c>
      <c r="F19" s="26">
        <f t="shared" si="2"/>
        <v>0</v>
      </c>
      <c r="G19" s="14"/>
    </row>
    <row r="20" spans="1:8" x14ac:dyDescent="0.25">
      <c r="A20" s="147" t="s">
        <v>333</v>
      </c>
      <c r="B20" s="264"/>
      <c r="C20" s="262">
        <v>0</v>
      </c>
      <c r="D20" s="249">
        <v>189</v>
      </c>
      <c r="E20" s="14">
        <f>+C20*D20</f>
        <v>0</v>
      </c>
      <c r="F20" s="26">
        <f t="shared" si="2"/>
        <v>0</v>
      </c>
      <c r="G20" s="14"/>
    </row>
    <row r="21" spans="1:8" x14ac:dyDescent="0.25">
      <c r="A21" s="147" t="s">
        <v>558</v>
      </c>
      <c r="B21" s="264">
        <v>206332</v>
      </c>
      <c r="C21" s="262">
        <v>0</v>
      </c>
      <c r="D21" s="249">
        <v>32.85</v>
      </c>
      <c r="E21" s="14" t="s">
        <v>152</v>
      </c>
      <c r="F21" s="26"/>
      <c r="G21" s="14"/>
    </row>
    <row r="22" spans="1:8" x14ac:dyDescent="0.25">
      <c r="A22" s="147" t="s">
        <v>334</v>
      </c>
      <c r="B22" s="264"/>
      <c r="C22" s="262">
        <v>0</v>
      </c>
      <c r="D22" s="249">
        <v>169</v>
      </c>
      <c r="E22" s="14">
        <f t="shared" ref="E22:E29" si="3">+C22*D22</f>
        <v>0</v>
      </c>
      <c r="F22" s="26">
        <f t="shared" si="2"/>
        <v>0</v>
      </c>
      <c r="G22" s="14"/>
    </row>
    <row r="23" spans="1:8" x14ac:dyDescent="0.25">
      <c r="A23" s="264" t="s">
        <v>335</v>
      </c>
      <c r="B23" s="264">
        <v>1692925</v>
      </c>
      <c r="C23" s="262">
        <v>0</v>
      </c>
      <c r="D23" s="249">
        <v>170.39</v>
      </c>
      <c r="E23" s="14">
        <f t="shared" si="3"/>
        <v>0</v>
      </c>
      <c r="F23" s="26">
        <f t="shared" si="2"/>
        <v>0</v>
      </c>
      <c r="G23" s="14"/>
    </row>
    <row r="24" spans="1:8" x14ac:dyDescent="0.25">
      <c r="A24" s="264" t="s">
        <v>588</v>
      </c>
      <c r="B24" s="264"/>
      <c r="C24" s="262">
        <v>0</v>
      </c>
      <c r="D24" s="249">
        <v>900</v>
      </c>
      <c r="E24" s="14">
        <f t="shared" si="3"/>
        <v>0</v>
      </c>
      <c r="F24" s="26">
        <f>+E24*0.0725</f>
        <v>0</v>
      </c>
      <c r="G24" s="14"/>
    </row>
    <row r="25" spans="1:8" x14ac:dyDescent="0.25">
      <c r="A25" s="264" t="s">
        <v>589</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559</v>
      </c>
      <c r="B29" s="264"/>
      <c r="C29" s="262">
        <v>0</v>
      </c>
      <c r="D29" s="249">
        <v>0</v>
      </c>
      <c r="E29" s="14">
        <f t="shared" si="3"/>
        <v>0</v>
      </c>
      <c r="F29" s="26">
        <f t="shared" si="2"/>
        <v>0</v>
      </c>
      <c r="G29" s="21"/>
    </row>
    <row r="30" spans="1:8" x14ac:dyDescent="0.25">
      <c r="B30" s="2"/>
      <c r="C30" s="843" t="s">
        <v>336</v>
      </c>
      <c r="D30" s="843"/>
      <c r="E30" s="843"/>
      <c r="F30" s="30"/>
      <c r="G30" s="14">
        <f>IF(J4="yes",0,SUM(E9:E29)+SUM(F9:F29))</f>
        <v>0</v>
      </c>
    </row>
    <row r="31" spans="1:8" x14ac:dyDescent="0.25">
      <c r="H31" s="14" t="s">
        <v>152</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52" t="s">
        <v>257</v>
      </c>
      <c r="B1" s="3" t="s">
        <v>337</v>
      </c>
      <c r="C1" s="3"/>
    </row>
    <row r="2" spans="1:12" x14ac:dyDescent="0.25">
      <c r="D2" s="3"/>
      <c r="E2" s="8"/>
      <c r="F2" s="13"/>
      <c r="G2" s="13"/>
      <c r="H2" s="13"/>
    </row>
    <row r="3" spans="1:12" x14ac:dyDescent="0.25">
      <c r="B3" s="3" t="s">
        <v>212</v>
      </c>
      <c r="C3" s="3" t="s">
        <v>325</v>
      </c>
      <c r="D3" s="3" t="s">
        <v>269</v>
      </c>
      <c r="E3" s="8" t="s">
        <v>270</v>
      </c>
      <c r="F3" s="13" t="s">
        <v>271</v>
      </c>
      <c r="G3" s="13" t="s">
        <v>258</v>
      </c>
      <c r="H3" s="13" t="s">
        <v>272</v>
      </c>
    </row>
    <row r="4" spans="1:12" ht="15.75" thickBot="1" x14ac:dyDescent="0.3">
      <c r="B4" s="3" t="s">
        <v>639</v>
      </c>
      <c r="C4" s="3"/>
      <c r="D4" s="3"/>
      <c r="E4" s="8"/>
      <c r="F4" s="13"/>
      <c r="G4" s="13"/>
      <c r="H4" s="13"/>
    </row>
    <row r="5" spans="1:12" x14ac:dyDescent="0.25">
      <c r="B5" s="446" t="s">
        <v>344</v>
      </c>
      <c r="C5" s="446"/>
      <c r="D5" s="436">
        <v>1</v>
      </c>
      <c r="E5" s="443">
        <v>179</v>
      </c>
      <c r="F5" s="437">
        <f>+D5*E5</f>
        <v>179</v>
      </c>
      <c r="G5" s="444">
        <f t="shared" ref="G5:G9" si="0">+F5*0.0725</f>
        <v>12.977499999999999</v>
      </c>
      <c r="H5" s="442"/>
      <c r="J5" s="844" t="s">
        <v>2</v>
      </c>
      <c r="K5" s="844" t="str">
        <f>IF(Profit!Q6,IF(L5,"Yes","No"),"No")</f>
        <v>No</v>
      </c>
      <c r="L5" s="848" t="b">
        <v>0</v>
      </c>
    </row>
    <row r="6" spans="1:12" ht="15.75" thickBot="1" x14ac:dyDescent="0.3">
      <c r="B6" s="446" t="s">
        <v>643</v>
      </c>
      <c r="C6" s="446"/>
      <c r="D6" s="436">
        <v>1</v>
      </c>
      <c r="E6" s="443">
        <v>53.98</v>
      </c>
      <c r="F6" s="437">
        <f>+D6*E6</f>
        <v>53.98</v>
      </c>
      <c r="G6" s="444">
        <f t="shared" si="0"/>
        <v>3.9135499999999994</v>
      </c>
      <c r="H6" s="442"/>
      <c r="J6" s="845"/>
      <c r="K6" s="845"/>
      <c r="L6" s="849"/>
    </row>
    <row r="7" spans="1:12" x14ac:dyDescent="0.25">
      <c r="B7" s="446" t="s">
        <v>292</v>
      </c>
      <c r="C7" s="446"/>
      <c r="D7" s="436">
        <v>2</v>
      </c>
      <c r="E7" s="443">
        <v>15.47</v>
      </c>
      <c r="F7" s="437">
        <f>+D7*E7</f>
        <v>30.94</v>
      </c>
      <c r="G7" s="444">
        <f t="shared" si="0"/>
        <v>2.24315</v>
      </c>
      <c r="H7" s="442"/>
    </row>
    <row r="8" spans="1:12" x14ac:dyDescent="0.25">
      <c r="B8" s="446" t="s">
        <v>644</v>
      </c>
      <c r="C8" s="446"/>
      <c r="D8" s="436">
        <v>5</v>
      </c>
      <c r="E8" s="443">
        <v>39.979999999999997</v>
      </c>
      <c r="F8" s="437">
        <v>0</v>
      </c>
      <c r="G8" s="444">
        <f t="shared" si="0"/>
        <v>0</v>
      </c>
      <c r="H8" s="442"/>
    </row>
    <row r="9" spans="1:12" ht="15.75" thickBot="1" x14ac:dyDescent="0.3">
      <c r="B9" s="446" t="s">
        <v>341</v>
      </c>
      <c r="C9" s="446">
        <v>732291231619</v>
      </c>
      <c r="D9" s="436">
        <v>3</v>
      </c>
      <c r="E9" s="443">
        <v>99</v>
      </c>
      <c r="F9" s="445">
        <f>+D9*E9</f>
        <v>297</v>
      </c>
      <c r="G9" s="445">
        <f t="shared" si="0"/>
        <v>21.532499999999999</v>
      </c>
      <c r="H9" s="445"/>
    </row>
    <row r="10" spans="1:12" x14ac:dyDescent="0.25">
      <c r="B10" s="446"/>
      <c r="C10" s="446"/>
      <c r="D10" s="436"/>
      <c r="E10" s="443"/>
      <c r="F10" s="437"/>
      <c r="G10" s="437"/>
      <c r="H10" s="437">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894</v>
      </c>
      <c r="C13" s="264" t="s">
        <v>895</v>
      </c>
      <c r="D13" s="262">
        <v>2</v>
      </c>
      <c r="E13" s="249">
        <v>28.12</v>
      </c>
      <c r="F13" s="14">
        <f>+D13*E13</f>
        <v>56.24</v>
      </c>
      <c r="G13" s="26">
        <f t="shared" ref="G13:G30" si="1">+F13*0.0725</f>
        <v>4.0773999999999999</v>
      </c>
      <c r="H13" s="13"/>
    </row>
    <row r="14" spans="1:12" x14ac:dyDescent="0.25">
      <c r="B14" s="264" t="s">
        <v>879</v>
      </c>
      <c r="C14" s="264" t="s">
        <v>880</v>
      </c>
      <c r="D14" s="262">
        <v>1</v>
      </c>
      <c r="E14" s="249">
        <v>48.58</v>
      </c>
      <c r="F14" s="14">
        <f>+D14*E14</f>
        <v>48.58</v>
      </c>
      <c r="G14" s="26">
        <f t="shared" si="1"/>
        <v>3.5220499999999997</v>
      </c>
    </row>
    <row r="15" spans="1:12" x14ac:dyDescent="0.25">
      <c r="B15" s="264" t="s">
        <v>890</v>
      </c>
      <c r="C15" s="264" t="s">
        <v>891</v>
      </c>
      <c r="D15" s="262">
        <v>1</v>
      </c>
      <c r="E15" s="249">
        <v>35.229999999999997</v>
      </c>
      <c r="F15" s="14">
        <f>+D15*E15</f>
        <v>35.229999999999997</v>
      </c>
      <c r="G15" s="26">
        <f t="shared" si="1"/>
        <v>2.5541749999999994</v>
      </c>
    </row>
    <row r="16" spans="1:12" x14ac:dyDescent="0.25">
      <c r="B16" s="264" t="s">
        <v>892</v>
      </c>
      <c r="C16" s="264" t="s">
        <v>893</v>
      </c>
      <c r="D16" s="262">
        <v>1</v>
      </c>
      <c r="E16" s="249">
        <v>6.33</v>
      </c>
      <c r="F16" s="14">
        <f>+D16*E16</f>
        <v>6.33</v>
      </c>
      <c r="G16" s="26">
        <f t="shared" si="1"/>
        <v>0.45892499999999997</v>
      </c>
    </row>
    <row r="17" spans="1:11" x14ac:dyDescent="0.25">
      <c r="B17" s="264" t="s">
        <v>338</v>
      </c>
      <c r="C17" s="264">
        <v>1233228</v>
      </c>
      <c r="D17" s="262">
        <v>0</v>
      </c>
      <c r="E17" s="249">
        <v>39.979999999999997</v>
      </c>
      <c r="F17" s="14">
        <v>0</v>
      </c>
      <c r="G17" s="26">
        <f t="shared" si="1"/>
        <v>0</v>
      </c>
    </row>
    <row r="18" spans="1:11" x14ac:dyDescent="0.25">
      <c r="B18" s="264" t="s">
        <v>339</v>
      </c>
      <c r="C18" s="264" t="s">
        <v>152</v>
      </c>
      <c r="D18" s="262">
        <v>0</v>
      </c>
      <c r="E18" s="249">
        <v>6.99</v>
      </c>
      <c r="F18" s="14">
        <f t="shared" ref="F18:F29" si="2">+D18*E18</f>
        <v>0</v>
      </c>
      <c r="G18" s="26">
        <f t="shared" si="1"/>
        <v>0</v>
      </c>
    </row>
    <row r="19" spans="1:11" x14ac:dyDescent="0.25">
      <c r="B19" s="264" t="s">
        <v>340</v>
      </c>
      <c r="C19" s="264"/>
      <c r="D19" s="262">
        <v>0</v>
      </c>
      <c r="E19" s="249">
        <v>24.4</v>
      </c>
      <c r="F19" s="14">
        <f t="shared" si="2"/>
        <v>0</v>
      </c>
      <c r="G19" s="26">
        <f t="shared" si="1"/>
        <v>0</v>
      </c>
    </row>
    <row r="20" spans="1:11" x14ac:dyDescent="0.25">
      <c r="B20" s="264" t="s">
        <v>341</v>
      </c>
      <c r="C20" s="264" t="s">
        <v>522</v>
      </c>
      <c r="D20" s="262">
        <v>0</v>
      </c>
      <c r="E20" s="249">
        <v>89.1</v>
      </c>
      <c r="F20" s="14">
        <f t="shared" si="2"/>
        <v>0</v>
      </c>
      <c r="G20" s="26">
        <f t="shared" si="1"/>
        <v>0</v>
      </c>
    </row>
    <row r="21" spans="1:11" x14ac:dyDescent="0.25">
      <c r="B21" s="264" t="s">
        <v>342</v>
      </c>
      <c r="C21" s="289">
        <v>26508261804</v>
      </c>
      <c r="D21" s="262">
        <v>0</v>
      </c>
      <c r="E21" s="249">
        <v>114</v>
      </c>
      <c r="F21" s="14">
        <f t="shared" si="2"/>
        <v>0</v>
      </c>
      <c r="G21" s="26">
        <f t="shared" si="1"/>
        <v>0</v>
      </c>
    </row>
    <row r="22" spans="1:11" x14ac:dyDescent="0.25">
      <c r="B22" s="264" t="s">
        <v>292</v>
      </c>
      <c r="C22" s="264">
        <v>6925699939094</v>
      </c>
      <c r="D22" s="262">
        <v>0</v>
      </c>
      <c r="E22" s="249">
        <v>34.979999999999997</v>
      </c>
      <c r="F22" s="14">
        <f t="shared" si="2"/>
        <v>0</v>
      </c>
      <c r="G22" s="26">
        <f t="shared" si="1"/>
        <v>0</v>
      </c>
    </row>
    <row r="23" spans="1:11" x14ac:dyDescent="0.25">
      <c r="B23" s="264" t="s">
        <v>343</v>
      </c>
      <c r="C23" s="264"/>
      <c r="D23" s="262">
        <v>0</v>
      </c>
      <c r="E23" s="249"/>
      <c r="F23" s="14">
        <f t="shared" si="2"/>
        <v>0</v>
      </c>
      <c r="G23" s="26">
        <f t="shared" si="1"/>
        <v>0</v>
      </c>
    </row>
    <row r="24" spans="1:11" x14ac:dyDescent="0.25">
      <c r="B24" s="264" t="s">
        <v>344</v>
      </c>
      <c r="C24" s="264">
        <v>38877656754</v>
      </c>
      <c r="D24" s="262">
        <v>0</v>
      </c>
      <c r="E24" s="249">
        <v>169</v>
      </c>
      <c r="F24" s="14">
        <f t="shared" si="2"/>
        <v>0</v>
      </c>
      <c r="G24" s="26">
        <f t="shared" si="1"/>
        <v>0</v>
      </c>
    </row>
    <row r="25" spans="1:11" x14ac:dyDescent="0.25">
      <c r="B25" s="264" t="s">
        <v>341</v>
      </c>
      <c r="C25" s="264" t="s">
        <v>864</v>
      </c>
      <c r="D25" s="262">
        <v>1</v>
      </c>
      <c r="E25" s="249">
        <v>89.1</v>
      </c>
      <c r="F25" s="14">
        <f t="shared" si="2"/>
        <v>89.1</v>
      </c>
      <c r="G25" s="26">
        <f t="shared" si="1"/>
        <v>6.4597499999999988</v>
      </c>
    </row>
    <row r="26" spans="1:11" x14ac:dyDescent="0.25">
      <c r="B26" s="264" t="s">
        <v>345</v>
      </c>
      <c r="C26" s="264"/>
      <c r="D26" s="262">
        <v>0</v>
      </c>
      <c r="E26" s="249">
        <v>-29.7</v>
      </c>
      <c r="F26" s="14">
        <f t="shared" si="2"/>
        <v>0</v>
      </c>
      <c r="G26" s="26">
        <f t="shared" si="1"/>
        <v>0</v>
      </c>
    </row>
    <row r="27" spans="1:11" x14ac:dyDescent="0.25">
      <c r="A27" s="12">
        <v>45845</v>
      </c>
      <c r="B27" s="264" t="s">
        <v>926</v>
      </c>
      <c r="C27" s="553">
        <v>45845</v>
      </c>
      <c r="D27" s="262">
        <v>1</v>
      </c>
      <c r="E27" s="249">
        <v>1299.33</v>
      </c>
      <c r="F27" s="14">
        <f t="shared" si="2"/>
        <v>1299.33</v>
      </c>
      <c r="G27" s="26" t="s">
        <v>152</v>
      </c>
    </row>
    <row r="28" spans="1:11" x14ac:dyDescent="0.25">
      <c r="A28" s="12">
        <v>45845</v>
      </c>
      <c r="B28" s="264" t="s">
        <v>946</v>
      </c>
      <c r="C28" s="553">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346</v>
      </c>
      <c r="B1" s="32"/>
      <c r="C1" s="32"/>
    </row>
    <row r="2" spans="1:13" x14ac:dyDescent="0.25">
      <c r="D2" s="3"/>
      <c r="E2" s="8"/>
      <c r="F2" s="13"/>
      <c r="G2" s="13"/>
      <c r="H2" s="13"/>
      <c r="K2" s="844" t="s">
        <v>2</v>
      </c>
      <c r="L2" s="844" t="str">
        <f>IF(Profit!Q6,IF(M2,"Yes","No"),"No")</f>
        <v>No</v>
      </c>
      <c r="M2" s="848" t="b">
        <v>1</v>
      </c>
    </row>
    <row r="3" spans="1:13" s="22" customFormat="1" ht="14.25" customHeight="1" thickBot="1" x14ac:dyDescent="0.3">
      <c r="A3" s="3" t="s">
        <v>212</v>
      </c>
      <c r="B3" s="3" t="s">
        <v>257</v>
      </c>
      <c r="C3" s="3" t="s">
        <v>325</v>
      </c>
      <c r="D3" s="3" t="s">
        <v>269</v>
      </c>
      <c r="E3" s="8" t="s">
        <v>270</v>
      </c>
      <c r="F3" s="13" t="s">
        <v>271</v>
      </c>
      <c r="G3" s="13"/>
      <c r="H3" s="13" t="s">
        <v>272</v>
      </c>
      <c r="K3" s="845"/>
      <c r="L3" s="845"/>
      <c r="M3" s="849"/>
    </row>
    <row r="4" spans="1:13" s="22" customFormat="1" ht="14.25" customHeight="1" x14ac:dyDescent="0.25">
      <c r="A4" s="3"/>
      <c r="B4" s="3"/>
      <c r="C4" s="3"/>
      <c r="D4" s="3"/>
      <c r="E4" s="8"/>
      <c r="F4" s="13"/>
      <c r="G4" s="13"/>
      <c r="H4" s="13"/>
      <c r="K4"/>
      <c r="L4"/>
      <c r="M4"/>
    </row>
    <row r="5" spans="1:13" s="22" customFormat="1" ht="14.25" customHeight="1" x14ac:dyDescent="0.25">
      <c r="A5" s="3"/>
      <c r="B5" s="474"/>
      <c r="C5" s="3"/>
      <c r="D5" s="3" t="s">
        <v>152</v>
      </c>
      <c r="E5" s="8" t="s">
        <v>152</v>
      </c>
      <c r="F5" s="14" t="s">
        <v>152</v>
      </c>
      <c r="G5" s="14"/>
      <c r="H5" s="13"/>
      <c r="K5"/>
      <c r="L5"/>
      <c r="M5"/>
    </row>
    <row r="6" spans="1:13" s="22" customFormat="1" ht="14.25" customHeight="1" x14ac:dyDescent="0.25">
      <c r="A6" s="3" t="s">
        <v>871</v>
      </c>
      <c r="B6" s="3" t="s">
        <v>872</v>
      </c>
      <c r="C6" s="3"/>
      <c r="D6" s="3">
        <v>6</v>
      </c>
      <c r="E6" s="8">
        <v>8.91</v>
      </c>
      <c r="F6" s="14">
        <f t="shared" ref="F6:F18" si="0">+D6*E6</f>
        <v>53.46</v>
      </c>
      <c r="G6" s="14">
        <f>+F6*0.0725</f>
        <v>3.8758499999999998</v>
      </c>
      <c r="H6" s="13"/>
      <c r="K6"/>
      <c r="L6"/>
      <c r="M6"/>
    </row>
    <row r="7" spans="1:13" ht="14.25" customHeight="1" x14ac:dyDescent="0.25">
      <c r="A7" s="32" t="s">
        <v>347</v>
      </c>
      <c r="B7" s="32"/>
      <c r="C7" s="32">
        <v>935605</v>
      </c>
      <c r="D7" s="264">
        <v>0</v>
      </c>
      <c r="E7" s="249">
        <v>209</v>
      </c>
      <c r="F7" s="14">
        <f t="shared" si="0"/>
        <v>0</v>
      </c>
      <c r="G7" s="14">
        <f t="shared" ref="G7:G37" si="1">+F7*0.0725</f>
        <v>0</v>
      </c>
      <c r="H7" s="13"/>
    </row>
    <row r="8" spans="1:13" ht="14.25" customHeight="1" x14ac:dyDescent="0.25">
      <c r="A8" s="32" t="s">
        <v>918</v>
      </c>
      <c r="B8" s="32" t="s">
        <v>917</v>
      </c>
      <c r="C8" s="32" t="s">
        <v>152</v>
      </c>
      <c r="D8" s="264">
        <v>1</v>
      </c>
      <c r="E8" s="249">
        <v>5.68</v>
      </c>
      <c r="F8" s="14">
        <f t="shared" si="0"/>
        <v>5.68</v>
      </c>
      <c r="G8" s="14">
        <f t="shared" si="1"/>
        <v>0.41179999999999994</v>
      </c>
      <c r="H8" s="13"/>
    </row>
    <row r="9" spans="1:13" ht="14.25" customHeight="1" x14ac:dyDescent="0.25">
      <c r="A9" s="32" t="s">
        <v>916</v>
      </c>
      <c r="B9" s="32" t="s">
        <v>878</v>
      </c>
      <c r="C9" s="32" t="s">
        <v>152</v>
      </c>
      <c r="D9" s="264">
        <v>1</v>
      </c>
      <c r="E9" s="249">
        <v>47.48</v>
      </c>
      <c r="F9" s="14">
        <f>+D9*E9</f>
        <v>47.48</v>
      </c>
      <c r="G9" s="14">
        <f t="shared" si="1"/>
        <v>3.4422999999999995</v>
      </c>
      <c r="H9" s="13"/>
    </row>
    <row r="10" spans="1:13" ht="14.25" customHeight="1" x14ac:dyDescent="0.25">
      <c r="A10" s="32" t="s">
        <v>914</v>
      </c>
      <c r="B10" s="32" t="s">
        <v>915</v>
      </c>
      <c r="C10" s="32" t="s">
        <v>152</v>
      </c>
      <c r="D10" s="262">
        <v>1</v>
      </c>
      <c r="E10" s="249">
        <v>74.08</v>
      </c>
      <c r="F10" s="14">
        <f t="shared" si="0"/>
        <v>74.08</v>
      </c>
      <c r="G10" s="14">
        <f t="shared" si="1"/>
        <v>5.3707999999999991</v>
      </c>
    </row>
    <row r="11" spans="1:13" ht="14.25" customHeight="1" x14ac:dyDescent="0.25">
      <c r="A11" s="32" t="s">
        <v>912</v>
      </c>
      <c r="B11" s="32" t="s">
        <v>913</v>
      </c>
      <c r="C11" s="32" t="s">
        <v>152</v>
      </c>
      <c r="D11" s="262">
        <v>1</v>
      </c>
      <c r="E11" s="249">
        <v>47.96</v>
      </c>
      <c r="F11" s="14">
        <f t="shared" si="0"/>
        <v>47.96</v>
      </c>
      <c r="G11" s="14">
        <f t="shared" si="1"/>
        <v>3.4770999999999996</v>
      </c>
    </row>
    <row r="12" spans="1:13" ht="14.25" customHeight="1" x14ac:dyDescent="0.25">
      <c r="A12" s="32" t="s">
        <v>888</v>
      </c>
      <c r="B12" s="32" t="s">
        <v>889</v>
      </c>
      <c r="C12" s="32" t="s">
        <v>152</v>
      </c>
      <c r="D12" s="262">
        <v>1</v>
      </c>
      <c r="E12" s="249">
        <v>104.72</v>
      </c>
      <c r="F12" s="14">
        <f>+D12*E12</f>
        <v>104.72</v>
      </c>
      <c r="G12" s="14">
        <f t="shared" si="1"/>
        <v>7.5921999999999992</v>
      </c>
    </row>
    <row r="13" spans="1:13" ht="14.25" customHeight="1" x14ac:dyDescent="0.25">
      <c r="A13" s="32" t="s">
        <v>886</v>
      </c>
      <c r="B13" s="32" t="s">
        <v>887</v>
      </c>
      <c r="C13" s="32" t="s">
        <v>152</v>
      </c>
      <c r="D13" s="262">
        <v>1</v>
      </c>
      <c r="E13" s="249">
        <v>103.04</v>
      </c>
      <c r="F13" s="14">
        <f t="shared" si="0"/>
        <v>103.04</v>
      </c>
      <c r="G13" s="14">
        <f t="shared" si="1"/>
        <v>7.4703999999999997</v>
      </c>
    </row>
    <row r="14" spans="1:13" ht="14.25" customHeight="1" x14ac:dyDescent="0.25">
      <c r="A14" s="32" t="s">
        <v>883</v>
      </c>
      <c r="B14" s="32" t="s">
        <v>885</v>
      </c>
      <c r="C14" s="32" t="s">
        <v>152</v>
      </c>
      <c r="D14" s="262">
        <v>2</v>
      </c>
      <c r="E14" s="249">
        <v>18.46</v>
      </c>
      <c r="F14" s="14">
        <f t="shared" si="0"/>
        <v>36.92</v>
      </c>
      <c r="G14" s="14">
        <f t="shared" si="1"/>
        <v>2.6766999999999999</v>
      </c>
    </row>
    <row r="15" spans="1:13" ht="14.25" customHeight="1" x14ac:dyDescent="0.25">
      <c r="A15" s="32" t="s">
        <v>883</v>
      </c>
      <c r="B15" s="32" t="s">
        <v>884</v>
      </c>
      <c r="C15" s="32" t="s">
        <v>152</v>
      </c>
      <c r="D15" s="262">
        <v>2</v>
      </c>
      <c r="E15" s="249">
        <v>14.5</v>
      </c>
      <c r="F15" s="14">
        <f t="shared" si="0"/>
        <v>29</v>
      </c>
      <c r="G15" s="14">
        <f t="shared" si="1"/>
        <v>2.1025</v>
      </c>
    </row>
    <row r="16" spans="1:13" ht="14.25" customHeight="1" x14ac:dyDescent="0.25">
      <c r="A16" s="32" t="s">
        <v>877</v>
      </c>
      <c r="B16" s="32" t="s">
        <v>878</v>
      </c>
      <c r="C16" s="32" t="s">
        <v>152</v>
      </c>
      <c r="D16" s="262">
        <v>1</v>
      </c>
      <c r="E16" s="249">
        <v>44.98</v>
      </c>
      <c r="F16" s="14">
        <f t="shared" si="0"/>
        <v>44.98</v>
      </c>
      <c r="G16" s="14">
        <f t="shared" si="1"/>
        <v>3.2610499999999996</v>
      </c>
    </row>
    <row r="17" spans="1:7" ht="14.25" customHeight="1" x14ac:dyDescent="0.25">
      <c r="A17" s="32" t="s">
        <v>875</v>
      </c>
      <c r="B17" s="32" t="s">
        <v>876</v>
      </c>
      <c r="C17" s="32"/>
      <c r="D17" s="262">
        <v>1</v>
      </c>
      <c r="E17" s="249">
        <v>66.599999999999994</v>
      </c>
      <c r="F17" s="14">
        <f t="shared" si="0"/>
        <v>66.599999999999994</v>
      </c>
      <c r="G17" s="14">
        <f t="shared" si="1"/>
        <v>4.8284999999999991</v>
      </c>
    </row>
    <row r="18" spans="1:7" ht="14.25" customHeight="1" x14ac:dyDescent="0.25">
      <c r="A18" s="32" t="s">
        <v>874</v>
      </c>
      <c r="B18" s="32" t="s">
        <v>873</v>
      </c>
      <c r="C18" s="32" t="s">
        <v>152</v>
      </c>
      <c r="D18" s="262">
        <v>2</v>
      </c>
      <c r="E18" s="249">
        <v>16.809999999999999</v>
      </c>
      <c r="F18" s="14">
        <f t="shared" si="0"/>
        <v>33.619999999999997</v>
      </c>
      <c r="G18" s="14">
        <f t="shared" si="1"/>
        <v>2.4374499999999997</v>
      </c>
    </row>
    <row r="19" spans="1:7" ht="14.25" customHeight="1" x14ac:dyDescent="0.25">
      <c r="A19" s="326" t="s">
        <v>551</v>
      </c>
      <c r="B19" s="326"/>
      <c r="C19" s="326">
        <v>25598</v>
      </c>
      <c r="D19" s="262">
        <v>0</v>
      </c>
      <c r="E19" s="249">
        <v>101</v>
      </c>
      <c r="F19" s="14">
        <f t="shared" ref="F19:F37" si="2">+D19*E19</f>
        <v>0</v>
      </c>
      <c r="G19" s="14">
        <f t="shared" si="1"/>
        <v>0</v>
      </c>
    </row>
    <row r="20" spans="1:7" ht="14.25" customHeight="1" x14ac:dyDescent="0.25">
      <c r="A20" s="326" t="s">
        <v>521</v>
      </c>
      <c r="B20" s="326"/>
      <c r="C20" s="326">
        <v>30151125574</v>
      </c>
      <c r="D20" s="262">
        <v>0</v>
      </c>
      <c r="E20" s="249">
        <v>91.46</v>
      </c>
      <c r="F20" s="14">
        <f t="shared" si="2"/>
        <v>0</v>
      </c>
      <c r="G20" s="14">
        <f t="shared" si="1"/>
        <v>0</v>
      </c>
    </row>
    <row r="21" spans="1:7" ht="14.25" customHeight="1" x14ac:dyDescent="0.25">
      <c r="A21" s="32" t="s">
        <v>348</v>
      </c>
      <c r="B21" s="32"/>
      <c r="C21" s="32"/>
      <c r="D21" s="262">
        <v>0</v>
      </c>
      <c r="E21" s="249">
        <v>284.56</v>
      </c>
      <c r="F21" s="14">
        <f t="shared" si="2"/>
        <v>0</v>
      </c>
      <c r="G21" s="14">
        <f t="shared" si="1"/>
        <v>0</v>
      </c>
    </row>
    <row r="22" spans="1:7" ht="14.25" customHeight="1" x14ac:dyDescent="0.25">
      <c r="A22" s="32" t="s">
        <v>349</v>
      </c>
      <c r="B22" s="32"/>
      <c r="C22" s="32">
        <v>72904</v>
      </c>
      <c r="D22" s="262">
        <v>0</v>
      </c>
      <c r="E22" s="249">
        <v>429.62</v>
      </c>
      <c r="F22" s="14">
        <f>+D22*E22</f>
        <v>0</v>
      </c>
      <c r="G22" s="14">
        <f t="shared" si="1"/>
        <v>0</v>
      </c>
    </row>
    <row r="23" spans="1:7" ht="14.25" customHeight="1" x14ac:dyDescent="0.25">
      <c r="A23" s="32" t="s">
        <v>350</v>
      </c>
      <c r="B23" s="32"/>
      <c r="C23" s="32" t="s">
        <v>565</v>
      </c>
      <c r="D23" s="262">
        <v>0</v>
      </c>
      <c r="E23" s="249">
        <v>8.77</v>
      </c>
      <c r="F23" s="14">
        <f t="shared" si="2"/>
        <v>0</v>
      </c>
      <c r="G23" s="14">
        <f t="shared" si="1"/>
        <v>0</v>
      </c>
    </row>
    <row r="24" spans="1:7" ht="14.25" customHeight="1" x14ac:dyDescent="0.25">
      <c r="A24" s="326" t="s">
        <v>562</v>
      </c>
      <c r="B24" s="326"/>
      <c r="C24" s="326" t="s">
        <v>567</v>
      </c>
      <c r="D24" s="262">
        <v>0</v>
      </c>
      <c r="E24" s="249">
        <v>18.88</v>
      </c>
      <c r="F24" s="14">
        <f t="shared" si="2"/>
        <v>0</v>
      </c>
      <c r="G24" s="14">
        <f t="shared" si="1"/>
        <v>0</v>
      </c>
    </row>
    <row r="25" spans="1:7" ht="14.25" customHeight="1" x14ac:dyDescent="0.25">
      <c r="A25" s="326" t="s">
        <v>563</v>
      </c>
      <c r="B25" s="326"/>
      <c r="C25" s="326" t="s">
        <v>566</v>
      </c>
      <c r="D25" s="262">
        <v>0</v>
      </c>
      <c r="E25" s="249">
        <v>47.14</v>
      </c>
      <c r="F25" s="14">
        <f t="shared" si="2"/>
        <v>0</v>
      </c>
      <c r="G25" s="14">
        <f t="shared" si="1"/>
        <v>0</v>
      </c>
    </row>
    <row r="26" spans="1:7" ht="14.25" customHeight="1" x14ac:dyDescent="0.25">
      <c r="A26" s="326" t="s">
        <v>563</v>
      </c>
      <c r="B26" s="326"/>
      <c r="C26" s="326" t="s">
        <v>564</v>
      </c>
      <c r="D26" s="262">
        <v>0</v>
      </c>
      <c r="E26" s="249">
        <v>27.73</v>
      </c>
      <c r="F26" s="14">
        <f t="shared" si="2"/>
        <v>0</v>
      </c>
      <c r="G26" s="14">
        <f t="shared" si="1"/>
        <v>0</v>
      </c>
    </row>
    <row r="27" spans="1:7" ht="14.25" customHeight="1" x14ac:dyDescent="0.25">
      <c r="A27" s="32" t="s">
        <v>351</v>
      </c>
      <c r="B27" s="32"/>
      <c r="C27" s="32">
        <v>5279793</v>
      </c>
      <c r="D27" s="262">
        <v>1</v>
      </c>
      <c r="E27" s="249">
        <v>66.48</v>
      </c>
      <c r="F27" s="14">
        <f t="shared" si="2"/>
        <v>66.48</v>
      </c>
      <c r="G27" s="14">
        <f t="shared" si="1"/>
        <v>4.8197999999999999</v>
      </c>
    </row>
    <row r="28" spans="1:7" ht="14.25" customHeight="1" x14ac:dyDescent="0.25">
      <c r="A28" s="32" t="s">
        <v>352</v>
      </c>
      <c r="B28" s="32"/>
      <c r="C28" s="32">
        <v>287027</v>
      </c>
      <c r="D28" s="262">
        <v>0</v>
      </c>
      <c r="E28" s="249">
        <v>50.48</v>
      </c>
      <c r="F28" s="14">
        <f t="shared" si="2"/>
        <v>0</v>
      </c>
      <c r="G28" s="14">
        <f t="shared" si="1"/>
        <v>0</v>
      </c>
    </row>
    <row r="29" spans="1:7" ht="14.25" customHeight="1" x14ac:dyDescent="0.25">
      <c r="A29" s="32" t="s">
        <v>867</v>
      </c>
      <c r="B29" s="32" t="s">
        <v>868</v>
      </c>
      <c r="C29" s="32"/>
      <c r="D29" s="262">
        <v>8</v>
      </c>
      <c r="E29" s="249">
        <v>16.32</v>
      </c>
      <c r="F29" s="14">
        <f t="shared" si="2"/>
        <v>130.56</v>
      </c>
      <c r="G29" s="14">
        <f t="shared" si="1"/>
        <v>9.4656000000000002</v>
      </c>
    </row>
    <row r="30" spans="1:7" ht="14.25" customHeight="1" x14ac:dyDescent="0.25">
      <c r="A30" s="32" t="s">
        <v>353</v>
      </c>
      <c r="B30" s="32"/>
      <c r="C30" s="32" t="s">
        <v>549</v>
      </c>
      <c r="D30" s="262">
        <v>0</v>
      </c>
      <c r="E30" s="249">
        <v>69.97</v>
      </c>
      <c r="F30" s="14">
        <f t="shared" si="2"/>
        <v>0</v>
      </c>
      <c r="G30" s="14">
        <f t="shared" si="1"/>
        <v>0</v>
      </c>
    </row>
    <row r="31" spans="1:7" ht="14.25" customHeight="1" x14ac:dyDescent="0.25">
      <c r="A31" s="32" t="s">
        <v>354</v>
      </c>
      <c r="B31" s="32" t="s">
        <v>863</v>
      </c>
      <c r="C31" s="32" t="s">
        <v>152</v>
      </c>
      <c r="D31" s="262">
        <v>2</v>
      </c>
      <c r="E31" s="249">
        <v>95.68</v>
      </c>
      <c r="F31" s="14">
        <f t="shared" si="2"/>
        <v>191.36</v>
      </c>
      <c r="G31" s="14">
        <f t="shared" si="1"/>
        <v>13.8736</v>
      </c>
    </row>
    <row r="32" spans="1:7" ht="14.25" customHeight="1" x14ac:dyDescent="0.25">
      <c r="A32" s="32" t="s">
        <v>355</v>
      </c>
      <c r="B32" s="32"/>
      <c r="C32" s="32" t="s">
        <v>356</v>
      </c>
      <c r="D32" s="262">
        <v>0</v>
      </c>
      <c r="E32" s="249">
        <v>12.97</v>
      </c>
      <c r="F32" s="14">
        <f t="shared" si="2"/>
        <v>0</v>
      </c>
      <c r="G32" s="14">
        <f t="shared" si="1"/>
        <v>0</v>
      </c>
    </row>
    <row r="33" spans="1:11" ht="14.25" customHeight="1" x14ac:dyDescent="0.25">
      <c r="A33" s="32" t="s">
        <v>357</v>
      </c>
      <c r="B33" s="32"/>
      <c r="C33" s="32"/>
      <c r="D33" s="262"/>
      <c r="E33" s="249"/>
      <c r="F33" s="14">
        <f t="shared" si="2"/>
        <v>0</v>
      </c>
      <c r="G33" s="14">
        <f t="shared" si="1"/>
        <v>0</v>
      </c>
    </row>
    <row r="34" spans="1:11" ht="14.25" customHeight="1" x14ac:dyDescent="0.25">
      <c r="A34" s="32" t="s">
        <v>358</v>
      </c>
      <c r="B34" s="32"/>
      <c r="C34" s="32">
        <v>30699285174</v>
      </c>
      <c r="D34" s="262">
        <v>0</v>
      </c>
      <c r="E34" s="249">
        <v>12.93</v>
      </c>
      <c r="F34" s="14">
        <f t="shared" si="2"/>
        <v>0</v>
      </c>
      <c r="G34" s="14">
        <f t="shared" si="1"/>
        <v>0</v>
      </c>
    </row>
    <row r="35" spans="1:11" ht="14.25" customHeight="1" x14ac:dyDescent="0.25">
      <c r="A35" s="32" t="s">
        <v>359</v>
      </c>
      <c r="B35" s="32"/>
      <c r="C35" s="290">
        <v>883351469845</v>
      </c>
      <c r="D35" s="262">
        <v>0</v>
      </c>
      <c r="E35" s="249">
        <v>47.97</v>
      </c>
      <c r="F35" s="14">
        <f t="shared" si="2"/>
        <v>0</v>
      </c>
      <c r="G35" s="14">
        <f t="shared" si="1"/>
        <v>0</v>
      </c>
    </row>
    <row r="36" spans="1:11" ht="14.25" customHeight="1" x14ac:dyDescent="0.25">
      <c r="A36" s="32" t="s">
        <v>360</v>
      </c>
      <c r="B36" s="32"/>
      <c r="C36" s="290">
        <v>883351891448</v>
      </c>
      <c r="D36" s="262">
        <v>0</v>
      </c>
      <c r="E36" s="249">
        <v>77.569999999999993</v>
      </c>
      <c r="F36" s="14">
        <f t="shared" si="2"/>
        <v>0</v>
      </c>
      <c r="G36" s="14">
        <f t="shared" si="1"/>
        <v>0</v>
      </c>
    </row>
    <row r="37" spans="1:11" ht="14.25" customHeight="1" thickBot="1" x14ac:dyDescent="0.3">
      <c r="A37" s="32" t="s">
        <v>361</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362</v>
      </c>
      <c r="B1" s="3"/>
    </row>
    <row r="2" spans="1:12" x14ac:dyDescent="0.25">
      <c r="C2" s="3"/>
      <c r="D2" s="8"/>
      <c r="E2" s="13"/>
      <c r="F2" s="13"/>
      <c r="G2" s="13"/>
      <c r="J2" s="844" t="s">
        <v>2</v>
      </c>
      <c r="K2" s="844" t="str">
        <f>IF(Profit!Q6,IF(L2,"Yes","No"),"No")</f>
        <v>No</v>
      </c>
      <c r="L2" s="848" t="b">
        <v>1</v>
      </c>
    </row>
    <row r="3" spans="1:12" ht="15.75" thickBot="1" x14ac:dyDescent="0.3">
      <c r="A3" s="31" t="s">
        <v>212</v>
      </c>
      <c r="B3" s="31" t="s">
        <v>325</v>
      </c>
      <c r="C3" s="31" t="s">
        <v>269</v>
      </c>
      <c r="D3" s="268" t="s">
        <v>270</v>
      </c>
      <c r="E3" s="269" t="s">
        <v>271</v>
      </c>
      <c r="F3" s="269" t="s">
        <v>258</v>
      </c>
      <c r="G3" s="269" t="s">
        <v>272</v>
      </c>
      <c r="J3" s="845"/>
      <c r="K3" s="845"/>
      <c r="L3" s="849"/>
    </row>
    <row r="4" spans="1:12" x14ac:dyDescent="0.25">
      <c r="A4" s="266"/>
      <c r="B4" s="266" t="s">
        <v>363</v>
      </c>
      <c r="C4" s="264">
        <v>0</v>
      </c>
      <c r="D4" s="267">
        <v>154</v>
      </c>
      <c r="E4" s="1">
        <f>C4*D4</f>
        <v>0</v>
      </c>
      <c r="F4" s="26">
        <f t="shared" ref="F4:F22" si="0">+E4*0.0725</f>
        <v>0</v>
      </c>
      <c r="G4" s="13"/>
    </row>
    <row r="5" spans="1:12" x14ac:dyDescent="0.25">
      <c r="A5" s="264" t="s">
        <v>364</v>
      </c>
      <c r="B5" s="264">
        <v>795984</v>
      </c>
      <c r="C5" s="262">
        <v>0</v>
      </c>
      <c r="D5" s="249">
        <v>144</v>
      </c>
      <c r="E5" s="1">
        <f>C5*D5</f>
        <v>0</v>
      </c>
      <c r="F5" s="26">
        <f t="shared" si="0"/>
        <v>0</v>
      </c>
    </row>
    <row r="6" spans="1:12" x14ac:dyDescent="0.25">
      <c r="A6" s="264" t="s">
        <v>365</v>
      </c>
      <c r="B6" s="264" t="s">
        <v>365</v>
      </c>
      <c r="C6" s="262">
        <v>0</v>
      </c>
      <c r="D6" s="249">
        <v>224</v>
      </c>
      <c r="E6" s="1">
        <f t="shared" ref="E6:E22" si="1">C6*D6</f>
        <v>0</v>
      </c>
      <c r="F6" s="26">
        <f t="shared" si="0"/>
        <v>0</v>
      </c>
    </row>
    <row r="7" spans="1:12" x14ac:dyDescent="0.25">
      <c r="A7" s="264" t="s">
        <v>366</v>
      </c>
      <c r="B7" s="264" t="s">
        <v>367</v>
      </c>
      <c r="C7" s="262">
        <v>0</v>
      </c>
      <c r="D7" s="249">
        <v>152</v>
      </c>
      <c r="E7" s="1">
        <f t="shared" si="1"/>
        <v>0</v>
      </c>
      <c r="F7" s="26">
        <f t="shared" si="0"/>
        <v>0</v>
      </c>
    </row>
    <row r="8" spans="1:12" x14ac:dyDescent="0.25">
      <c r="A8" s="264" t="s">
        <v>368</v>
      </c>
      <c r="B8" s="264" t="s">
        <v>369</v>
      </c>
      <c r="C8" s="262">
        <v>0</v>
      </c>
      <c r="D8" s="249">
        <v>50</v>
      </c>
      <c r="E8" s="1">
        <f t="shared" si="1"/>
        <v>0</v>
      </c>
      <c r="F8" s="26">
        <f t="shared" si="0"/>
        <v>0</v>
      </c>
    </row>
    <row r="9" spans="1:12" x14ac:dyDescent="0.25">
      <c r="A9" s="264" t="s">
        <v>370</v>
      </c>
      <c r="B9" s="264" t="s">
        <v>371</v>
      </c>
      <c r="C9" s="262">
        <v>0</v>
      </c>
      <c r="D9" s="249">
        <v>166</v>
      </c>
      <c r="E9" s="1">
        <f t="shared" si="1"/>
        <v>0</v>
      </c>
      <c r="F9" s="26">
        <f t="shared" si="0"/>
        <v>0</v>
      </c>
    </row>
    <row r="10" spans="1:12" x14ac:dyDescent="0.25">
      <c r="A10" s="264" t="s">
        <v>372</v>
      </c>
      <c r="B10" s="264" t="s">
        <v>373</v>
      </c>
      <c r="C10" s="262">
        <v>0</v>
      </c>
      <c r="D10" s="249">
        <v>104</v>
      </c>
      <c r="E10" s="1">
        <f t="shared" si="1"/>
        <v>0</v>
      </c>
      <c r="F10" s="26">
        <f t="shared" si="0"/>
        <v>0</v>
      </c>
    </row>
    <row r="11" spans="1:12" x14ac:dyDescent="0.25">
      <c r="A11" s="264" t="s">
        <v>374</v>
      </c>
      <c r="B11" s="264" t="s">
        <v>375</v>
      </c>
      <c r="C11" s="262">
        <v>0</v>
      </c>
      <c r="D11" s="249">
        <v>81.98</v>
      </c>
      <c r="E11" s="1">
        <f t="shared" si="1"/>
        <v>0</v>
      </c>
      <c r="F11" s="26">
        <f t="shared" si="0"/>
        <v>0</v>
      </c>
    </row>
    <row r="12" spans="1:12" x14ac:dyDescent="0.25">
      <c r="A12" s="264" t="s">
        <v>374</v>
      </c>
      <c r="B12" s="264" t="s">
        <v>376</v>
      </c>
      <c r="C12" s="262">
        <v>0</v>
      </c>
      <c r="D12" s="249">
        <v>143</v>
      </c>
      <c r="E12" s="1">
        <f t="shared" si="1"/>
        <v>0</v>
      </c>
      <c r="F12" s="26">
        <f t="shared" si="0"/>
        <v>0</v>
      </c>
    </row>
    <row r="13" spans="1:12" x14ac:dyDescent="0.25">
      <c r="A13" s="264" t="s">
        <v>374</v>
      </c>
      <c r="B13" s="264" t="s">
        <v>377</v>
      </c>
      <c r="C13" s="262">
        <v>0</v>
      </c>
      <c r="D13" s="249">
        <v>98.98</v>
      </c>
      <c r="E13" s="1">
        <f t="shared" si="1"/>
        <v>0</v>
      </c>
      <c r="F13" s="26">
        <f t="shared" si="0"/>
        <v>0</v>
      </c>
    </row>
    <row r="14" spans="1:12" x14ac:dyDescent="0.25">
      <c r="A14" s="264" t="s">
        <v>378</v>
      </c>
      <c r="B14" s="264" t="s">
        <v>379</v>
      </c>
      <c r="C14" s="262">
        <v>0</v>
      </c>
      <c r="D14" s="249">
        <v>165</v>
      </c>
      <c r="E14" s="1">
        <f t="shared" si="1"/>
        <v>0</v>
      </c>
      <c r="F14" s="26">
        <f t="shared" si="0"/>
        <v>0</v>
      </c>
    </row>
    <row r="15" spans="1:12" x14ac:dyDescent="0.25">
      <c r="A15" s="264" t="s">
        <v>380</v>
      </c>
      <c r="B15" s="264">
        <v>795984</v>
      </c>
      <c r="C15" s="262">
        <v>0</v>
      </c>
      <c r="D15" s="249">
        <v>144</v>
      </c>
      <c r="E15" s="1">
        <f t="shared" si="1"/>
        <v>0</v>
      </c>
      <c r="F15" s="26">
        <f t="shared" si="0"/>
        <v>0</v>
      </c>
    </row>
    <row r="16" spans="1:12" x14ac:dyDescent="0.25">
      <c r="A16" s="264"/>
      <c r="B16" s="264" t="s">
        <v>381</v>
      </c>
      <c r="C16" s="262">
        <v>0</v>
      </c>
      <c r="D16" s="249">
        <v>107</v>
      </c>
      <c r="E16" s="1">
        <f t="shared" si="1"/>
        <v>0</v>
      </c>
      <c r="F16" s="26">
        <f t="shared" si="0"/>
        <v>0</v>
      </c>
    </row>
    <row r="17" spans="1:10" x14ac:dyDescent="0.25">
      <c r="A17" s="264" t="s">
        <v>374</v>
      </c>
      <c r="B17" s="264" t="s">
        <v>382</v>
      </c>
      <c r="C17" s="262">
        <v>0</v>
      </c>
      <c r="D17" s="249">
        <v>112</v>
      </c>
      <c r="E17" s="1">
        <f t="shared" si="1"/>
        <v>0</v>
      </c>
      <c r="F17" s="26">
        <f t="shared" si="0"/>
        <v>0</v>
      </c>
    </row>
    <row r="18" spans="1:10" x14ac:dyDescent="0.25">
      <c r="A18" s="264" t="s">
        <v>383</v>
      </c>
      <c r="B18" s="264" t="s">
        <v>383</v>
      </c>
      <c r="C18" s="262">
        <v>0</v>
      </c>
      <c r="D18" s="249">
        <v>40.96</v>
      </c>
      <c r="E18" s="1">
        <f t="shared" si="1"/>
        <v>0</v>
      </c>
      <c r="F18" s="26">
        <f t="shared" si="0"/>
        <v>0</v>
      </c>
    </row>
    <row r="19" spans="1:10" x14ac:dyDescent="0.25">
      <c r="A19" s="264"/>
      <c r="B19" s="264" t="s">
        <v>384</v>
      </c>
      <c r="C19" s="262">
        <v>0</v>
      </c>
      <c r="D19" s="249">
        <v>18.28</v>
      </c>
      <c r="E19" s="1">
        <f t="shared" si="1"/>
        <v>0</v>
      </c>
      <c r="F19" s="26">
        <f t="shared" si="0"/>
        <v>0</v>
      </c>
    </row>
    <row r="20" spans="1:10" x14ac:dyDescent="0.25">
      <c r="A20" s="264" t="s">
        <v>552</v>
      </c>
      <c r="B20" s="264" t="s">
        <v>553</v>
      </c>
      <c r="C20" s="262">
        <v>0</v>
      </c>
      <c r="D20" s="249">
        <v>13.48</v>
      </c>
      <c r="E20" s="1">
        <f t="shared" si="1"/>
        <v>0</v>
      </c>
      <c r="F20" s="26">
        <f t="shared" si="0"/>
        <v>0</v>
      </c>
    </row>
    <row r="21" spans="1:10" x14ac:dyDescent="0.25">
      <c r="A21" s="264" t="s">
        <v>385</v>
      </c>
      <c r="B21" s="264"/>
      <c r="C21" s="262">
        <v>0</v>
      </c>
      <c r="D21" s="249">
        <v>0</v>
      </c>
      <c r="E21" s="1">
        <f t="shared" si="1"/>
        <v>0</v>
      </c>
      <c r="F21" s="26">
        <f t="shared" si="0"/>
        <v>0</v>
      </c>
    </row>
    <row r="22" spans="1:10" ht="15.75" thickBot="1" x14ac:dyDescent="0.3">
      <c r="A22" s="264" t="s">
        <v>386</v>
      </c>
      <c r="B22" s="264"/>
      <c r="C22" s="262">
        <v>0</v>
      </c>
      <c r="D22" s="249">
        <v>935.09</v>
      </c>
      <c r="E22" s="1">
        <f t="shared" si="1"/>
        <v>0</v>
      </c>
      <c r="F22" s="21">
        <f t="shared" si="0"/>
        <v>0</v>
      </c>
      <c r="G22" s="21"/>
    </row>
    <row r="23" spans="1:10" x14ac:dyDescent="0.25">
      <c r="G23" s="14">
        <f>+SUM(E4:E22)+SUM(F4:F22)</f>
        <v>0</v>
      </c>
      <c r="J23" s="1"/>
    </row>
    <row r="24" spans="1:10" x14ac:dyDescent="0.25">
      <c r="A24" s="32" t="s">
        <v>387</v>
      </c>
    </row>
    <row r="25" spans="1:10" x14ac:dyDescent="0.25">
      <c r="A25" s="3" t="s">
        <v>212</v>
      </c>
      <c r="B25" s="3" t="s">
        <v>325</v>
      </c>
      <c r="C25" s="3" t="s">
        <v>269</v>
      </c>
      <c r="D25" s="8" t="s">
        <v>270</v>
      </c>
      <c r="E25" s="13" t="s">
        <v>271</v>
      </c>
      <c r="F25" s="13"/>
      <c r="G25" s="13" t="s">
        <v>272</v>
      </c>
    </row>
    <row r="26" spans="1:10" x14ac:dyDescent="0.25">
      <c r="A26" s="147"/>
      <c r="B26" s="147" t="s">
        <v>388</v>
      </c>
      <c r="C26" s="262">
        <v>0</v>
      </c>
      <c r="D26" s="249">
        <v>2000</v>
      </c>
      <c r="E26" s="1">
        <f>C26*D26</f>
        <v>0</v>
      </c>
      <c r="F26" s="26">
        <f>+E26*0.0725</f>
        <v>0</v>
      </c>
    </row>
    <row r="27" spans="1:10" x14ac:dyDescent="0.25">
      <c r="A27" s="147"/>
      <c r="B27" s="147" t="s">
        <v>389</v>
      </c>
      <c r="C27" s="262">
        <v>0</v>
      </c>
      <c r="D27" s="249">
        <v>0</v>
      </c>
      <c r="E27" s="1">
        <f>C27*D27</f>
        <v>0</v>
      </c>
      <c r="F27" s="26">
        <f>+E27*0.0725</f>
        <v>0</v>
      </c>
    </row>
    <row r="28" spans="1:10" x14ac:dyDescent="0.25">
      <c r="A28" s="147"/>
      <c r="B28" s="147" t="s">
        <v>390</v>
      </c>
      <c r="C28" s="262">
        <v>0</v>
      </c>
      <c r="D28" s="249">
        <v>0</v>
      </c>
      <c r="E28" s="1">
        <f>C28*D28</f>
        <v>0</v>
      </c>
      <c r="F28" s="26">
        <f>+E28*0.0725</f>
        <v>0</v>
      </c>
    </row>
    <row r="29" spans="1:10" x14ac:dyDescent="0.25">
      <c r="A29" s="28" t="s">
        <v>561</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391</v>
      </c>
    </row>
    <row r="35" spans="1:10" x14ac:dyDescent="0.25">
      <c r="A35" s="3" t="s">
        <v>212</v>
      </c>
      <c r="B35" s="3" t="s">
        <v>325</v>
      </c>
      <c r="C35" s="3" t="s">
        <v>269</v>
      </c>
      <c r="D35" s="8" t="s">
        <v>270</v>
      </c>
      <c r="E35" s="13" t="s">
        <v>271</v>
      </c>
      <c r="F35" s="13"/>
      <c r="G35" s="13" t="s">
        <v>272</v>
      </c>
    </row>
    <row r="36" spans="1:10" x14ac:dyDescent="0.25">
      <c r="A36" s="266" t="s">
        <v>392</v>
      </c>
      <c r="B36" s="266"/>
      <c r="C36" s="266">
        <v>0</v>
      </c>
      <c r="D36" s="267">
        <v>1100</v>
      </c>
      <c r="E36" s="14">
        <f t="shared" ref="E36:E41" si="2">+C36*D36</f>
        <v>0</v>
      </c>
      <c r="F36" s="26">
        <f t="shared" ref="F36:F41" si="3">+E36*0.0725</f>
        <v>0</v>
      </c>
      <c r="G36" s="13"/>
    </row>
    <row r="37" spans="1:10" x14ac:dyDescent="0.25">
      <c r="A37" s="147" t="s">
        <v>393</v>
      </c>
      <c r="B37" s="147">
        <v>400390</v>
      </c>
      <c r="C37" s="262">
        <v>0</v>
      </c>
      <c r="D37" s="249">
        <v>2.0499999999999998</v>
      </c>
      <c r="E37" s="14">
        <f t="shared" si="2"/>
        <v>0</v>
      </c>
      <c r="F37" s="26">
        <f t="shared" si="3"/>
        <v>0</v>
      </c>
    </row>
    <row r="38" spans="1:10" x14ac:dyDescent="0.25">
      <c r="A38" s="147" t="s">
        <v>394</v>
      </c>
      <c r="B38" s="147">
        <v>376787</v>
      </c>
      <c r="C38" s="262">
        <v>0</v>
      </c>
      <c r="D38" s="249">
        <v>4.9800000000000004</v>
      </c>
      <c r="E38" s="14">
        <f t="shared" si="2"/>
        <v>0</v>
      </c>
      <c r="F38" s="26">
        <f t="shared" si="3"/>
        <v>0</v>
      </c>
    </row>
    <row r="39" spans="1:10" x14ac:dyDescent="0.25">
      <c r="A39" s="147" t="s">
        <v>152</v>
      </c>
      <c r="B39" s="147" t="s">
        <v>152</v>
      </c>
      <c r="C39" s="262">
        <v>0</v>
      </c>
      <c r="D39" s="249">
        <v>0</v>
      </c>
      <c r="E39" s="14">
        <f t="shared" si="2"/>
        <v>0</v>
      </c>
      <c r="F39" s="26">
        <f t="shared" si="3"/>
        <v>0</v>
      </c>
    </row>
    <row r="40" spans="1:10" x14ac:dyDescent="0.25">
      <c r="A40" s="147" t="s">
        <v>395</v>
      </c>
      <c r="B40" s="147">
        <v>2280072</v>
      </c>
      <c r="C40" s="262">
        <v>0</v>
      </c>
      <c r="D40" s="249">
        <v>18.97</v>
      </c>
      <c r="E40" s="14">
        <f t="shared" si="2"/>
        <v>0</v>
      </c>
      <c r="F40" s="26">
        <f t="shared" si="3"/>
        <v>0</v>
      </c>
    </row>
    <row r="41" spans="1:10" ht="15.75" thickBot="1" x14ac:dyDescent="0.3">
      <c r="A41" s="147" t="s">
        <v>396</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200</v>
      </c>
      <c r="D1" s="32"/>
      <c r="E1" s="32"/>
      <c r="F1" s="32" t="s">
        <v>938</v>
      </c>
      <c r="N1" s="844" t="s">
        <v>2</v>
      </c>
      <c r="O1" s="844" t="str">
        <f>IF(Profit!Q6,IF(P1,"Yes","No"),"No")</f>
        <v>No</v>
      </c>
      <c r="P1" s="848" t="b">
        <v>1</v>
      </c>
    </row>
    <row r="2" spans="1:16" s="3" customFormat="1" ht="15.75" thickBot="1" x14ac:dyDescent="0.3">
      <c r="A2" s="474" t="s">
        <v>257</v>
      </c>
      <c r="B2" s="3" t="s">
        <v>936</v>
      </c>
      <c r="C2" s="3" t="s">
        <v>212</v>
      </c>
      <c r="D2" s="3" t="s">
        <v>541</v>
      </c>
      <c r="E2" s="3" t="s">
        <v>397</v>
      </c>
      <c r="G2" s="3" t="s">
        <v>937</v>
      </c>
      <c r="H2" s="3" t="s">
        <v>183</v>
      </c>
      <c r="I2" s="8" t="s">
        <v>270</v>
      </c>
      <c r="J2" s="6" t="s">
        <v>271</v>
      </c>
      <c r="K2" s="13" t="s">
        <v>258</v>
      </c>
      <c r="L2" s="3" t="s">
        <v>272</v>
      </c>
      <c r="M2" s="3" t="s">
        <v>218</v>
      </c>
      <c r="N2" s="845"/>
      <c r="O2" s="845"/>
      <c r="P2" s="849"/>
    </row>
    <row r="3" spans="1:16" s="3" customFormat="1" x14ac:dyDescent="0.25">
      <c r="A3" s="556"/>
      <c r="B3" s="440"/>
      <c r="C3" s="440" t="s">
        <v>639</v>
      </c>
      <c r="D3" s="440"/>
      <c r="E3" s="447">
        <f>+Profit!K9</f>
        <v>1368</v>
      </c>
      <c r="F3" s="554"/>
      <c r="G3" s="440"/>
      <c r="H3" s="440"/>
      <c r="I3" s="441"/>
      <c r="J3" s="451"/>
      <c r="K3" s="442"/>
      <c r="N3"/>
      <c r="O3"/>
      <c r="P3" s="5"/>
    </row>
    <row r="4" spans="1:16" s="3" customFormat="1" x14ac:dyDescent="0.25">
      <c r="A4" s="557" t="s">
        <v>398</v>
      </c>
      <c r="B4" s="435"/>
      <c r="C4" s="435" t="s">
        <v>399</v>
      </c>
      <c r="D4" s="435"/>
      <c r="E4" s="435"/>
      <c r="F4" s="435"/>
      <c r="G4" s="435" t="s">
        <v>400</v>
      </c>
      <c r="H4" s="449">
        <v>8.0000000000000002E-3</v>
      </c>
      <c r="I4" s="443">
        <v>68.540000000000006</v>
      </c>
      <c r="J4" s="443">
        <f>I4*H4*$E$3</f>
        <v>750.10176000000001</v>
      </c>
      <c r="K4" s="444">
        <f>+J4*0.0725</f>
        <v>54.382377599999998</v>
      </c>
      <c r="N4"/>
      <c r="O4"/>
      <c r="P4" s="5"/>
    </row>
    <row r="5" spans="1:16" s="3" customFormat="1" x14ac:dyDescent="0.25">
      <c r="A5" s="557" t="s">
        <v>537</v>
      </c>
      <c r="B5" s="435"/>
      <c r="C5" s="435" t="s">
        <v>529</v>
      </c>
      <c r="D5" s="435"/>
      <c r="E5" s="435"/>
      <c r="F5" s="435"/>
      <c r="G5" s="435" t="s">
        <v>530</v>
      </c>
      <c r="H5" s="449">
        <v>4.0000000000000001E-3</v>
      </c>
      <c r="I5" s="443">
        <v>33.99</v>
      </c>
      <c r="J5" s="443">
        <f>I5*H5*$E$3</f>
        <v>185.99328</v>
      </c>
      <c r="K5" s="444">
        <f t="shared" ref="K5" si="0">+J5*0.0725</f>
        <v>13.484512799999999</v>
      </c>
      <c r="N5"/>
      <c r="O5"/>
      <c r="P5" s="5"/>
    </row>
    <row r="6" spans="1:16" s="3" customFormat="1" x14ac:dyDescent="0.25">
      <c r="A6" s="557" t="s">
        <v>538</v>
      </c>
      <c r="B6" s="435"/>
      <c r="C6" s="435" t="s">
        <v>404</v>
      </c>
      <c r="D6" s="435"/>
      <c r="E6" s="435"/>
      <c r="F6" s="435"/>
      <c r="G6" s="435">
        <v>185342</v>
      </c>
      <c r="H6" s="449">
        <f>10/2526</f>
        <v>3.95882818685669E-3</v>
      </c>
      <c r="I6" s="436">
        <f>147/5</f>
        <v>29.4</v>
      </c>
      <c r="J6" s="443">
        <f>I6*H6*$E$3</f>
        <v>159.22090261282659</v>
      </c>
      <c r="K6" s="444">
        <f>+J6*0.0725</f>
        <v>11.543515439429926</v>
      </c>
      <c r="N6"/>
      <c r="O6"/>
      <c r="P6" s="5"/>
    </row>
    <row r="7" spans="1:16" x14ac:dyDescent="0.25">
      <c r="A7" s="557" t="s">
        <v>539</v>
      </c>
      <c r="B7" s="435"/>
      <c r="C7" s="435" t="s">
        <v>406</v>
      </c>
      <c r="D7" s="435"/>
      <c r="E7" s="435"/>
      <c r="F7" s="435"/>
      <c r="G7" s="435">
        <v>985007</v>
      </c>
      <c r="H7" s="449">
        <f>3/2526</f>
        <v>1.1876484560570072E-3</v>
      </c>
      <c r="I7" s="443">
        <v>52.23</v>
      </c>
      <c r="J7" s="443">
        <f>I7*H7*$E$3</f>
        <v>84.85824228028504</v>
      </c>
      <c r="K7" s="444">
        <f t="shared" ref="K7" si="1">+J7*0.0725</f>
        <v>6.152222565320665</v>
      </c>
      <c r="L7"/>
      <c r="M7"/>
    </row>
    <row r="8" spans="1:16" x14ac:dyDescent="0.25">
      <c r="A8" s="557" t="s">
        <v>419</v>
      </c>
      <c r="B8" s="435"/>
      <c r="C8" s="435"/>
      <c r="D8" s="435"/>
      <c r="E8" s="447">
        <f>+$E$3</f>
        <v>1368</v>
      </c>
      <c r="F8" s="554"/>
      <c r="G8" s="435" t="s">
        <v>421</v>
      </c>
      <c r="H8" s="450">
        <v>5.1528384279475983</v>
      </c>
      <c r="I8" s="443">
        <v>2.41</v>
      </c>
      <c r="J8" s="443">
        <f>H8*$E$3</f>
        <v>7049.0829694323147</v>
      </c>
      <c r="K8" s="448"/>
      <c r="L8"/>
      <c r="M8"/>
    </row>
    <row r="9" spans="1:16" s="3" customFormat="1" x14ac:dyDescent="0.25">
      <c r="A9" s="474"/>
      <c r="H9" s="842" t="s">
        <v>645</v>
      </c>
      <c r="I9" s="843"/>
      <c r="J9" s="843"/>
      <c r="K9" s="30"/>
      <c r="L9" s="1">
        <f>IF(O1="Yes",SUM(J4:J8)+SUM(K4:K8),0)</f>
        <v>0</v>
      </c>
      <c r="M9" s="1"/>
      <c r="N9"/>
      <c r="O9"/>
      <c r="P9" s="5"/>
    </row>
    <row r="10" spans="1:16" s="3" customFormat="1" x14ac:dyDescent="0.25">
      <c r="A10" s="474"/>
      <c r="N10"/>
      <c r="O10"/>
      <c r="P10" s="5"/>
    </row>
    <row r="11" spans="1:16" s="3" customFormat="1" x14ac:dyDescent="0.25">
      <c r="A11" s="12" t="s">
        <v>398</v>
      </c>
      <c r="B11"/>
      <c r="D11" s="32"/>
      <c r="N11"/>
      <c r="O11"/>
      <c r="P11" s="5"/>
    </row>
    <row r="12" spans="1:16" x14ac:dyDescent="0.25">
      <c r="A12" s="12">
        <v>45783</v>
      </c>
      <c r="B12" t="s">
        <v>939</v>
      </c>
      <c r="C12" s="147" t="s">
        <v>927</v>
      </c>
      <c r="D12" s="147" t="s">
        <v>928</v>
      </c>
      <c r="F12" s="2" t="s">
        <v>411</v>
      </c>
      <c r="G12" s="147" t="s">
        <v>929</v>
      </c>
      <c r="H12" s="262">
        <v>5</v>
      </c>
      <c r="I12" s="249">
        <v>37.549999999999997</v>
      </c>
      <c r="J12" s="5">
        <f t="shared" ref="J12:J18" si="2">+H12*I12</f>
        <v>187.75</v>
      </c>
      <c r="K12" s="26">
        <f t="shared" ref="K12:K18" si="3">+J12*0.0725</f>
        <v>13.611875</v>
      </c>
      <c r="L12"/>
      <c r="M12" t="s">
        <v>3</v>
      </c>
      <c r="P12" s="5"/>
    </row>
    <row r="13" spans="1:16" x14ac:dyDescent="0.25">
      <c r="A13" s="12">
        <v>45780</v>
      </c>
      <c r="B13" t="s">
        <v>942</v>
      </c>
      <c r="C13" s="147" t="s">
        <v>930</v>
      </c>
      <c r="D13" s="147" t="s">
        <v>932</v>
      </c>
      <c r="G13" s="147" t="s">
        <v>931</v>
      </c>
      <c r="H13" s="262">
        <v>2</v>
      </c>
      <c r="I13" s="249">
        <v>29</v>
      </c>
      <c r="J13" s="5">
        <f t="shared" si="2"/>
        <v>58</v>
      </c>
      <c r="K13" s="26">
        <f t="shared" si="3"/>
        <v>4.2050000000000001</v>
      </c>
      <c r="L13"/>
      <c r="M13" t="s">
        <v>3</v>
      </c>
      <c r="P13" s="5"/>
    </row>
    <row r="14" spans="1:16" x14ac:dyDescent="0.25">
      <c r="A14" s="12">
        <v>45780</v>
      </c>
      <c r="B14" t="s">
        <v>943</v>
      </c>
      <c r="C14" s="147" t="s">
        <v>930</v>
      </c>
      <c r="D14" s="147" t="s">
        <v>933</v>
      </c>
      <c r="G14" s="147" t="s">
        <v>934</v>
      </c>
      <c r="H14" s="262">
        <v>1</v>
      </c>
      <c r="I14" s="249">
        <v>31</v>
      </c>
      <c r="J14" s="5">
        <f t="shared" si="2"/>
        <v>31</v>
      </c>
      <c r="K14" s="26">
        <f t="shared" si="3"/>
        <v>2.2475000000000001</v>
      </c>
      <c r="L14"/>
      <c r="M14" t="s">
        <v>3</v>
      </c>
      <c r="P14" s="5"/>
    </row>
    <row r="15" spans="1:16" x14ac:dyDescent="0.25">
      <c r="A15" s="12">
        <v>45786</v>
      </c>
      <c r="B15" t="s">
        <v>940</v>
      </c>
      <c r="C15" s="147" t="s">
        <v>927</v>
      </c>
      <c r="D15" s="147" t="s">
        <v>928</v>
      </c>
      <c r="F15" s="2" t="s">
        <v>941</v>
      </c>
      <c r="G15" s="147" t="s">
        <v>929</v>
      </c>
      <c r="H15" s="262">
        <v>2</v>
      </c>
      <c r="I15" s="249">
        <v>37.549999999999997</v>
      </c>
      <c r="J15" s="5">
        <f t="shared" ref="J15" si="4">+H15*I15</f>
        <v>75.099999999999994</v>
      </c>
      <c r="K15" s="26">
        <f t="shared" ref="K15" si="5">+J15*0.0725</f>
        <v>5.4447499999999991</v>
      </c>
      <c r="L15"/>
      <c r="M15" t="s">
        <v>935</v>
      </c>
      <c r="P15" s="5"/>
    </row>
    <row r="16" spans="1:16" x14ac:dyDescent="0.25">
      <c r="A16" s="12" t="s">
        <v>537</v>
      </c>
      <c r="C16" s="147"/>
      <c r="D16" s="147"/>
      <c r="G16" s="147"/>
      <c r="H16" s="262"/>
      <c r="I16" s="249"/>
      <c r="J16" s="5">
        <f t="shared" si="2"/>
        <v>0</v>
      </c>
      <c r="K16" s="26">
        <f t="shared" si="3"/>
        <v>0</v>
      </c>
      <c r="L16"/>
      <c r="M16"/>
    </row>
    <row r="17" spans="1:13" x14ac:dyDescent="0.25">
      <c r="C17" s="147" t="s">
        <v>534</v>
      </c>
      <c r="D17" s="147"/>
      <c r="G17" s="147" t="s">
        <v>401</v>
      </c>
      <c r="H17" s="262">
        <v>0</v>
      </c>
      <c r="I17" s="249">
        <v>109.95</v>
      </c>
      <c r="J17" s="5">
        <f t="shared" si="2"/>
        <v>0</v>
      </c>
      <c r="K17" s="26">
        <f t="shared" si="3"/>
        <v>0</v>
      </c>
      <c r="L17"/>
      <c r="M17"/>
    </row>
    <row r="18" spans="1:13" x14ac:dyDescent="0.25">
      <c r="C18" s="147" t="s">
        <v>402</v>
      </c>
      <c r="D18" s="147"/>
      <c r="G18" s="147" t="s">
        <v>403</v>
      </c>
      <c r="H18" s="262">
        <v>0</v>
      </c>
      <c r="I18" s="249">
        <v>65.64</v>
      </c>
      <c r="J18" s="5">
        <f t="shared" si="2"/>
        <v>0</v>
      </c>
      <c r="K18" s="26">
        <f t="shared" si="3"/>
        <v>0</v>
      </c>
      <c r="L18"/>
      <c r="M18"/>
    </row>
    <row r="20" spans="1:13" x14ac:dyDescent="0.25">
      <c r="L20"/>
      <c r="M20"/>
    </row>
    <row r="21" spans="1:13" x14ac:dyDescent="0.25">
      <c r="C21" s="147" t="s">
        <v>531</v>
      </c>
      <c r="D21" s="147"/>
      <c r="G21" s="147" t="s">
        <v>530</v>
      </c>
      <c r="H21" s="262"/>
      <c r="I21" s="249">
        <v>33.99</v>
      </c>
      <c r="J21" s="5">
        <f>+H21*I21</f>
        <v>0</v>
      </c>
      <c r="K21" s="26">
        <f>+J21*0.0725</f>
        <v>0</v>
      </c>
      <c r="L21"/>
      <c r="M21"/>
    </row>
    <row r="22" spans="1:13" x14ac:dyDescent="0.25">
      <c r="C22" s="147" t="s">
        <v>529</v>
      </c>
      <c r="D22" s="147"/>
      <c r="G22" s="147" t="s">
        <v>530</v>
      </c>
      <c r="H22" s="262"/>
      <c r="I22" s="249">
        <v>33.99</v>
      </c>
      <c r="J22" s="5">
        <f t="shared" ref="J22:J31" si="6">+H22*I22</f>
        <v>0</v>
      </c>
      <c r="K22" s="26">
        <f t="shared" ref="K22:K31" si="7">+J22*0.0725</f>
        <v>0</v>
      </c>
      <c r="L22"/>
      <c r="M22"/>
    </row>
    <row r="23" spans="1:13" x14ac:dyDescent="0.25">
      <c r="A23" s="12" t="s">
        <v>538</v>
      </c>
      <c r="C23" s="147" t="s">
        <v>404</v>
      </c>
      <c r="D23" s="147"/>
      <c r="G23" s="147">
        <v>185342</v>
      </c>
      <c r="H23" s="262"/>
      <c r="I23" s="262">
        <f>147/5</f>
        <v>29.4</v>
      </c>
      <c r="J23" s="5">
        <f t="shared" si="6"/>
        <v>0</v>
      </c>
      <c r="K23" s="26">
        <f t="shared" si="7"/>
        <v>0</v>
      </c>
      <c r="L23"/>
      <c r="M23"/>
    </row>
    <row r="24" spans="1:13" x14ac:dyDescent="0.25">
      <c r="C24" s="147" t="s">
        <v>532</v>
      </c>
      <c r="D24" s="147"/>
      <c r="G24" s="147" t="s">
        <v>533</v>
      </c>
      <c r="H24" s="262">
        <v>0</v>
      </c>
      <c r="I24" s="249">
        <f>5*25.79</f>
        <v>128.94999999999999</v>
      </c>
      <c r="J24" s="5">
        <f t="shared" si="6"/>
        <v>0</v>
      </c>
      <c r="K24" s="26">
        <f t="shared" si="7"/>
        <v>0</v>
      </c>
      <c r="L24"/>
      <c r="M24"/>
    </row>
    <row r="25" spans="1:13" x14ac:dyDescent="0.25">
      <c r="A25" s="12" t="s">
        <v>539</v>
      </c>
      <c r="C25" s="147"/>
      <c r="D25" s="147"/>
      <c r="G25" s="147"/>
      <c r="H25" s="262"/>
      <c r="I25" s="249"/>
      <c r="J25" s="5">
        <f t="shared" si="6"/>
        <v>0</v>
      </c>
      <c r="K25" s="26">
        <f t="shared" si="7"/>
        <v>0</v>
      </c>
      <c r="L25"/>
      <c r="M25"/>
    </row>
    <row r="26" spans="1:13" x14ac:dyDescent="0.25">
      <c r="C26" s="147" t="s">
        <v>535</v>
      </c>
      <c r="D26" s="147"/>
      <c r="G26" s="147" t="s">
        <v>536</v>
      </c>
      <c r="H26" s="262">
        <v>0</v>
      </c>
      <c r="I26" s="249">
        <f>5*63.05</f>
        <v>315.25</v>
      </c>
      <c r="J26" s="5">
        <f t="shared" si="6"/>
        <v>0</v>
      </c>
      <c r="K26" s="26">
        <f t="shared" si="7"/>
        <v>0</v>
      </c>
      <c r="L26"/>
      <c r="M26"/>
    </row>
    <row r="27" spans="1:13" x14ac:dyDescent="0.25">
      <c r="C27" s="147" t="s">
        <v>405</v>
      </c>
      <c r="D27" s="147"/>
      <c r="G27" s="147">
        <v>389832</v>
      </c>
      <c r="H27" s="262">
        <v>0</v>
      </c>
      <c r="I27" s="249">
        <v>39.979999999999997</v>
      </c>
      <c r="J27" s="5">
        <f t="shared" si="6"/>
        <v>0</v>
      </c>
      <c r="K27" s="26">
        <f t="shared" si="7"/>
        <v>0</v>
      </c>
      <c r="L27"/>
      <c r="M27"/>
    </row>
    <row r="28" spans="1:13" x14ac:dyDescent="0.25">
      <c r="C28" s="147" t="s">
        <v>406</v>
      </c>
      <c r="D28" s="147"/>
      <c r="G28" s="147">
        <v>985007</v>
      </c>
      <c r="H28" s="262"/>
      <c r="I28" s="249">
        <v>52.23</v>
      </c>
      <c r="J28" s="5">
        <f t="shared" si="6"/>
        <v>0</v>
      </c>
      <c r="K28" s="26">
        <f t="shared" si="7"/>
        <v>0</v>
      </c>
      <c r="L28"/>
      <c r="M28"/>
    </row>
    <row r="29" spans="1:13" x14ac:dyDescent="0.25">
      <c r="C29" s="147" t="s">
        <v>407</v>
      </c>
      <c r="D29" s="147"/>
      <c r="G29" s="147">
        <v>814917</v>
      </c>
      <c r="H29" s="262"/>
      <c r="I29" s="249">
        <f>109/5</f>
        <v>21.8</v>
      </c>
      <c r="J29" s="5">
        <f t="shared" si="6"/>
        <v>0</v>
      </c>
      <c r="K29" s="26">
        <f t="shared" si="7"/>
        <v>0</v>
      </c>
      <c r="L29"/>
      <c r="M29"/>
    </row>
    <row r="30" spans="1:13" x14ac:dyDescent="0.25">
      <c r="C30" s="147" t="s">
        <v>408</v>
      </c>
      <c r="D30" s="147"/>
      <c r="G30" s="147" t="s">
        <v>409</v>
      </c>
      <c r="H30" s="262">
        <v>0</v>
      </c>
      <c r="I30" s="249">
        <v>40</v>
      </c>
      <c r="J30" s="5">
        <f t="shared" si="6"/>
        <v>0</v>
      </c>
      <c r="K30" s="26">
        <f t="shared" si="7"/>
        <v>0</v>
      </c>
      <c r="L30"/>
      <c r="M30"/>
    </row>
    <row r="31" spans="1:13" x14ac:dyDescent="0.25">
      <c r="C31" s="2" t="s">
        <v>410</v>
      </c>
      <c r="G31" s="147" t="s">
        <v>411</v>
      </c>
      <c r="H31" s="262">
        <v>0</v>
      </c>
      <c r="I31" s="249">
        <v>50.24</v>
      </c>
      <c r="J31" s="5">
        <f t="shared" si="6"/>
        <v>0</v>
      </c>
      <c r="K31" s="26">
        <f t="shared" si="7"/>
        <v>0</v>
      </c>
    </row>
    <row r="32" spans="1:13" x14ac:dyDescent="0.25">
      <c r="A32" s="12" t="s">
        <v>362</v>
      </c>
      <c r="D32" s="32"/>
      <c r="E32" s="148">
        <v>0</v>
      </c>
      <c r="F32" s="264"/>
      <c r="H32"/>
      <c r="I32" s="5"/>
      <c r="K32" s="1"/>
      <c r="L32"/>
      <c r="M32"/>
    </row>
    <row r="33" spans="1:18" x14ac:dyDescent="0.25">
      <c r="C33" s="147" t="s">
        <v>545</v>
      </c>
      <c r="D33" s="147" t="s">
        <v>546</v>
      </c>
      <c r="E33" s="264"/>
      <c r="F33" s="264"/>
      <c r="G33" s="147" t="s">
        <v>544</v>
      </c>
      <c r="H33" s="262">
        <v>0</v>
      </c>
      <c r="I33" s="249">
        <v>74.37</v>
      </c>
      <c r="J33" s="5">
        <f t="shared" ref="J33:J34" si="8">+H33*I33</f>
        <v>0</v>
      </c>
      <c r="K33" s="26">
        <f t="shared" ref="K33:K34" si="9">+J33*0.0725</f>
        <v>0</v>
      </c>
      <c r="L33"/>
      <c r="M33"/>
    </row>
    <row r="34" spans="1:18" x14ac:dyDescent="0.25">
      <c r="C34" s="147" t="s">
        <v>412</v>
      </c>
      <c r="D34" s="147"/>
      <c r="G34" s="147"/>
      <c r="H34" s="262"/>
      <c r="I34" s="249"/>
      <c r="J34" s="5">
        <f t="shared" si="8"/>
        <v>0</v>
      </c>
      <c r="K34" s="26">
        <f t="shared" si="9"/>
        <v>0</v>
      </c>
      <c r="L34"/>
      <c r="M34"/>
    </row>
    <row r="35" spans="1:18" x14ac:dyDescent="0.25">
      <c r="E35" s="189">
        <f>+E3</f>
        <v>1368</v>
      </c>
      <c r="F35" s="555"/>
      <c r="H35"/>
      <c r="I35" s="5"/>
      <c r="K35" s="1"/>
      <c r="L35"/>
      <c r="M35"/>
    </row>
    <row r="36" spans="1:18" x14ac:dyDescent="0.25">
      <c r="A36" s="12" t="s">
        <v>548</v>
      </c>
      <c r="D36" s="32"/>
      <c r="E36" s="148">
        <v>0</v>
      </c>
      <c r="F36" s="264"/>
      <c r="H36"/>
      <c r="I36" s="5"/>
      <c r="K36" s="1"/>
      <c r="L36"/>
      <c r="M36"/>
    </row>
    <row r="37" spans="1:18" x14ac:dyDescent="0.25">
      <c r="C37" s="147" t="s">
        <v>543</v>
      </c>
      <c r="D37" s="147" t="s">
        <v>542</v>
      </c>
      <c r="E37" s="264"/>
      <c r="F37" s="264"/>
      <c r="G37" s="147" t="s">
        <v>540</v>
      </c>
      <c r="H37" s="262"/>
      <c r="I37" s="249">
        <v>55.99</v>
      </c>
      <c r="J37" s="5">
        <f t="shared" ref="J37:J41" si="10">+H37*I37</f>
        <v>0</v>
      </c>
      <c r="K37" s="26">
        <f t="shared" ref="K37:K41" si="11">+J37*0.0725</f>
        <v>0</v>
      </c>
      <c r="L37"/>
      <c r="M37"/>
    </row>
    <row r="38" spans="1:18" x14ac:dyDescent="0.25">
      <c r="A38" s="12" t="s">
        <v>413</v>
      </c>
      <c r="D38" s="32"/>
      <c r="E38" s="148">
        <v>500</v>
      </c>
      <c r="F38" s="264"/>
      <c r="H38" s="262"/>
      <c r="I38" s="249"/>
      <c r="J38" s="5">
        <f t="shared" si="10"/>
        <v>0</v>
      </c>
      <c r="K38" s="26">
        <f t="shared" si="11"/>
        <v>0</v>
      </c>
      <c r="L38"/>
      <c r="M38"/>
    </row>
    <row r="39" spans="1:18" x14ac:dyDescent="0.25">
      <c r="C39" s="147" t="s">
        <v>414</v>
      </c>
      <c r="D39" s="147"/>
      <c r="G39" s="147" t="s">
        <v>415</v>
      </c>
      <c r="H39" s="262">
        <v>0</v>
      </c>
      <c r="I39" s="249">
        <v>47.98</v>
      </c>
      <c r="J39" s="5">
        <f t="shared" si="10"/>
        <v>0</v>
      </c>
      <c r="K39" s="26">
        <f t="shared" si="11"/>
        <v>0</v>
      </c>
      <c r="L39"/>
      <c r="M39"/>
    </row>
    <row r="40" spans="1:18" x14ac:dyDescent="0.25">
      <c r="C40" s="2" t="s">
        <v>416</v>
      </c>
      <c r="G40" s="147" t="s">
        <v>417</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42" t="s">
        <v>418</v>
      </c>
      <c r="I43" s="843"/>
      <c r="J43" s="843"/>
      <c r="K43" s="30"/>
      <c r="L43" s="1">
        <f>IF($O$1="No",SUM(J12:J42)+SUM(K12:K42),0)</f>
        <v>377.35912500000001</v>
      </c>
      <c r="R43" s="2"/>
    </row>
    <row r="45" spans="1:18" x14ac:dyDescent="0.25">
      <c r="C45" s="2" t="s">
        <v>419</v>
      </c>
      <c r="H45"/>
      <c r="I45" s="5"/>
      <c r="J45" s="1"/>
      <c r="K45" s="1"/>
      <c r="L45"/>
      <c r="M45"/>
    </row>
    <row r="46" spans="1:18" x14ac:dyDescent="0.25">
      <c r="C46" s="147" t="s">
        <v>420</v>
      </c>
      <c r="D46" s="147"/>
      <c r="E46" s="189">
        <f>+$E$3</f>
        <v>1368</v>
      </c>
      <c r="F46" s="555"/>
      <c r="G46" s="147" t="s">
        <v>421</v>
      </c>
      <c r="H46" s="262">
        <v>1</v>
      </c>
      <c r="I46" s="249">
        <v>3400</v>
      </c>
      <c r="J46" s="1">
        <f>IF(H46="yes",E46*#REF!,I46)</f>
        <v>3400</v>
      </c>
      <c r="K46" s="1"/>
      <c r="L46"/>
      <c r="M46"/>
    </row>
    <row r="47" spans="1:18" x14ac:dyDescent="0.25">
      <c r="C47" s="147" t="s">
        <v>419</v>
      </c>
      <c r="D47" s="147"/>
      <c r="E47" s="189">
        <v>200</v>
      </c>
      <c r="F47" s="555"/>
      <c r="G47" s="147" t="s">
        <v>547</v>
      </c>
      <c r="H47" s="262">
        <v>0</v>
      </c>
      <c r="I47" s="249">
        <v>0</v>
      </c>
      <c r="J47" s="1">
        <f>IF(H47="yes",E47*#REF!,I47)</f>
        <v>0</v>
      </c>
      <c r="K47" s="1"/>
      <c r="L47"/>
      <c r="M47"/>
    </row>
    <row r="48" spans="1:18" ht="15.75" thickBot="1" x14ac:dyDescent="0.3">
      <c r="C48" s="147" t="s">
        <v>419</v>
      </c>
      <c r="D48" s="147"/>
      <c r="E48" s="189">
        <f>+$E$3</f>
        <v>1368</v>
      </c>
      <c r="F48" s="555"/>
      <c r="G48" s="147" t="s">
        <v>422</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423</v>
      </c>
      <c r="B1" s="32"/>
      <c r="J1" s="844" t="s">
        <v>2</v>
      </c>
      <c r="K1" s="844" t="str">
        <f>IF(Profit!Q6,IF(L1,"Yes","No"),"No")</f>
        <v>No</v>
      </c>
      <c r="L1" s="848" t="b">
        <v>1</v>
      </c>
    </row>
    <row r="2" spans="1:12" s="3" customFormat="1" ht="15.75" thickBot="1" x14ac:dyDescent="0.3">
      <c r="A2" s="269" t="s">
        <v>212</v>
      </c>
      <c r="B2" s="269" t="s">
        <v>397</v>
      </c>
      <c r="C2" s="269" t="s">
        <v>230</v>
      </c>
      <c r="D2" s="269" t="s">
        <v>183</v>
      </c>
      <c r="E2" s="269" t="s">
        <v>270</v>
      </c>
      <c r="F2" s="269" t="s">
        <v>271</v>
      </c>
      <c r="G2" s="269" t="s">
        <v>258</v>
      </c>
      <c r="H2" s="269" t="s">
        <v>272</v>
      </c>
      <c r="J2" s="845"/>
      <c r="K2" s="845"/>
      <c r="L2" s="849"/>
    </row>
    <row r="3" spans="1:12" x14ac:dyDescent="0.25">
      <c r="A3" s="440" t="s">
        <v>639</v>
      </c>
      <c r="B3" s="447">
        <f>+Profit!K9</f>
        <v>1368</v>
      </c>
      <c r="C3" s="435"/>
      <c r="D3" s="436"/>
      <c r="E3" s="443"/>
      <c r="F3" s="448"/>
      <c r="G3" s="444"/>
      <c r="H3" s="436"/>
      <c r="J3" s="3"/>
    </row>
    <row r="4" spans="1:12" x14ac:dyDescent="0.25">
      <c r="A4" s="435" t="s">
        <v>424</v>
      </c>
      <c r="B4" s="447">
        <f>+B3</f>
        <v>1368</v>
      </c>
      <c r="C4" s="435" t="s">
        <v>421</v>
      </c>
      <c r="D4" s="436">
        <v>1</v>
      </c>
      <c r="E4" s="443">
        <v>5.5487134502924</v>
      </c>
      <c r="F4" s="448">
        <f>B4*E4*D4</f>
        <v>7590.6400000000031</v>
      </c>
      <c r="G4" s="444">
        <f t="shared" ref="G4:G5" si="0">+F4*0.0725</f>
        <v>550.32140000000015</v>
      </c>
      <c r="H4" s="436"/>
      <c r="J4" s="3"/>
    </row>
    <row r="5" spans="1:12" ht="15.75" thickBot="1" x14ac:dyDescent="0.3">
      <c r="A5" s="435" t="s">
        <v>425</v>
      </c>
      <c r="B5" s="447">
        <f>+B3</f>
        <v>1368</v>
      </c>
      <c r="C5" s="435"/>
      <c r="D5" s="436">
        <v>0</v>
      </c>
      <c r="E5" s="443">
        <f>+F8/B4</f>
        <v>5.5487134502923983</v>
      </c>
      <c r="F5" s="448">
        <f>B5*E5*D5</f>
        <v>0</v>
      </c>
      <c r="G5" s="444">
        <f t="shared" si="0"/>
        <v>0</v>
      </c>
      <c r="H5" s="424"/>
      <c r="J5" s="3"/>
    </row>
    <row r="6" spans="1:12" x14ac:dyDescent="0.25">
      <c r="A6" s="435"/>
      <c r="B6" s="447"/>
      <c r="C6" s="435"/>
      <c r="D6" s="436"/>
      <c r="E6" s="443"/>
      <c r="F6" s="448"/>
      <c r="G6" s="444"/>
      <c r="H6" s="437">
        <f>IF(K1="Yes",SUM(F4:G5),0)</f>
        <v>0</v>
      </c>
      <c r="J6" s="3"/>
    </row>
    <row r="7" spans="1:12" x14ac:dyDescent="0.25">
      <c r="B7" s="189"/>
      <c r="D7"/>
      <c r="E7" s="5"/>
      <c r="F7" s="1"/>
      <c r="G7" s="26"/>
      <c r="H7"/>
      <c r="J7" s="3"/>
    </row>
    <row r="8" spans="1:12" x14ac:dyDescent="0.25">
      <c r="A8" s="147" t="s">
        <v>851</v>
      </c>
      <c r="B8" s="204">
        <v>1368</v>
      </c>
      <c r="C8" s="147" t="s">
        <v>421</v>
      </c>
      <c r="D8" s="262">
        <v>1</v>
      </c>
      <c r="E8" s="249">
        <v>5.5487134502923983</v>
      </c>
      <c r="F8" s="448">
        <f t="shared" ref="F8:F20" si="1">B8*E8*D8</f>
        <v>7590.6400000000012</v>
      </c>
      <c r="G8" s="26">
        <f>+F8*0.0299</f>
        <v>226.96013600000003</v>
      </c>
      <c r="H8"/>
      <c r="I8" s="253" t="s">
        <v>852</v>
      </c>
    </row>
    <row r="9" spans="1:12" x14ac:dyDescent="0.25">
      <c r="A9" s="147" t="s">
        <v>499</v>
      </c>
      <c r="B9" s="204">
        <v>800</v>
      </c>
      <c r="C9" s="147"/>
      <c r="D9" s="262">
        <v>0</v>
      </c>
      <c r="E9" s="249">
        <v>6.22</v>
      </c>
      <c r="F9" s="448">
        <f t="shared" si="1"/>
        <v>0</v>
      </c>
      <c r="G9" s="26">
        <f t="shared" ref="G9:G20" si="2">+F9*0.0725</f>
        <v>0</v>
      </c>
      <c r="H9"/>
    </row>
    <row r="10" spans="1:12" x14ac:dyDescent="0.25">
      <c r="A10" s="147" t="s">
        <v>500</v>
      </c>
      <c r="B10" s="204">
        <v>1800</v>
      </c>
      <c r="C10" s="147"/>
      <c r="D10" s="262">
        <v>0</v>
      </c>
      <c r="E10" s="249">
        <v>3</v>
      </c>
      <c r="F10" s="448">
        <f t="shared" si="1"/>
        <v>0</v>
      </c>
      <c r="G10" s="26">
        <f t="shared" si="2"/>
        <v>0</v>
      </c>
      <c r="H10"/>
    </row>
    <row r="11" spans="1:12" x14ac:dyDescent="0.25">
      <c r="A11" s="147"/>
      <c r="B11" s="204"/>
      <c r="C11" s="147"/>
      <c r="D11" s="262"/>
      <c r="E11" s="249"/>
      <c r="F11" s="448">
        <f t="shared" si="1"/>
        <v>0</v>
      </c>
      <c r="G11" s="26">
        <f t="shared" si="2"/>
        <v>0</v>
      </c>
      <c r="H11"/>
    </row>
    <row r="12" spans="1:12" x14ac:dyDescent="0.25">
      <c r="A12" s="147"/>
      <c r="B12" s="204"/>
      <c r="C12" s="147"/>
      <c r="D12" s="262"/>
      <c r="E12" s="249"/>
      <c r="F12" s="448">
        <f t="shared" si="1"/>
        <v>0</v>
      </c>
      <c r="G12" s="26">
        <f t="shared" si="2"/>
        <v>0</v>
      </c>
      <c r="H12"/>
    </row>
    <row r="13" spans="1:12" x14ac:dyDescent="0.25">
      <c r="A13" s="147"/>
      <c r="B13" s="204"/>
      <c r="C13" s="147"/>
      <c r="D13" s="262"/>
      <c r="E13" s="249"/>
      <c r="F13" s="448">
        <f t="shared" si="1"/>
        <v>0</v>
      </c>
      <c r="G13" s="26">
        <f t="shared" si="2"/>
        <v>0</v>
      </c>
      <c r="H13"/>
    </row>
    <row r="14" spans="1:12" x14ac:dyDescent="0.25">
      <c r="A14" s="147"/>
      <c r="B14" s="204"/>
      <c r="C14" s="147"/>
      <c r="D14" s="262"/>
      <c r="E14" s="249"/>
      <c r="F14" s="448">
        <f t="shared" si="1"/>
        <v>0</v>
      </c>
      <c r="G14" s="26">
        <f t="shared" si="2"/>
        <v>0</v>
      </c>
      <c r="H14"/>
    </row>
    <row r="15" spans="1:12" x14ac:dyDescent="0.25">
      <c r="A15" s="147"/>
      <c r="B15" s="204"/>
      <c r="C15" s="147"/>
      <c r="D15" s="262"/>
      <c r="E15" s="249"/>
      <c r="F15" s="448">
        <f t="shared" si="1"/>
        <v>0</v>
      </c>
      <c r="G15" s="26">
        <f t="shared" si="2"/>
        <v>0</v>
      </c>
      <c r="H15"/>
    </row>
    <row r="16" spans="1:12" x14ac:dyDescent="0.25">
      <c r="A16" s="147" t="s">
        <v>560</v>
      </c>
      <c r="B16" s="204"/>
      <c r="C16" s="147"/>
      <c r="D16" s="262">
        <v>0</v>
      </c>
      <c r="E16" s="249">
        <v>0</v>
      </c>
      <c r="F16" s="448">
        <f t="shared" si="1"/>
        <v>0</v>
      </c>
      <c r="G16" s="26">
        <f t="shared" si="2"/>
        <v>0</v>
      </c>
      <c r="H16"/>
    </row>
    <row r="17" spans="1:11" x14ac:dyDescent="0.25">
      <c r="A17" s="147" t="s">
        <v>560</v>
      </c>
      <c r="B17" s="204"/>
      <c r="C17" s="147"/>
      <c r="D17" s="262">
        <v>0</v>
      </c>
      <c r="E17" s="249"/>
      <c r="F17" s="448">
        <f t="shared" si="1"/>
        <v>0</v>
      </c>
      <c r="G17" s="26">
        <f t="shared" si="2"/>
        <v>0</v>
      </c>
      <c r="H17"/>
    </row>
    <row r="18" spans="1:11" x14ac:dyDescent="0.25">
      <c r="A18" s="147" t="s">
        <v>560</v>
      </c>
      <c r="B18" s="204"/>
      <c r="C18" s="147"/>
      <c r="D18" s="262">
        <v>0</v>
      </c>
      <c r="E18" s="249"/>
      <c r="F18" s="448">
        <f t="shared" si="1"/>
        <v>0</v>
      </c>
      <c r="G18" s="26">
        <f t="shared" si="2"/>
        <v>0</v>
      </c>
      <c r="H18"/>
    </row>
    <row r="19" spans="1:11" x14ac:dyDescent="0.25">
      <c r="A19" s="147" t="s">
        <v>560</v>
      </c>
      <c r="B19" s="204"/>
      <c r="C19" s="147"/>
      <c r="D19" s="262">
        <v>0</v>
      </c>
      <c r="E19" s="249"/>
      <c r="F19" s="448">
        <f t="shared" si="1"/>
        <v>0</v>
      </c>
      <c r="G19" s="26">
        <f t="shared" si="2"/>
        <v>0</v>
      </c>
      <c r="H19"/>
    </row>
    <row r="20" spans="1:11" ht="15.75" thickBot="1" x14ac:dyDescent="0.3">
      <c r="A20" s="147" t="s">
        <v>425</v>
      </c>
      <c r="B20" s="204">
        <f>+$B$3</f>
        <v>1368</v>
      </c>
      <c r="C20" s="147"/>
      <c r="D20" s="262">
        <v>0</v>
      </c>
      <c r="E20" s="249">
        <v>1</v>
      </c>
      <c r="F20" s="448">
        <f t="shared" si="1"/>
        <v>0</v>
      </c>
      <c r="G20" s="26">
        <f t="shared" si="2"/>
        <v>0</v>
      </c>
      <c r="H20" s="23"/>
      <c r="K20" s="3"/>
    </row>
    <row r="21" spans="1:11" x14ac:dyDescent="0.25">
      <c r="D21"/>
      <c r="E21" s="5"/>
      <c r="F21" s="1"/>
      <c r="G21" s="1"/>
      <c r="H21" s="14">
        <f>IF(K1="No",SUM(F8:G20),0)</f>
        <v>7817.6001360000009</v>
      </c>
      <c r="J21" s="2"/>
    </row>
    <row r="22" spans="1:11" x14ac:dyDescent="0.25">
      <c r="A22" s="2" t="s">
        <v>426</v>
      </c>
      <c r="D22"/>
      <c r="F22" s="5">
        <v>0</v>
      </c>
      <c r="I22" s="14">
        <f>SUM(H6:H21)</f>
        <v>7817.6001360000009</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44" t="s">
        <v>2</v>
      </c>
      <c r="K1" s="844" t="str">
        <f>IF(Profit!Q6,IF(L1,"Yes","No"),"No")</f>
        <v>No</v>
      </c>
      <c r="L1" s="848" t="b">
        <v>0</v>
      </c>
    </row>
    <row r="2" spans="1:16" ht="15.75" thickBot="1" x14ac:dyDescent="0.3">
      <c r="A2" s="32" t="s">
        <v>193</v>
      </c>
      <c r="B2" s="32"/>
      <c r="C2" s="32"/>
      <c r="J2" s="845"/>
      <c r="K2" s="845"/>
      <c r="L2" s="849"/>
    </row>
    <row r="3" spans="1:16" s="22" customFormat="1" x14ac:dyDescent="0.25">
      <c r="A3" s="3" t="s">
        <v>309</v>
      </c>
      <c r="B3" s="3" t="s">
        <v>212</v>
      </c>
      <c r="C3" s="3" t="s">
        <v>257</v>
      </c>
      <c r="D3" s="3" t="s">
        <v>427</v>
      </c>
      <c r="E3" s="3" t="s">
        <v>269</v>
      </c>
      <c r="F3" s="8" t="s">
        <v>270</v>
      </c>
      <c r="G3" s="16" t="s">
        <v>313</v>
      </c>
      <c r="H3" s="3" t="s">
        <v>272</v>
      </c>
      <c r="J3" s="3"/>
      <c r="K3" s="3"/>
    </row>
    <row r="4" spans="1:16" s="22" customFormat="1" ht="15.75" thickBot="1" x14ac:dyDescent="0.3">
      <c r="A4" s="436"/>
      <c r="B4" s="436" t="s">
        <v>428</v>
      </c>
      <c r="C4" s="436"/>
      <c r="D4" s="435" t="s">
        <v>429</v>
      </c>
      <c r="E4" s="452">
        <v>0</v>
      </c>
      <c r="F4" s="443">
        <v>7000</v>
      </c>
      <c r="G4" s="444">
        <f>+E4*F4</f>
        <v>0</v>
      </c>
      <c r="H4" s="453"/>
      <c r="J4" s="3"/>
      <c r="K4" s="3"/>
    </row>
    <row r="5" spans="1:16" s="22" customFormat="1" x14ac:dyDescent="0.25">
      <c r="A5" s="440"/>
      <c r="B5" s="440"/>
      <c r="C5" s="440"/>
      <c r="D5" s="440"/>
      <c r="E5" s="440"/>
      <c r="F5" s="441"/>
      <c r="G5" s="454"/>
      <c r="H5" s="455">
        <f>IF(K1="Yes",+SUM(G4),0)</f>
        <v>0</v>
      </c>
      <c r="J5" s="3"/>
      <c r="K5" s="3"/>
    </row>
    <row r="6" spans="1:16" s="22" customFormat="1" x14ac:dyDescent="0.25">
      <c r="A6" s="3"/>
      <c r="B6" s="3" t="s">
        <v>848</v>
      </c>
      <c r="C6" s="3"/>
      <c r="D6" s="3" t="s">
        <v>849</v>
      </c>
      <c r="E6" s="3">
        <v>1</v>
      </c>
      <c r="F6" s="8">
        <v>152.83000000000001</v>
      </c>
      <c r="G6" s="26">
        <f t="shared" ref="G6:G7" si="0">+E6*F6</f>
        <v>152.83000000000001</v>
      </c>
      <c r="H6" s="3"/>
      <c r="J6" s="3"/>
      <c r="K6" s="3"/>
    </row>
    <row r="7" spans="1:16" s="22" customFormat="1" x14ac:dyDescent="0.25">
      <c r="A7" s="3"/>
      <c r="B7" s="3" t="s">
        <v>848</v>
      </c>
      <c r="C7" s="3"/>
      <c r="D7" s="3" t="s">
        <v>850</v>
      </c>
      <c r="E7" s="3">
        <v>1</v>
      </c>
      <c r="F7" s="8">
        <v>410.23</v>
      </c>
      <c r="G7" s="26">
        <f t="shared" si="0"/>
        <v>410.23</v>
      </c>
      <c r="H7" s="3"/>
      <c r="J7" s="3"/>
      <c r="K7" s="3"/>
    </row>
    <row r="8" spans="1:16" x14ac:dyDescent="0.25">
      <c r="A8"/>
      <c r="B8" t="s">
        <v>428</v>
      </c>
      <c r="C8"/>
      <c r="D8" s="2" t="s">
        <v>429</v>
      </c>
      <c r="E8" s="11">
        <v>0</v>
      </c>
      <c r="F8" s="5">
        <v>6000</v>
      </c>
      <c r="G8" s="26">
        <f>+E8*F8</f>
        <v>0</v>
      </c>
    </row>
    <row r="9" spans="1:16" x14ac:dyDescent="0.25">
      <c r="A9"/>
      <c r="B9" t="s">
        <v>430</v>
      </c>
      <c r="C9"/>
      <c r="D9" s="2" t="s">
        <v>431</v>
      </c>
      <c r="E9" s="11">
        <v>0</v>
      </c>
      <c r="F9" s="5">
        <v>8.98</v>
      </c>
      <c r="G9" s="26">
        <f>+E9*F9</f>
        <v>0</v>
      </c>
    </row>
    <row r="10" spans="1:16" x14ac:dyDescent="0.25">
      <c r="A10"/>
      <c r="B10" t="s">
        <v>507</v>
      </c>
      <c r="C10"/>
      <c r="D10" s="2" t="s">
        <v>506</v>
      </c>
      <c r="E10" s="11">
        <v>0</v>
      </c>
      <c r="F10" s="5">
        <v>22.97</v>
      </c>
      <c r="G10" s="26">
        <f t="shared" ref="G10:G15" si="1">+E10*F10</f>
        <v>0</v>
      </c>
    </row>
    <row r="11" spans="1:16" x14ac:dyDescent="0.25">
      <c r="A11"/>
      <c r="B11" t="s">
        <v>432</v>
      </c>
      <c r="C11"/>
      <c r="D11" s="2" t="s">
        <v>433</v>
      </c>
      <c r="E11" s="11">
        <v>0</v>
      </c>
      <c r="F11" s="5">
        <v>44.93</v>
      </c>
      <c r="G11" s="26">
        <f t="shared" si="1"/>
        <v>0</v>
      </c>
    </row>
    <row r="12" spans="1:16" x14ac:dyDescent="0.25">
      <c r="A12"/>
      <c r="B12" t="s">
        <v>434</v>
      </c>
      <c r="C12"/>
      <c r="D12" s="2" t="s">
        <v>508</v>
      </c>
      <c r="E12" s="11">
        <v>0</v>
      </c>
      <c r="F12" s="5">
        <v>5.98</v>
      </c>
      <c r="G12" s="26">
        <f t="shared" si="1"/>
        <v>0</v>
      </c>
    </row>
    <row r="13" spans="1:16" x14ac:dyDescent="0.25">
      <c r="A13"/>
      <c r="B13" t="s">
        <v>434</v>
      </c>
      <c r="C13"/>
      <c r="D13" s="2" t="s">
        <v>435</v>
      </c>
      <c r="E13" s="11">
        <v>0</v>
      </c>
      <c r="F13" s="5">
        <v>4.97</v>
      </c>
      <c r="G13" s="26">
        <f t="shared" si="1"/>
        <v>0</v>
      </c>
      <c r="K13" s="32"/>
      <c r="L13" s="2"/>
      <c r="N13" s="5"/>
      <c r="O13" s="26"/>
    </row>
    <row r="14" spans="1:16" x14ac:dyDescent="0.25">
      <c r="A14"/>
      <c r="B14" t="s">
        <v>436</v>
      </c>
      <c r="C14"/>
      <c r="D14" s="2" t="s">
        <v>437</v>
      </c>
      <c r="E14" s="11">
        <v>0</v>
      </c>
      <c r="F14" s="5">
        <v>23</v>
      </c>
      <c r="G14" s="26">
        <f t="shared" si="1"/>
        <v>0</v>
      </c>
      <c r="K14" s="3"/>
      <c r="L14" s="3"/>
      <c r="M14" s="3"/>
      <c r="N14" s="8"/>
      <c r="O14" s="16"/>
      <c r="P14" s="3"/>
    </row>
    <row r="15" spans="1:16" x14ac:dyDescent="0.25">
      <c r="A15"/>
      <c r="B15" t="s">
        <v>857</v>
      </c>
      <c r="C15" t="s">
        <v>152</v>
      </c>
      <c r="D15" s="2" t="s">
        <v>858</v>
      </c>
      <c r="E15" s="11">
        <v>1</v>
      </c>
      <c r="F15" s="5">
        <v>123.49</v>
      </c>
      <c r="G15" s="26">
        <f t="shared" si="1"/>
        <v>123.49</v>
      </c>
      <c r="L15" s="2"/>
      <c r="M15" s="11"/>
      <c r="N15" s="5"/>
      <c r="O15" s="26"/>
    </row>
    <row r="16" spans="1:16" ht="15.75" thickBot="1" x14ac:dyDescent="0.3">
      <c r="A16" s="2" t="s">
        <v>152</v>
      </c>
      <c r="B16" s="2" t="s">
        <v>438</v>
      </c>
      <c r="C16" s="481" t="s">
        <v>152</v>
      </c>
      <c r="E16">
        <v>0</v>
      </c>
      <c r="F16" s="5">
        <v>0</v>
      </c>
      <c r="G16" s="29">
        <f>+E16*F16</f>
        <v>0</v>
      </c>
      <c r="H16" s="29"/>
      <c r="L16" s="2"/>
      <c r="M16" s="11"/>
      <c r="N16" s="5"/>
      <c r="O16" s="26"/>
    </row>
    <row r="17" spans="5:16" x14ac:dyDescent="0.25">
      <c r="E17" s="842"/>
      <c r="F17" s="843"/>
      <c r="G17" s="843"/>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42"/>
      <c r="N24" s="843"/>
      <c r="O24" s="843"/>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439</v>
      </c>
      <c r="B1" s="3"/>
      <c r="I1" s="844" t="s">
        <v>2</v>
      </c>
      <c r="J1" s="844" t="str">
        <f>IF(Profit!Q6,IF(K1,"Yes","No"),"No")</f>
        <v>No</v>
      </c>
      <c r="K1" s="848" t="b">
        <v>0</v>
      </c>
    </row>
    <row r="2" spans="1:11" ht="15.75" thickBot="1" x14ac:dyDescent="0.3">
      <c r="C2" s="3"/>
      <c r="D2" s="8"/>
      <c r="E2" s="13"/>
      <c r="F2" s="13"/>
      <c r="G2" s="13"/>
      <c r="I2" s="845"/>
      <c r="J2" s="845"/>
      <c r="K2" s="849"/>
    </row>
    <row r="3" spans="1:11" x14ac:dyDescent="0.25">
      <c r="A3" s="3" t="s">
        <v>212</v>
      </c>
      <c r="B3" s="3" t="s">
        <v>325</v>
      </c>
      <c r="C3" s="3" t="s">
        <v>269</v>
      </c>
      <c r="D3" s="8" t="s">
        <v>270</v>
      </c>
      <c r="E3" s="13" t="s">
        <v>271</v>
      </c>
      <c r="F3" s="13" t="s">
        <v>258</v>
      </c>
      <c r="G3" s="13" t="s">
        <v>272</v>
      </c>
    </row>
    <row r="4" spans="1:11" x14ac:dyDescent="0.25">
      <c r="A4" s="446" t="s">
        <v>502</v>
      </c>
      <c r="B4" s="446" t="s">
        <v>550</v>
      </c>
      <c r="C4" s="436">
        <v>4</v>
      </c>
      <c r="D4" s="443">
        <v>21.97</v>
      </c>
      <c r="E4" s="437">
        <f>+C4*D4</f>
        <v>87.88</v>
      </c>
      <c r="F4" s="444">
        <f t="shared" ref="F4:F7" si="0">+E4*0.0725</f>
        <v>6.3712999999999989</v>
      </c>
      <c r="G4" s="442"/>
    </row>
    <row r="5" spans="1:11" x14ac:dyDescent="0.25">
      <c r="A5" s="446" t="s">
        <v>513</v>
      </c>
      <c r="B5" s="446" t="s">
        <v>514</v>
      </c>
      <c r="C5" s="436">
        <v>2</v>
      </c>
      <c r="D5" s="443">
        <v>79.97</v>
      </c>
      <c r="E5" s="437">
        <f t="shared" ref="E5:E7" si="1">+C5*D5</f>
        <v>159.94</v>
      </c>
      <c r="F5" s="444">
        <f t="shared" si="0"/>
        <v>11.595649999999999</v>
      </c>
      <c r="G5" s="437"/>
    </row>
    <row r="6" spans="1:11" x14ac:dyDescent="0.25">
      <c r="A6" s="446" t="s">
        <v>515</v>
      </c>
      <c r="B6" s="446" t="s">
        <v>516</v>
      </c>
      <c r="C6" s="436">
        <v>1</v>
      </c>
      <c r="D6" s="443">
        <v>123</v>
      </c>
      <c r="E6" s="437">
        <f t="shared" si="1"/>
        <v>123</v>
      </c>
      <c r="F6" s="444">
        <f t="shared" si="0"/>
        <v>8.9174999999999986</v>
      </c>
      <c r="G6" s="437"/>
    </row>
    <row r="7" spans="1:11" ht="15.75" thickBot="1" x14ac:dyDescent="0.3">
      <c r="A7" s="446" t="s">
        <v>519</v>
      </c>
      <c r="B7" s="446" t="s">
        <v>520</v>
      </c>
      <c r="C7" s="436">
        <v>2</v>
      </c>
      <c r="D7" s="443">
        <v>54.98</v>
      </c>
      <c r="E7" s="437">
        <f t="shared" si="1"/>
        <v>109.96</v>
      </c>
      <c r="F7" s="444">
        <f t="shared" si="0"/>
        <v>7.9720999999999993</v>
      </c>
      <c r="G7" s="445"/>
    </row>
    <row r="8" spans="1:11" x14ac:dyDescent="0.25">
      <c r="A8" s="440"/>
      <c r="B8" s="440"/>
      <c r="C8" s="440"/>
      <c r="D8" s="441"/>
      <c r="E8" s="442"/>
      <c r="F8" s="442"/>
      <c r="G8" s="43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501</v>
      </c>
      <c r="B11" s="3" t="s">
        <v>865</v>
      </c>
      <c r="C11" s="30">
        <v>1</v>
      </c>
      <c r="D11" s="8">
        <v>80.73</v>
      </c>
      <c r="E11" s="14">
        <f>+C11*D11</f>
        <v>80.73</v>
      </c>
      <c r="F11" s="26">
        <f t="shared" ref="F11:F33" si="2">+E11*0.0725</f>
        <v>5.8529249999999999</v>
      </c>
      <c r="G11" s="13"/>
    </row>
    <row r="12" spans="1:11" x14ac:dyDescent="0.25">
      <c r="A12" s="30" t="s">
        <v>502</v>
      </c>
      <c r="B12" s="30" t="s">
        <v>866</v>
      </c>
      <c r="C12">
        <v>1</v>
      </c>
      <c r="D12" s="5">
        <v>25.48</v>
      </c>
      <c r="E12" s="14">
        <f>+C12*D12</f>
        <v>25.48</v>
      </c>
      <c r="F12" s="26">
        <f t="shared" si="2"/>
        <v>1.8472999999999999</v>
      </c>
    </row>
    <row r="13" spans="1:11" x14ac:dyDescent="0.25">
      <c r="A13" s="30" t="s">
        <v>502</v>
      </c>
      <c r="B13" s="30" t="s">
        <v>503</v>
      </c>
      <c r="C13">
        <v>0</v>
      </c>
      <c r="D13" s="5">
        <v>29.97</v>
      </c>
      <c r="E13" s="14">
        <f>+C13*D13</f>
        <v>0</v>
      </c>
      <c r="F13" s="26">
        <f t="shared" si="2"/>
        <v>0</v>
      </c>
    </row>
    <row r="14" spans="1:11" x14ac:dyDescent="0.25">
      <c r="A14" s="30" t="s">
        <v>502</v>
      </c>
      <c r="B14" s="30" t="s">
        <v>504</v>
      </c>
      <c r="C14">
        <v>0</v>
      </c>
      <c r="D14" s="5">
        <v>21.97</v>
      </c>
      <c r="E14" s="14">
        <f>+C14*D14</f>
        <v>0</v>
      </c>
      <c r="F14" s="26">
        <f t="shared" si="2"/>
        <v>0</v>
      </c>
    </row>
    <row r="15" spans="1:11" x14ac:dyDescent="0.25">
      <c r="A15" s="30" t="s">
        <v>502</v>
      </c>
      <c r="B15" s="30" t="s">
        <v>505</v>
      </c>
      <c r="C15">
        <v>0</v>
      </c>
      <c r="D15" s="5">
        <v>69.97</v>
      </c>
      <c r="E15" s="14">
        <f>+C15*D15</f>
        <v>0</v>
      </c>
      <c r="F15" s="26">
        <f t="shared" si="2"/>
        <v>0</v>
      </c>
    </row>
    <row r="16" spans="1:11" x14ac:dyDescent="0.25">
      <c r="A16" s="30" t="s">
        <v>509</v>
      </c>
      <c r="B16" s="30" t="s">
        <v>510</v>
      </c>
      <c r="C16">
        <v>0</v>
      </c>
      <c r="D16" s="5">
        <v>64.97</v>
      </c>
      <c r="E16" s="14">
        <f t="shared" ref="E16:E33" si="3">+C16*D16</f>
        <v>0</v>
      </c>
      <c r="F16" s="26">
        <f t="shared" si="2"/>
        <v>0</v>
      </c>
    </row>
    <row r="17" spans="1:6" x14ac:dyDescent="0.25">
      <c r="A17" s="30" t="s">
        <v>511</v>
      </c>
      <c r="B17" s="30" t="s">
        <v>512</v>
      </c>
      <c r="C17">
        <v>0</v>
      </c>
      <c r="D17" s="5">
        <v>89.97</v>
      </c>
      <c r="E17" s="14">
        <f t="shared" si="3"/>
        <v>0</v>
      </c>
      <c r="F17" s="26">
        <f t="shared" si="2"/>
        <v>0</v>
      </c>
    </row>
    <row r="18" spans="1:6" x14ac:dyDescent="0.25">
      <c r="A18" s="30" t="s">
        <v>440</v>
      </c>
      <c r="B18" s="30">
        <v>2535475</v>
      </c>
      <c r="C18">
        <v>0</v>
      </c>
      <c r="D18" s="5">
        <v>24.98</v>
      </c>
      <c r="E18" s="14">
        <f t="shared" si="3"/>
        <v>0</v>
      </c>
      <c r="F18" s="26">
        <f t="shared" si="2"/>
        <v>0</v>
      </c>
    </row>
    <row r="19" spans="1:6" x14ac:dyDescent="0.25">
      <c r="A19" s="30" t="s">
        <v>944</v>
      </c>
      <c r="B19" s="30" t="s">
        <v>945</v>
      </c>
      <c r="C19">
        <v>1</v>
      </c>
      <c r="D19" s="5">
        <v>43.98</v>
      </c>
      <c r="E19" s="14">
        <f t="shared" si="3"/>
        <v>43.98</v>
      </c>
      <c r="F19" s="26">
        <f t="shared" si="2"/>
        <v>3.1885499999999998</v>
      </c>
    </row>
    <row r="20" spans="1:6" x14ac:dyDescent="0.25">
      <c r="A20" s="30" t="s">
        <v>517</v>
      </c>
      <c r="B20" s="30" t="s">
        <v>518</v>
      </c>
      <c r="C20">
        <v>0</v>
      </c>
      <c r="D20" s="5">
        <v>62.97</v>
      </c>
      <c r="E20" s="14">
        <f t="shared" si="3"/>
        <v>0</v>
      </c>
      <c r="F20" s="26">
        <f t="shared" si="2"/>
        <v>0</v>
      </c>
    </row>
    <row r="21" spans="1:6" x14ac:dyDescent="0.25">
      <c r="A21" s="30" t="s">
        <v>519</v>
      </c>
      <c r="B21" s="30" t="s">
        <v>520</v>
      </c>
      <c r="C21">
        <v>0</v>
      </c>
      <c r="D21" s="5">
        <v>54.98</v>
      </c>
      <c r="E21" s="14">
        <f t="shared" si="3"/>
        <v>0</v>
      </c>
      <c r="F21" s="26">
        <f t="shared" si="2"/>
        <v>0</v>
      </c>
    </row>
    <row r="22" spans="1:6" x14ac:dyDescent="0.25">
      <c r="A22" s="30" t="s">
        <v>441</v>
      </c>
      <c r="B22" s="30" t="s">
        <v>442</v>
      </c>
      <c r="C22">
        <v>0</v>
      </c>
      <c r="D22" s="5">
        <v>17.97</v>
      </c>
      <c r="E22" s="14">
        <f t="shared" si="3"/>
        <v>0</v>
      </c>
      <c r="F22" s="26">
        <f t="shared" si="2"/>
        <v>0</v>
      </c>
    </row>
    <row r="23" spans="1:6" x14ac:dyDescent="0.25">
      <c r="A23" s="30" t="s">
        <v>443</v>
      </c>
      <c r="B23" s="30" t="s">
        <v>444</v>
      </c>
      <c r="C23">
        <v>0</v>
      </c>
      <c r="D23" s="5">
        <v>16.98</v>
      </c>
      <c r="E23" s="14">
        <f t="shared" si="3"/>
        <v>0</v>
      </c>
      <c r="F23" s="26">
        <f t="shared" si="2"/>
        <v>0</v>
      </c>
    </row>
    <row r="24" spans="1:6" x14ac:dyDescent="0.25">
      <c r="A24" s="30" t="s">
        <v>445</v>
      </c>
      <c r="B24" s="30" t="s">
        <v>446</v>
      </c>
      <c r="C24">
        <v>0</v>
      </c>
      <c r="D24" s="5">
        <v>3.27</v>
      </c>
      <c r="E24" s="14">
        <f t="shared" si="3"/>
        <v>0</v>
      </c>
      <c r="F24" s="26">
        <f t="shared" si="2"/>
        <v>0</v>
      </c>
    </row>
    <row r="25" spans="1:6" x14ac:dyDescent="0.25">
      <c r="A25" s="30" t="s">
        <v>513</v>
      </c>
      <c r="B25" s="30" t="s">
        <v>514</v>
      </c>
      <c r="C25">
        <v>0</v>
      </c>
      <c r="D25" s="5">
        <v>79.97</v>
      </c>
      <c r="E25" s="14">
        <f t="shared" si="3"/>
        <v>0</v>
      </c>
      <c r="F25" s="26">
        <f t="shared" si="2"/>
        <v>0</v>
      </c>
    </row>
    <row r="26" spans="1:6" x14ac:dyDescent="0.25">
      <c r="A26" s="30" t="s">
        <v>515</v>
      </c>
      <c r="B26" s="30" t="s">
        <v>516</v>
      </c>
      <c r="C26">
        <v>0</v>
      </c>
      <c r="D26" s="5">
        <v>123</v>
      </c>
      <c r="E26" s="14">
        <f t="shared" si="3"/>
        <v>0</v>
      </c>
      <c r="F26" s="26">
        <f t="shared" si="2"/>
        <v>0</v>
      </c>
    </row>
    <row r="27" spans="1:6" x14ac:dyDescent="0.25">
      <c r="A27" s="30" t="s">
        <v>447</v>
      </c>
      <c r="B27" s="30" t="s">
        <v>448</v>
      </c>
      <c r="C27">
        <v>0</v>
      </c>
      <c r="D27" s="5">
        <v>13.98</v>
      </c>
      <c r="E27" s="14">
        <f t="shared" si="3"/>
        <v>0</v>
      </c>
      <c r="F27" s="26">
        <f t="shared" si="2"/>
        <v>0</v>
      </c>
    </row>
    <row r="28" spans="1:6" x14ac:dyDescent="0.25">
      <c r="A28" s="30" t="s">
        <v>449</v>
      </c>
      <c r="B28" s="30">
        <v>39800072986</v>
      </c>
      <c r="C28">
        <v>0</v>
      </c>
      <c r="D28" s="5">
        <v>17.87</v>
      </c>
      <c r="E28" s="14">
        <f t="shared" si="3"/>
        <v>0</v>
      </c>
      <c r="F28" s="26">
        <f t="shared" si="2"/>
        <v>0</v>
      </c>
    </row>
    <row r="29" spans="1:6" x14ac:dyDescent="0.25">
      <c r="A29" s="30" t="s">
        <v>450</v>
      </c>
      <c r="B29" s="290">
        <v>46335120372</v>
      </c>
      <c r="C29">
        <v>0</v>
      </c>
      <c r="D29" s="5">
        <v>99.97</v>
      </c>
      <c r="E29" s="14">
        <f t="shared" si="3"/>
        <v>0</v>
      </c>
      <c r="F29" s="26">
        <f t="shared" si="2"/>
        <v>0</v>
      </c>
    </row>
    <row r="30" spans="1:6" x14ac:dyDescent="0.25">
      <c r="A30" s="30" t="s">
        <v>451</v>
      </c>
      <c r="B30" s="290">
        <v>792145370178</v>
      </c>
      <c r="C30">
        <v>0</v>
      </c>
      <c r="D30" s="5">
        <v>59.97</v>
      </c>
      <c r="E30" s="14">
        <f t="shared" si="3"/>
        <v>0</v>
      </c>
      <c r="F30" s="26">
        <f t="shared" si="2"/>
        <v>0</v>
      </c>
    </row>
    <row r="31" spans="1:6" x14ac:dyDescent="0.25">
      <c r="A31" s="30" t="s">
        <v>452</v>
      </c>
      <c r="B31" s="30">
        <v>82392573331</v>
      </c>
      <c r="C31">
        <v>0</v>
      </c>
      <c r="D31" s="5">
        <v>109</v>
      </c>
      <c r="E31" s="14">
        <f t="shared" si="3"/>
        <v>0</v>
      </c>
      <c r="F31" s="26">
        <f t="shared" si="2"/>
        <v>0</v>
      </c>
    </row>
    <row r="32" spans="1:6" x14ac:dyDescent="0.25">
      <c r="A32" s="30" t="s">
        <v>453</v>
      </c>
      <c r="B32" s="30">
        <v>5190530</v>
      </c>
      <c r="C32">
        <v>0</v>
      </c>
      <c r="D32" s="5">
        <v>18.98</v>
      </c>
      <c r="E32" s="14">
        <f t="shared" si="3"/>
        <v>0</v>
      </c>
      <c r="F32" s="26">
        <f t="shared" si="2"/>
        <v>0</v>
      </c>
    </row>
    <row r="33" spans="1:10" ht="15.75" thickBot="1" x14ac:dyDescent="0.3">
      <c r="A33" s="30" t="s">
        <v>454</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242</v>
      </c>
      <c r="B1" s="16"/>
      <c r="H1" s="844" t="s">
        <v>2</v>
      </c>
      <c r="I1" s="844" t="str">
        <f>IF(Profit!$Q$6,IF(J1="No","No","Yes"),"no")</f>
        <v>no</v>
      </c>
      <c r="J1" s="846"/>
    </row>
    <row r="2" spans="1:10" s="15" customFormat="1" ht="15.75" thickBot="1" x14ac:dyDescent="0.3">
      <c r="A2" s="3" t="s">
        <v>209</v>
      </c>
      <c r="B2" s="17" t="s">
        <v>455</v>
      </c>
      <c r="C2" s="30" t="s">
        <v>456</v>
      </c>
      <c r="D2" s="3" t="s">
        <v>269</v>
      </c>
      <c r="E2" s="8" t="s">
        <v>457</v>
      </c>
      <c r="F2" s="6" t="s">
        <v>458</v>
      </c>
      <c r="G2" s="15" t="s">
        <v>272</v>
      </c>
      <c r="H2" s="845"/>
      <c r="I2" s="845"/>
      <c r="J2" s="847"/>
    </row>
    <row r="4" spans="1:10" x14ac:dyDescent="0.25">
      <c r="A4" s="2" t="s">
        <v>152</v>
      </c>
      <c r="B4" s="18">
        <v>0</v>
      </c>
      <c r="C4" s="2" t="s">
        <v>152</v>
      </c>
      <c r="D4">
        <v>1</v>
      </c>
      <c r="E4" s="5">
        <v>0</v>
      </c>
      <c r="F4" s="1">
        <f t="shared" ref="F4:F11" si="0">+D4*E4</f>
        <v>0</v>
      </c>
    </row>
    <row r="5" spans="1:10" x14ac:dyDescent="0.25">
      <c r="A5" s="2" t="s">
        <v>459</v>
      </c>
      <c r="B5" s="18">
        <v>1</v>
      </c>
      <c r="C5" s="2">
        <f>24*10</f>
        <v>240</v>
      </c>
      <c r="D5">
        <v>0</v>
      </c>
      <c r="E5" s="5">
        <v>60</v>
      </c>
      <c r="F5" s="1">
        <f>+C5*B5*D5</f>
        <v>0</v>
      </c>
    </row>
    <row r="6" spans="1:10" x14ac:dyDescent="0.25">
      <c r="A6" s="2" t="s">
        <v>460</v>
      </c>
      <c r="D6">
        <v>0</v>
      </c>
      <c r="E6" s="5">
        <v>150</v>
      </c>
      <c r="F6" s="1">
        <f t="shared" si="0"/>
        <v>0</v>
      </c>
    </row>
    <row r="7" spans="1:10" x14ac:dyDescent="0.25">
      <c r="A7" s="2" t="s">
        <v>461</v>
      </c>
      <c r="D7">
        <v>1</v>
      </c>
      <c r="E7" s="5">
        <v>2871</v>
      </c>
      <c r="F7" s="1">
        <f t="shared" si="0"/>
        <v>2871</v>
      </c>
    </row>
    <row r="8" spans="1:10" x14ac:dyDescent="0.25">
      <c r="A8" s="2" t="s">
        <v>911</v>
      </c>
      <c r="D8">
        <v>1</v>
      </c>
      <c r="E8" s="5">
        <v>29.96</v>
      </c>
      <c r="F8" s="1">
        <f t="shared" si="0"/>
        <v>29.96</v>
      </c>
    </row>
    <row r="9" spans="1:10" x14ac:dyDescent="0.25">
      <c r="A9" s="2" t="s">
        <v>462</v>
      </c>
      <c r="D9">
        <v>0</v>
      </c>
      <c r="E9" s="5">
        <v>29</v>
      </c>
      <c r="F9" s="1">
        <f t="shared" si="0"/>
        <v>0</v>
      </c>
    </row>
    <row r="10" spans="1:10" x14ac:dyDescent="0.25">
      <c r="A10" s="2" t="s">
        <v>463</v>
      </c>
      <c r="D10">
        <v>0</v>
      </c>
      <c r="E10" s="5">
        <v>15</v>
      </c>
      <c r="F10" s="1">
        <f t="shared" si="0"/>
        <v>0</v>
      </c>
    </row>
    <row r="11" spans="1:10" x14ac:dyDescent="0.25">
      <c r="A11" s="2" t="s">
        <v>464</v>
      </c>
      <c r="D11">
        <v>0</v>
      </c>
      <c r="E11" s="5">
        <v>1100</v>
      </c>
      <c r="F11" s="1">
        <f t="shared" si="0"/>
        <v>0</v>
      </c>
    </row>
    <row r="12" spans="1:10" x14ac:dyDescent="0.25">
      <c r="A12" s="2" t="s">
        <v>525</v>
      </c>
      <c r="D12">
        <v>0</v>
      </c>
      <c r="E12" s="5">
        <v>285</v>
      </c>
      <c r="F12" s="1">
        <v>0</v>
      </c>
    </row>
    <row r="13" spans="1:10" x14ac:dyDescent="0.25">
      <c r="A13" s="2" t="s">
        <v>859</v>
      </c>
      <c r="B13" s="18" t="s">
        <v>152</v>
      </c>
      <c r="D13">
        <v>1</v>
      </c>
      <c r="E13" s="5">
        <v>80</v>
      </c>
      <c r="F13" s="1">
        <f>+D13*E13</f>
        <v>80</v>
      </c>
    </row>
    <row r="14" spans="1:10" x14ac:dyDescent="0.25">
      <c r="A14" s="2" t="s">
        <v>923</v>
      </c>
      <c r="C14" s="481">
        <v>45836</v>
      </c>
      <c r="D14">
        <v>1</v>
      </c>
      <c r="E14" s="5">
        <v>75</v>
      </c>
      <c r="F14" s="1">
        <f>+D14*E14</f>
        <v>75</v>
      </c>
    </row>
    <row r="15" spans="1:10" x14ac:dyDescent="0.25">
      <c r="A15" s="2" t="s">
        <v>910</v>
      </c>
      <c r="D15">
        <v>1</v>
      </c>
      <c r="E15" s="5">
        <v>250</v>
      </c>
      <c r="F15" s="1">
        <f>+D15*E15</f>
        <v>250</v>
      </c>
    </row>
    <row r="16" spans="1:10" ht="15.75" thickBot="1" x14ac:dyDescent="0.3">
      <c r="F16" s="29"/>
      <c r="G16" s="23"/>
    </row>
    <row r="17" spans="3:7" x14ac:dyDescent="0.25">
      <c r="C17" s="2">
        <f>+SUM(C4:C16)</f>
        <v>46076</v>
      </c>
      <c r="F17" s="15" t="s">
        <v>272</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647</v>
      </c>
      <c r="B1" s="32"/>
      <c r="C1" s="32"/>
      <c r="D1" s="16"/>
      <c r="I1" s="844" t="s">
        <v>2</v>
      </c>
      <c r="J1" s="844" t="str">
        <f>IF(Profit!$Q$6,IF(K1="No","No","Yes"),"no")</f>
        <v>no</v>
      </c>
      <c r="K1" s="846"/>
    </row>
    <row r="2" spans="1:14" s="61" customFormat="1" ht="30.75" thickBot="1" x14ac:dyDescent="0.3">
      <c r="A2" s="61" t="s">
        <v>209</v>
      </c>
      <c r="B2" s="61" t="s">
        <v>209</v>
      </c>
      <c r="C2" s="61" t="s">
        <v>183</v>
      </c>
      <c r="D2" s="325" t="s">
        <v>465</v>
      </c>
      <c r="E2" s="61" t="s">
        <v>272</v>
      </c>
      <c r="F2" s="61" t="s">
        <v>466</v>
      </c>
      <c r="G2" s="257"/>
      <c r="H2" s="325">
        <v>20</v>
      </c>
      <c r="I2" s="845"/>
      <c r="J2" s="845"/>
      <c r="K2" s="847"/>
    </row>
    <row r="4" spans="1:14" x14ac:dyDescent="0.25">
      <c r="A4" s="2" t="s">
        <v>197</v>
      </c>
      <c r="C4" s="2">
        <v>0</v>
      </c>
      <c r="D4" s="18">
        <v>800</v>
      </c>
      <c r="E4" s="5">
        <f>+C4*D4</f>
        <v>0</v>
      </c>
    </row>
    <row r="5" spans="1:14" x14ac:dyDescent="0.25">
      <c r="A5" s="2" t="s">
        <v>467</v>
      </c>
      <c r="B5" s="2" t="s">
        <v>862</v>
      </c>
      <c r="C5" s="2">
        <v>1</v>
      </c>
      <c r="D5" s="18">
        <v>24.63</v>
      </c>
      <c r="E5" s="5">
        <f t="shared" ref="E5:E20" si="0">+C5*D5</f>
        <v>24.63</v>
      </c>
    </row>
    <row r="6" spans="1:14" x14ac:dyDescent="0.25">
      <c r="A6" s="2" t="s">
        <v>869</v>
      </c>
      <c r="B6" s="2" t="s">
        <v>870</v>
      </c>
      <c r="C6" s="2">
        <v>1</v>
      </c>
      <c r="D6" s="18">
        <v>35.229999999999997</v>
      </c>
      <c r="E6" s="5">
        <f t="shared" si="0"/>
        <v>35.229999999999997</v>
      </c>
    </row>
    <row r="7" spans="1:14" x14ac:dyDescent="0.25">
      <c r="A7" s="2" t="s">
        <v>468</v>
      </c>
      <c r="C7" s="2">
        <v>0</v>
      </c>
      <c r="D7" s="18">
        <v>28.47</v>
      </c>
      <c r="E7" s="5">
        <f t="shared" si="0"/>
        <v>0</v>
      </c>
    </row>
    <row r="8" spans="1:14" x14ac:dyDescent="0.25">
      <c r="A8" s="32" t="s">
        <v>853</v>
      </c>
      <c r="B8" s="32"/>
      <c r="C8" s="2">
        <v>0</v>
      </c>
      <c r="D8" s="18">
        <v>28.47</v>
      </c>
      <c r="E8" s="5">
        <f t="shared" ref="E8:E12" si="1">+C8*D8</f>
        <v>0</v>
      </c>
    </row>
    <row r="9" spans="1:14" x14ac:dyDescent="0.25">
      <c r="A9" s="2" t="s">
        <v>860</v>
      </c>
      <c r="C9" s="2">
        <v>2</v>
      </c>
      <c r="D9" s="18">
        <v>300</v>
      </c>
      <c r="E9" s="5">
        <v>643.5</v>
      </c>
    </row>
    <row r="10" spans="1:14" x14ac:dyDescent="0.25">
      <c r="A10" s="2" t="s">
        <v>854</v>
      </c>
      <c r="C10" s="2">
        <v>0</v>
      </c>
      <c r="D10" s="18">
        <v>1000</v>
      </c>
      <c r="E10" s="5">
        <f t="shared" si="1"/>
        <v>0</v>
      </c>
    </row>
    <row r="11" spans="1:14" x14ac:dyDescent="0.25">
      <c r="A11" s="2" t="s">
        <v>855</v>
      </c>
      <c r="C11" s="2">
        <v>0</v>
      </c>
      <c r="D11" s="18">
        <v>300</v>
      </c>
      <c r="E11" s="5">
        <f t="shared" si="1"/>
        <v>0</v>
      </c>
    </row>
    <row r="12" spans="1:14" x14ac:dyDescent="0.25">
      <c r="A12" s="2" t="s">
        <v>856</v>
      </c>
      <c r="C12" s="2">
        <v>0</v>
      </c>
      <c r="D12" s="18">
        <v>500</v>
      </c>
      <c r="E12" s="5">
        <f t="shared" si="1"/>
        <v>0</v>
      </c>
    </row>
    <row r="13" spans="1:14" x14ac:dyDescent="0.25">
      <c r="A13" s="2" t="s">
        <v>881</v>
      </c>
      <c r="B13" s="2" t="s">
        <v>882</v>
      </c>
      <c r="C13" s="2">
        <v>1</v>
      </c>
      <c r="D13" s="18">
        <v>22.64</v>
      </c>
      <c r="E13" s="5">
        <f t="shared" si="0"/>
        <v>22.64</v>
      </c>
    </row>
    <row r="14" spans="1:14" x14ac:dyDescent="0.25">
      <c r="A14" s="2" t="s">
        <v>469</v>
      </c>
      <c r="C14" s="2">
        <v>0</v>
      </c>
      <c r="D14" s="18">
        <v>1000</v>
      </c>
      <c r="E14" s="5">
        <f t="shared" si="0"/>
        <v>0</v>
      </c>
    </row>
    <row r="15" spans="1:14" x14ac:dyDescent="0.25">
      <c r="A15" s="2" t="s">
        <v>470</v>
      </c>
      <c r="E15" s="5">
        <f t="shared" si="0"/>
        <v>0</v>
      </c>
    </row>
    <row r="16" spans="1:14" x14ac:dyDescent="0.25">
      <c r="A16" s="2" t="s">
        <v>470</v>
      </c>
      <c r="E16" s="5">
        <f t="shared" si="0"/>
        <v>0</v>
      </c>
      <c r="K16">
        <v>872.32</v>
      </c>
      <c r="L16">
        <v>112.37</v>
      </c>
      <c r="M16">
        <f>+K16+L16</f>
        <v>984.69</v>
      </c>
      <c r="N16">
        <f>+L16/M16</f>
        <v>0.11411713331099127</v>
      </c>
    </row>
    <row r="17" spans="1:10" x14ac:dyDescent="0.25">
      <c r="A17" s="2" t="s">
        <v>471</v>
      </c>
      <c r="C17" s="2">
        <v>0</v>
      </c>
      <c r="D17" s="18">
        <v>5500</v>
      </c>
      <c r="E17" s="5">
        <f t="shared" si="0"/>
        <v>0</v>
      </c>
    </row>
    <row r="18" spans="1:10" x14ac:dyDescent="0.25">
      <c r="A18" s="2" t="s">
        <v>896</v>
      </c>
      <c r="B18" s="2" t="s">
        <v>897</v>
      </c>
      <c r="C18" s="2">
        <v>1</v>
      </c>
      <c r="D18" s="18">
        <v>12.33</v>
      </c>
      <c r="E18" s="5">
        <f t="shared" si="0"/>
        <v>12.33</v>
      </c>
    </row>
    <row r="19" spans="1:10" x14ac:dyDescent="0.25">
      <c r="A19" s="2" t="s">
        <v>898</v>
      </c>
      <c r="B19" s="2" t="s">
        <v>899</v>
      </c>
      <c r="C19" s="2">
        <v>1</v>
      </c>
      <c r="D19" s="18">
        <v>14.23</v>
      </c>
      <c r="E19" s="5">
        <f t="shared" si="0"/>
        <v>14.23</v>
      </c>
    </row>
    <row r="20" spans="1:10" x14ac:dyDescent="0.25">
      <c r="A20" s="2" t="s">
        <v>900</v>
      </c>
      <c r="B20" s="2" t="s">
        <v>901</v>
      </c>
      <c r="C20" s="2">
        <v>1</v>
      </c>
      <c r="D20" s="18">
        <v>37.979999999999997</v>
      </c>
      <c r="E20" s="5">
        <f t="shared" si="0"/>
        <v>37.979999999999997</v>
      </c>
      <c r="J20" s="3" t="s">
        <v>152</v>
      </c>
    </row>
    <row r="21" spans="1:10" x14ac:dyDescent="0.25">
      <c r="A21" s="2" t="s">
        <v>472</v>
      </c>
      <c r="C21" s="2">
        <v>0</v>
      </c>
      <c r="D21" s="18">
        <v>7.33</v>
      </c>
      <c r="E21" s="5">
        <f>+C21*D21</f>
        <v>0</v>
      </c>
      <c r="J21" s="3"/>
    </row>
    <row r="22" spans="1:10" x14ac:dyDescent="0.25">
      <c r="A22" s="2" t="s">
        <v>473</v>
      </c>
      <c r="C22" s="2">
        <v>0</v>
      </c>
      <c r="D22" s="18">
        <v>9.9700000000000006</v>
      </c>
      <c r="E22" s="5">
        <f>+C22*D22</f>
        <v>0</v>
      </c>
      <c r="J22" s="3"/>
    </row>
    <row r="23" spans="1:10" x14ac:dyDescent="0.25">
      <c r="A23" s="2" t="s">
        <v>474</v>
      </c>
      <c r="C23" s="2">
        <v>0</v>
      </c>
      <c r="D23" s="18">
        <v>3.98</v>
      </c>
      <c r="E23" s="5">
        <f>+C23*D23</f>
        <v>0</v>
      </c>
      <c r="J23" s="3"/>
    </row>
    <row r="24" spans="1:10" x14ac:dyDescent="0.25">
      <c r="A24" s="2" t="s">
        <v>925</v>
      </c>
      <c r="C24" s="2">
        <v>1</v>
      </c>
      <c r="D24" s="18">
        <v>367.22</v>
      </c>
      <c r="E24" s="5">
        <f>+C24*D24</f>
        <v>367.22</v>
      </c>
      <c r="I24" s="1"/>
      <c r="J24" t="s">
        <v>152</v>
      </c>
    </row>
    <row r="25" spans="1:10" x14ac:dyDescent="0.25">
      <c r="A25" s="2" t="s">
        <v>861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45" t="s">
        <v>571</v>
      </c>
      <c r="C1" s="746"/>
      <c r="E1" s="745" t="s">
        <v>575</v>
      </c>
      <c r="F1" s="746"/>
      <c r="H1" s="745" t="s">
        <v>574</v>
      </c>
      <c r="I1" s="746"/>
      <c r="L1" s="745" t="s">
        <v>590</v>
      </c>
      <c r="M1" s="746"/>
    </row>
    <row r="2" spans="1:14" x14ac:dyDescent="0.25">
      <c r="A2" s="2" t="s">
        <v>572</v>
      </c>
    </row>
    <row r="3" spans="1:14" x14ac:dyDescent="0.25">
      <c r="A3" s="2" t="s">
        <v>576</v>
      </c>
      <c r="B3" s="327">
        <v>0.56000000000000005</v>
      </c>
      <c r="E3" s="327">
        <f>+B3</f>
        <v>0.56000000000000005</v>
      </c>
      <c r="H3" s="327">
        <f>+E3</f>
        <v>0.56000000000000005</v>
      </c>
      <c r="L3" s="327">
        <f>+E3</f>
        <v>0.56000000000000005</v>
      </c>
    </row>
    <row r="4" spans="1:14" ht="15.75" thickBot="1" x14ac:dyDescent="0.3">
      <c r="A4" s="2" t="s">
        <v>573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581</v>
      </c>
      <c r="B12" s="745" t="s">
        <v>571</v>
      </c>
      <c r="C12" s="746"/>
      <c r="D12" s="3"/>
      <c r="E12" s="745" t="s">
        <v>575</v>
      </c>
      <c r="F12" s="746"/>
      <c r="G12" s="3"/>
      <c r="H12" s="745" t="s">
        <v>574</v>
      </c>
      <c r="I12" s="746"/>
      <c r="J12" s="3"/>
      <c r="K12" s="3"/>
    </row>
    <row r="13" spans="1:14" x14ac:dyDescent="0.25">
      <c r="A13" s="2" t="s">
        <v>583</v>
      </c>
      <c r="B13" s="327">
        <v>0.2</v>
      </c>
      <c r="C13">
        <f>+B13*STR!$C$4</f>
        <v>0</v>
      </c>
      <c r="E13" s="327">
        <f>+B13</f>
        <v>0.2</v>
      </c>
      <c r="F13">
        <f>+E13*STR!$F$4</f>
        <v>0</v>
      </c>
      <c r="H13" s="327">
        <f>+E13</f>
        <v>0.2</v>
      </c>
      <c r="I13">
        <f>+H13*STR!$M$4</f>
        <v>0</v>
      </c>
      <c r="K13" s="4">
        <f>+C13+F13+I13</f>
        <v>0</v>
      </c>
    </row>
    <row r="14" spans="1:14" ht="15.75" thickBot="1" x14ac:dyDescent="0.3">
      <c r="A14" s="2" t="s">
        <v>577</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854" t="s">
        <v>594</v>
      </c>
      <c r="C2" s="855"/>
      <c r="D2" s="299" t="s">
        <v>138</v>
      </c>
      <c r="E2" s="305" t="s">
        <v>139</v>
      </c>
      <c r="F2" s="182" t="s">
        <v>140</v>
      </c>
      <c r="G2" s="154"/>
      <c r="H2" s="151"/>
    </row>
    <row r="3" spans="1:11" ht="15.75" thickBot="1" x14ac:dyDescent="0.3">
      <c r="B3" s="178" t="s">
        <v>153</v>
      </c>
      <c r="C3" s="179">
        <f>+SUM(E3:G3)</f>
        <v>335000</v>
      </c>
      <c r="D3" s="179"/>
      <c r="E3" s="252">
        <v>50000</v>
      </c>
      <c r="F3" s="302">
        <v>285000</v>
      </c>
      <c r="G3" s="250"/>
      <c r="I3" s="61"/>
      <c r="J3" s="61"/>
      <c r="K3" s="61"/>
    </row>
    <row r="4" spans="1:11" x14ac:dyDescent="0.25">
      <c r="B4" s="178" t="s">
        <v>154</v>
      </c>
      <c r="C4" s="179">
        <f>+SUM(E4:$G$4)</f>
        <v>89099.277500000011</v>
      </c>
      <c r="D4" s="179"/>
      <c r="E4" s="252">
        <v>10000.13875</v>
      </c>
      <c r="F4" s="303">
        <v>79099.138750000013</v>
      </c>
      <c r="G4" s="250"/>
      <c r="I4" s="61"/>
      <c r="J4" s="61"/>
      <c r="K4" s="61"/>
    </row>
    <row r="5" spans="1:11" x14ac:dyDescent="0.25">
      <c r="B5" s="180" t="s">
        <v>155</v>
      </c>
      <c r="C5" s="181">
        <f>+SUM(E5:G5)</f>
        <v>84974.5</v>
      </c>
      <c r="D5" s="181"/>
      <c r="E5" s="252">
        <v>0</v>
      </c>
      <c r="F5" s="303">
        <v>84974.5</v>
      </c>
      <c r="G5" s="152"/>
      <c r="I5" s="61"/>
      <c r="J5" s="61"/>
      <c r="K5" s="61"/>
    </row>
    <row r="6" spans="1:11" ht="15.75" thickBot="1" x14ac:dyDescent="0.3">
      <c r="B6" s="153" t="s">
        <v>156</v>
      </c>
      <c r="C6" s="149">
        <f>+SUM($E$6:$G$6)</f>
        <v>91406.693999999989</v>
      </c>
      <c r="D6" s="149"/>
      <c r="E6" s="300">
        <v>30489.599999999999</v>
      </c>
      <c r="F6" s="300">
        <v>60917.093999999997</v>
      </c>
      <c r="G6" s="152"/>
      <c r="I6" s="61"/>
      <c r="J6" s="61"/>
      <c r="K6" s="61"/>
    </row>
    <row r="7" spans="1:11" ht="15.75" thickBot="1" x14ac:dyDescent="0.3">
      <c r="B7" s="153" t="s">
        <v>157</v>
      </c>
      <c r="C7" s="149">
        <f>+SUM($E$7:$G$7)</f>
        <v>0</v>
      </c>
      <c r="D7" s="149"/>
      <c r="E7" s="252"/>
      <c r="F7" s="304"/>
      <c r="G7" s="152"/>
      <c r="I7" s="61"/>
      <c r="J7" s="61"/>
      <c r="K7" s="61"/>
    </row>
    <row r="8" spans="1:11" ht="15.75" thickBot="1" x14ac:dyDescent="0.3">
      <c r="B8" s="153" t="s">
        <v>158</v>
      </c>
      <c r="C8" s="850">
        <f>+AVERAGE(E3:F3)</f>
        <v>167500</v>
      </c>
      <c r="D8" s="669"/>
      <c r="E8" s="856"/>
      <c r="F8" s="714"/>
      <c r="G8" s="690"/>
      <c r="I8" s="61"/>
      <c r="J8" s="61"/>
      <c r="K8" s="61"/>
    </row>
    <row r="9" spans="1:11" ht="15.75" thickBot="1" x14ac:dyDescent="0.3">
      <c r="B9" s="153" t="s">
        <v>159</v>
      </c>
      <c r="C9" s="850">
        <f>+AVERAGE(E4:F4)</f>
        <v>44549.638750000006</v>
      </c>
      <c r="D9" s="669"/>
      <c r="E9" s="691"/>
      <c r="F9" s="718"/>
      <c r="G9" s="692"/>
      <c r="I9" s="61"/>
      <c r="J9" s="61"/>
      <c r="K9" s="61"/>
    </row>
    <row r="10" spans="1:11" ht="15.75" thickBot="1" x14ac:dyDescent="0.3">
      <c r="B10" s="153" t="s">
        <v>160</v>
      </c>
      <c r="C10" s="850">
        <f>+AVERAGE(E5:F5)</f>
        <v>42487.25</v>
      </c>
      <c r="D10" s="669"/>
      <c r="E10" s="857" t="s">
        <v>161</v>
      </c>
      <c r="F10" s="629"/>
      <c r="G10" s="627"/>
      <c r="I10" s="61"/>
      <c r="J10" s="61"/>
      <c r="K10" s="61"/>
    </row>
    <row r="11" spans="1:11" ht="15.75" thickBot="1" x14ac:dyDescent="0.3">
      <c r="B11" s="153" t="s">
        <v>162</v>
      </c>
      <c r="C11" s="850">
        <f>+AVERAGE(E6:F6)</f>
        <v>45703.346999999994</v>
      </c>
      <c r="D11" s="669"/>
      <c r="E11" s="851" t="s">
        <v>163</v>
      </c>
      <c r="F11" s="852"/>
      <c r="G11" s="853"/>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854" t="s">
        <v>593</v>
      </c>
      <c r="C2" s="855"/>
      <c r="D2" s="299" t="s">
        <v>138</v>
      </c>
      <c r="E2" s="305" t="s">
        <v>476</v>
      </c>
      <c r="F2" s="182" t="s">
        <v>141</v>
      </c>
      <c r="G2" s="154"/>
      <c r="H2" s="151"/>
    </row>
    <row r="3" spans="1:8" ht="15.75" thickBot="1" x14ac:dyDescent="0.3">
      <c r="B3" s="178" t="s">
        <v>153</v>
      </c>
      <c r="C3" s="179">
        <f>+SUM(E3:G3)</f>
        <v>750000</v>
      </c>
      <c r="D3" s="179"/>
      <c r="E3" s="252">
        <v>435000</v>
      </c>
      <c r="F3" s="302">
        <v>315000</v>
      </c>
      <c r="G3" s="250"/>
    </row>
    <row r="4" spans="1:8" x14ac:dyDescent="0.25">
      <c r="B4" s="178" t="s">
        <v>154</v>
      </c>
      <c r="C4" s="179">
        <f>+SUM(E4:$G$4)</f>
        <v>352369</v>
      </c>
      <c r="D4" s="179"/>
      <c r="E4" s="252">
        <v>249869</v>
      </c>
      <c r="F4" s="303">
        <v>102500</v>
      </c>
      <c r="G4" s="250"/>
    </row>
    <row r="5" spans="1:8" x14ac:dyDescent="0.25">
      <c r="B5" s="180" t="s">
        <v>155</v>
      </c>
      <c r="C5" s="181">
        <f>+SUM(E5:G5)</f>
        <v>242267</v>
      </c>
      <c r="D5" s="181"/>
      <c r="E5" s="252">
        <v>98192</v>
      </c>
      <c r="F5" s="303">
        <f>+F3+-F4-F6</f>
        <v>144075</v>
      </c>
      <c r="G5" s="152"/>
    </row>
    <row r="6" spans="1:8" ht="15.75" thickBot="1" x14ac:dyDescent="0.3">
      <c r="B6" s="153" t="s">
        <v>156</v>
      </c>
      <c r="C6" s="149">
        <f>+SUM($E$6:$G$6)</f>
        <v>155363.89666666667</v>
      </c>
      <c r="D6" s="149"/>
      <c r="E6" s="252">
        <v>86938.896666666667</v>
      </c>
      <c r="F6" s="303">
        <v>68425</v>
      </c>
      <c r="G6" s="152"/>
    </row>
    <row r="7" spans="1:8" ht="15.75" thickBot="1" x14ac:dyDescent="0.3">
      <c r="B7" s="153" t="s">
        <v>157</v>
      </c>
      <c r="C7" s="149">
        <f>+SUM($E$7:$G$7)</f>
        <v>0</v>
      </c>
      <c r="D7" s="149"/>
      <c r="E7" s="252"/>
      <c r="F7" s="304"/>
      <c r="G7" s="152"/>
    </row>
    <row r="8" spans="1:8" ht="15.75" thickBot="1" x14ac:dyDescent="0.3">
      <c r="B8" s="153" t="s">
        <v>158</v>
      </c>
      <c r="C8" s="850">
        <f>+AVERAGE(E3:F3)</f>
        <v>375000</v>
      </c>
      <c r="D8" s="669"/>
      <c r="E8" s="856"/>
      <c r="F8" s="714"/>
      <c r="G8" s="690"/>
    </row>
    <row r="9" spans="1:8" ht="15.75" thickBot="1" x14ac:dyDescent="0.3">
      <c r="B9" s="153" t="s">
        <v>159</v>
      </c>
      <c r="C9" s="850">
        <f>+AVERAGE(E4:F4)</f>
        <v>176184.5</v>
      </c>
      <c r="D9" s="669"/>
      <c r="E9" s="691"/>
      <c r="F9" s="718"/>
      <c r="G9" s="692"/>
    </row>
    <row r="10" spans="1:8" ht="15.75" thickBot="1" x14ac:dyDescent="0.3">
      <c r="B10" s="153" t="s">
        <v>160</v>
      </c>
      <c r="C10" s="850">
        <f>+AVERAGE(E5:F5)</f>
        <v>121133.5</v>
      </c>
      <c r="D10" s="669"/>
      <c r="E10" s="857" t="s">
        <v>161</v>
      </c>
      <c r="F10" s="629"/>
      <c r="G10" s="627"/>
    </row>
    <row r="11" spans="1:8" ht="15.75" thickBot="1" x14ac:dyDescent="0.3">
      <c r="B11" s="153" t="s">
        <v>162</v>
      </c>
      <c r="C11" s="850">
        <f>+AVERAGE(E6:F6)</f>
        <v>77681.948333333334</v>
      </c>
      <c r="D11" s="669"/>
      <c r="E11" s="851" t="s">
        <v>163</v>
      </c>
      <c r="F11" s="852"/>
      <c r="G11" s="853"/>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854" t="s">
        <v>477</v>
      </c>
      <c r="C2" s="861"/>
      <c r="D2" s="299" t="s">
        <v>138</v>
      </c>
      <c r="E2" s="177" t="s">
        <v>142</v>
      </c>
      <c r="F2" s="177" t="s">
        <v>143</v>
      </c>
      <c r="G2" s="177" t="s">
        <v>144</v>
      </c>
      <c r="H2" s="182" t="s">
        <v>145</v>
      </c>
      <c r="I2" s="154"/>
      <c r="J2" s="151"/>
    </row>
    <row r="3" spans="1:10" ht="15.75" thickBot="1" x14ac:dyDescent="0.3">
      <c r="A3" s="156"/>
      <c r="B3" s="178" t="s">
        <v>153</v>
      </c>
      <c r="C3" s="179">
        <f>+SUM(E3:I3)</f>
        <v>1262529</v>
      </c>
      <c r="D3" s="179"/>
      <c r="E3" s="252">
        <v>210000</v>
      </c>
      <c r="F3" s="252">
        <v>423529</v>
      </c>
      <c r="G3" s="252">
        <v>330000</v>
      </c>
      <c r="H3" s="251">
        <v>299000</v>
      </c>
      <c r="I3" s="250"/>
    </row>
    <row r="4" spans="1:10" x14ac:dyDescent="0.25">
      <c r="A4" s="156"/>
      <c r="B4" s="178" t="s">
        <v>154</v>
      </c>
      <c r="C4" s="179">
        <f>+SUM(E4:$I$4)</f>
        <v>554594.92000000004</v>
      </c>
      <c r="D4" s="179"/>
      <c r="E4" s="252">
        <v>127000</v>
      </c>
      <c r="F4" s="252">
        <v>174585.47</v>
      </c>
      <c r="G4" s="252">
        <v>85975.790000000008</v>
      </c>
      <c r="H4" s="251">
        <v>167033.66</v>
      </c>
      <c r="I4" s="250"/>
    </row>
    <row r="5" spans="1:10" x14ac:dyDescent="0.25">
      <c r="A5" s="156"/>
      <c r="B5" s="180" t="s">
        <v>155</v>
      </c>
      <c r="C5" s="181">
        <f>+SUM(E5:I5)</f>
        <v>148708.10749999998</v>
      </c>
      <c r="D5" s="181"/>
      <c r="E5" s="252">
        <v>15000</v>
      </c>
      <c r="F5" s="252">
        <v>12223</v>
      </c>
      <c r="G5" s="252">
        <v>82805.727499999994</v>
      </c>
      <c r="H5" s="251">
        <v>38679.380000000005</v>
      </c>
      <c r="I5" s="152"/>
    </row>
    <row r="6" spans="1:10" ht="15.75" thickBot="1" x14ac:dyDescent="0.3">
      <c r="A6" s="156"/>
      <c r="B6" s="153" t="s">
        <v>156</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157</v>
      </c>
      <c r="C7" s="149">
        <f>+SUM($E$7:$I$7)</f>
        <v>15470.803800000003</v>
      </c>
      <c r="D7" s="149"/>
      <c r="E7" s="301"/>
      <c r="F7" s="308">
        <v>15470.803800000003</v>
      </c>
      <c r="G7" s="308"/>
      <c r="H7" s="310"/>
      <c r="I7" s="152"/>
    </row>
    <row r="8" spans="1:10" ht="15.75" thickBot="1" x14ac:dyDescent="0.3">
      <c r="A8" s="156"/>
      <c r="B8" s="153" t="s">
        <v>158</v>
      </c>
      <c r="C8" s="850">
        <f>+AVERAGE(E3:H3)</f>
        <v>315632.25</v>
      </c>
      <c r="D8" s="858"/>
      <c r="E8" s="856"/>
      <c r="F8" s="714"/>
      <c r="G8" s="714"/>
      <c r="H8" s="714"/>
      <c r="I8" s="690"/>
    </row>
    <row r="9" spans="1:10" ht="15.75" thickBot="1" x14ac:dyDescent="0.3">
      <c r="A9" s="156"/>
      <c r="B9" s="153" t="s">
        <v>159</v>
      </c>
      <c r="C9" s="850">
        <f>+AVERAGE(E4:H4)</f>
        <v>138648.73000000001</v>
      </c>
      <c r="D9" s="858"/>
      <c r="E9" s="691"/>
      <c r="F9" s="718"/>
      <c r="G9" s="718"/>
      <c r="H9" s="718"/>
      <c r="I9" s="692"/>
    </row>
    <row r="10" spans="1:10" ht="15.75" thickBot="1" x14ac:dyDescent="0.3">
      <c r="A10" s="156"/>
      <c r="B10" s="153" t="s">
        <v>160</v>
      </c>
      <c r="C10" s="850">
        <f>+AVERAGE(E5:H5)</f>
        <v>37177.026874999996</v>
      </c>
      <c r="D10" s="858"/>
      <c r="E10" s="857" t="s">
        <v>161</v>
      </c>
      <c r="F10" s="862"/>
      <c r="G10" s="862"/>
      <c r="H10" s="862"/>
      <c r="I10" s="863"/>
    </row>
    <row r="11" spans="1:10" ht="15.75" thickBot="1" x14ac:dyDescent="0.3">
      <c r="B11" s="153" t="s">
        <v>162</v>
      </c>
      <c r="C11" s="850">
        <f>+AVERAGE(E6:H6)</f>
        <v>117803.01925000001</v>
      </c>
      <c r="D11" s="858"/>
      <c r="E11" s="851" t="s">
        <v>163</v>
      </c>
      <c r="F11" s="859"/>
      <c r="G11" s="859"/>
      <c r="H11" s="859"/>
      <c r="I11" s="860"/>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54" t="s">
        <v>477</v>
      </c>
      <c r="C2" s="855"/>
      <c r="D2" s="299" t="s">
        <v>138</v>
      </c>
      <c r="E2" s="305" t="s">
        <v>146</v>
      </c>
      <c r="F2" s="305" t="s">
        <v>147</v>
      </c>
      <c r="G2" s="182" t="s">
        <v>148</v>
      </c>
      <c r="H2" s="154"/>
      <c r="I2" s="151"/>
    </row>
    <row r="3" spans="1:9" ht="15.75" thickBot="1" x14ac:dyDescent="0.3">
      <c r="B3" s="178" t="s">
        <v>153</v>
      </c>
      <c r="C3" s="179">
        <f>+SUM(E3:H3)</f>
        <v>811800</v>
      </c>
      <c r="D3" s="179"/>
      <c r="E3" s="252">
        <v>363900</v>
      </c>
      <c r="F3" s="306">
        <v>210000</v>
      </c>
      <c r="G3" s="302">
        <v>237900</v>
      </c>
      <c r="H3" s="250"/>
    </row>
    <row r="4" spans="1:9" x14ac:dyDescent="0.25">
      <c r="B4" s="178" t="s">
        <v>154</v>
      </c>
      <c r="C4" s="179">
        <f>+SUM(E4:$H$4)</f>
        <v>401770.9</v>
      </c>
      <c r="D4" s="179"/>
      <c r="E4" s="252">
        <v>220000</v>
      </c>
      <c r="F4" s="307">
        <v>107061.9</v>
      </c>
      <c r="G4" s="303">
        <v>74709</v>
      </c>
      <c r="H4" s="250"/>
    </row>
    <row r="5" spans="1:9" x14ac:dyDescent="0.25">
      <c r="B5" s="180" t="s">
        <v>155</v>
      </c>
      <c r="C5" s="181">
        <f>+SUM(E5:H5)</f>
        <v>146350.07515412499</v>
      </c>
      <c r="D5" s="181"/>
      <c r="E5" s="252">
        <v>27507.698</v>
      </c>
      <c r="F5" s="307">
        <v>47760.57</v>
      </c>
      <c r="G5" s="303">
        <v>71081.80715412501</v>
      </c>
      <c r="H5" s="152"/>
    </row>
    <row r="6" spans="1:9" ht="15.75" thickBot="1" x14ac:dyDescent="0.3">
      <c r="B6" s="153" t="s">
        <v>156</v>
      </c>
      <c r="C6" s="149">
        <f>+SUM($E$6:$H$6)</f>
        <v>257067.10484587503</v>
      </c>
      <c r="D6" s="149"/>
      <c r="E6" s="252">
        <v>92658.781999999992</v>
      </c>
      <c r="F6" s="307">
        <v>64240.530000000028</v>
      </c>
      <c r="G6" s="303">
        <v>100167.792845875</v>
      </c>
      <c r="H6" s="152"/>
    </row>
    <row r="7" spans="1:9" ht="15.75" thickBot="1" x14ac:dyDescent="0.3">
      <c r="B7" s="153" t="s">
        <v>157</v>
      </c>
      <c r="C7" s="149">
        <f>+SUM($E$7:$H$7)</f>
        <v>0</v>
      </c>
      <c r="D7" s="149"/>
      <c r="E7" s="301"/>
      <c r="F7" s="308"/>
      <c r="G7" s="309"/>
      <c r="H7" s="152"/>
    </row>
    <row r="8" spans="1:9" ht="15.75" thickBot="1" x14ac:dyDescent="0.3">
      <c r="B8" s="153" t="s">
        <v>158</v>
      </c>
      <c r="C8" s="850">
        <f>+AVERAGE(E3:G3)</f>
        <v>270600</v>
      </c>
      <c r="D8" s="669"/>
      <c r="E8" s="856"/>
      <c r="F8" s="864"/>
      <c r="G8" s="714"/>
      <c r="H8" s="690"/>
    </row>
    <row r="9" spans="1:9" ht="15.75" thickBot="1" x14ac:dyDescent="0.3">
      <c r="B9" s="153" t="s">
        <v>159</v>
      </c>
      <c r="C9" s="850">
        <f>+AVERAGE(E4:G4)</f>
        <v>133923.63333333333</v>
      </c>
      <c r="D9" s="669"/>
      <c r="E9" s="691"/>
      <c r="F9" s="718"/>
      <c r="G9" s="718"/>
      <c r="H9" s="692"/>
    </row>
    <row r="10" spans="1:9" ht="15.75" thickBot="1" x14ac:dyDescent="0.3">
      <c r="B10" s="153" t="s">
        <v>160</v>
      </c>
      <c r="C10" s="850">
        <f>+AVERAGE(E5:G5)</f>
        <v>48783.358384708328</v>
      </c>
      <c r="D10" s="669"/>
      <c r="E10" s="857" t="s">
        <v>161</v>
      </c>
      <c r="F10" s="862"/>
      <c r="G10" s="629"/>
      <c r="H10" s="627"/>
    </row>
    <row r="11" spans="1:9" ht="15.75" thickBot="1" x14ac:dyDescent="0.3">
      <c r="B11" s="153" t="s">
        <v>162</v>
      </c>
      <c r="C11" s="850">
        <f>+AVERAGE(E6:G6)</f>
        <v>85689.034948625005</v>
      </c>
      <c r="D11" s="669"/>
      <c r="E11" s="851" t="s">
        <v>163</v>
      </c>
      <c r="F11" s="859"/>
      <c r="G11" s="852"/>
      <c r="H11" s="853"/>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54" t="s">
        <v>477</v>
      </c>
      <c r="C2" s="855"/>
      <c r="D2" s="299" t="s">
        <v>138</v>
      </c>
      <c r="E2" s="305" t="s">
        <v>149</v>
      </c>
      <c r="F2" s="305" t="s">
        <v>150</v>
      </c>
      <c r="G2" s="182" t="s">
        <v>151</v>
      </c>
      <c r="H2" s="154"/>
      <c r="I2" s="151"/>
    </row>
    <row r="3" spans="1:9" ht="15.75" thickBot="1" x14ac:dyDescent="0.3">
      <c r="B3" s="178" t="s">
        <v>153</v>
      </c>
      <c r="C3" s="179">
        <f>+SUM(E3:H3)</f>
        <v>540000</v>
      </c>
      <c r="D3" s="179"/>
      <c r="E3" s="252">
        <v>150000</v>
      </c>
      <c r="F3" s="306">
        <v>195000</v>
      </c>
      <c r="G3" s="302">
        <v>195000</v>
      </c>
      <c r="H3" s="250"/>
    </row>
    <row r="4" spans="1:9" x14ac:dyDescent="0.25">
      <c r="B4" s="178" t="s">
        <v>154</v>
      </c>
      <c r="C4" s="179">
        <f>+SUM(E4:$H$4)</f>
        <v>310642.71000000002</v>
      </c>
      <c r="D4" s="179"/>
      <c r="E4" s="252">
        <v>71644.86</v>
      </c>
      <c r="F4" s="307">
        <v>110309.86</v>
      </c>
      <c r="G4" s="303">
        <v>128687.99</v>
      </c>
      <c r="H4" s="250"/>
    </row>
    <row r="5" spans="1:9" x14ac:dyDescent="0.25">
      <c r="B5" s="180" t="s">
        <v>155</v>
      </c>
      <c r="C5" s="181">
        <f>+SUM(E5:H5)</f>
        <v>49980.701499999996</v>
      </c>
      <c r="D5" s="181"/>
      <c r="E5" s="252">
        <v>6302.96</v>
      </c>
      <c r="F5" s="307">
        <v>20425.14</v>
      </c>
      <c r="G5" s="303">
        <v>23252.601500000001</v>
      </c>
      <c r="H5" s="152"/>
    </row>
    <row r="6" spans="1:9" ht="15.75" thickBot="1" x14ac:dyDescent="0.3">
      <c r="B6" s="153" t="s">
        <v>156</v>
      </c>
      <c r="C6" s="149">
        <f>+SUM($E$6:$H$6)</f>
        <v>116039.9257777778</v>
      </c>
      <c r="D6" s="149"/>
      <c r="E6" s="252">
        <v>37694.072</v>
      </c>
      <c r="F6" s="307">
        <v>52771.490000000005</v>
      </c>
      <c r="G6" s="303">
        <v>25574.363777777784</v>
      </c>
      <c r="H6" s="152"/>
    </row>
    <row r="7" spans="1:9" ht="15.75" thickBot="1" x14ac:dyDescent="0.3">
      <c r="B7" s="153" t="s">
        <v>157</v>
      </c>
      <c r="C7" s="149">
        <f>+SUM($E$7:$H$7)</f>
        <v>0</v>
      </c>
      <c r="D7" s="149"/>
      <c r="E7" s="301"/>
      <c r="F7" s="308"/>
      <c r="G7" s="309"/>
      <c r="H7" s="152"/>
    </row>
    <row r="8" spans="1:9" ht="15.75" thickBot="1" x14ac:dyDescent="0.3">
      <c r="B8" s="153" t="s">
        <v>158</v>
      </c>
      <c r="C8" s="850">
        <f>+AVERAGE(E3:G3)</f>
        <v>180000</v>
      </c>
      <c r="D8" s="669"/>
      <c r="E8" s="856"/>
      <c r="F8" s="864"/>
      <c r="G8" s="714"/>
      <c r="H8" s="690"/>
    </row>
    <row r="9" spans="1:9" ht="15.75" thickBot="1" x14ac:dyDescent="0.3">
      <c r="B9" s="153" t="s">
        <v>159</v>
      </c>
      <c r="C9" s="850">
        <f>+AVERAGE(E4:G4)</f>
        <v>103547.57</v>
      </c>
      <c r="D9" s="669"/>
      <c r="E9" s="691"/>
      <c r="F9" s="718"/>
      <c r="G9" s="718"/>
      <c r="H9" s="692"/>
    </row>
    <row r="10" spans="1:9" ht="15.75" thickBot="1" x14ac:dyDescent="0.3">
      <c r="B10" s="153" t="s">
        <v>160</v>
      </c>
      <c r="C10" s="850">
        <f>+AVERAGE(E5:G5)</f>
        <v>16660.233833333332</v>
      </c>
      <c r="D10" s="669"/>
      <c r="E10" s="857" t="s">
        <v>161</v>
      </c>
      <c r="F10" s="862"/>
      <c r="G10" s="629"/>
      <c r="H10" s="627"/>
    </row>
    <row r="11" spans="1:9" ht="15.75" thickBot="1" x14ac:dyDescent="0.3">
      <c r="B11" s="153" t="s">
        <v>162</v>
      </c>
      <c r="C11" s="850">
        <f>+AVERAGE(E6:G6)</f>
        <v>38679.975259259263</v>
      </c>
      <c r="D11" s="669"/>
      <c r="E11" s="851" t="s">
        <v>163</v>
      </c>
      <c r="F11" s="859"/>
      <c r="G11" s="852"/>
      <c r="H11" s="853"/>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578</v>
      </c>
      <c r="C2">
        <v>1000</v>
      </c>
    </row>
    <row r="3" spans="1:3" x14ac:dyDescent="0.25">
      <c r="A3" t="s">
        <v>580</v>
      </c>
      <c r="C3">
        <v>9000</v>
      </c>
    </row>
    <row r="18" spans="6:7" x14ac:dyDescent="0.25">
      <c r="F18" s="30" t="s">
        <v>585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C8DEC3D8-E357-4A8C-AFF9-645AD3C1C068}">
  <ds:schemaRefs>
    <ds:schemaRef ds:uri="http://schemas.microsoft.com/DataMashup"/>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Replacement Docs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2026-06-19T17:52:35Z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